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29ed41a12145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vernorate Master" sheetId="1" r:id="Rab54d5dc05ed4cbb"/>
    <x:sheet xmlns:r="http://schemas.openxmlformats.org/officeDocument/2006/relationships" name="Activity Master" sheetId="2" r:id="R26b50db9c9f64d56"/>
    <x:sheet xmlns:r="http://schemas.openxmlformats.org/officeDocument/2006/relationships" name="Final Master Schema" sheetId="3" r:id="R6bc21ea656c04065"/>
    <x:sheet xmlns:r="http://schemas.openxmlformats.org/officeDocument/2006/relationships" name="Source Register" sheetId="4" r:id="R223f85c4c6f6461a"/>
    <x:sheet xmlns:r="http://schemas.openxmlformats.org/officeDocument/2006/relationships" name="Table4 Structured" sheetId="5" r:id="R6340d7dac0a64525"/>
    <x:sheet xmlns:r="http://schemas.openxmlformats.org/officeDocument/2006/relationships" name="Location Model Base" sheetId="6" r:id="R4343238bae044d0b"/>
    <x:sheet xmlns:r="http://schemas.openxmlformats.org/officeDocument/2006/relationships" name="Location Step Notes" sheetId="7" r:id="R9a3eb06162ff44c9"/>
    <x:sheet xmlns:r="http://schemas.openxmlformats.org/officeDocument/2006/relationships" name="Demand Proxy 2017" sheetId="8" r:id="R8496591e5bf7471a"/>
    <x:sheet xmlns:r="http://schemas.openxmlformats.org/officeDocument/2006/relationships" name="Demand Mapping" sheetId="9" r:id="R9ab2db2f6e8240aa"/>
    <x:sheet xmlns:r="http://schemas.openxmlformats.org/officeDocument/2006/relationships" name="Location Scoring v1" sheetId="10" r:id="Rb6a3bf130ad943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#,##0.0"/>
    <x:numFmt numFmtId="202" formatCode="#,##0 &quot;JD&quot;"/>
    <x:numFmt numFmtId="203" formatCode="0.0%"/>
    <x:numFmt numFmtId="204" formatCode="0.00"/>
    <x:numFmt numFmtId="205" formatCode="0"/>
    <x:numFmt numFmtId="206" formatCode="0.000"/>
    <x:numFmt numFmtId="207" formatCode="0.0"/>
    <x:numFmt numFmtId="208" formatCode="0.0 &quot;JD&quot;"/>
    <x:numFmt numFmtId="209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70AD47"/>
      </x:patternFill>
    </x:fill>
    <x:fill>
      <x:patternFill patternType="solid">
        <x:fgColor rgb="FF7F6000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0F766E"/>
      </x:patternFill>
    </x:fill>
    <x:fill>
      <x:patternFill patternType="solid">
        <x:fgColor rgb="FF70AD47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A5A5A5"/>
      </x:patternFill>
    </x:fill>
  </x:fills>
  <x:borders count="2">
    <x:border/>
    <x:border/>
  </x:borders>
  <x:cellStyleXfs count="1">
    <x:xf numFmtId="0" fontId="0" fillId="0" borderId="0"/>
  </x:cellStyleXfs>
  <x:cellXfs count="1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206" fontId="0" fillId="0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208" fontId="0" fillId="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207" fontId="0" fillId="0" borderId="0" xfId="0" applyNumberFormat="1" applyFont="1" applyFill="1" applyBorder="1"/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horizontal="center"/>
    </x:xf>
    <x:xf numFmtId="0" fontId="4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0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wrapText="1"/>
    </x:xf>
    <x:xf numFmtId="0" fontId="1" fillId="17" borderId="0" xfId="0" applyNumberFormat="1" applyFont="1" applyFill="1" applyBorder="1" applyAlignment="1">
      <x:alignment horizontal="center" wrapText="1"/>
    </x:xf>
    <x:xf numFmtId="0" fontId="1" fillId="17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/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wrapText="1"/>
    </x:xf>
    <x:xf numFmtId="0" fontId="1" fillId="19" borderId="0" xfId="0" applyNumberFormat="1" applyFont="1" applyFill="1" applyBorder="1" applyAlignment="1">
      <x:alignment horizontal="center" wrapText="1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horizontal="center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9cd631539f4506" /><Relationship Type="http://schemas.openxmlformats.org/officeDocument/2006/relationships/theme" Target="/xl/theme/theme1.xml" Id="R053cf0dfa5b54cad" /><Relationship Type="http://schemas.openxmlformats.org/officeDocument/2006/relationships/sharedStrings" Target="/xl/sharedStrings.xml" Id="Ra7059e1c3e5f41fb" /><Relationship Type="http://schemas.openxmlformats.org/officeDocument/2006/relationships/worksheet" Target="/xl/worksheets/sheet1.xml" Id="Rab54d5dc05ed4cbb" /><Relationship Type="http://schemas.openxmlformats.org/officeDocument/2006/relationships/worksheet" Target="/xl/worksheets/sheet2.xml" Id="R26b50db9c9f64d56" /><Relationship Type="http://schemas.openxmlformats.org/officeDocument/2006/relationships/worksheet" Target="/xl/worksheets/sheet3.xml" Id="R6bc21ea656c04065" /><Relationship Type="http://schemas.openxmlformats.org/officeDocument/2006/relationships/worksheet" Target="/xl/worksheets/sheet4.xml" Id="R223f85c4c6f6461a" /><Relationship Type="http://schemas.openxmlformats.org/officeDocument/2006/relationships/worksheet" Target="/xl/worksheets/sheet5.xml" Id="R6340d7dac0a64525" /><Relationship Type="http://schemas.openxmlformats.org/officeDocument/2006/relationships/worksheet" Target="/xl/worksheets/sheet6.xml" Id="R4343238bae044d0b" /><Relationship Type="http://schemas.openxmlformats.org/officeDocument/2006/relationships/worksheet" Target="/xl/worksheets/sheet7.xml" Id="R9a3eb06162ff44c9" /><Relationship Type="http://schemas.openxmlformats.org/officeDocument/2006/relationships/worksheet" Target="/xl/worksheets/sheet8.xml" Id="R8496591e5bf7471a" /><Relationship Type="http://schemas.openxmlformats.org/officeDocument/2006/relationships/worksheet" Target="/xl/worksheets/sheet9.xml" Id="R9ab2db2f6e8240aa" /><Relationship Type="http://schemas.openxmlformats.org/officeDocument/2006/relationships/worksheet" Target="/xl/worksheets/sheet10.xml" Id="Rb6a3bf130ad9438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df317af97c7452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Equal Score</c:v>
          </c:tx>
          <c:cat>
            <c:strRef>
              <c:f>'Location Scoring v1'!$A$9:$A$20</c:f>
              <c:strCache>
                <c:ptCount val="0"/>
              </c:strCache>
            </c:strRef>
          </c:cat>
          <c:val>
            <c:numRef>
              <c:f>'Location Scoring v1'!$K$9:$K$20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18</xdr:col>
      <xdr:colOff>0</xdr:colOff>
      <xdr:row>7</xdr:row>
      <xdr:rowOff>0</xdr:rowOff>
    </xdr:from>
    <xdr:to>
      <xdr:col>30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f317af97c7452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overnorateMasterTable" displayName="GovernorateMasterTable" ref="A1:R13" headerRowCount="1" totalsRowCount="0" totalsRowShown="0">
  <x:tableColumns count="18">
    <x:tableColumn id="1" name="المحافظة"/>
    <x:tableColumn id="2" name="Governorate"/>
    <x:tableColumn id="3" name="Population 2025"/>
    <x:tableColumn id="4" name="Urban Population 2025"/>
    <x:tableColumn id="5" name="Rural Population 2025"/>
    <x:tableColumn id="6" name="Urban Share"/>
    <x:tableColumn id="7" name="Population Density / km²"/>
    <x:tableColumn id="8" name="Area km²"/>
    <x:tableColumn id="9" name="Registered 2021"/>
    <x:tableColumn id="10" name="Registered 2022"/>
    <x:tableColumn id="11" name="Registered 2023"/>
    <x:tableColumn id="12" name="Growth 2021→2023"/>
    <x:tableColumn id="13" name="H1 Registered 2023"/>
    <x:tableColumn id="14" name="H1 Registered 2024"/>
    <x:tableColumn id="15" name="H1 Growth 2023→2024"/>
    <x:tableColumn id="16" name="Total Individual Capital 2023 (JD)"/>
    <x:tableColumn id="17" name="Registrations per 10k Population (2023)"/>
    <x:tableColumn id="18" name="Role in Location Mod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ivityMasterTable" displayName="ActivityMasterTable" ref="A1:E21" headerRowCount="1" totalsRowCount="0" totalsRowShown="0">
  <x:tableColumns count="5">
    <x:tableColumn id="1" name="ISIC4 / Purpose Code"/>
    <x:tableColumn id="2" name="Arabic Activity Description"/>
    <x:tableColumn id="3" name="Registration Count"/>
    <x:tableColumn id="4" name="Use in Project"/>
    <x:tableColumn id="5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sterSchemaTable" displayName="MasterSchemaTable" ref="A1:F16" headerRowCount="1" totalsRowCount="0" totalsRowShown="0">
  <x:tableColumns count="6">
    <x:tableColumn id="1" name="Field"/>
    <x:tableColumn id="2" name="Level"/>
    <x:tableColumn id="3" name="Source"/>
    <x:tableColumn id="4" name="Available?"/>
    <x:tableColumn id="5" name="Purpose"/>
    <x:tableColumn id="6" name="Important Cavea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RegisterTable" displayName="SourceRegisterTable" ref="A1:E10" headerRowCount="1" totalsRowCount="0" totalsRowShown="0">
  <x:tableColumns count="5">
    <x:tableColumn id="1" name="Source File"/>
    <x:tableColumn id="2" name="Year"/>
    <x:tableColumn id="3" name="Data Level"/>
    <x:tableColumn id="4" name="What We Use It For"/>
    <x:tableColumn id="5" name="Status / Limit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4StructuredTable" displayName="Table4StructuredTable" ref="A1:R383" headerRowCount="1" totalsRowCount="0" totalsRowShown="0">
  <x:tableColumns count="18">
    <x:tableColumn id="1" name="ISIC Code"/>
    <x:tableColumn id="2" name="Economic Activity"/>
    <x:tableColumn id="3" name="Level"/>
    <x:tableColumn id="4" name="Amman"/>
    <x:tableColumn id="5" name="Balqa"/>
    <x:tableColumn id="6" name="Zarqa"/>
    <x:tableColumn id="7" name="Madaba"/>
    <x:tableColumn id="8" name="Irbid"/>
    <x:tableColumn id="9" name="Mafraq"/>
    <x:tableColumn id="10" name="Jarash"/>
    <x:tableColumn id="11" name="Ajlun"/>
    <x:tableColumn id="12" name="Karak"/>
    <x:tableColumn id="13" name="Tafiela"/>
    <x:tableColumn id="14" name="Ma'an"/>
    <x:tableColumn id="15" name="Aqaba"/>
    <x:tableColumn id="16" name="Total"/>
    <x:tableColumn id="17" name="Source Year"/>
    <x:tableColumn id="18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ocationModelBaseTable" displayName="LocationModelBaseTable" ref="A1:K3649" headerRowCount="1" totalsRowCount="0" totalsRowShown="0">
  <x:tableColumns count="11">
    <x:tableColumn id="1" name="ISIC Code"/>
    <x:tableColumn id="2" name="Economic Activity"/>
    <x:tableColumn id="3" name="Governorate"/>
    <x:tableColumn id="4" name="Active Similar Establishments 2018"/>
    <x:tableColumn id="5" name="Population 2025"/>
    <x:tableColumn id="6" name="Historical Businesses per 10k"/>
    <x:tableColumn id="7" name="Population Density 2025"/>
    <x:tableColumn id="8" name="Urban Share 2025"/>
    <x:tableColumn id="9" name="H1 Registration Growth 2023→2024"/>
    <x:tableColumn id="10" name="Model Role"/>
    <x:tableColumn id="11" name="Important Limit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mandProxy2017Table" displayName="DemandProxy2017Table" ref="A1:P29" headerRowCount="1" totalsRowCount="0" totalsRowShown="0">
  <x:tableColumns count="16">
    <x:tableColumn id="1" name="Group"/>
    <x:tableColumn id="2" name="Category (EN)"/>
    <x:tableColumn id="3" name="الفئة"/>
    <x:tableColumn id="4" name="Kingdom Avg (JD)"/>
    <x:tableColumn id="5" name="عمان"/>
    <x:tableColumn id="6" name="البلقاء"/>
    <x:tableColumn id="7" name="الزرقاء"/>
    <x:tableColumn id="8" name="مادبا"/>
    <x:tableColumn id="9" name="إربد"/>
    <x:tableColumn id="10" name="المفرق"/>
    <x:tableColumn id="11" name="جرش"/>
    <x:tableColumn id="12" name="عجلون"/>
    <x:tableColumn id="13" name="الكرك"/>
    <x:tableColumn id="14" name="الطفيلة"/>
    <x:tableColumn id="15" name="معان"/>
    <x:tableColumn id="16" name="العقبة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mandIndexTable" displayName="DemandIndexTable" ref="A32:P60" headerRowCount="1" totalsRowCount="0" totalsRowShown="0">
  <x:tableColumns count="16">
    <x:tableColumn id="1" name="Group"/>
    <x:tableColumn id="2" name="Category (EN)"/>
    <x:tableColumn id="3" name="الفئة"/>
    <x:tableColumn id="4" name="Kingdom Index"/>
    <x:tableColumn id="5" name="عمان"/>
    <x:tableColumn id="6" name="البلقاء"/>
    <x:tableColumn id="7" name="الزرقاء"/>
    <x:tableColumn id="8" name="مادبا"/>
    <x:tableColumn id="9" name="إربد"/>
    <x:tableColumn id="10" name="المفرق"/>
    <x:tableColumn id="11" name="جرش"/>
    <x:tableColumn id="12" name="عجلون"/>
    <x:tableColumn id="13" name="الكرك"/>
    <x:tableColumn id="14" name="الطفيلة"/>
    <x:tableColumn id="15" name="معان"/>
    <x:tableColumn id="16" name="العقبة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emandMappingTable" displayName="DemandMappingTable" ref="A1:E18" headerRowCount="1" totalsRowCount="0" totalsRowShown="0">
  <x:tableColumns count="5">
    <x:tableColumn id="1" name="Business / Project Type"/>
    <x:tableColumn id="2" name="Demand Category"/>
    <x:tableColumn id="3" name="Mapping Strength"/>
    <x:tableColumn id="4" name="How to Use"/>
    <x:tableColumn id="5" name="Limit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LocationScoringV1Table" displayName="LocationScoringV1Table" ref="A8:Q20" headerRowCount="1" totalsRowCount="0" totalsRowShown="0">
  <x:tableColumns count="17">
    <x:tableColumn id="1" name="Governorate"/>
    <x:tableColumn id="2" name="Population 2025"/>
    <x:tableColumn id="3" name="Similar Businesses 2018"/>
    <x:tableColumn id="4" name="Businesses / 10k"/>
    <x:tableColumn id="5" name="Historical Demand Spend 2017 (JD/HH/yr)"/>
    <x:tableColumn id="6" name="H1 Registration Growth 2023→2024"/>
    <x:tableColumn id="7" name="Market Score"/>
    <x:tableColumn id="8" name="Demand Score"/>
    <x:tableColumn id="9" name="Competition Opportunity Score"/>
    <x:tableColumn id="10" name="Trend Score"/>
    <x:tableColumn id="11" name="Equal Score"/>
    <x:tableColumn id="12" name="Equal Rank"/>
    <x:tableColumn id="13" name="Demand-heavy Score"/>
    <x:tableColumn id="14" name="Demand-heavy Rank"/>
    <x:tableColumn id="15" name="Competition-heavy Score"/>
    <x:tableColumn id="16" name="Competition-heavy Rank"/>
    <x:tableColumn id="17" name="Rank Spre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80b2e8f71c42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ea85abe4024d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4e9b86febe442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6d647dfe8c247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6ca7d31d8144d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8d1bd57f2ac4d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139a8c355846ca" /><Relationship Type="http://schemas.openxmlformats.org/officeDocument/2006/relationships/table" Target="/xl/tables/table8.xml" Id="R98bac2167f8748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b46f56b576148d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6a8fcb8070bf4167" /><Relationship Type="http://schemas.openxmlformats.org/officeDocument/2006/relationships/table" Target="/xl/tables/table10.xml" Id="R7aca41d864484fc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3" hidden="0" customWidth="1"/>
    <x:col min="7" max="7" width="18" hidden="0" customWidth="1"/>
    <x:col min="8" max="8" width="18" hidden="0" customWidth="1"/>
    <x:col min="9" max="9" width="15" hidden="0" customWidth="1"/>
    <x:col min="10" max="10" width="15" hidden="0" customWidth="1"/>
    <x:col min="11" max="11" width="15" hidden="0" customWidth="1"/>
    <x:col min="12" max="12" width="16" hidden="0" customWidth="1"/>
    <x:col min="13" max="13" width="18" hidden="0" customWidth="1"/>
    <x:col min="14" max="14" width="18" hidden="0" customWidth="1"/>
    <x:col min="15" max="15" width="18" hidden="0" customWidth="1"/>
    <x:col min="16" max="16" width="22" hidden="0" customWidth="1"/>
    <x:col min="17" max="17" width="22" hidden="0" customWidth="1"/>
    <x:col min="18" max="18" width="34" hidden="0" customWidth="1"/>
  </x:cols>
  <x:sheetData>
    <x:row r="1" ht="34" customHeight="1">
      <x:c r="A1" s="6" t="str">
        <x:v>المحافظة</x:v>
      </x:c>
      <x:c r="B1" s="6" t="str">
        <x:v>Governorate</x:v>
      </x:c>
      <x:c r="C1" s="6" t="str">
        <x:v>Population 2025</x:v>
      </x:c>
      <x:c r="D1" s="6" t="str">
        <x:v>Urban Population 2025</x:v>
      </x:c>
      <x:c r="E1" s="6" t="str">
        <x:v>Rural Population 2025</x:v>
      </x:c>
      <x:c r="F1" s="6" t="str">
        <x:v>Urban Share</x:v>
      </x:c>
      <x:c r="G1" s="6" t="str">
        <x:v>Population Density / km²</x:v>
      </x:c>
      <x:c r="H1" s="6" t="str">
        <x:v>Area km²</x:v>
      </x:c>
      <x:c r="I1" s="6" t="str">
        <x:v>Registered 2021</x:v>
      </x:c>
      <x:c r="J1" s="6" t="str">
        <x:v>Registered 2022</x:v>
      </x:c>
      <x:c r="K1" s="6" t="str">
        <x:v>Registered 2023</x:v>
      </x:c>
      <x:c r="L1" s="6" t="str">
        <x:v>Growth 2021→2023</x:v>
      </x:c>
      <x:c r="M1" s="6" t="str">
        <x:v>H1 Registered 2023</x:v>
      </x:c>
      <x:c r="N1" s="6" t="str">
        <x:v>H1 Registered 2024</x:v>
      </x:c>
      <x:c r="O1" s="6" t="str">
        <x:v>H1 Growth 2023→2024</x:v>
      </x:c>
      <x:c r="P1" s="6" t="str">
        <x:v>Total Individual Capital 2023 (JD)</x:v>
      </x:c>
      <x:c r="Q1" s="6" t="str">
        <x:v>Registrations per 10k Population (2023)</x:v>
      </x:c>
      <x:c r="R1" s="6" t="str">
        <x:v>Role in Location Model</x:v>
      </x:c>
    </x:row>
    <x:row r="2">
      <x:c r="A2" s="12" t="str">
        <x:v>عمان</x:v>
      </x:c>
      <x:c r="B2" s="12" t="str">
        <x:v>Amman</x:v>
      </x:c>
      <x:c r="C2" s="14" t="n">
        <x:v>5004600</x:v>
      </x:c>
      <x:c r="D2" s="14" t="n">
        <x:v>4865300</x:v>
      </x:c>
      <x:c r="E2" s="14" t="n">
        <x:v>139300</x:v>
      </x:c>
      <x:c r="F2" s="20" t="n">
        <x:f>D2/C2</x:f>
        <x:v>0.9721656076409703</x:v>
      </x:c>
      <x:c r="G2" s="16" t="n">
        <x:v>660.3</x:v>
      </x:c>
      <x:c r="H2" s="16" t="n">
        <x:v>7579</x:v>
      </x:c>
      <x:c r="I2" s="14" t="n">
        <x:v>9210</x:v>
      </x:c>
      <x:c r="J2" s="14" t="n">
        <x:v>10200</x:v>
      </x:c>
      <x:c r="K2" s="14" t="n">
        <x:v>10226</x:v>
      </x:c>
      <x:c r="L2" s="20" t="n">
        <x:f>(K2-I2)/I2</x:f>
        <x:v>0.11031487513572204</x:v>
      </x:c>
      <x:c r="M2" s="14" t="n">
        <x:v>5073</x:v>
      </x:c>
      <x:c r="N2" s="14" t="n">
        <x:v>5396</x:v>
      </x:c>
      <x:c r="O2" s="20" t="n">
        <x:f>(N2-M2)/M2</x:f>
        <x:v>0.06367041198501873</x:v>
      </x:c>
      <x:c r="P2" s="18" t="n">
        <x:v>24744200</x:v>
      </x:c>
      <x:c r="Q2" s="22" t="n">
        <x:f>K2/C2*10000</x:f>
        <x:v>20.433201454661713</x:v>
      </x:c>
      <x:c r="R2" s="12" t="str">
        <x:v>Demand / market-size &amp; registration-trend inputs</x:v>
      </x:c>
    </x:row>
    <x:row r="3">
      <x:c r="A3" s="12" t="str">
        <x:v>البلقاء</x:v>
      </x:c>
      <x:c r="B3" s="12" t="str">
        <x:v>Balqa</x:v>
      </x:c>
      <x:c r="C3" s="14" t="n">
        <x:v>614000</x:v>
      </x:c>
      <x:c r="D3" s="14" t="n">
        <x:v>504100</x:v>
      </x:c>
      <x:c r="E3" s="14" t="n">
        <x:v>109900</x:v>
      </x:c>
      <x:c r="F3" s="20" t="n">
        <x:f>D3/C3</x:f>
        <x:v>0.8210097719869707</x:v>
      </x:c>
      <x:c r="G3" s="16" t="n">
        <x:v>548</x:v>
      </x:c>
      <x:c r="H3" s="16" t="n">
        <x:v>1120</x:v>
      </x:c>
      <x:c r="I3" s="14" t="n">
        <x:v>1690</x:v>
      </x:c>
      <x:c r="J3" s="14" t="n">
        <x:v>1609</x:v>
      </x:c>
      <x:c r="K3" s="14" t="n">
        <x:v>1563</x:v>
      </x:c>
      <x:c r="L3" s="20" t="n">
        <x:f>(K3-I3)/I3</x:f>
        <x:v>-0.07514792899408285</x:v>
      </x:c>
      <x:c r="M3" s="14" t="n">
        <x:v>806</x:v>
      </x:c>
      <x:c r="N3" s="14" t="n">
        <x:v>893</x:v>
      </x:c>
      <x:c r="O3" s="20" t="n">
        <x:f>(N3-M3)/M3</x:f>
        <x:v>0.10794044665012408</x:v>
      </x:c>
      <x:c r="P3" s="18" t="n">
        <x:v>2642400</x:v>
      </x:c>
      <x:c r="Q3" s="22" t="n">
        <x:f>K3/C3*10000</x:f>
        <x:v>25.45602605863192</x:v>
      </x:c>
      <x:c r="R3" s="12" t="str">
        <x:v>Demand / market-size &amp; registration-trend inputs</x:v>
      </x:c>
    </x:row>
    <x:row r="4">
      <x:c r="A4" s="12" t="str">
        <x:v>الزرقاء</x:v>
      </x:c>
      <x:c r="B4" s="12" t="str">
        <x:v>Zarqa</x:v>
      </x:c>
      <x:c r="C4" s="14" t="n">
        <x:v>1704500</x:v>
      </x:c>
      <x:c r="D4" s="14" t="n">
        <x:v>1642500</x:v>
      </x:c>
      <x:c r="E4" s="14" t="n">
        <x:v>62000</x:v>
      </x:c>
      <x:c r="F4" s="20" t="n">
        <x:f>D4/C4</x:f>
        <x:v>0.9636256966852449</x:v>
      </x:c>
      <x:c r="G4" s="16" t="n">
        <x:v>358</x:v>
      </x:c>
      <x:c r="H4" s="16" t="n">
        <x:v>4761</x:v>
      </x:c>
      <x:c r="I4" s="14" t="n">
        <x:v>2858</x:v>
      </x:c>
      <x:c r="J4" s="14" t="n">
        <x:v>2852</x:v>
      </x:c>
      <x:c r="K4" s="14" t="n">
        <x:v>3026</x:v>
      </x:c>
      <x:c r="L4" s="20" t="n">
        <x:f>(K4-I4)/I4</x:f>
        <x:v>0.05878236529041288</x:v>
      </x:c>
      <x:c r="M4" s="14" t="n">
        <x:v>1689</x:v>
      </x:c>
      <x:c r="N4" s="14" t="n">
        <x:v>1574</x:v>
      </x:c>
      <x:c r="O4" s="20" t="n">
        <x:f>(N4-M4)/M4</x:f>
        <x:v>-0.06808762581409118</x:v>
      </x:c>
      <x:c r="P4" s="18" t="n">
        <x:v>4178050</x:v>
      </x:c>
      <x:c r="Q4" s="22" t="n">
        <x:f>K4/C4*10000</x:f>
        <x:v>17.753006746846584</x:v>
      </x:c>
      <x:c r="R4" s="12" t="str">
        <x:v>Demand / market-size &amp; registration-trend inputs</x:v>
      </x:c>
    </x:row>
    <x:row r="5">
      <x:c r="A5" s="12" t="str">
        <x:v>مادبا</x:v>
      </x:c>
      <x:c r="B5" s="12" t="str">
        <x:v>Madaba</x:v>
      </x:c>
      <x:c r="C5" s="14" t="n">
        <x:v>236200</x:v>
      </x:c>
      <x:c r="D5" s="14" t="n">
        <x:v>184800</x:v>
      </x:c>
      <x:c r="E5" s="14" t="n">
        <x:v>51400</x:v>
      </x:c>
      <x:c r="F5" s="20" t="n">
        <x:f>D5/C5</x:f>
        <x:v>0.7823878069432684</x:v>
      </x:c>
      <x:c r="G5" s="16" t="n">
        <x:v>251.4</x:v>
      </x:c>
      <x:c r="H5" s="16" t="n">
        <x:v>940</x:v>
      </x:c>
      <x:c r="I5" s="14" t="n">
        <x:v>1260</x:v>
      </x:c>
      <x:c r="J5" s="14" t="n">
        <x:v>1272</x:v>
      </x:c>
      <x:c r="K5" s="14" t="n">
        <x:v>1064</x:v>
      </x:c>
      <x:c r="L5" s="20" t="n">
        <x:f>(K5-I5)/I5</x:f>
        <x:v>-0.15555555555555556</x:v>
      </x:c>
      <x:c r="M5" s="14" t="n">
        <x:v>595</x:v>
      </x:c>
      <x:c r="N5" s="14" t="n">
        <x:v>483</x:v>
      </x:c>
      <x:c r="O5" s="20" t="n">
        <x:f>(N5-M5)/M5</x:f>
        <x:v>-0.18823529411764706</x:v>
      </x:c>
      <x:c r="P5" s="18" t="n">
        <x:v>1842800</x:v>
      </x:c>
      <x:c r="Q5" s="22" t="n">
        <x:f>K5/C5*10000</x:f>
        <x:v>45.04657070279424</x:v>
      </x:c>
      <x:c r="R5" s="12" t="str">
        <x:v>Demand / market-size &amp; registration-trend inputs</x:v>
      </x:c>
    </x:row>
    <x:row r="6">
      <x:c r="A6" s="12" t="str">
        <x:v>إربد</x:v>
      </x:c>
      <x:c r="B6" s="12" t="str">
        <x:v>Irbid</x:v>
      </x:c>
      <x:c r="C6" s="14" t="n">
        <x:v>2210500</x:v>
      </x:c>
      <x:c r="D6" s="14" t="n">
        <x:v>2041400</x:v>
      </x:c>
      <x:c r="E6" s="14" t="n">
        <x:v>169100</x:v>
      </x:c>
      <x:c r="F6" s="20" t="n">
        <x:f>D6/C6</x:f>
        <x:v>0.9235014702555983</x:v>
      </x:c>
      <x:c r="G6" s="16" t="n">
        <x:v>1406.4</x:v>
      </x:c>
      <x:c r="H6" s="16" t="n">
        <x:v>1572</x:v>
      </x:c>
      <x:c r="I6" s="14" t="n">
        <x:v>5035</x:v>
      </x:c>
      <x:c r="J6" s="14" t="n">
        <x:v>4946</x:v>
      </x:c>
      <x:c r="K6" s="14" t="n">
        <x:v>5054</x:v>
      </x:c>
      <x:c r="L6" s="20" t="n">
        <x:f>(K6-I6)/I6</x:f>
        <x:v>0.0037735849056603774</x:v>
      </x:c>
      <x:c r="M6" s="14" t="n">
        <x:v>2554</x:v>
      </x:c>
      <x:c r="N6" s="14" t="n">
        <x:v>2735</x:v>
      </x:c>
      <x:c r="O6" s="20" t="n">
        <x:f>(N6-M6)/M6</x:f>
        <x:v>0.07086922474549726</x:v>
      </x:c>
      <x:c r="P6" s="18" t="n">
        <x:v>8222900</x:v>
      </x:c>
      <x:c r="Q6" s="22" t="n">
        <x:f>K6/C6*10000</x:f>
        <x:v>22.863605519113325</x:v>
      </x:c>
      <x:c r="R6" s="12" t="str">
        <x:v>Demand / market-size &amp; registration-trend inputs</x:v>
      </x:c>
    </x:row>
    <x:row r="7">
      <x:c r="A7" s="12" t="str">
        <x:v>المفرق</x:v>
      </x:c>
      <x:c r="B7" s="12" t="str">
        <x:v>Mafraq</x:v>
      </x:c>
      <x:c r="C7" s="14" t="n">
        <x:v>686800</x:v>
      </x:c>
      <x:c r="D7" s="14" t="n">
        <x:v>478400</x:v>
      </x:c>
      <x:c r="E7" s="14" t="n">
        <x:v>208400</x:v>
      </x:c>
      <x:c r="F7" s="20" t="n">
        <x:f>D7/C7</x:f>
        <x:v>0.6965637740244612</x:v>
      </x:c>
      <x:c r="G7" s="16" t="n">
        <x:v>25.9</x:v>
      </x:c>
      <x:c r="H7" s="16" t="n">
        <x:v>26551</x:v>
      </x:c>
      <x:c r="I7" s="14" t="n">
        <x:v>1325</x:v>
      </x:c>
      <x:c r="J7" s="14" t="n">
        <x:v>1764</x:v>
      </x:c>
      <x:c r="K7" s="14" t="n">
        <x:v>1199</x:v>
      </x:c>
      <x:c r="L7" s="20" t="n">
        <x:f>(K7-I7)/I7</x:f>
        <x:v>-0.09509433962264151</x:v>
      </x:c>
      <x:c r="M7" s="14" t="n">
        <x:v>601</x:v>
      </x:c>
      <x:c r="N7" s="14" t="n">
        <x:v>591</x:v>
      </x:c>
      <x:c r="O7" s="20" t="n">
        <x:f>(N7-M7)/M7</x:f>
        <x:v>-0.016638935108153077</x:v>
      </x:c>
      <x:c r="P7" s="18" t="n">
        <x:v>2352000</x:v>
      </x:c>
      <x:c r="Q7" s="22" t="n">
        <x:f>K7/C7*10000</x:f>
        <x:v>17.457775189283634</x:v>
      </x:c>
      <x:c r="R7" s="12" t="str">
        <x:v>Demand / market-size &amp; registration-trend inputs</x:v>
      </x:c>
    </x:row>
    <x:row r="8">
      <x:c r="A8" s="12" t="str">
        <x:v>جرش</x:v>
      </x:c>
      <x:c r="B8" s="12" t="str">
        <x:v>Jarash</x:v>
      </x:c>
      <x:c r="C8" s="14" t="n">
        <x:v>296000</x:v>
      </x:c>
      <x:c r="D8" s="14" t="n">
        <x:v>227800</x:v>
      </x:c>
      <x:c r="E8" s="14" t="n">
        <x:v>68200</x:v>
      </x:c>
      <x:c r="F8" s="20" t="n">
        <x:f>D8/C8</x:f>
        <x:v>0.7695945945945946</x:v>
      </x:c>
      <x:c r="G8" s="16" t="n">
        <x:v>722.3</x:v>
      </x:c>
      <x:c r="H8" s="16" t="n">
        <x:v>410</x:v>
      </x:c>
      <x:c r="I8" s="14" t="n">
        <x:v>790</x:v>
      </x:c>
      <x:c r="J8" s="14" t="n">
        <x:v>872</x:v>
      </x:c>
      <x:c r="K8" s="14" t="n">
        <x:v>744</x:v>
      </x:c>
      <x:c r="L8" s="20" t="n">
        <x:f>(K8-I8)/I8</x:f>
        <x:v>-0.05822784810126582</x:v>
      </x:c>
      <x:c r="M8" s="14" t="n">
        <x:v>383</x:v>
      </x:c>
      <x:c r="N8" s="14" t="n">
        <x:v>358</x:v>
      </x:c>
      <x:c r="O8" s="20" t="n">
        <x:f>(N8-M8)/M8</x:f>
        <x:v>-0.06527415143603134</x:v>
      </x:c>
      <x:c r="P8" s="18" t="n">
        <x:v>1232500</x:v>
      </x:c>
      <x:c r="Q8" s="22" t="n">
        <x:f>K8/C8*10000</x:f>
        <x:v>25.135135135135137</x:v>
      </x:c>
      <x:c r="R8" s="12" t="str">
        <x:v>Demand / market-size &amp; registration-trend inputs</x:v>
      </x:c>
    </x:row>
    <x:row r="9">
      <x:c r="A9" s="12" t="str">
        <x:v>عجلون</x:v>
      </x:c>
      <x:c r="B9" s="12" t="str">
        <x:v>Ajlun</x:v>
      </x:c>
      <x:c r="C9" s="14" t="n">
        <x:v>219900</x:v>
      </x:c>
      <x:c r="D9" s="14" t="n">
        <x:v>184500</x:v>
      </x:c>
      <x:c r="E9" s="14" t="n">
        <x:v>35400</x:v>
      </x:c>
      <x:c r="F9" s="20" t="n">
        <x:f>D9/C9</x:f>
        <x:v>0.8390177353342428</x:v>
      </x:c>
      <x:c r="G9" s="16" t="n">
        <x:v>524</x:v>
      </x:c>
      <x:c r="H9" s="16" t="n">
        <x:v>420</x:v>
      </x:c>
      <x:c r="I9" s="14" t="n">
        <x:v>673</x:v>
      </x:c>
      <x:c r="J9" s="14" t="n">
        <x:v>607</x:v>
      </x:c>
      <x:c r="K9" s="14" t="n">
        <x:v>646</x:v>
      </x:c>
      <x:c r="L9" s="20" t="n">
        <x:f>(K9-I9)/I9</x:f>
        <x:v>-0.04011887072808321</x:v>
      </x:c>
      <x:c r="M9" s="14" t="n">
        <x:v>332</x:v>
      </x:c>
      <x:c r="N9" s="14" t="n">
        <x:v>344</x:v>
      </x:c>
      <x:c r="O9" s="20" t="n">
        <x:f>(N9-M9)/M9</x:f>
        <x:v>0.03614457831325301</x:v>
      </x:c>
      <x:c r="P9" s="18" t="n">
        <x:v>820000</x:v>
      </x:c>
      <x:c r="Q9" s="22" t="n">
        <x:f>K9/C9*10000</x:f>
        <x:v>29.376989540700315</x:v>
      </x:c>
      <x:c r="R9" s="12" t="str">
        <x:v>Demand / market-size &amp; registration-trend inputs</x:v>
      </x:c>
    </x:row>
    <x:row r="10">
      <x:c r="A10" s="12" t="str">
        <x:v>الكرك</x:v>
      </x:c>
      <x:c r="B10" s="12" t="str">
        <x:v>Karak</x:v>
      </x:c>
      <x:c r="C10" s="14" t="n">
        <x:v>395400</x:v>
      </x:c>
      <x:c r="D10" s="14" t="n">
        <x:v>233800</x:v>
      </x:c>
      <x:c r="E10" s="14" t="n">
        <x:v>161600</x:v>
      </x:c>
      <x:c r="F10" s="20" t="n">
        <x:f>D10/C10</x:f>
        <x:v>0.5912999494183105</x:v>
      </x:c>
      <x:c r="G10" s="16" t="n">
        <x:v>113.1</x:v>
      </x:c>
      <x:c r="H10" s="16" t="n">
        <x:v>3495</x:v>
      </x:c>
      <x:c r="I10" s="14" t="n">
        <x:v>1929</x:v>
      </x:c>
      <x:c r="J10" s="14" t="n">
        <x:v>1180</x:v>
      </x:c>
      <x:c r="K10" s="14" t="n">
        <x:v>1109</x:v>
      </x:c>
      <x:c r="L10" s="20" t="n">
        <x:f>(K10-I10)/I10</x:f>
        <x:v>-0.4250907205806117</x:v>
      </x:c>
      <x:c r="M10" s="14" t="n">
        <x:v>574</x:v>
      </x:c>
      <x:c r="N10" s="14" t="n">
        <x:v>624</x:v>
      </x:c>
      <x:c r="O10" s="20" t="n">
        <x:f>(N10-M10)/M10</x:f>
        <x:v>0.08710801393728224</x:v>
      </x:c>
      <x:c r="P10" s="18" t="n">
        <x:v>1525000</x:v>
      </x:c>
      <x:c r="Q10" s="22" t="n">
        <x:f>K10/C10*10000</x:f>
        <x:v>28.04754678806272</x:v>
      </x:c>
      <x:c r="R10" s="12" t="str">
        <x:v>Demand / market-size &amp; registration-trend inputs</x:v>
      </x:c>
    </x:row>
    <x:row r="11">
      <x:c r="A11" s="12" t="str">
        <x:v>الطفيلة</x:v>
      </x:c>
      <x:c r="B11" s="12" t="str">
        <x:v>Tafiela</x:v>
      </x:c>
      <x:c r="C11" s="14" t="n">
        <x:v>120300</x:v>
      </x:c>
      <x:c r="D11" s="14" t="n">
        <x:v>93800</x:v>
      </x:c>
      <x:c r="E11" s="14" t="n">
        <x:v>26500</x:v>
      </x:c>
      <x:c r="F11" s="20" t="n">
        <x:f>D11/C11</x:f>
        <x:v>0.7797173732335827</x:v>
      </x:c>
      <x:c r="G11" s="16" t="n">
        <x:v>54.4</x:v>
      </x:c>
      <x:c r="H11" s="16" t="n">
        <x:v>2209</x:v>
      </x:c>
      <x:c r="I11" s="14" t="n">
        <x:v>444</x:v>
      </x:c>
      <x:c r="J11" s="14" t="n">
        <x:v>388</x:v>
      </x:c>
      <x:c r="K11" s="14" t="n">
        <x:v>352</x:v>
      </x:c>
      <x:c r="L11" s="20" t="n">
        <x:f>(K11-I11)/I11</x:f>
        <x:v>-0.2072072072072072</x:v>
      </x:c>
      <x:c r="M11" s="14" t="n">
        <x:v>168</x:v>
      </x:c>
      <x:c r="N11" s="14" t="n">
        <x:v>199</x:v>
      </x:c>
      <x:c r="O11" s="20" t="n">
        <x:f>(N11-M11)/M11</x:f>
        <x:v>0.18452380952380953</x:v>
      </x:c>
      <x:c r="P11" s="18" t="n">
        <x:v>699500</x:v>
      </x:c>
      <x:c r="Q11" s="22" t="n">
        <x:f>K11/C11*10000</x:f>
        <x:v>29.260182876142977</x:v>
      </x:c>
      <x:c r="R11" s="12" t="str">
        <x:v>Demand / market-size &amp; registration-trend inputs</x:v>
      </x:c>
    </x:row>
    <x:row r="12">
      <x:c r="A12" s="12" t="str">
        <x:v>معان</x:v>
      </x:c>
      <x:c r="B12" s="12" t="str">
        <x:v>Ma'an</x:v>
      </x:c>
      <x:c r="C12" s="14" t="n">
        <x:v>197900</x:v>
      </x:c>
      <x:c r="D12" s="14" t="n">
        <x:v>107000</x:v>
      </x:c>
      <x:c r="E12" s="14" t="n">
        <x:v>90900</x:v>
      </x:c>
      <x:c r="F12" s="20" t="n">
        <x:f>D12/C12</x:f>
        <x:v>0.5406771096513391</x:v>
      </x:c>
      <x:c r="G12" s="16" t="n">
        <x:v>6</x:v>
      </x:c>
      <x:c r="H12" s="16" t="n">
        <x:v>32832</x:v>
      </x:c>
      <x:c r="I12" s="14" t="n">
        <x:v>676</x:v>
      </x:c>
      <x:c r="J12" s="14" t="n">
        <x:v>674</x:v>
      </x:c>
      <x:c r="K12" s="14" t="n">
        <x:v>620</x:v>
      </x:c>
      <x:c r="L12" s="20" t="n">
        <x:f>(K12-I12)/I12</x:f>
        <x:v>-0.08284023668639054</x:v>
      </x:c>
      <x:c r="M12" s="14" t="n">
        <x:v>298</x:v>
      </x:c>
      <x:c r="N12" s="14" t="n">
        <x:v>306</x:v>
      </x:c>
      <x:c r="O12" s="20" t="n">
        <x:f>(N12-M12)/M12</x:f>
        <x:v>0.026845637583892617</x:v>
      </x:c>
      <x:c r="P12" s="18" t="n">
        <x:v>983500</x:v>
      </x:c>
      <x:c r="Q12" s="22" t="n">
        <x:f>K12/C12*10000</x:f>
        <x:v>31.328954017180397</x:v>
      </x:c>
      <x:c r="R12" s="12" t="str">
        <x:v>Demand / market-size &amp; registration-trend inputs</x:v>
      </x:c>
    </x:row>
    <x:row r="13">
      <x:c r="A13" s="12" t="str">
        <x:v>العقبة</x:v>
      </x:c>
      <x:c r="B13" s="12" t="str">
        <x:v>Aqaba</x:v>
      </x:c>
      <x:c r="C13" s="14" t="n">
        <x:v>250900</x:v>
      </x:c>
      <x:c r="D13" s="14" t="n">
        <x:v>221300</x:v>
      </x:c>
      <x:c r="E13" s="14" t="n">
        <x:v>29600</x:v>
      </x:c>
      <x:c r="F13" s="20" t="n">
        <x:f>D13/C13</x:f>
        <x:v>0.882024711040255</x:v>
      </x:c>
      <x:c r="G13" s="16" t="n">
        <x:v>36.3</x:v>
      </x:c>
      <x:c r="H13" s="16" t="n">
        <x:v>6905</x:v>
      </x:c>
      <x:c r="I13" s="14" t="n">
        <x:v>773</x:v>
      </x:c>
      <x:c r="J13" s="14" t="n">
        <x:v>713</x:v>
      </x:c>
      <x:c r="K13" s="14" t="n">
        <x:v>788</x:v>
      </x:c>
      <x:c r="L13" s="20" t="n">
        <x:f>(K13-I13)/I13</x:f>
        <x:v>0.019404915912031046</x:v>
      </x:c>
      <x:c r="M13" s="14" t="n">
        <x:v>400</x:v>
      </x:c>
      <x:c r="N13" s="14" t="n">
        <x:v>364</x:v>
      </x:c>
      <x:c r="O13" s="20" t="n">
        <x:f>(N13-M13)/M13</x:f>
        <x:v>-0.09</x:v>
      </x:c>
      <x:c r="P13" s="18" t="n">
        <x:v>1315000</x:v>
      </x:c>
      <x:c r="Q13" s="22" t="n">
        <x:f>K13/C13*10000</x:f>
        <x:v>31.40693503387804</x:v>
      </x:c>
      <x:c r="R13" s="12" t="str">
        <x:v>Demand / market-size &amp; registration-trend inputs</x:v>
      </x:c>
    </x:row>
  </x:sheetData>
  <x:conditionalFormatting sqref="L2:L13">
    <x:cfRule type="colorScale" priority="1">
      <x:colorScale>
        <x:cfvo type="min"/>
        <x:cfvo type="percentile" val="50"/>
        <x:cfvo type="max"/>
        <x:color rgb="FFF8CBAD"/>
        <x:color rgb="FFFFF2CC"/>
        <x:color rgb="FFC6E0B4"/>
      </x:colorScale>
    </x:cfRule>
  </x:conditionalFormatting>
  <x:conditionalFormatting sqref="O2:O13">
    <x:cfRule type="colorScale" priority="2">
      <x:colorScale>
        <x:cfvo type="min"/>
        <x:cfvo type="percentile" val="50"/>
        <x:cfvo type="max"/>
        <x:color rgb="FFF8CBAD"/>
        <x:color rgb="FFFFF2CC"/>
        <x:color rgb="FFC6E0B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780b2e8f71c425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18" hidden="0" customWidth="1"/>
    <x:col min="4" max="4" width="42" hidden="0" customWidth="1"/>
    <x:col min="5" max="5" width="34" hidden="0" customWidth="1"/>
  </x:cols>
  <x:sheetData>
    <x:row r="1">
      <x:c r="A1" s="28" t="str">
        <x:v>ISIC4 / Purpose Code</x:v>
      </x:c>
      <x:c r="B1" s="28" t="str">
        <x:v>Arabic Activity Description</x:v>
      </x:c>
      <x:c r="C1" s="28" t="str">
        <x:v>Registration Count</x:v>
      </x:c>
      <x:c r="D1" s="28" t="str">
        <x:v>Use in Project</x:v>
      </x:c>
      <x:c r="E1" s="28" t="str">
        <x:v>Notes</x:v>
      </x:c>
    </x:row>
    <x:row r="2">
      <x:c r="A2" s="12" t="str">
        <x:v>471100</x:v>
      </x:c>
      <x:c r="B2" s="12" t="str">
        <x:v>تجارة أصناف متنوعة من المواد الغذائية والتموينية والمشروبات بالتجزئة (أصناف متنوعة من البقالة)</x:v>
      </x:c>
      <x:c r="C2" s="14" t="n">
        <x:v>11976</x:v>
      </x:c>
      <x:c r="D2" s="12" t="str">
        <x:v>Business type classification + national popularity indicator</x:v>
      </x:c>
      <x:c r="E2" s="12" t="str">
        <x:v>National registrations; not governorate-specific</x:v>
      </x:c>
    </x:row>
    <x:row r="3">
      <x:c r="A3" s="12" t="str">
        <x:v>461030</x:v>
      </x:c>
      <x:c r="B3" s="12" t="str">
        <x:v>أنشطة الاستيراد والتصدير</x:v>
      </x:c>
      <x:c r="C3" s="14" t="n">
        <x:v>4972</x:v>
      </x:c>
      <x:c r="D3" s="12" t="str">
        <x:v>Business type classification + national popularity indicator</x:v>
      </x:c>
      <x:c r="E3" s="12" t="str">
        <x:v>National registrations; not governorate-specific</x:v>
      </x:c>
    </x:row>
    <x:row r="4">
      <x:c r="A4" s="12" t="str">
        <x:v>472201</x:v>
      </x:c>
      <x:c r="B4" s="12" t="str">
        <x:v>تجارة المشروبات والمرطبات (المعلبة) بالتجزئة</x:v>
      </x:c>
      <x:c r="C4" s="14" t="n">
        <x:v>4564</x:v>
      </x:c>
      <x:c r="D4" s="12" t="str">
        <x:v>Business type classification + national popularity indicator</x:v>
      </x:c>
      <x:c r="E4" s="12" t="str">
        <x:v>National registrations; not governorate-specific</x:v>
      </x:c>
    </x:row>
    <x:row r="5">
      <x:c r="A5" s="12" t="str">
        <x:v>479120</x:v>
      </x:c>
      <x:c r="B5" s="12" t="str">
        <x:v>أنشطة التسوق الإلكتروني/ والمتاجرة الإلكترونية</x:v>
      </x:c>
      <x:c r="C5" s="14" t="n">
        <x:v>3830</x:v>
      </x:c>
      <x:c r="D5" s="12" t="str">
        <x:v>Business type classification + national popularity indicator</x:v>
      </x:c>
      <x:c r="E5" s="12" t="str">
        <x:v>National registrations; not governorate-specific</x:v>
      </x:c>
    </x:row>
    <x:row r="6">
      <x:c r="A6" s="12" t="str">
        <x:v>563020</x:v>
      </x:c>
      <x:c r="B6" s="12" t="str">
        <x:v>اعداد وبيع المشروبات الساخنة Takeaway</x:v>
      </x:c>
      <x:c r="C6" s="14" t="n">
        <x:v>3720</x:v>
      </x:c>
      <x:c r="D6" s="12" t="str">
        <x:v>Business type classification + national popularity indicator</x:v>
      </x:c>
      <x:c r="E6" s="12" t="str">
        <x:v>National registrations; not governorate-specific</x:v>
      </x:c>
    </x:row>
    <x:row r="7">
      <x:c r="A7" s="12" t="str">
        <x:v>472151</x:v>
      </x:c>
      <x:c r="B7" s="12" t="str">
        <x:v>تجارة اللحوم ومنتجات اللحوم (الطازجة والمجمدة) بالتجزئة</x:v>
      </x:c>
      <x:c r="C7" s="14" t="n">
        <x:v>2982</x:v>
      </x:c>
      <x:c r="D7" s="12" t="str">
        <x:v>Business type classification + national popularity indicator</x:v>
      </x:c>
      <x:c r="E7" s="12" t="str">
        <x:v>National registrations; not governorate-specific</x:v>
      </x:c>
    </x:row>
    <x:row r="8">
      <x:c r="A8" s="12" t="str">
        <x:v>475281</x:v>
      </x:c>
      <x:c r="B8" s="12" t="str">
        <x:v>تجارة مواد البناء الإنشائية بالتجزئة</x:v>
      </x:c>
      <x:c r="C8" s="14" t="n">
        <x:v>2687</x:v>
      </x:c>
      <x:c r="D8" s="12" t="str">
        <x:v>Business type classification + national popularity indicator</x:v>
      </x:c>
      <x:c r="E8" s="12" t="str">
        <x:v>National registrations; not governorate-specific</x:v>
      </x:c>
    </x:row>
    <x:row r="9">
      <x:c r="A9" s="12" t="str">
        <x:v>477220</x:v>
      </x:c>
      <x:c r="B9" s="12" t="str">
        <x:v>تجارة مستحضرات ولوازم التجميل والعطور بالتجزئة</x:v>
      </x:c>
      <x:c r="C9" s="14" t="n">
        <x:v>2643</x:v>
      </x:c>
      <x:c r="D9" s="12" t="str">
        <x:v>Business type classification + national popularity indicator</x:v>
      </x:c>
      <x:c r="E9" s="12" t="str">
        <x:v>National registrations; not governorate-specific</x:v>
      </x:c>
    </x:row>
    <x:row r="10">
      <x:c r="A10" s="12" t="str">
        <x:v>472130</x:v>
      </x:c>
      <x:c r="B10" s="12" t="str">
        <x:v>تجارة منتجات الألبان والأجبان والزيتون والمخللات والبيض بالتجزئة</x:v>
      </x:c>
      <x:c r="C10" s="14" t="n">
        <x:v>2555</x:v>
      </x:c>
      <x:c r="D10" s="12" t="str">
        <x:v>Business type classification + national popularity indicator</x:v>
      </x:c>
      <x:c r="E10" s="12" t="str">
        <x:v>National registrations; not governorate-specific</x:v>
      </x:c>
    </x:row>
    <x:row r="11">
      <x:c r="A11" s="12" t="str">
        <x:v>474140</x:v>
      </x:c>
      <x:c r="B11" s="12" t="str">
        <x:v>تجارة الهواتف النقالة ولوازمها واكسسواراتها بالتجزئة</x:v>
      </x:c>
      <x:c r="C11" s="14" t="n">
        <x:v>2483</x:v>
      </x:c>
      <x:c r="D11" s="12" t="str">
        <x:v>Business type classification + national popularity indicator</x:v>
      </x:c>
      <x:c r="E11" s="12" t="str">
        <x:v>National registrations; not governorate-specific</x:v>
      </x:c>
    </x:row>
    <x:row r="12">
      <x:c r="A12" s="12" t="str">
        <x:v>477115</x:v>
      </x:c>
      <x:c r="B12" s="12" t="str">
        <x:v>تجارة ملابس متنوعة (لكافة العائلة) بالتجزئة</x:v>
      </x:c>
      <x:c r="C12" s="14" t="n">
        <x:v>2427</x:v>
      </x:c>
      <x:c r="D12" s="12" t="str">
        <x:v>Business type classification + national popularity indicator</x:v>
      </x:c>
      <x:c r="E12" s="12" t="str">
        <x:v>National registrations; not governorate-specific</x:v>
      </x:c>
    </x:row>
    <x:row r="13">
      <x:c r="A13" s="12" t="str">
        <x:v>477386</x:v>
      </x:c>
      <x:c r="B13" s="12" t="str">
        <x:v>تجارة أدوات ومواد التنظيف والورق الصحي بالتجزئة</x:v>
      </x:c>
      <x:c r="C13" s="14" t="n">
        <x:v>2292</x:v>
      </x:c>
      <x:c r="D13" s="12" t="str">
        <x:v>Business type classification + national popularity indicator</x:v>
      </x:c>
      <x:c r="E13" s="12" t="str">
        <x:v>National registrations; not governorate-specific</x:v>
      </x:c>
    </x:row>
    <x:row r="14">
      <x:c r="A14" s="12" t="str">
        <x:v>472110</x:v>
      </x:c>
      <x:c r="B14" s="12" t="str">
        <x:v>تجارة الفواكه والخضروات الطازجة بالتجزئة</x:v>
      </x:c>
      <x:c r="C14" s="14" t="n">
        <x:v>2210</x:v>
      </x:c>
      <x:c r="D14" s="12" t="str">
        <x:v>Business type classification + national popularity indicator</x:v>
      </x:c>
      <x:c r="E14" s="12" t="str">
        <x:v>National registrations; not governorate-specific</x:v>
      </x:c>
    </x:row>
    <x:row r="15">
      <x:c r="A15" s="12" t="str">
        <x:v>477323</x:v>
      </x:c>
      <x:c r="B15" s="12" t="str">
        <x:v>تجارة مصوغات تقليدية واكسسوارات الزينة بالتجزئة</x:v>
      </x:c>
      <x:c r="C15" s="14" t="n">
        <x:v>2177</x:v>
      </x:c>
      <x:c r="D15" s="12" t="str">
        <x:v>Business type classification + national popularity indicator</x:v>
      </x:c>
      <x:c r="E15" s="12" t="str">
        <x:v>National registrations; not governorate-specific</x:v>
      </x:c>
    </x:row>
    <x:row r="16">
      <x:c r="A16" s="12" t="str">
        <x:v>475930</x:v>
      </x:c>
      <x:c r="B16" s="12" t="str">
        <x:v>تجارة الأدوات المنزلية بالتجزئة</x:v>
      </x:c>
      <x:c r="C16" s="14" t="n">
        <x:v>2172</x:v>
      </x:c>
      <x:c r="D16" s="12" t="str">
        <x:v>Business type classification + national popularity indicator</x:v>
      </x:c>
      <x:c r="E16" s="12" t="str">
        <x:v>National registrations; not governorate-specific</x:v>
      </x:c>
    </x:row>
    <x:row r="17">
      <x:c r="A17" s="12" t="str">
        <x:v>107150</x:v>
      </x:c>
      <x:c r="B17" s="12" t="str">
        <x:v>صُنع المعجنات</x:v>
      </x:c>
      <x:c r="C17" s="14" t="n">
        <x:v>2122</x:v>
      </x:c>
      <x:c r="D17" s="12" t="str">
        <x:v>Business type classification + national popularity indicator</x:v>
      </x:c>
      <x:c r="E17" s="12" t="str">
        <x:v>National registrations; not governorate-specific</x:v>
      </x:c>
    </x:row>
    <x:row r="18">
      <x:c r="A18" s="12" t="str">
        <x:v>561012</x:v>
      </x:c>
      <x:c r="B18" s="12" t="str">
        <x:v>مطعم فول وحمص وفلافل</x:v>
      </x:c>
      <x:c r="C18" s="14" t="n">
        <x:v>2057</x:v>
      </x:c>
      <x:c r="D18" s="12" t="str">
        <x:v>Business type classification + national popularity indicator</x:v>
      </x:c>
      <x:c r="E18" s="12" t="str">
        <x:v>National registrations; not governorate-specific</x:v>
      </x:c>
    </x:row>
    <x:row r="19">
      <x:c r="A19" s="12" t="str">
        <x:v>522950</x:v>
      </x:c>
      <x:c r="B19" s="12" t="str">
        <x:v>أنشطة الخدمات اللوجستية في النقل</x:v>
      </x:c>
      <x:c r="C19" s="14" t="n">
        <x:v>1843</x:v>
      </x:c>
      <x:c r="D19" s="12" t="str">
        <x:v>Business type classification + national popularity indicator</x:v>
      </x:c>
      <x:c r="E19" s="12" t="str">
        <x:v>National registrations; not governorate-specific</x:v>
      </x:c>
    </x:row>
    <x:row r="20">
      <x:c r="A20" s="12" t="str">
        <x:v>475920</x:v>
      </x:c>
      <x:c r="B20" s="12" t="str">
        <x:v>تجارة الأجهزة الكهربائية بالتجزئة</x:v>
      </x:c>
      <x:c r="C20" s="14" t="n">
        <x:v>1792</x:v>
      </x:c>
      <x:c r="D20" s="12" t="str">
        <x:v>Business type classification + national popularity indicator</x:v>
      </x:c>
      <x:c r="E20" s="12" t="str">
        <x:v>National registrations; not governorate-specific</x:v>
      </x:c>
    </x:row>
    <x:row r="21">
      <x:c r="A21" s="12" t="str">
        <x:v>107140</x:v>
      </x:c>
      <x:c r="B21" s="12" t="str">
        <x:v>صنع الحلويات (الشرقية والغربية) بمختلف أنواعها</x:v>
      </x:c>
      <x:c r="C21" s="14" t="n">
        <x:v>1784</x:v>
      </x:c>
      <x:c r="D21" s="12" t="str">
        <x:v>Business type classification + national popularity indicator</x:v>
      </x:c>
      <x:c r="E21" s="12" t="str">
        <x:v>National registrations; not governorate-specific</x:v>
      </x:c>
    </x:row>
  </x:sheetData>
  <x:pageMargins left="0.7" right="0.7" top="0.75" bottom="0.75" header="0.3" footer="0.3"/>
  <x:tableParts count="1">
    <x:tablePart xmlns:r="http://schemas.openxmlformats.org/officeDocument/2006/relationships" r:id="Rd4ea85abe4024d7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34" hidden="0" customWidth="1"/>
    <x:col min="4" max="4" width="18" hidden="0" customWidth="1"/>
    <x:col min="5" max="5" width="38" hidden="0" customWidth="1"/>
    <x:col min="6" max="6" width="46" hidden="0" customWidth="1"/>
  </x:cols>
  <x:sheetData>
    <x:row r="1">
      <x:c r="A1" s="38" t="str">
        <x:v>Field</x:v>
      </x:c>
      <x:c r="B1" s="38" t="str">
        <x:v>Level</x:v>
      </x:c>
      <x:c r="C1" s="38" t="str">
        <x:v>Source</x:v>
      </x:c>
      <x:c r="D1" s="38" t="str">
        <x:v>Available?</x:v>
      </x:c>
      <x:c r="E1" s="38" t="str">
        <x:v>Purpose</x:v>
      </x:c>
      <x:c r="F1" s="38" t="str">
        <x:v>Important Caveat</x:v>
      </x:c>
    </x:row>
    <x:row r="2">
      <x:c r="A2" s="12" t="str">
        <x:v>Governorate</x:v>
      </x:c>
      <x:c r="B2" s="12" t="str">
        <x:v>Governorate</x:v>
      </x:c>
      <x:c r="C2" s="12" t="str">
        <x:v>Population 2025 + government CSVs</x:v>
      </x:c>
      <x:c r="D2" s="12" t="str">
        <x:v>Yes</x:v>
      </x:c>
      <x:c r="E2" s="12" t="str">
        <x:v>Key location dimension</x:v>
      </x:c>
      <x:c r="F2" s="12" t="str">
        <x:v>Current population but some business data are older</x:v>
      </x:c>
    </x:row>
    <x:row r="3">
      <x:c r="A3" s="12" t="str">
        <x:v>Population_2025</x:v>
      </x:c>
      <x:c r="B3" s="12" t="str">
        <x:v>Governorate</x:v>
      </x:c>
      <x:c r="C3" s="12" t="str">
        <x:v>PopulationEstimates.pdf</x:v>
      </x:c>
      <x:c r="D3" s="12" t="str">
        <x:v>Yes</x:v>
      </x:c>
      <x:c r="E3" s="12" t="str">
        <x:v>Market size / demand proxy</x:v>
      </x:c>
      <x:c r="F3" s="12" t="str">
        <x:v>Not direct purchasing power</x:v>
      </x:c>
    </x:row>
    <x:row r="4">
      <x:c r="A4" s="12" t="str">
        <x:v>Urban_Share_2025</x:v>
      </x:c>
      <x:c r="B4" s="12" t="str">
        <x:v>Governorate</x:v>
      </x:c>
      <x:c r="C4" s="12" t="str">
        <x:v>PopulationEstimates.pdf</x:v>
      </x:c>
      <x:c r="D4" s="12" t="str">
        <x:v>Yes</x:v>
      </x:c>
      <x:c r="E4" s="12" t="str">
        <x:v>Urban-market indicator</x:v>
      </x:c>
      <x:c r="F4" s="12" t="str">
        <x:v>Does not measure actual customer demand</x:v>
      </x:c>
    </x:row>
    <x:row r="5">
      <x:c r="A5" s="12" t="str">
        <x:v>Population_Density_2025</x:v>
      </x:c>
      <x:c r="B5" s="12" t="str">
        <x:v>Governorate</x:v>
      </x:c>
      <x:c r="C5" s="12" t="str">
        <x:v>PopulationEstimates.pdf</x:v>
      </x:c>
      <x:c r="D5" s="12" t="str">
        <x:v>Yes</x:v>
      </x:c>
      <x:c r="E5" s="12" t="str">
        <x:v>Density/accessibility context</x:v>
      </x:c>
      <x:c r="F5" s="12" t="str">
        <x:v>High density ≠ guaranteed success</x:v>
      </x:c>
    </x:row>
    <x:row r="6">
      <x:c r="A6" s="12" t="str">
        <x:v>Registered_Institutions_Trend</x:v>
      </x:c>
      <x:c r="B6" s="12" t="str">
        <x:v>Governorate</x:v>
      </x:c>
      <x:c r="C6" s="12" t="str">
        <x:v>2021–2023 CSV + H1 2023–2024 CSV</x:v>
      </x:c>
      <x:c r="D6" s="12" t="str">
        <x:v>Yes</x:v>
      </x:c>
      <x:c r="E6" s="12" t="str">
        <x:v>Business formation trend</x:v>
      </x:c>
      <x:c r="F6" s="12" t="str">
        <x:v>Registrations are not active-business stock</x:v>
      </x:c>
    </x:row>
    <x:row r="7">
      <x:c r="A7" s="12" t="str">
        <x:v>Total_Individual_Capital_2023</x:v>
      </x:c>
      <x:c r="B7" s="12" t="str">
        <x:v>Governorate</x:v>
      </x:c>
      <x:c r="C7" s="12" t="str">
        <x:v>Capital 2023 CSV</x:v>
      </x:c>
      <x:c r="D7" s="12" t="str">
        <x:v>Yes</x:v>
      </x:c>
      <x:c r="E7" s="12" t="str">
        <x:v>Capital activity context</x:v>
      </x:c>
      <x:c r="F7" s="12" t="str">
        <x:v>Not startup capital for a specific project</x:v>
      </x:c>
    </x:row>
    <x:row r="8">
      <x:c r="A8" s="12" t="str">
        <x:v>ISIC4_Business_Type</x:v>
      </x:c>
      <x:c r="B8" s="12" t="str">
        <x:v>Activity</x:v>
      </x:c>
      <x:c r="C8" s="12" t="str">
        <x:v>ISIC4 Most Registered CSV</x:v>
      </x:c>
      <x:c r="D8" s="12" t="str">
        <x:v>Yes</x:v>
      </x:c>
      <x:c r="E8" s="12" t="str">
        <x:v>Normalize user project type</x:v>
      </x:c>
      <x:c r="F8" s="12" t="str">
        <x:v>Top registered activities only</x:v>
      </x:c>
    </x:row>
    <x:row r="9">
      <x:c r="A9" s="12" t="str">
        <x:v>National_Registration_Popularity</x:v>
      </x:c>
      <x:c r="B9" s="12" t="str">
        <x:v>Activity</x:v>
      </x:c>
      <x:c r="C9" s="12" t="str">
        <x:v>ISIC4 Most Registered CSV</x:v>
      </x:c>
      <x:c r="D9" s="12" t="str">
        <x:v>Yes</x:v>
      </x:c>
      <x:c r="E9" s="12" t="str">
        <x:v>Popularity / prevalence signal</x:v>
      </x:c>
      <x:c r="F9" s="12" t="str">
        <x:v>National, not governorate-specific</x:v>
      </x:c>
    </x:row>
    <x:row r="10">
      <x:c r="A10" s="12" t="str">
        <x:v>Active_Similar_Businesses_2018</x:v>
      </x:c>
      <x:c r="B10" s="12" t="str">
        <x:v>Activity × Governorate</x:v>
      </x:c>
      <x:c r="C10" s="12" t="str">
        <x:v>Table 4 PDF</x:v>
      </x:c>
      <x:c r="D10" s="12" t="str">
        <x:v>Yes – extraction next</x:v>
      </x:c>
      <x:c r="E10" s="12" t="str">
        <x:v>Competition / saturation</x:v>
      </x:c>
      <x:c r="F10" s="12" t="str">
        <x:v>Historical 2018 data</x:v>
      </x:c>
    </x:row>
    <x:row r="11">
      <x:c r="A11" s="12" t="str">
        <x:v>Historical_Business_Density</x:v>
      </x:c>
      <x:c r="B11" s="12" t="str">
        <x:v>Activity × Governorate</x:v>
      </x:c>
      <x:c r="C11" s="12" t="str">
        <x:v>Table 4 + Population</x:v>
      </x:c>
      <x:c r="D11" s="12" t="str">
        <x:v>Derived next</x:v>
      </x:c>
      <x:c r="E11" s="12" t="str">
        <x:v>Competition normalized by population</x:v>
      </x:c>
      <x:c r="F11" s="12" t="str">
        <x:v>Cross-year proxy: 2018 businesses vs 2025 population</x:v>
      </x:c>
    </x:row>
    <x:row r="12">
      <x:c r="A12" s="12" t="str">
        <x:v>Capital_Distribution_By_Activity</x:v>
      </x:c>
      <x:c r="B12" s="12" t="str">
        <x:v>Activity</x:v>
      </x:c>
      <x:c r="C12" s="12" t="str">
        <x:v>Table 10 PDF</x:v>
      </x:c>
      <x:c r="D12" s="12" t="str">
        <x:v>Yes – extraction next</x:v>
      </x:c>
      <x:c r="E12" s="12" t="str">
        <x:v>Capital benchmark</x:v>
      </x:c>
      <x:c r="F12" s="12" t="str">
        <x:v>Registered capital ≠ startup cost</x:v>
      </x:c>
    </x:row>
    <x:row r="13">
      <x:c r="A13" s="12" t="str">
        <x:v>Revenue_Distribution_By_Activity</x:v>
      </x:c>
      <x:c r="B13" s="12" t="str">
        <x:v>Activity</x:v>
      </x:c>
      <x:c r="C13" s="12" t="str">
        <x:v>Table 21 PDF</x:v>
      </x:c>
      <x:c r="D13" s="12" t="str">
        <x:v>Yes – extraction next</x:v>
      </x:c>
      <x:c r="E13" s="12" t="str">
        <x:v>Revenue benchmark</x:v>
      </x:c>
      <x:c r="F13" s="12" t="str">
        <x:v>Historical 2018 revenue bands</x:v>
      </x:c>
    </x:row>
    <x:row r="14">
      <x:c r="A14" s="12" t="str">
        <x:v>Location_Suitability_Score</x:v>
      </x:c>
      <x:c r="B14" s="12" t="str">
        <x:v>Activity × Governorate</x:v>
      </x:c>
      <x:c r="C14" s="12" t="str">
        <x:v>Derived</x:v>
      </x:c>
      <x:c r="D14" s="12" t="str">
        <x:v>Not yet</x:v>
      </x:c>
      <x:c r="E14" s="12" t="str">
        <x:v>Rank candidate locations</x:v>
      </x:c>
      <x:c r="F14" s="12" t="str">
        <x:v>Weights must be justified / validated</x:v>
      </x:c>
    </x:row>
    <x:row r="15">
      <x:c r="A15" s="12" t="str">
        <x:v>Target_Audience</x:v>
      </x:c>
      <x:c r="B15" s="12" t="str">
        <x:v>Activity × Segment</x:v>
      </x:c>
      <x:c r="C15" s="12" t="str">
        <x:v>Jordanian survey</x:v>
      </x:c>
      <x:c r="D15" s="12" t="str">
        <x:v>Not yet</x:v>
      </x:c>
      <x:c r="E15" s="12" t="str">
        <x:v>Age / segment recommendation</x:v>
      </x:c>
      <x:c r="F15" s="12" t="str">
        <x:v>Must be collected locally</x:v>
      </x:c>
    </x:row>
    <x:row r="16">
      <x:c r="A16" s="12" t="str">
        <x:v>Success_Performance_Probability</x:v>
      </x:c>
      <x:c r="B16" s="12" t="str">
        <x:v>Business</x:v>
      </x:c>
      <x:c r="C16" s="12" t="str">
        <x:v>World Bank Enterprise Survey 2024</x:v>
      </x:c>
      <x:c r="D16" s="12" t="str">
        <x:v>Pending access</x:v>
      </x:c>
      <x:c r="E16" s="12" t="str">
        <x:v>ML performance model</x:v>
      </x:c>
      <x:c r="F16" s="12" t="str">
        <x:v>Probability estimate, not guarantee</x:v>
      </x:c>
    </x:row>
  </x:sheetData>
  <x:pageMargins left="0.7" right="0.7" top="0.75" bottom="0.75" header="0.3" footer="0.3"/>
  <x:tableParts count="1">
    <x:tablePart xmlns:r="http://schemas.openxmlformats.org/officeDocument/2006/relationships" r:id="Rd4e9b86febe4421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6" hidden="0" customWidth="1"/>
    <x:col min="3" max="3" width="24" hidden="0" customWidth="1"/>
    <x:col min="4" max="4" width="42" hidden="0" customWidth="1"/>
    <x:col min="5" max="5" width="52" hidden="0" customWidth="1"/>
  </x:cols>
  <x:sheetData>
    <x:row r="1">
      <x:c r="A1" s="48" t="str">
        <x:v>Source File</x:v>
      </x:c>
      <x:c r="B1" s="48" t="str">
        <x:v>Year</x:v>
      </x:c>
      <x:c r="C1" s="48" t="str">
        <x:v>Data Level</x:v>
      </x:c>
      <x:c r="D1" s="48" t="str">
        <x:v>What We Use It For</x:v>
      </x:c>
      <x:c r="E1" s="48" t="str">
        <x:v>Status / Limitation</x:v>
      </x:c>
    </x:row>
    <x:row r="2">
      <x:c r="A2" s="12" t="str">
        <x:v>-2021-2023.csv</x:v>
      </x:c>
      <x:c r="B2" s="12" t="str">
        <x:v>2021–2023</x:v>
      </x:c>
      <x:c r="C2" s="12" t="str">
        <x:v>Governorate</x:v>
      </x:c>
      <x:c r="D2" s="12" t="str">
        <x:v>Registered institution trend</x:v>
      </x:c>
      <x:c r="E2" s="12" t="str">
        <x:v>Annual registrations; not active stock</x:v>
      </x:c>
    </x:row>
    <x:row r="3">
      <x:c r="A3" s="12" t="str">
        <x:v>registered-institutions-by-governorate-in-the-first-half-of-2023-and-2024.csv</x:v>
      </x:c>
      <x:c r="B3" s="12" t="str">
        <x:v>2023–2024</x:v>
      </x:c>
      <x:c r="C3" s="12" t="str">
        <x:v>Governorate</x:v>
      </x:c>
      <x:c r="D3" s="12" t="str">
        <x:v>Recent registration trend</x:v>
      </x:c>
      <x:c r="E3" s="12" t="str">
        <x:v>First half only</x:v>
      </x:c>
    </x:row>
    <x:row r="4">
      <x:c r="A4" s="12" t="str">
        <x:v>-2023.csv</x:v>
      </x:c>
      <x:c r="B4" s="12" t="str">
        <x:v>2023</x:v>
      </x:c>
      <x:c r="C4" s="12" t="str">
        <x:v>Governorate</x:v>
      </x:c>
      <x:c r="D4" s="12" t="str">
        <x:v>Capital activity indicator</x:v>
      </x:c>
      <x:c r="E4" s="12" t="str">
        <x:v>Total capital of individual institutions, not startup-cost estimate</x:v>
      </x:c>
    </x:row>
    <x:row r="5">
      <x:c r="A5" s="12" t="str">
        <x:v>-4-.csv</x:v>
      </x:c>
      <x:c r="B5" s="12" t="str">
        <x:v>2024 page / current portal extract</x:v>
      </x:c>
      <x:c r="C5" s="12" t="str">
        <x:v>Activity</x:v>
      </x:c>
      <x:c r="D5" s="12" t="str">
        <x:v>ISIC4 type mapping + popular registered activities</x:v>
      </x:c>
      <x:c r="E5" s="12" t="str">
        <x:v>National, top activities only</x:v>
      </x:c>
    </x:row>
    <x:row r="6">
      <x:c r="A6" s="12" t="str">
        <x:v>table4 (1).pdf</x:v>
      </x:c>
      <x:c r="B6" s="12" t="str">
        <x:v>2018</x:v>
      </x:c>
      <x:c r="C6" s="12" t="str">
        <x:v>Activity × Governorate</x:v>
      </x:c>
      <x:c r="D6" s="12" t="str">
        <x:v>Similar businesses / competition</x:v>
      </x:c>
      <x:c r="E6" s="12" t="str">
        <x:v>Historical</x:v>
      </x:c>
    </x:row>
    <x:row r="7">
      <x:c r="A7" s="12" t="str">
        <x:v>table10.pdf</x:v>
      </x:c>
      <x:c r="B7" s="12" t="str">
        <x:v>2018</x:v>
      </x:c>
      <x:c r="C7" s="12" t="str">
        <x:v>Activity</x:v>
      </x:c>
      <x:c r="D7" s="12" t="str">
        <x:v>Capital-band distribution</x:v>
      </x:c>
      <x:c r="E7" s="12" t="str">
        <x:v>Registered capital ≠ startup cost</x:v>
      </x:c>
    </x:row>
    <x:row r="8">
      <x:c r="A8" s="12" t="str">
        <x:v>table21.pdf</x:v>
      </x:c>
      <x:c r="B8" s="12" t="str">
        <x:v>2018</x:v>
      </x:c>
      <x:c r="C8" s="12" t="str">
        <x:v>Activity</x:v>
      </x:c>
      <x:c r="D8" s="12" t="str">
        <x:v>Revenue-band distribution</x:v>
      </x:c>
      <x:c r="E8" s="12" t="str">
        <x:v>Historical</x:v>
      </x:c>
    </x:row>
    <x:row r="9">
      <x:c r="A9" s="12" t="str">
        <x:v>PopulationEstimates.pdf</x:v>
      </x:c>
      <x:c r="B9" s="12" t="str">
        <x:v>2025</x:v>
      </x:c>
      <x:c r="C9" s="12" t="str">
        <x:v>Governorate</x:v>
      </x:c>
      <x:c r="D9" s="12" t="str">
        <x:v>Population, urban/rural, density</x:v>
      </x:c>
      <x:c r="E9" s="12" t="str">
        <x:v>Current market-size context</x:v>
      </x:c>
    </x:row>
    <x:row r="10">
      <x:c r="A10" s="12" t="str">
        <x:v>Jordan Enterprise Survey 2024</x:v>
      </x:c>
      <x:c r="B10" s="12" t="str">
        <x:v>2024</x:v>
      </x:c>
      <x:c r="C10" s="12" t="str">
        <x:v>Firm-level</x:v>
      </x:c>
      <x:c r="D10" s="12" t="str">
        <x:v>ML business performance model</x:v>
      </x:c>
      <x:c r="E10" s="12" t="str">
        <x:v>Access request pending</x:v>
      </x:c>
    </x:row>
    <x:row r="11">
      <x:c r="A11" t="str">
        <x:v>Table6G4_Jor.pdf</x:v>
      </x:c>
      <x:c r="B11" t="str">
        <x:v>2017</x:v>
      </x:c>
      <x:c r="C11" t="str">
        <x:v>Expenditure category × Governorate</x:v>
      </x:c>
      <x:c r="D11" t="str">
        <x:v>Historical demand proxy / household spending intensity</x:v>
      </x:c>
      <x:c r="E11" t="str">
        <x:v>Average household expenditure; historical and not a direct measure of current 2026 demand.</x:v>
      </x:c>
    </x:row>
  </x:sheetData>
  <x:pageMargins left="0.7" right="0.7" top="0.75" bottom="0.75" header="0.3" footer="0.3"/>
  <x:tableParts count="1">
    <x:tablePart xmlns:r="http://schemas.openxmlformats.org/officeDocument/2006/relationships" r:id="Rb6d647dfe8c2479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2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3" hidden="0" customWidth="1"/>
    <x:col min="17" max="17" width="12" hidden="0" customWidth="1"/>
    <x:col min="18" max="18" width="54" hidden="0" customWidth="1"/>
  </x:cols>
  <x:sheetData>
    <x:row r="1">
      <x:c r="A1" s="59" t="str">
        <x:v>ISIC Code</x:v>
      </x:c>
      <x:c r="B1" s="59" t="str">
        <x:v>Economic Activity</x:v>
      </x:c>
      <x:c r="C1" s="59" t="str">
        <x:v>Level</x:v>
      </x:c>
      <x:c r="D1" s="59" t="str">
        <x:v>Amman</x:v>
      </x:c>
      <x:c r="E1" s="59" t="str">
        <x:v>Balqa</x:v>
      </x:c>
      <x:c r="F1" s="59" t="str">
        <x:v>Zarqa</x:v>
      </x:c>
      <x:c r="G1" s="59" t="str">
        <x:v>Madaba</x:v>
      </x:c>
      <x:c r="H1" s="59" t="str">
        <x:v>Irbid</x:v>
      </x:c>
      <x:c r="I1" s="59" t="str">
        <x:v>Mafraq</x:v>
      </x:c>
      <x:c r="J1" s="59" t="str">
        <x:v>Jarash</x:v>
      </x:c>
      <x:c r="K1" s="59" t="str">
        <x:v>Ajlun</x:v>
      </x:c>
      <x:c r="L1" s="59" t="str">
        <x:v>Karak</x:v>
      </x:c>
      <x:c r="M1" s="59" t="str">
        <x:v>Tafiela</x:v>
      </x:c>
      <x:c r="N1" s="59" t="str">
        <x:v>Ma'an</x:v>
      </x:c>
      <x:c r="O1" s="59" t="str">
        <x:v>Aqaba</x:v>
      </x:c>
      <x:c r="P1" s="59" t="str">
        <x:v>Total</x:v>
      </x:c>
      <x:c r="Q1" s="59" t="str">
        <x:v>Source Year</x:v>
      </x:c>
      <x:c r="R1" s="59" t="str">
        <x:v>Source</x:v>
      </x:c>
    </x:row>
    <x:row r="2">
      <x:c r="A2" s="12" t="str">
        <x:v>06</x:v>
      </x:c>
      <x:c r="B2" s="12" t="str">
        <x:v>Extraction of crude petroleum and natural gas</x:v>
      </x:c>
      <x:c r="C2" s="12" t="str">
        <x:v>Sector (2-digit)</x:v>
      </x:c>
      <x:c r="D2" s="14" t="n">
        <x:v>2</x:v>
      </x:c>
      <x:c r="E2" s="14" t="n">
        <x:v>0</x:v>
      </x:c>
      <x:c r="F2" s="14" t="n">
        <x:v>0</x:v>
      </x:c>
      <x:c r="G2" s="14" t="n">
        <x:v>0</x:v>
      </x:c>
      <x:c r="H2" s="14" t="n">
        <x:v>0</x:v>
      </x:c>
      <x:c r="I2" s="14" t="n">
        <x:v>0</x:v>
      </x:c>
      <x:c r="J2" s="14" t="n">
        <x:v>0</x:v>
      </x:c>
      <x:c r="K2" s="14" t="n">
        <x:v>0</x:v>
      </x:c>
      <x:c r="L2" s="14" t="n">
        <x:v>0</x:v>
      </x:c>
      <x:c r="M2" s="14" t="n">
        <x:v>0</x:v>
      </x:c>
      <x:c r="N2" s="14" t="n">
        <x:v>0</x:v>
      </x:c>
      <x:c r="O2" s="14" t="n">
        <x:v>0</x:v>
      </x:c>
      <x:c r="P2" s="14" t="n">
        <x:v>2</x:v>
      </x:c>
      <x:c r="Q2" s="60" t="n">
        <x:v>2018</x:v>
      </x:c>
      <x:c r="R2" s="12" t="str">
        <x:v>Department of Statistics - Establishments Census 2018 - Table 4</x:v>
      </x:c>
    </x:row>
    <x:row r="3">
      <x:c r="A3" s="12" t="str">
        <x:v>0620</x:v>
      </x:c>
      <x:c r="B3" s="12" t="str">
        <x:v>Extraction of natural gas</x:v>
      </x:c>
      <x:c r="C3" s="12" t="str">
        <x:v>Detailed activity (4-digit)</x:v>
      </x:c>
      <x:c r="D3" s="14" t="n">
        <x:v>2</x:v>
      </x:c>
      <x:c r="E3" s="14" t="n">
        <x:v>0</x:v>
      </x:c>
      <x:c r="F3" s="14" t="n">
        <x:v>0</x:v>
      </x:c>
      <x:c r="G3" s="14" t="n">
        <x:v>0</x:v>
      </x:c>
      <x:c r="H3" s="14" t="n">
        <x:v>0</x:v>
      </x:c>
      <x:c r="I3" s="14" t="n">
        <x:v>0</x:v>
      </x:c>
      <x:c r="J3" s="14" t="n">
        <x:v>0</x:v>
      </x:c>
      <x:c r="K3" s="14" t="n">
        <x:v>0</x:v>
      </x:c>
      <x:c r="L3" s="14" t="n">
        <x:v>0</x:v>
      </x:c>
      <x:c r="M3" s="14" t="n">
        <x:v>0</x:v>
      </x:c>
      <x:c r="N3" s="14" t="n">
        <x:v>0</x:v>
      </x:c>
      <x:c r="O3" s="14" t="n">
        <x:v>0</x:v>
      </x:c>
      <x:c r="P3" s="14" t="n">
        <x:v>2</x:v>
      </x:c>
      <x:c r="Q3" s="60" t="n">
        <x:v>2018</x:v>
      </x:c>
      <x:c r="R3" s="12" t="str">
        <x:v>Department of Statistics - Establishments Census 2018 - Table 4</x:v>
      </x:c>
    </x:row>
    <x:row r="4">
      <x:c r="A4" s="12" t="str">
        <x:v>08</x:v>
      </x:c>
      <x:c r="B4" s="12" t="str">
        <x:v>Other mining and quarrying</x:v>
      </x:c>
      <x:c r="C4" s="12" t="str">
        <x:v>Sector (2-digit)</x:v>
      </x:c>
      <x:c r="D4" s="14" t="n">
        <x:v>53</x:v>
      </x:c>
      <x:c r="E4" s="14" t="n">
        <x:v>4</x:v>
      </x:c>
      <x:c r="F4" s="14" t="n">
        <x:v>11</x:v>
      </x:c>
      <x:c r="G4" s="14" t="n">
        <x:v>0</x:v>
      </x:c>
      <x:c r="H4" s="14" t="n">
        <x:v>10</x:v>
      </x:c>
      <x:c r="I4" s="14" t="n">
        <x:v>18</x:v>
      </x:c>
      <x:c r="J4" s="14" t="n">
        <x:v>0</x:v>
      </x:c>
      <x:c r="K4" s="14" t="n">
        <x:v>1</x:v>
      </x:c>
      <x:c r="L4" s="14" t="n">
        <x:v>0</x:v>
      </x:c>
      <x:c r="M4" s="14" t="n">
        <x:v>0</x:v>
      </x:c>
      <x:c r="N4" s="14" t="n">
        <x:v>3</x:v>
      </x:c>
      <x:c r="O4" s="14" t="n">
        <x:v>3</x:v>
      </x:c>
      <x:c r="P4" s="14" t="n">
        <x:v>103</x:v>
      </x:c>
      <x:c r="Q4" s="60" t="n">
        <x:v>2018</x:v>
      </x:c>
      <x:c r="R4" s="12" t="str">
        <x:v>Department of Statistics - Establishments Census 2018 - Table 4</x:v>
      </x:c>
    </x:row>
    <x:row r="5">
      <x:c r="A5" s="12" t="str">
        <x:v>0810</x:v>
      </x:c>
      <x:c r="B5" s="12" t="str">
        <x:v>Quarrying of stone, sand and clay</x:v>
      </x:c>
      <x:c r="C5" s="12" t="str">
        <x:v>Detailed activity (4-digit)</x:v>
      </x:c>
      <x:c r="D5" s="14" t="n">
        <x:v>36</x:v>
      </x:c>
      <x:c r="E5" s="14" t="n">
        <x:v>4</x:v>
      </x:c>
      <x:c r="F5" s="14" t="n">
        <x:v>11</x:v>
      </x:c>
      <x:c r="G5" s="14" t="n">
        <x:v>0</x:v>
      </x:c>
      <x:c r="H5" s="14" t="n">
        <x:v>10</x:v>
      </x:c>
      <x:c r="I5" s="14" t="n">
        <x:v>18</x:v>
      </x:c>
      <x:c r="J5" s="14" t="n">
        <x:v>0</x:v>
      </x:c>
      <x:c r="K5" s="14" t="n">
        <x:v>1</x:v>
      </x:c>
      <x:c r="L5" s="14" t="n">
        <x:v>0</x:v>
      </x:c>
      <x:c r="M5" s="14" t="n">
        <x:v>0</x:v>
      </x:c>
      <x:c r="N5" s="14" t="n">
        <x:v>0</x:v>
      </x:c>
      <x:c r="O5" s="14" t="n">
        <x:v>3</x:v>
      </x:c>
      <x:c r="P5" s="14" t="n">
        <x:v>83</x:v>
      </x:c>
      <x:c r="Q5" s="60" t="n">
        <x:v>2018</x:v>
      </x:c>
      <x:c r="R5" s="12" t="str">
        <x:v>Department of Statistics - Establishments Census 2018 - Table 4</x:v>
      </x:c>
    </x:row>
    <x:row r="6">
      <x:c r="A6" s="12" t="str">
        <x:v>0891</x:v>
      </x:c>
      <x:c r="B6" s="12" t="str">
        <x:v>Mining of chemical and fertilizer minerals</x:v>
      </x:c>
      <x:c r="C6" s="12" t="str">
        <x:v>Detailed activity (4-digit)</x:v>
      </x:c>
      <x:c r="D6" s="14" t="n">
        <x:v>11</x:v>
      </x:c>
      <x:c r="E6" s="14" t="n">
        <x:v>0</x:v>
      </x:c>
      <x:c r="F6" s="14" t="n">
        <x:v>0</x:v>
      </x:c>
      <x:c r="G6" s="14" t="n">
        <x:v>0</x:v>
      </x:c>
      <x:c r="H6" s="14" t="n">
        <x:v>0</x:v>
      </x:c>
      <x:c r="I6" s="14" t="n">
        <x:v>0</x:v>
      </x:c>
      <x:c r="J6" s="14" t="n">
        <x:v>0</x:v>
      </x:c>
      <x:c r="K6" s="14" t="n">
        <x:v>0</x:v>
      </x:c>
      <x:c r="L6" s="14" t="n">
        <x:v>0</x:v>
      </x:c>
      <x:c r="M6" s="14" t="n">
        <x:v>0</x:v>
      </x:c>
      <x:c r="N6" s="14" t="n">
        <x:v>3</x:v>
      </x:c>
      <x:c r="O6" s="14" t="n">
        <x:v>0</x:v>
      </x:c>
      <x:c r="P6" s="14" t="n">
        <x:v>14</x:v>
      </x:c>
      <x:c r="Q6" s="60" t="n">
        <x:v>2018</x:v>
      </x:c>
      <x:c r="R6" s="12" t="str">
        <x:v>Department of Statistics - Establishments Census 2018 - Table 4</x:v>
      </x:c>
    </x:row>
    <x:row r="7">
      <x:c r="A7" s="12" t="str">
        <x:v>0893</x:v>
      </x:c>
      <x:c r="B7" s="12" t="str">
        <x:v>Extraction of salt</x:v>
      </x:c>
      <x:c r="C7" s="12" t="str">
        <x:v>Detailed activity (4-digit)</x:v>
      </x:c>
      <x:c r="D7" s="14" t="n">
        <x:v>1</x:v>
      </x:c>
      <x:c r="E7" s="14" t="n">
        <x:v>0</x:v>
      </x:c>
      <x:c r="F7" s="14" t="n">
        <x:v>0</x:v>
      </x:c>
      <x:c r="G7" s="14" t="n">
        <x:v>0</x:v>
      </x:c>
      <x:c r="H7" s="14" t="n">
        <x:v>0</x:v>
      </x:c>
      <x:c r="I7" s="14" t="n">
        <x:v>0</x:v>
      </x:c>
      <x:c r="J7" s="14" t="n">
        <x:v>0</x:v>
      </x:c>
      <x:c r="K7" s="14" t="n">
        <x:v>0</x:v>
      </x:c>
      <x:c r="L7" s="14" t="n">
        <x:v>0</x:v>
      </x:c>
      <x:c r="M7" s="14" t="n">
        <x:v>0</x:v>
      </x:c>
      <x:c r="N7" s="14" t="n">
        <x:v>0</x:v>
      </x:c>
      <x:c r="O7" s="14" t="n">
        <x:v>0</x:v>
      </x:c>
      <x:c r="P7" s="14" t="n">
        <x:v>1</x:v>
      </x:c>
      <x:c r="Q7" s="60" t="n">
        <x:v>2018</x:v>
      </x:c>
      <x:c r="R7" s="12" t="str">
        <x:v>Department of Statistics - Establishments Census 2018 - Table 4</x:v>
      </x:c>
    </x:row>
    <x:row r="8">
      <x:c r="A8" s="12" t="str">
        <x:v>0899</x:v>
      </x:c>
      <x:c r="B8" s="12" t="str">
        <x:v>Other mining and quarrying n.e.c.</x:v>
      </x:c>
      <x:c r="C8" s="12" t="str">
        <x:v>Detailed activity (4-digit)</x:v>
      </x:c>
      <x:c r="D8" s="14" t="n">
        <x:v>5</x:v>
      </x:c>
      <x:c r="E8" s="14" t="n">
        <x:v>0</x:v>
      </x:c>
      <x:c r="F8" s="14" t="n">
        <x:v>0</x:v>
      </x:c>
      <x:c r="G8" s="14" t="n">
        <x:v>0</x:v>
      </x:c>
      <x:c r="H8" s="14" t="n">
        <x:v>0</x:v>
      </x:c>
      <x:c r="I8" s="14" t="n">
        <x:v>0</x:v>
      </x:c>
      <x:c r="J8" s="14" t="n">
        <x:v>0</x:v>
      </x:c>
      <x:c r="K8" s="14" t="n">
        <x:v>0</x:v>
      </x:c>
      <x:c r="L8" s="14" t="n">
        <x:v>0</x:v>
      </x:c>
      <x:c r="M8" s="14" t="n">
        <x:v>0</x:v>
      </x:c>
      <x:c r="N8" s="14" t="n">
        <x:v>0</x:v>
      </x:c>
      <x:c r="O8" s="14" t="n">
        <x:v>0</x:v>
      </x:c>
      <x:c r="P8" s="14" t="n">
        <x:v>5</x:v>
      </x:c>
      <x:c r="Q8" s="60" t="n">
        <x:v>2018</x:v>
      </x:c>
      <x:c r="R8" s="12" t="str">
        <x:v>Department of Statistics - Establishments Census 2018 - Table 4</x:v>
      </x:c>
    </x:row>
    <x:row r="9">
      <x:c r="A9" s="12" t="str">
        <x:v>09</x:v>
      </x:c>
      <x:c r="B9" s="12" t="str">
        <x:v>Mining support service activities</x:v>
      </x:c>
      <x:c r="C9" s="12" t="str">
        <x:v>Sector (2-digit)</x:v>
      </x:c>
      <x:c r="D9" s="14" t="n">
        <x:v>1</x:v>
      </x:c>
      <x:c r="E9" s="14" t="n">
        <x:v>0</x:v>
      </x:c>
      <x:c r="F9" s="14" t="n">
        <x:v>0</x:v>
      </x:c>
      <x:c r="G9" s="14" t="n">
        <x:v>0</x:v>
      </x:c>
      <x:c r="H9" s="14" t="n">
        <x:v>0</x:v>
      </x:c>
      <x:c r="I9" s="14" t="n">
        <x:v>0</x:v>
      </x:c>
      <x:c r="J9" s="14" t="n">
        <x:v>0</x:v>
      </x:c>
      <x:c r="K9" s="14" t="n">
        <x:v>0</x:v>
      </x:c>
      <x:c r="L9" s="14" t="n">
        <x:v>0</x:v>
      </x:c>
      <x:c r="M9" s="14" t="n">
        <x:v>0</x:v>
      </x:c>
      <x:c r="N9" s="14" t="n">
        <x:v>0</x:v>
      </x:c>
      <x:c r="O9" s="14" t="n">
        <x:v>0</x:v>
      </x:c>
      <x:c r="P9" s="14" t="n">
        <x:v>1</x:v>
      </x:c>
      <x:c r="Q9" s="60" t="n">
        <x:v>2018</x:v>
      </x:c>
      <x:c r="R9" s="12" t="str">
        <x:v>Department of Statistics - Establishments Census 2018 - Table 4</x:v>
      </x:c>
    </x:row>
    <x:row r="10">
      <x:c r="A10" s="12" t="str">
        <x:v>0910</x:v>
      </x:c>
      <x:c r="B10" s="12" t="str">
        <x:v>Support activities for petroleum and natural gas extraction</x:v>
      </x:c>
      <x:c r="C10" s="12" t="str">
        <x:v>Detailed activity (4-digit)</x:v>
      </x:c>
      <x:c r="D10" s="14" t="n">
        <x:v>1</x:v>
      </x:c>
      <x:c r="E10" s="14" t="n">
        <x:v>0</x:v>
      </x:c>
      <x:c r="F10" s="14" t="n">
        <x:v>0</x:v>
      </x:c>
      <x:c r="G10" s="14" t="n">
        <x:v>0</x:v>
      </x:c>
      <x:c r="H10" s="14" t="n">
        <x:v>0</x:v>
      </x:c>
      <x:c r="I10" s="14" t="n">
        <x:v>0</x:v>
      </x:c>
      <x:c r="J10" s="14" t="n">
        <x:v>0</x:v>
      </x:c>
      <x:c r="K10" s="14" t="n">
        <x:v>0</x:v>
      </x:c>
      <x:c r="L10" s="14" t="n">
        <x:v>0</x:v>
      </x:c>
      <x:c r="M10" s="14" t="n">
        <x:v>0</x:v>
      </x:c>
      <x:c r="N10" s="14" t="n">
        <x:v>0</x:v>
      </x:c>
      <x:c r="O10" s="14" t="n">
        <x:v>0</x:v>
      </x:c>
      <x:c r="P10" s="14" t="n">
        <x:v>1</x:v>
      </x:c>
      <x:c r="Q10" s="60" t="n">
        <x:v>2018</x:v>
      </x:c>
      <x:c r="R10" s="12" t="str">
        <x:v>Department of Statistics - Establishments Census 2018 - Table 4</x:v>
      </x:c>
    </x:row>
    <x:row r="11">
      <x:c r="A11" s="12" t="str">
        <x:v>10</x:v>
      </x:c>
      <x:c r="B11" s="12" t="str">
        <x:v>Manufacture of food products</x:v>
      </x:c>
      <x:c r="C11" s="12" t="str">
        <x:v>Sector (2-digit)</x:v>
      </x:c>
      <x:c r="D11" s="14" t="n">
        <x:v>1718</x:v>
      </x:c>
      <x:c r="E11" s="14" t="n">
        <x:v>317</x:v>
      </x:c>
      <x:c r="F11" s="14" t="n">
        <x:v>524</x:v>
      </x:c>
      <x:c r="G11" s="14" t="n">
        <x:v>130</x:v>
      </x:c>
      <x:c r="H11" s="14" t="n">
        <x:v>1200</x:v>
      </x:c>
      <x:c r="I11" s="14" t="n">
        <x:v>197</x:v>
      </x:c>
      <x:c r="J11" s="14" t="n">
        <x:v>169</x:v>
      </x:c>
      <x:c r="K11" s="14" t="n">
        <x:v>169</x:v>
      </x:c>
      <x:c r="L11" s="14" t="n">
        <x:v>153</x:v>
      </x:c>
      <x:c r="M11" s="14" t="n">
        <x:v>81</x:v>
      </x:c>
      <x:c r="N11" s="14" t="n">
        <x:v>65</x:v>
      </x:c>
      <x:c r="O11" s="14" t="n">
        <x:v>57</x:v>
      </x:c>
      <x:c r="P11" s="14" t="n">
        <x:v>4780</x:v>
      </x:c>
      <x:c r="Q11" s="60" t="n">
        <x:v>2018</x:v>
      </x:c>
      <x:c r="R11" s="12" t="str">
        <x:v>Department of Statistics - Establishments Census 2018 - Table 4</x:v>
      </x:c>
    </x:row>
    <x:row r="12">
      <x:c r="A12" s="12" t="str">
        <x:v>1010</x:v>
      </x:c>
      <x:c r="B12" s="12" t="str">
        <x:v>Processing and preserving of meat</x:v>
      </x:c>
      <x:c r="C12" s="12" t="str">
        <x:v>Detailed activity (4-digit)</x:v>
      </x:c>
      <x:c r="D12" s="14" t="n">
        <x:v>12</x:v>
      </x:c>
      <x:c r="E12" s="14" t="n">
        <x:v>0</x:v>
      </x:c>
      <x:c r="F12" s="14" t="n">
        <x:v>2</x:v>
      </x:c>
      <x:c r="G12" s="14" t="n">
        <x:v>0</x:v>
      </x:c>
      <x:c r="H12" s="14" t="n">
        <x:v>0</x:v>
      </x:c>
      <x:c r="I12" s="14" t="n">
        <x:v>0</x:v>
      </x:c>
      <x:c r="J12" s="14" t="n">
        <x:v>0</x:v>
      </x:c>
      <x:c r="K12" s="14" t="n">
        <x:v>0</x:v>
      </x:c>
      <x:c r="L12" s="14" t="n">
        <x:v>1</x:v>
      </x:c>
      <x:c r="M12" s="14" t="n">
        <x:v>0</x:v>
      </x:c>
      <x:c r="N12" s="14" t="n">
        <x:v>0</x:v>
      </x:c>
      <x:c r="O12" s="14" t="n">
        <x:v>0</x:v>
      </x:c>
      <x:c r="P12" s="14" t="n">
        <x:v>15</x:v>
      </x:c>
      <x:c r="Q12" s="60" t="n">
        <x:v>2018</x:v>
      </x:c>
      <x:c r="R12" s="12" t="str">
        <x:v>Department of Statistics - Establishments Census 2018 - Table 4</x:v>
      </x:c>
    </x:row>
    <x:row r="13">
      <x:c r="A13" s="12" t="str">
        <x:v>1020</x:v>
      </x:c>
      <x:c r="B13" s="12" t="str">
        <x:v>Processing and preserving of fish, crustaceans and molluscs</x:v>
      </x:c>
      <x:c r="C13" s="12" t="str">
        <x:v>Detailed activity (4-digit)</x:v>
      </x:c>
      <x:c r="D13" s="14" t="n">
        <x:v>1</x:v>
      </x:c>
      <x:c r="E13" s="14" t="n">
        <x:v>0</x:v>
      </x:c>
      <x:c r="F13" s="14" t="n">
        <x:v>0</x:v>
      </x:c>
      <x:c r="G13" s="14" t="n">
        <x:v>0</x:v>
      </x:c>
      <x:c r="H13" s="14" t="n">
        <x:v>0</x:v>
      </x:c>
      <x:c r="I13" s="14" t="n">
        <x:v>0</x:v>
      </x:c>
      <x:c r="J13" s="14" t="n">
        <x:v>0</x:v>
      </x:c>
      <x:c r="K13" s="14" t="n">
        <x:v>0</x:v>
      </x:c>
      <x:c r="L13" s="14" t="n">
        <x:v>0</x:v>
      </x:c>
      <x:c r="M13" s="14" t="n">
        <x:v>0</x:v>
      </x:c>
      <x:c r="N13" s="14" t="n">
        <x:v>0</x:v>
      </x:c>
      <x:c r="O13" s="14" t="n">
        <x:v>0</x:v>
      </x:c>
      <x:c r="P13" s="14" t="n">
        <x:v>1</x:v>
      </x:c>
      <x:c r="Q13" s="60" t="n">
        <x:v>2018</x:v>
      </x:c>
      <x:c r="R13" s="12" t="str">
        <x:v>Department of Statistics - Establishments Census 2018 - Table 4</x:v>
      </x:c>
    </x:row>
    <x:row r="14">
      <x:c r="A14" s="12" t="str">
        <x:v>1030</x:v>
      </x:c>
      <x:c r="B14" s="12" t="str">
        <x:v>Processing and preserving of fruit and vegetables</x:v>
      </x:c>
      <x:c r="C14" s="12" t="str">
        <x:v>Detailed activity (4-digit)</x:v>
      </x:c>
      <x:c r="D14" s="14" t="n">
        <x:v>42</x:v>
      </x:c>
      <x:c r="E14" s="14" t="n">
        <x:v>9</x:v>
      </x:c>
      <x:c r="F14" s="14" t="n">
        <x:v>6</x:v>
      </x:c>
      <x:c r="G14" s="14" t="n">
        <x:v>0</x:v>
      </x:c>
      <x:c r="H14" s="14" t="n">
        <x:v>6</x:v>
      </x:c>
      <x:c r="I14" s="14" t="n">
        <x:v>4</x:v>
      </x:c>
      <x:c r="J14" s="14" t="n">
        <x:v>3</x:v>
      </x:c>
      <x:c r="K14" s="14" t="n">
        <x:v>2</x:v>
      </x:c>
      <x:c r="L14" s="14" t="n">
        <x:v>1</x:v>
      </x:c>
      <x:c r="M14" s="14" t="n">
        <x:v>0</x:v>
      </x:c>
      <x:c r="N14" s="14" t="n">
        <x:v>0</x:v>
      </x:c>
      <x:c r="O14" s="14" t="n">
        <x:v>3</x:v>
      </x:c>
      <x:c r="P14" s="14" t="n">
        <x:v>76</x:v>
      </x:c>
      <x:c r="Q14" s="60" t="n">
        <x:v>2018</x:v>
      </x:c>
      <x:c r="R14" s="12" t="str">
        <x:v>Department of Statistics - Establishments Census 2018 - Table 4</x:v>
      </x:c>
    </x:row>
    <x:row r="15">
      <x:c r="A15" s="12" t="str">
        <x:v>1040</x:v>
      </x:c>
      <x:c r="B15" s="12" t="str">
        <x:v>Manufacture of vegetable and animal oils and fats</x:v>
      </x:c>
      <x:c r="C15" s="12" t="str">
        <x:v>Detailed activity (4-digit)</x:v>
      </x:c>
      <x:c r="D15" s="14" t="n">
        <x:v>31</x:v>
      </x:c>
      <x:c r="E15" s="14" t="n">
        <x:v>10</x:v>
      </x:c>
      <x:c r="F15" s="14" t="n">
        <x:v>6</x:v>
      </x:c>
      <x:c r="G15" s="14" t="n">
        <x:v>3</x:v>
      </x:c>
      <x:c r="H15" s="14" t="n">
        <x:v>37</x:v>
      </x:c>
      <x:c r="I15" s="14" t="n">
        <x:v>11</x:v>
      </x:c>
      <x:c r="J15" s="14" t="n">
        <x:v>12</x:v>
      </x:c>
      <x:c r="K15" s="14" t="n">
        <x:v>14</x:v>
      </x:c>
      <x:c r="L15" s="14" t="n">
        <x:v>5</x:v>
      </x:c>
      <x:c r="M15" s="14" t="n">
        <x:v>2</x:v>
      </x:c>
      <x:c r="N15" s="14" t="n">
        <x:v>3</x:v>
      </x:c>
      <x:c r="O15" s="14" t="n">
        <x:v>0</x:v>
      </x:c>
      <x:c r="P15" s="14" t="n">
        <x:v>134</x:v>
      </x:c>
      <x:c r="Q15" s="60" t="n">
        <x:v>2018</x:v>
      </x:c>
      <x:c r="R15" s="12" t="str">
        <x:v>Department of Statistics - Establishments Census 2018 - Table 4</x:v>
      </x:c>
    </x:row>
    <x:row r="16">
      <x:c r="A16" s="12" t="str">
        <x:v>1050</x:v>
      </x:c>
      <x:c r="B16" s="12" t="str">
        <x:v>Manufacture of dairy products</x:v>
      </x:c>
      <x:c r="C16" s="12" t="str">
        <x:v>Detailed activity (4-digit)</x:v>
      </x:c>
      <x:c r="D16" s="14" t="n">
        <x:v>78</x:v>
      </x:c>
      <x:c r="E16" s="14" t="n">
        <x:v>19</x:v>
      </x:c>
      <x:c r="F16" s="14" t="n">
        <x:v>57</x:v>
      </x:c>
      <x:c r="G16" s="14" t="n">
        <x:v>21</x:v>
      </x:c>
      <x:c r="H16" s="14" t="n">
        <x:v>349</x:v>
      </x:c>
      <x:c r="I16" s="14" t="n">
        <x:v>20</x:v>
      </x:c>
      <x:c r="J16" s="14" t="n">
        <x:v>39</x:v>
      </x:c>
      <x:c r="K16" s="14" t="n">
        <x:v>43</x:v>
      </x:c>
      <x:c r="L16" s="14" t="n">
        <x:v>6</x:v>
      </x:c>
      <x:c r="M16" s="14" t="n">
        <x:v>11</x:v>
      </x:c>
      <x:c r="N16" s="14" t="n">
        <x:v>4</x:v>
      </x:c>
      <x:c r="O16" s="14" t="n">
        <x:v>4</x:v>
      </x:c>
      <x:c r="P16" s="14" t="n">
        <x:v>651</x:v>
      </x:c>
      <x:c r="Q16" s="60" t="n">
        <x:v>2018</x:v>
      </x:c>
      <x:c r="R16" s="12" t="str">
        <x:v>Department of Statistics - Establishments Census 2018 - Table 4</x:v>
      </x:c>
    </x:row>
    <x:row r="17">
      <x:c r="A17" s="12" t="str">
        <x:v>1061</x:v>
      </x:c>
      <x:c r="B17" s="12" t="str">
        <x:v>Manufacture of grain mill products</x:v>
      </x:c>
      <x:c r="C17" s="12" t="str">
        <x:v>Detailed activity (4-digit)</x:v>
      </x:c>
      <x:c r="D17" s="14" t="n">
        <x:v>19</x:v>
      </x:c>
      <x:c r="E17" s="14" t="n">
        <x:v>11</x:v>
      </x:c>
      <x:c r="F17" s="14" t="n">
        <x:v>6</x:v>
      </x:c>
      <x:c r="G17" s="14" t="n">
        <x:v>3</x:v>
      </x:c>
      <x:c r="H17" s="14" t="n">
        <x:v>23</x:v>
      </x:c>
      <x:c r="I17" s="14" t="n">
        <x:v>8</x:v>
      </x:c>
      <x:c r="J17" s="14" t="n">
        <x:v>4</x:v>
      </x:c>
      <x:c r="K17" s="14" t="n">
        <x:v>6</x:v>
      </x:c>
      <x:c r="L17" s="14" t="n">
        <x:v>6</x:v>
      </x:c>
      <x:c r="M17" s="14" t="n">
        <x:v>6</x:v>
      </x:c>
      <x:c r="N17" s="14" t="n">
        <x:v>2</x:v>
      </x:c>
      <x:c r="O17" s="14" t="n">
        <x:v>2</x:v>
      </x:c>
      <x:c r="P17" s="14" t="n">
        <x:v>96</x:v>
      </x:c>
      <x:c r="Q17" s="60" t="n">
        <x:v>2018</x:v>
      </x:c>
      <x:c r="R17" s="12" t="str">
        <x:v>Department of Statistics - Establishments Census 2018 - Table 4</x:v>
      </x:c>
    </x:row>
    <x:row r="18">
      <x:c r="A18" s="12" t="str">
        <x:v>1071</x:v>
      </x:c>
      <x:c r="B18" s="12" t="str">
        <x:v>Manufacture of bakery products</x:v>
      </x:c>
      <x:c r="C18" s="12" t="str">
        <x:v>Detailed activity (4-digit)</x:v>
      </x:c>
      <x:c r="D18" s="14" t="n">
        <x:v>1097</x:v>
      </x:c>
      <x:c r="E18" s="14" t="n">
        <x:v>199</x:v>
      </x:c>
      <x:c r="F18" s="14" t="n">
        <x:v>356</x:v>
      </x:c>
      <x:c r="G18" s="14" t="n">
        <x:v>80</x:v>
      </x:c>
      <x:c r="H18" s="14" t="n">
        <x:v>578</x:v>
      </x:c>
      <x:c r="I18" s="14" t="n">
        <x:v>122</x:v>
      </x:c>
      <x:c r="J18" s="14" t="n">
        <x:v>76</x:v>
      </x:c>
      <x:c r="K18" s="14" t="n">
        <x:v>69</x:v>
      </x:c>
      <x:c r="L18" s="14" t="n">
        <x:v>112</x:v>
      </x:c>
      <x:c r="M18" s="14" t="n">
        <x:v>48</x:v>
      </x:c>
      <x:c r="N18" s="14" t="n">
        <x:v>44</x:v>
      </x:c>
      <x:c r="O18" s="14" t="n">
        <x:v>33</x:v>
      </x:c>
      <x:c r="P18" s="14" t="n">
        <x:v>2814</x:v>
      </x:c>
      <x:c r="Q18" s="60" t="n">
        <x:v>2018</x:v>
      </x:c>
      <x:c r="R18" s="12" t="str">
        <x:v>Department of Statistics - Establishments Census 2018 - Table 4</x:v>
      </x:c>
    </x:row>
    <x:row r="19">
      <x:c r="A19" s="12" t="str">
        <x:v>1073</x:v>
      </x:c>
      <x:c r="B19" s="12" t="str">
        <x:v>Manufacture of cocoa, chocolate and sugar confectionery</x:v>
      </x:c>
      <x:c r="C19" s="12" t="str">
        <x:v>Detailed activity (4-digit)</x:v>
      </x:c>
      <x:c r="D19" s="14" t="n">
        <x:v>59</x:v>
      </x:c>
      <x:c r="E19" s="14" t="n">
        <x:v>2</x:v>
      </x:c>
      <x:c r="F19" s="14" t="n">
        <x:v>8</x:v>
      </x:c>
      <x:c r="G19" s="14" t="n">
        <x:v>2</x:v>
      </x:c>
      <x:c r="H19" s="14" t="n">
        <x:v>4</x:v>
      </x:c>
      <x:c r="I19" s="14" t="n">
        <x:v>0</x:v>
      </x:c>
      <x:c r="J19" s="14" t="n">
        <x:v>0</x:v>
      </x:c>
      <x:c r="K19" s="14" t="n">
        <x:v>0</x:v>
      </x:c>
      <x:c r="L19" s="14" t="n">
        <x:v>1</x:v>
      </x:c>
      <x:c r="M19" s="14" t="n">
        <x:v>0</x:v>
      </x:c>
      <x:c r="N19" s="14" t="n">
        <x:v>0</x:v>
      </x:c>
      <x:c r="O19" s="14" t="n">
        <x:v>0</x:v>
      </x:c>
      <x:c r="P19" s="14" t="n">
        <x:v>76</x:v>
      </x:c>
      <x:c r="Q19" s="60" t="n">
        <x:v>2018</x:v>
      </x:c>
      <x:c r="R19" s="12" t="str">
        <x:v>Department of Statistics - Establishments Census 2018 - Table 4</x:v>
      </x:c>
    </x:row>
    <x:row r="20">
      <x:c r="A20" s="12" t="str">
        <x:v>1074</x:v>
      </x:c>
      <x:c r="B20" s="12" t="str">
        <x:v>Manufacture of macaroni, noodles, couscous and similar farinaceous products</x:v>
      </x:c>
      <x:c r="C20" s="12" t="str">
        <x:v>Detailed activity (4-digit)</x:v>
      </x:c>
      <x:c r="D20" s="14" t="n">
        <x:v>3</x:v>
      </x:c>
      <x:c r="E20" s="14" t="n">
        <x:v>0</x:v>
      </x:c>
      <x:c r="F20" s="14" t="n">
        <x:v>0</x:v>
      </x:c>
      <x:c r="G20" s="14" t="n">
        <x:v>0</x:v>
      </x:c>
      <x:c r="H20" s="14" t="n">
        <x:v>0</x:v>
      </x:c>
      <x:c r="I20" s="14" t="n">
        <x:v>0</x:v>
      </x:c>
      <x:c r="J20" s="14" t="n">
        <x:v>0</x:v>
      </x:c>
      <x:c r="K20" s="14" t="n">
        <x:v>0</x:v>
      </x:c>
      <x:c r="L20" s="14" t="n">
        <x:v>0</x:v>
      </x:c>
      <x:c r="M20" s="14" t="n">
        <x:v>0</x:v>
      </x:c>
      <x:c r="N20" s="14" t="n">
        <x:v>0</x:v>
      </x:c>
      <x:c r="O20" s="14" t="n">
        <x:v>0</x:v>
      </x:c>
      <x:c r="P20" s="14" t="n">
        <x:v>3</x:v>
      </x:c>
      <x:c r="Q20" s="60" t="n">
        <x:v>2018</x:v>
      </x:c>
      <x:c r="R20" s="12" t="str">
        <x:v>Department of Statistics - Establishments Census 2018 - Table 4</x:v>
      </x:c>
    </x:row>
    <x:row r="21">
      <x:c r="A21" s="12" t="str">
        <x:v>1079</x:v>
      </x:c>
      <x:c r="B21" s="12" t="str">
        <x:v>Manufacture of other food products n.e.c.</x:v>
      </x:c>
      <x:c r="C21" s="12" t="str">
        <x:v>Detailed activity (4-digit)</x:v>
      </x:c>
      <x:c r="D21" s="14" t="n">
        <x:v>348</x:v>
      </x:c>
      <x:c r="E21" s="14" t="n">
        <x:v>53</x:v>
      </x:c>
      <x:c r="F21" s="14" t="n">
        <x:v>68</x:v>
      </x:c>
      <x:c r="G21" s="14" t="n">
        <x:v>16</x:v>
      </x:c>
      <x:c r="H21" s="14" t="n">
        <x:v>166</x:v>
      </x:c>
      <x:c r="I21" s="14" t="n">
        <x:v>21</x:v>
      </x:c>
      <x:c r="J21" s="14" t="n">
        <x:v>29</x:v>
      </x:c>
      <x:c r="K21" s="14" t="n">
        <x:v>29</x:v>
      </x:c>
      <x:c r="L21" s="14" t="n">
        <x:v>14</x:v>
      </x:c>
      <x:c r="M21" s="14" t="n">
        <x:v>14</x:v>
      </x:c>
      <x:c r="N21" s="14" t="n">
        <x:v>7</x:v>
      </x:c>
      <x:c r="O21" s="14" t="n">
        <x:v>15</x:v>
      </x:c>
      <x:c r="P21" s="14" t="n">
        <x:v>780</x:v>
      </x:c>
      <x:c r="Q21" s="60" t="n">
        <x:v>2018</x:v>
      </x:c>
      <x:c r="R21" s="12" t="str">
        <x:v>Department of Statistics - Establishments Census 2018 - Table 4</x:v>
      </x:c>
    </x:row>
    <x:row r="22">
      <x:c r="A22" s="12" t="str">
        <x:v>1080</x:v>
      </x:c>
      <x:c r="B22" s="12" t="str">
        <x:v>Manufacture of prepared animal feeds</x:v>
      </x:c>
      <x:c r="C22" s="12" t="str">
        <x:v>Detailed activity (4-digit)</x:v>
      </x:c>
      <x:c r="D22" s="14" t="n">
        <x:v>28</x:v>
      </x:c>
      <x:c r="E22" s="14" t="n">
        <x:v>14</x:v>
      </x:c>
      <x:c r="F22" s="14" t="n">
        <x:v>15</x:v>
      </x:c>
      <x:c r="G22" s="14" t="n">
        <x:v>5</x:v>
      </x:c>
      <x:c r="H22" s="14" t="n">
        <x:v>37</x:v>
      </x:c>
      <x:c r="I22" s="14" t="n">
        <x:v>11</x:v>
      </x:c>
      <x:c r="J22" s="14" t="n">
        <x:v>6</x:v>
      </x:c>
      <x:c r="K22" s="14" t="n">
        <x:v>6</x:v>
      </x:c>
      <x:c r="L22" s="14" t="n">
        <x:v>7</x:v>
      </x:c>
      <x:c r="M22" s="14" t="n">
        <x:v>0</x:v>
      </x:c>
      <x:c r="N22" s="14" t="n">
        <x:v>5</x:v>
      </x:c>
      <x:c r="O22" s="14" t="n">
        <x:v>0</x:v>
      </x:c>
      <x:c r="P22" s="14" t="n">
        <x:v>134</x:v>
      </x:c>
      <x:c r="Q22" s="60" t="n">
        <x:v>2018</x:v>
      </x:c>
      <x:c r="R22" s="12" t="str">
        <x:v>Department of Statistics - Establishments Census 2018 - Table 4</x:v>
      </x:c>
    </x:row>
    <x:row r="23">
      <x:c r="A23" s="12" t="str">
        <x:v>11</x:v>
      </x:c>
      <x:c r="B23" s="12" t="str">
        <x:v>Manufacture of beverages</x:v>
      </x:c>
      <x:c r="C23" s="12" t="str">
        <x:v>Sector (2-digit)</x:v>
      </x:c>
      <x:c r="D23" s="14" t="n">
        <x:v>31</x:v>
      </x:c>
      <x:c r="E23" s="14" t="n">
        <x:v>12</x:v>
      </x:c>
      <x:c r="F23" s="14" t="n">
        <x:v>8</x:v>
      </x:c>
      <x:c r="G23" s="14" t="n">
        <x:v>0</x:v>
      </x:c>
      <x:c r="H23" s="14" t="n">
        <x:v>3</x:v>
      </x:c>
      <x:c r="I23" s="14" t="n">
        <x:v>2</x:v>
      </x:c>
      <x:c r="J23" s="14" t="n">
        <x:v>1</x:v>
      </x:c>
      <x:c r="K23" s="14" t="n">
        <x:v>1</x:v>
      </x:c>
      <x:c r="L23" s="14" t="n">
        <x:v>1</x:v>
      </x:c>
      <x:c r="M23" s="14" t="n">
        <x:v>0</x:v>
      </x:c>
      <x:c r="N23" s="14" t="n">
        <x:v>1</x:v>
      </x:c>
      <x:c r="O23" s="14" t="n">
        <x:v>4</x:v>
      </x:c>
      <x:c r="P23" s="14" t="n">
        <x:v>64</x:v>
      </x:c>
      <x:c r="Q23" s="60" t="n">
        <x:v>2018</x:v>
      </x:c>
      <x:c r="R23" s="12" t="str">
        <x:v>Department of Statistics - Establishments Census 2018 - Table 4</x:v>
      </x:c>
    </x:row>
    <x:row r="24">
      <x:c r="A24" s="12" t="str">
        <x:v>1101</x:v>
      </x:c>
      <x:c r="B24" s="12" t="str">
        <x:v>Distilling, rectifying and blending of spirits</x:v>
      </x:c>
      <x:c r="C24" s="12" t="str">
        <x:v>Detailed activity (4-digit)</x:v>
      </x:c>
      <x:c r="D24" s="14" t="n">
        <x:v>3</x:v>
      </x:c>
      <x:c r="E24" s="14" t="n">
        <x:v>0</x:v>
      </x:c>
      <x:c r="F24" s="14" t="n">
        <x:v>1</x:v>
      </x:c>
      <x:c r="G24" s="14" t="n">
        <x:v>0</x:v>
      </x:c>
      <x:c r="H24" s="14" t="n">
        <x:v>0</x:v>
      </x:c>
      <x:c r="I24" s="14" t="n">
        <x:v>0</x:v>
      </x:c>
      <x:c r="J24" s="14" t="n">
        <x:v>0</x:v>
      </x:c>
      <x:c r="K24" s="14" t="n">
        <x:v>0</x:v>
      </x:c>
      <x:c r="L24" s="14" t="n">
        <x:v>0</x:v>
      </x:c>
      <x:c r="M24" s="14" t="n">
        <x:v>0</x:v>
      </x:c>
      <x:c r="N24" s="14" t="n">
        <x:v>0</x:v>
      </x:c>
      <x:c r="O24" s="14" t="n">
        <x:v>0</x:v>
      </x:c>
      <x:c r="P24" s="14" t="n">
        <x:v>4</x:v>
      </x:c>
      <x:c r="Q24" s="60" t="n">
        <x:v>2018</x:v>
      </x:c>
      <x:c r="R24" s="12" t="str">
        <x:v>Department of Statistics - Establishments Census 2018 - Table 4</x:v>
      </x:c>
    </x:row>
    <x:row r="25">
      <x:c r="A25" s="12" t="str">
        <x:v>1103</x:v>
      </x:c>
      <x:c r="B25" s="12" t="str">
        <x:v>Manufacture of malt liquors and malt</x:v>
      </x:c>
      <x:c r="C25" s="12" t="str">
        <x:v>Detailed activity (4-digit)</x:v>
      </x:c>
      <x:c r="D25" s="14" t="n">
        <x:v>1</x:v>
      </x:c>
      <x:c r="E25" s="14" t="n">
        <x:v>1</x:v>
      </x:c>
      <x:c r="F25" s="14" t="n">
        <x:v>0</x:v>
      </x:c>
      <x:c r="G25" s="14" t="n">
        <x:v>0</x:v>
      </x:c>
      <x:c r="H25" s="14" t="n">
        <x:v>0</x:v>
      </x:c>
      <x:c r="I25" s="14" t="n">
        <x:v>0</x:v>
      </x:c>
      <x:c r="J25" s="14" t="n">
        <x:v>0</x:v>
      </x:c>
      <x:c r="K25" s="14" t="n">
        <x:v>0</x:v>
      </x:c>
      <x:c r="L25" s="14" t="n">
        <x:v>0</x:v>
      </x:c>
      <x:c r="M25" s="14" t="n">
        <x:v>0</x:v>
      </x:c>
      <x:c r="N25" s="14" t="n">
        <x:v>0</x:v>
      </x:c>
      <x:c r="O25" s="14" t="n">
        <x:v>0</x:v>
      </x:c>
      <x:c r="P25" s="14" t="n">
        <x:v>2</x:v>
      </x:c>
      <x:c r="Q25" s="60" t="n">
        <x:v>2018</x:v>
      </x:c>
      <x:c r="R25" s="12" t="str">
        <x:v>Department of Statistics - Establishments Census 2018 - Table 4</x:v>
      </x:c>
    </x:row>
    <x:row r="26">
      <x:c r="A26" s="12" t="str">
        <x:v>1104</x:v>
      </x:c>
      <x:c r="B26" s="12" t="str">
        <x:v>Manufacture of soft drinks; production of mineral waters and other bottled waters</x:v>
      </x:c>
      <x:c r="C26" s="12" t="str">
        <x:v>Detailed activity (4-digit)</x:v>
      </x:c>
      <x:c r="D26" s="14" t="n">
        <x:v>27</x:v>
      </x:c>
      <x:c r="E26" s="14" t="n">
        <x:v>11</x:v>
      </x:c>
      <x:c r="F26" s="14" t="n">
        <x:v>7</x:v>
      </x:c>
      <x:c r="G26" s="14" t="n">
        <x:v>0</x:v>
      </x:c>
      <x:c r="H26" s="14" t="n">
        <x:v>3</x:v>
      </x:c>
      <x:c r="I26" s="14" t="n">
        <x:v>2</x:v>
      </x:c>
      <x:c r="J26" s="14" t="n">
        <x:v>1</x:v>
      </x:c>
      <x:c r="K26" s="14" t="n">
        <x:v>1</x:v>
      </x:c>
      <x:c r="L26" s="14" t="n">
        <x:v>1</x:v>
      </x:c>
      <x:c r="M26" s="14" t="n">
        <x:v>0</x:v>
      </x:c>
      <x:c r="N26" s="14" t="n">
        <x:v>1</x:v>
      </x:c>
      <x:c r="O26" s="14" t="n">
        <x:v>4</x:v>
      </x:c>
      <x:c r="P26" s="14" t="n">
        <x:v>58</x:v>
      </x:c>
      <x:c r="Q26" s="60" t="n">
        <x:v>2018</x:v>
      </x:c>
      <x:c r="R26" s="12" t="str">
        <x:v>Department of Statistics - Establishments Census 2018 - Table 4</x:v>
      </x:c>
    </x:row>
    <x:row r="27">
      <x:c r="A27" s="12" t="str">
        <x:v>12</x:v>
      </x:c>
      <x:c r="B27" s="12" t="str">
        <x:v>Manufacture of tobacco products</x:v>
      </x:c>
      <x:c r="C27" s="12" t="str">
        <x:v>Sector (2-digit)</x:v>
      </x:c>
      <x:c r="D27" s="14" t="n">
        <x:v>14</x:v>
      </x:c>
      <x:c r="E27" s="14" t="n">
        <x:v>1</x:v>
      </x:c>
      <x:c r="F27" s="14" t="n">
        <x:v>11</x:v>
      </x:c>
      <x:c r="G27" s="14" t="n">
        <x:v>0</x:v>
      </x:c>
      <x:c r="H27" s="14" t="n">
        <x:v>2</x:v>
      </x:c>
      <x:c r="I27" s="14" t="n">
        <x:v>0</x:v>
      </x:c>
      <x:c r="J27" s="14" t="n">
        <x:v>0</x:v>
      </x:c>
      <x:c r="K27" s="14" t="n">
        <x:v>0</x:v>
      </x:c>
      <x:c r="L27" s="14" t="n">
        <x:v>0</x:v>
      </x:c>
      <x:c r="M27" s="14" t="n">
        <x:v>0</x:v>
      </x:c>
      <x:c r="N27" s="14" t="n">
        <x:v>1</x:v>
      </x:c>
      <x:c r="O27" s="14" t="n">
        <x:v>0</x:v>
      </x:c>
      <x:c r="P27" s="14" t="n">
        <x:v>29</x:v>
      </x:c>
      <x:c r="Q27" s="60" t="n">
        <x:v>2018</x:v>
      </x:c>
      <x:c r="R27" s="12" t="str">
        <x:v>Department of Statistics - Establishments Census 2018 - Table 4</x:v>
      </x:c>
    </x:row>
    <x:row r="28">
      <x:c r="A28" s="12" t="str">
        <x:v>1200</x:v>
      </x:c>
      <x:c r="B28" s="12" t="str">
        <x:v>Manufacture of tobacco products</x:v>
      </x:c>
      <x:c r="C28" s="12" t="str">
        <x:v>Detailed activity (4-digit)</x:v>
      </x:c>
      <x:c r="D28" s="14" t="n">
        <x:v>14</x:v>
      </x:c>
      <x:c r="E28" s="14" t="n">
        <x:v>1</x:v>
      </x:c>
      <x:c r="F28" s="14" t="n">
        <x:v>11</x:v>
      </x:c>
      <x:c r="G28" s="14" t="n">
        <x:v>0</x:v>
      </x:c>
      <x:c r="H28" s="14" t="n">
        <x:v>2</x:v>
      </x:c>
      <x:c r="I28" s="14" t="n">
        <x:v>0</x:v>
      </x:c>
      <x:c r="J28" s="14" t="n">
        <x:v>0</x:v>
      </x:c>
      <x:c r="K28" s="14" t="n">
        <x:v>0</x:v>
      </x:c>
      <x:c r="L28" s="14" t="n">
        <x:v>0</x:v>
      </x:c>
      <x:c r="M28" s="14" t="n">
        <x:v>0</x:v>
      </x:c>
      <x:c r="N28" s="14" t="n">
        <x:v>1</x:v>
      </x:c>
      <x:c r="O28" s="14" t="n">
        <x:v>0</x:v>
      </x:c>
      <x:c r="P28" s="14" t="n">
        <x:v>29</x:v>
      </x:c>
      <x:c r="Q28" s="60" t="n">
        <x:v>2018</x:v>
      </x:c>
      <x:c r="R28" s="12" t="str">
        <x:v>Department of Statistics - Establishments Census 2018 - Table 4</x:v>
      </x:c>
    </x:row>
    <x:row r="29">
      <x:c r="A29" s="12" t="str">
        <x:v>13</x:v>
      </x:c>
      <x:c r="B29" s="12" t="str">
        <x:v>Manufacture of textiles</x:v>
      </x:c>
      <x:c r="C29" s="12" t="str">
        <x:v>Sector (2-digit)</x:v>
      </x:c>
      <x:c r="D29" s="14" t="n">
        <x:v>244</x:v>
      </x:c>
      <x:c r="E29" s="14" t="n">
        <x:v>32</x:v>
      </x:c>
      <x:c r="F29" s="14" t="n">
        <x:v>78</x:v>
      </x:c>
      <x:c r="G29" s="14" t="n">
        <x:v>26</x:v>
      </x:c>
      <x:c r="H29" s="14" t="n">
        <x:v>89</x:v>
      </x:c>
      <x:c r="I29" s="14" t="n">
        <x:v>33</x:v>
      </x:c>
      <x:c r="J29" s="14" t="n">
        <x:v>6</x:v>
      </x:c>
      <x:c r="K29" s="14" t="n">
        <x:v>12</x:v>
      </x:c>
      <x:c r="L29" s="14" t="n">
        <x:v>27</x:v>
      </x:c>
      <x:c r="M29" s="14" t="n">
        <x:v>17</x:v>
      </x:c>
      <x:c r="N29" s="14" t="n">
        <x:v>12</x:v>
      </x:c>
      <x:c r="O29" s="14" t="n">
        <x:v>12</x:v>
      </x:c>
      <x:c r="P29" s="14" t="n">
        <x:v>588</x:v>
      </x:c>
      <x:c r="Q29" s="60" t="n">
        <x:v>2018</x:v>
      </x:c>
      <x:c r="R29" s="12" t="str">
        <x:v>Department of Statistics - Establishments Census 2018 - Table 4</x:v>
      </x:c>
    </x:row>
    <x:row r="30">
      <x:c r="A30" s="12" t="str">
        <x:v>1312</x:v>
      </x:c>
      <x:c r="B30" s="12" t="str">
        <x:v>Weaving of textiles</x:v>
      </x:c>
      <x:c r="C30" s="12" t="str">
        <x:v>Detailed activity (4-digit)</x:v>
      </x:c>
      <x:c r="D30" s="14" t="n">
        <x:v>4</x:v>
      </x:c>
      <x:c r="E30" s="14" t="n">
        <x:v>0</x:v>
      </x:c>
      <x:c r="F30" s="14" t="n">
        <x:v>1</x:v>
      </x:c>
      <x:c r="G30" s="14" t="n">
        <x:v>0</x:v>
      </x:c>
      <x:c r="H30" s="14" t="n">
        <x:v>0</x:v>
      </x:c>
      <x:c r="I30" s="14" t="n">
        <x:v>0</x:v>
      </x:c>
      <x:c r="J30" s="14" t="n">
        <x:v>0</x:v>
      </x:c>
      <x:c r="K30" s="14" t="n">
        <x:v>0</x:v>
      </x:c>
      <x:c r="L30" s="14" t="n">
        <x:v>0</x:v>
      </x:c>
      <x:c r="M30" s="14" t="n">
        <x:v>0</x:v>
      </x:c>
      <x:c r="N30" s="14" t="n">
        <x:v>0</x:v>
      </x:c>
      <x:c r="O30" s="14" t="n">
        <x:v>0</x:v>
      </x:c>
      <x:c r="P30" s="14" t="n">
        <x:v>5</x:v>
      </x:c>
      <x:c r="Q30" s="60" t="n">
        <x:v>2018</x:v>
      </x:c>
      <x:c r="R30" s="12" t="str">
        <x:v>Department of Statistics - Establishments Census 2018 - Table 4</x:v>
      </x:c>
    </x:row>
    <x:row r="31">
      <x:c r="A31" s="12" t="str">
        <x:v>1313</x:v>
      </x:c>
      <x:c r="B31" s="12" t="str">
        <x:v>Finishing of textiles</x:v>
      </x:c>
      <x:c r="C31" s="12" t="str">
        <x:v>Detailed activity (4-digit)</x:v>
      </x:c>
      <x:c r="D31" s="14" t="n">
        <x:v>1</x:v>
      </x:c>
      <x:c r="E31" s="14" t="n">
        <x:v>0</x:v>
      </x:c>
      <x:c r="F31" s="14" t="n">
        <x:v>0</x:v>
      </x:c>
      <x:c r="G31" s="14" t="n">
        <x:v>0</x:v>
      </x:c>
      <x:c r="H31" s="14" t="n">
        <x:v>0</x:v>
      </x:c>
      <x:c r="I31" s="14" t="n">
        <x:v>0</x:v>
      </x:c>
      <x:c r="J31" s="14" t="n">
        <x:v>0</x:v>
      </x:c>
      <x:c r="K31" s="14" t="n">
        <x:v>0</x:v>
      </x:c>
      <x:c r="L31" s="14" t="n">
        <x:v>0</x:v>
      </x:c>
      <x:c r="M31" s="14" t="n">
        <x:v>0</x:v>
      </x:c>
      <x:c r="N31" s="14" t="n">
        <x:v>0</x:v>
      </x:c>
      <x:c r="O31" s="14" t="n">
        <x:v>0</x:v>
      </x:c>
      <x:c r="P31" s="14" t="n">
        <x:v>1</x:v>
      </x:c>
      <x:c r="Q31" s="60" t="n">
        <x:v>2018</x:v>
      </x:c>
      <x:c r="R31" s="12" t="str">
        <x:v>Department of Statistics - Establishments Census 2018 - Table 4</x:v>
      </x:c>
    </x:row>
    <x:row r="32">
      <x:c r="A32" s="12" t="str">
        <x:v>1392</x:v>
      </x:c>
      <x:c r="B32" s="12" t="str">
        <x:v>Manufacture of made-up textile articles, except apparel</x:v>
      </x:c>
      <x:c r="C32" s="12" t="str">
        <x:v>Detailed activity (4-digit)</x:v>
      </x:c>
      <x:c r="D32" s="14" t="n">
        <x:v>202</x:v>
      </x:c>
      <x:c r="E32" s="14" t="n">
        <x:v>32</x:v>
      </x:c>
      <x:c r="F32" s="14" t="n">
        <x:v>75</x:v>
      </x:c>
      <x:c r="G32" s="14" t="n">
        <x:v>25</x:v>
      </x:c>
      <x:c r="H32" s="14" t="n">
        <x:v>88</x:v>
      </x:c>
      <x:c r="I32" s="14" t="n">
        <x:v>33</x:v>
      </x:c>
      <x:c r="J32" s="14" t="n">
        <x:v>6</x:v>
      </x:c>
      <x:c r="K32" s="14" t="n">
        <x:v>12</x:v>
      </x:c>
      <x:c r="L32" s="14" t="n">
        <x:v>26</x:v>
      </x:c>
      <x:c r="M32" s="14" t="n">
        <x:v>17</x:v>
      </x:c>
      <x:c r="N32" s="14" t="n">
        <x:v>11</x:v>
      </x:c>
      <x:c r="O32" s="14" t="n">
        <x:v>12</x:v>
      </x:c>
      <x:c r="P32" s="14" t="n">
        <x:v>539</x:v>
      </x:c>
      <x:c r="Q32" s="60" t="n">
        <x:v>2018</x:v>
      </x:c>
      <x:c r="R32" s="12" t="str">
        <x:v>Department of Statistics - Establishments Census 2018 - Table 4</x:v>
      </x:c>
    </x:row>
    <x:row r="33">
      <x:c r="A33" s="12" t="str">
        <x:v>1393</x:v>
      </x:c>
      <x:c r="B33" s="12" t="str">
        <x:v>Manufacture of carpets and rugs</x:v>
      </x:c>
      <x:c r="C33" s="12" t="str">
        <x:v>Detailed activity (4-digit)</x:v>
      </x:c>
      <x:c r="D33" s="14" t="n">
        <x:v>13</x:v>
      </x:c>
      <x:c r="E33" s="14" t="n">
        <x:v>0</x:v>
      </x:c>
      <x:c r="F33" s="14" t="n">
        <x:v>2</x:v>
      </x:c>
      <x:c r="G33" s="14" t="n">
        <x:v>0</x:v>
      </x:c>
      <x:c r="H33" s="14" t="n">
        <x:v>0</x:v>
      </x:c>
      <x:c r="I33" s="14" t="n">
        <x:v>0</x:v>
      </x:c>
      <x:c r="J33" s="14" t="n">
        <x:v>0</x:v>
      </x:c>
      <x:c r="K33" s="14" t="n">
        <x:v>0</x:v>
      </x:c>
      <x:c r="L33" s="14" t="n">
        <x:v>0</x:v>
      </x:c>
      <x:c r="M33" s="14" t="n">
        <x:v>0</x:v>
      </x:c>
      <x:c r="N33" s="14" t="n">
        <x:v>1</x:v>
      </x:c>
      <x:c r="O33" s="14" t="n">
        <x:v>0</x:v>
      </x:c>
      <x:c r="P33" s="14" t="n">
        <x:v>16</x:v>
      </x:c>
      <x:c r="Q33" s="60" t="n">
        <x:v>2018</x:v>
      </x:c>
      <x:c r="R33" s="12" t="str">
        <x:v>Department of Statistics - Establishments Census 2018 - Table 4</x:v>
      </x:c>
    </x:row>
    <x:row r="34">
      <x:c r="A34" s="12" t="str">
        <x:v>1399</x:v>
      </x:c>
      <x:c r="B34" s="12" t="str">
        <x:v>Manufacture of other textiles n.e.c.</x:v>
      </x:c>
      <x:c r="C34" s="12" t="str">
        <x:v>Detailed activity (4-digit)</x:v>
      </x:c>
      <x:c r="D34" s="14" t="n">
        <x:v>24</x:v>
      </x:c>
      <x:c r="E34" s="14" t="n">
        <x:v>0</x:v>
      </x:c>
      <x:c r="F34" s="14" t="n">
        <x:v>0</x:v>
      </x:c>
      <x:c r="G34" s="14" t="n">
        <x:v>1</x:v>
      </x:c>
      <x:c r="H34" s="14" t="n">
        <x:v>1</x:v>
      </x:c>
      <x:c r="I34" s="14" t="n">
        <x:v>0</x:v>
      </x:c>
      <x:c r="J34" s="14" t="n">
        <x:v>0</x:v>
      </x:c>
      <x:c r="K34" s="14" t="n">
        <x:v>0</x:v>
      </x:c>
      <x:c r="L34" s="14" t="n">
        <x:v>1</x:v>
      </x:c>
      <x:c r="M34" s="14" t="n">
        <x:v>0</x:v>
      </x:c>
      <x:c r="N34" s="14" t="n">
        <x:v>0</x:v>
      </x:c>
      <x:c r="O34" s="14" t="n">
        <x:v>0</x:v>
      </x:c>
      <x:c r="P34" s="14" t="n">
        <x:v>27</x:v>
      </x:c>
      <x:c r="Q34" s="60" t="n">
        <x:v>2018</x:v>
      </x:c>
      <x:c r="R34" s="12" t="str">
        <x:v>Department of Statistics - Establishments Census 2018 - Table 4</x:v>
      </x:c>
    </x:row>
    <x:row r="35">
      <x:c r="A35" s="12" t="str">
        <x:v>14</x:v>
      </x:c>
      <x:c r="B35" s="12" t="str">
        <x:v>Manufacture of wearing apparel</x:v>
      </x:c>
      <x:c r="C35" s="12" t="str">
        <x:v>Sector (2-digit)</x:v>
      </x:c>
      <x:c r="D35" s="14" t="n">
        <x:v>1026</x:v>
      </x:c>
      <x:c r="E35" s="14" t="n">
        <x:v>184</x:v>
      </x:c>
      <x:c r="F35" s="14" t="n">
        <x:v>416</x:v>
      </x:c>
      <x:c r="G35" s="14" t="n">
        <x:v>79</x:v>
      </x:c>
      <x:c r="H35" s="14" t="n">
        <x:v>391</x:v>
      </x:c>
      <x:c r="I35" s="14" t="n">
        <x:v>86</x:v>
      </x:c>
      <x:c r="J35" s="14" t="n">
        <x:v>48</x:v>
      </x:c>
      <x:c r="K35" s="14" t="n">
        <x:v>48</x:v>
      </x:c>
      <x:c r="L35" s="14" t="n">
        <x:v>117</x:v>
      </x:c>
      <x:c r="M35" s="14" t="n">
        <x:v>28</x:v>
      </x:c>
      <x:c r="N35" s="14" t="n">
        <x:v>67</x:v>
      </x:c>
      <x:c r="O35" s="14" t="n">
        <x:v>55</x:v>
      </x:c>
      <x:c r="P35" s="14" t="n">
        <x:v>2545</x:v>
      </x:c>
      <x:c r="Q35" s="60" t="n">
        <x:v>2018</x:v>
      </x:c>
      <x:c r="R35" s="12" t="str">
        <x:v>Department of Statistics - Establishments Census 2018 - Table 4</x:v>
      </x:c>
    </x:row>
    <x:row r="36">
      <x:c r="A36" s="12" t="str">
        <x:v>1410</x:v>
      </x:c>
      <x:c r="B36" s="12" t="str">
        <x:v>Manufacture of wearing apparel, except fur apparel</x:v>
      </x:c>
      <x:c r="C36" s="12" t="str">
        <x:v>Detailed activity (4-digit)</x:v>
      </x:c>
      <x:c r="D36" s="14" t="n">
        <x:v>1009</x:v>
      </x:c>
      <x:c r="E36" s="14" t="n">
        <x:v>184</x:v>
      </x:c>
      <x:c r="F36" s="14" t="n">
        <x:v>414</x:v>
      </x:c>
      <x:c r="G36" s="14" t="n">
        <x:v>79</x:v>
      </x:c>
      <x:c r="H36" s="14" t="n">
        <x:v>391</x:v>
      </x:c>
      <x:c r="I36" s="14" t="n">
        <x:v>86</x:v>
      </x:c>
      <x:c r="J36" s="14" t="n">
        <x:v>48</x:v>
      </x:c>
      <x:c r="K36" s="14" t="n">
        <x:v>48</x:v>
      </x:c>
      <x:c r="L36" s="14" t="n">
        <x:v>117</x:v>
      </x:c>
      <x:c r="M36" s="14" t="n">
        <x:v>28</x:v>
      </x:c>
      <x:c r="N36" s="14" t="n">
        <x:v>67</x:v>
      </x:c>
      <x:c r="O36" s="14" t="n">
        <x:v>55</x:v>
      </x:c>
      <x:c r="P36" s="14" t="n">
        <x:v>2526</x:v>
      </x:c>
      <x:c r="Q36" s="60" t="n">
        <x:v>2018</x:v>
      </x:c>
      <x:c r="R36" s="12" t="str">
        <x:v>Department of Statistics - Establishments Census 2018 - Table 4</x:v>
      </x:c>
    </x:row>
    <x:row r="37">
      <x:c r="A37" s="12" t="str">
        <x:v>1420</x:v>
      </x:c>
      <x:c r="B37" s="12" t="str">
        <x:v>Manufacture of articles of fur</x:v>
      </x:c>
      <x:c r="C37" s="12" t="str">
        <x:v>Detailed activity (4-digit)</x:v>
      </x:c>
      <x:c r="D37" s="14" t="n">
        <x:v>1</x:v>
      </x:c>
      <x:c r="E37" s="14" t="n">
        <x:v>0</x:v>
      </x:c>
      <x:c r="F37" s="14" t="n">
        <x:v>0</x:v>
      </x:c>
      <x:c r="G37" s="14" t="n">
        <x:v>0</x:v>
      </x:c>
      <x:c r="H37" s="14" t="n">
        <x:v>0</x:v>
      </x:c>
      <x:c r="I37" s="14" t="n">
        <x:v>0</x:v>
      </x:c>
      <x:c r="J37" s="14" t="n">
        <x:v>0</x:v>
      </x:c>
      <x:c r="K37" s="14" t="n">
        <x:v>0</x:v>
      </x:c>
      <x:c r="L37" s="14" t="n">
        <x:v>0</x:v>
      </x:c>
      <x:c r="M37" s="14" t="n">
        <x:v>0</x:v>
      </x:c>
      <x:c r="N37" s="14" t="n">
        <x:v>0</x:v>
      </x:c>
      <x:c r="O37" s="14" t="n">
        <x:v>0</x:v>
      </x:c>
      <x:c r="P37" s="14" t="n">
        <x:v>1</x:v>
      </x:c>
      <x:c r="Q37" s="60" t="n">
        <x:v>2018</x:v>
      </x:c>
      <x:c r="R37" s="12" t="str">
        <x:v>Department of Statistics - Establishments Census 2018 - Table 4</x:v>
      </x:c>
    </x:row>
    <x:row r="38">
      <x:c r="A38" s="12" t="str">
        <x:v>1430</x:v>
      </x:c>
      <x:c r="B38" s="12" t="str">
        <x:v>Manufacture of knitted and crocheted apparel</x:v>
      </x:c>
      <x:c r="C38" s="12" t="str">
        <x:v>Detailed activity (4-digit)</x:v>
      </x:c>
      <x:c r="D38" s="14" t="n">
        <x:v>16</x:v>
      </x:c>
      <x:c r="E38" s="14" t="n">
        <x:v>0</x:v>
      </x:c>
      <x:c r="F38" s="14" t="n">
        <x:v>2</x:v>
      </x:c>
      <x:c r="G38" s="14" t="n">
        <x:v>0</x:v>
      </x:c>
      <x:c r="H38" s="14" t="n">
        <x:v>0</x:v>
      </x:c>
      <x:c r="I38" s="14" t="n">
        <x:v>0</x:v>
      </x:c>
      <x:c r="J38" s="14" t="n">
        <x:v>0</x:v>
      </x:c>
      <x:c r="K38" s="14" t="n">
        <x:v>0</x:v>
      </x:c>
      <x:c r="L38" s="14" t="n">
        <x:v>0</x:v>
      </x:c>
      <x:c r="M38" s="14" t="n">
        <x:v>0</x:v>
      </x:c>
      <x:c r="N38" s="14" t="n">
        <x:v>0</x:v>
      </x:c>
      <x:c r="O38" s="14" t="n">
        <x:v>0</x:v>
      </x:c>
      <x:c r="P38" s="14" t="n">
        <x:v>18</x:v>
      </x:c>
      <x:c r="Q38" s="60" t="n">
        <x:v>2018</x:v>
      </x:c>
      <x:c r="R38" s="12" t="str">
        <x:v>Department of Statistics - Establishments Census 2018 - Table 4</x:v>
      </x:c>
    </x:row>
    <x:row r="39">
      <x:c r="A39" s="12" t="str">
        <x:v>15</x:v>
      </x:c>
      <x:c r="B39" s="12" t="str">
        <x:v>Manufacture of leather and related products</x:v>
      </x:c>
      <x:c r="C39" s="12" t="str">
        <x:v>Sector (2-digit)</x:v>
      </x:c>
      <x:c r="D39" s="14" t="n">
        <x:v>30</x:v>
      </x:c>
      <x:c r="E39" s="14" t="n">
        <x:v>1</x:v>
      </x:c>
      <x:c r="F39" s="14" t="n">
        <x:v>5</x:v>
      </x:c>
      <x:c r="G39" s="14" t="n">
        <x:v>0</x:v>
      </x:c>
      <x:c r="H39" s="14" t="n">
        <x:v>6</x:v>
      </x:c>
      <x:c r="I39" s="14" t="n">
        <x:v>5</x:v>
      </x:c>
      <x:c r="J39" s="14" t="n">
        <x:v>0</x:v>
      </x:c>
      <x:c r="K39" s="14" t="n">
        <x:v>0</x:v>
      </x:c>
      <x:c r="L39" s="14" t="n">
        <x:v>0</x:v>
      </x:c>
      <x:c r="M39" s="14" t="n">
        <x:v>0</x:v>
      </x:c>
      <x:c r="N39" s="14" t="n">
        <x:v>0</x:v>
      </x:c>
      <x:c r="O39" s="14" t="n">
        <x:v>0</x:v>
      </x:c>
      <x:c r="P39" s="14" t="n">
        <x:v>47</x:v>
      </x:c>
      <x:c r="Q39" s="60" t="n">
        <x:v>2018</x:v>
      </x:c>
      <x:c r="R39" s="12" t="str">
        <x:v>Department of Statistics - Establishments Census 2018 - Table 4</x:v>
      </x:c>
    </x:row>
    <x:row r="40">
      <x:c r="A40" s="12" t="str">
        <x:v>1511</x:v>
      </x:c>
      <x:c r="B40" s="12" t="str">
        <x:v>Tanning and dressing of leather; dressing and dyeing of fur</x:v>
      </x:c>
      <x:c r="C40" s="12" t="str">
        <x:v>Detailed activity (4-digit)</x:v>
      </x:c>
      <x:c r="D40" s="14" t="n">
        <x:v>3</x:v>
      </x:c>
      <x:c r="E40" s="14" t="n">
        <x:v>1</x:v>
      </x:c>
      <x:c r="F40" s="14" t="n">
        <x:v>1</x:v>
      </x:c>
      <x:c r="G40" s="14" t="n">
        <x:v>0</x:v>
      </x:c>
      <x:c r="H40" s="14" t="n">
        <x:v>0</x:v>
      </x:c>
      <x:c r="I40" s="14" t="n">
        <x:v>1</x:v>
      </x:c>
      <x:c r="J40" s="14" t="n">
        <x:v>0</x:v>
      </x:c>
      <x:c r="K40" s="14" t="n">
        <x:v>0</x:v>
      </x:c>
      <x:c r="L40" s="14" t="n">
        <x:v>0</x:v>
      </x:c>
      <x:c r="M40" s="14" t="n">
        <x:v>0</x:v>
      </x:c>
      <x:c r="N40" s="14" t="n">
        <x:v>0</x:v>
      </x:c>
      <x:c r="O40" s="14" t="n">
        <x:v>0</x:v>
      </x:c>
      <x:c r="P40" s="14" t="n">
        <x:v>6</x:v>
      </x:c>
      <x:c r="Q40" s="60" t="n">
        <x:v>2018</x:v>
      </x:c>
      <x:c r="R40" s="12" t="str">
        <x:v>Department of Statistics - Establishments Census 2018 - Table 4</x:v>
      </x:c>
    </x:row>
    <x:row r="41">
      <x:c r="A41" s="12" t="str">
        <x:v>1512</x:v>
      </x:c>
      <x:c r="B41" s="12" t="str">
        <x:v>Manufacture of luggage, handbags and the like, saddlery and harness</x:v>
      </x:c>
      <x:c r="C41" s="12" t="str">
        <x:v>Detailed activity (4-digit)</x:v>
      </x:c>
      <x:c r="D41" s="14" t="n">
        <x:v>9</x:v>
      </x:c>
      <x:c r="E41" s="14" t="n">
        <x:v>0</x:v>
      </x:c>
      <x:c r="F41" s="14" t="n">
        <x:v>1</x:v>
      </x:c>
      <x:c r="G41" s="14" t="n">
        <x:v>0</x:v>
      </x:c>
      <x:c r="H41" s="14" t="n">
        <x:v>0</x:v>
      </x:c>
      <x:c r="I41" s="14" t="n">
        <x:v>1</x:v>
      </x:c>
      <x:c r="J41" s="14" t="n">
        <x:v>0</x:v>
      </x:c>
      <x:c r="K41" s="14" t="n">
        <x:v>0</x:v>
      </x:c>
      <x:c r="L41" s="14" t="n">
        <x:v>0</x:v>
      </x:c>
      <x:c r="M41" s="14" t="n">
        <x:v>0</x:v>
      </x:c>
      <x:c r="N41" s="14" t="n">
        <x:v>0</x:v>
      </x:c>
      <x:c r="O41" s="14" t="n">
        <x:v>0</x:v>
      </x:c>
      <x:c r="P41" s="14" t="n">
        <x:v>11</x:v>
      </x:c>
      <x:c r="Q41" s="60" t="n">
        <x:v>2018</x:v>
      </x:c>
      <x:c r="R41" s="12" t="str">
        <x:v>Department of Statistics - Establishments Census 2018 - Table 4</x:v>
      </x:c>
    </x:row>
    <x:row r="42">
      <x:c r="A42" s="12" t="str">
        <x:v>1520</x:v>
      </x:c>
      <x:c r="B42" s="12" t="str">
        <x:v>Manufacture of footwear</x:v>
      </x:c>
      <x:c r="C42" s="12" t="str">
        <x:v>Detailed activity (4-digit)</x:v>
      </x:c>
      <x:c r="D42" s="14" t="n">
        <x:v>18</x:v>
      </x:c>
      <x:c r="E42" s="14" t="n">
        <x:v>0</x:v>
      </x:c>
      <x:c r="F42" s="14" t="n">
        <x:v>3</x:v>
      </x:c>
      <x:c r="G42" s="14" t="n">
        <x:v>0</x:v>
      </x:c>
      <x:c r="H42" s="14" t="n">
        <x:v>6</x:v>
      </x:c>
      <x:c r="I42" s="14" t="n">
        <x:v>3</x:v>
      </x:c>
      <x:c r="J42" s="14" t="n">
        <x:v>0</x:v>
      </x:c>
      <x:c r="K42" s="14" t="n">
        <x:v>0</x:v>
      </x:c>
      <x:c r="L42" s="14" t="n">
        <x:v>0</x:v>
      </x:c>
      <x:c r="M42" s="14" t="n">
        <x:v>0</x:v>
      </x:c>
      <x:c r="N42" s="14" t="n">
        <x:v>0</x:v>
      </x:c>
      <x:c r="O42" s="14" t="n">
        <x:v>0</x:v>
      </x:c>
      <x:c r="P42" s="14" t="n">
        <x:v>30</x:v>
      </x:c>
      <x:c r="Q42" s="60" t="n">
        <x:v>2018</x:v>
      </x:c>
      <x:c r="R42" s="12" t="str">
        <x:v>Department of Statistics - Establishments Census 2018 - Table 4</x:v>
      </x:c>
    </x:row>
    <x:row r="43">
      <x:c r="A43" s="12" t="str">
        <x:v>16</x:v>
      </x:c>
      <x:c r="B43" s="12" t="str">
        <x:v>Manufacture of wood and of products of wood and cork, except furniture; manufacture of articles of straw and plaiting materials</x:v>
      </x:c>
      <x:c r="C43" s="12" t="str">
        <x:v>Sector (2-digit)</x:v>
      </x:c>
      <x:c r="D43" s="14" t="n">
        <x:v>538</x:v>
      </x:c>
      <x:c r="E43" s="14" t="n">
        <x:v>120</x:v>
      </x:c>
      <x:c r="F43" s="14" t="n">
        <x:v>183</x:v>
      </x:c>
      <x:c r="G43" s="14" t="n">
        <x:v>19</x:v>
      </x:c>
      <x:c r="H43" s="14" t="n">
        <x:v>208</x:v>
      </x:c>
      <x:c r="I43" s="14" t="n">
        <x:v>27</x:v>
      </x:c>
      <x:c r="J43" s="14" t="n">
        <x:v>32</x:v>
      </x:c>
      <x:c r="K43" s="14" t="n">
        <x:v>22</x:v>
      </x:c>
      <x:c r="L43" s="14" t="n">
        <x:v>48</x:v>
      </x:c>
      <x:c r="M43" s="14" t="n">
        <x:v>4</x:v>
      </x:c>
      <x:c r="N43" s="14" t="n">
        <x:v>13</x:v>
      </x:c>
      <x:c r="O43" s="14" t="n">
        <x:v>24</x:v>
      </x:c>
      <x:c r="P43" s="14" t="n">
        <x:v>1238</x:v>
      </x:c>
      <x:c r="Q43" s="60" t="n">
        <x:v>2018</x:v>
      </x:c>
      <x:c r="R43" s="12" t="str">
        <x:v>Department of Statistics - Establishments Census 2018 - Table 4</x:v>
      </x:c>
    </x:row>
    <x:row r="44">
      <x:c r="A44" s="12" t="str">
        <x:v>1610</x:v>
      </x:c>
      <x:c r="B44" s="12" t="str">
        <x:v>Sawmilling and planing of wood</x:v>
      </x:c>
      <x:c r="C44" s="12" t="str">
        <x:v>Detailed activity (4-digit)</x:v>
      </x:c>
      <x:c r="D44" s="14" t="n">
        <x:v>9</x:v>
      </x:c>
      <x:c r="E44" s="14" t="n">
        <x:v>1</x:v>
      </x:c>
      <x:c r="F44" s="14" t="n">
        <x:v>2</x:v>
      </x:c>
      <x:c r="G44" s="14" t="n">
        <x:v>0</x:v>
      </x:c>
      <x:c r="H44" s="14" t="n">
        <x:v>4</x:v>
      </x:c>
      <x:c r="I44" s="14" t="n">
        <x:v>0</x:v>
      </x:c>
      <x:c r="J44" s="14" t="n">
        <x:v>0</x:v>
      </x:c>
      <x:c r="K44" s="14" t="n">
        <x:v>0</x:v>
      </x:c>
      <x:c r="L44" s="14" t="n">
        <x:v>0</x:v>
      </x:c>
      <x:c r="M44" s="14" t="n">
        <x:v>0</x:v>
      </x:c>
      <x:c r="N44" s="14" t="n">
        <x:v>0</x:v>
      </x:c>
      <x:c r="O44" s="14" t="n">
        <x:v>0</x:v>
      </x:c>
      <x:c r="P44" s="14" t="n">
        <x:v>16</x:v>
      </x:c>
      <x:c r="Q44" s="60" t="n">
        <x:v>2018</x:v>
      </x:c>
      <x:c r="R44" s="12" t="str">
        <x:v>Department of Statistics - Establishments Census 2018 - Table 4</x:v>
      </x:c>
    </x:row>
    <x:row r="45">
      <x:c r="A45" s="12" t="str">
        <x:v>1621</x:v>
      </x:c>
      <x:c r="B45" s="12" t="str">
        <x:v>Manufacture of veneer sheets and wood-based panels</x:v>
      </x:c>
      <x:c r="C45" s="12" t="str">
        <x:v>Detailed activity (4-digit)</x:v>
      </x:c>
      <x:c r="D45" s="14" t="n">
        <x:v>18</x:v>
      </x:c>
      <x:c r="E45" s="14" t="n">
        <x:v>1</x:v>
      </x:c>
      <x:c r="F45" s="14" t="n">
        <x:v>2</x:v>
      </x:c>
      <x:c r="G45" s="14" t="n">
        <x:v>0</x:v>
      </x:c>
      <x:c r="H45" s="14" t="n">
        <x:v>1</x:v>
      </x:c>
      <x:c r="I45" s="14" t="n">
        <x:v>0</x:v>
      </x:c>
      <x:c r="J45" s="14" t="n">
        <x:v>0</x:v>
      </x:c>
      <x:c r="K45" s="14" t="n">
        <x:v>0</x:v>
      </x:c>
      <x:c r="L45" s="14" t="n">
        <x:v>0</x:v>
      </x:c>
      <x:c r="M45" s="14" t="n">
        <x:v>0</x:v>
      </x:c>
      <x:c r="N45" s="14" t="n">
        <x:v>0</x:v>
      </x:c>
      <x:c r="O45" s="14" t="n">
        <x:v>0</x:v>
      </x:c>
      <x:c r="P45" s="14" t="n">
        <x:v>22</x:v>
      </x:c>
      <x:c r="Q45" s="60" t="n">
        <x:v>2018</x:v>
      </x:c>
      <x:c r="R45" s="12" t="str">
        <x:v>Department of Statistics - Establishments Census 2018 - Table 4</x:v>
      </x:c>
    </x:row>
    <x:row r="46">
      <x:c r="A46" s="12" t="str">
        <x:v>1622</x:v>
      </x:c>
      <x:c r="B46" s="12" t="str">
        <x:v>Manufacture of builders' carpentry and joinery</x:v>
      </x:c>
      <x:c r="C46" s="12" t="str">
        <x:v>Detailed activity (4-digit)</x:v>
      </x:c>
      <x:c r="D46" s="14" t="n">
        <x:v>442</x:v>
      </x:c>
      <x:c r="E46" s="14" t="n">
        <x:v>112</x:v>
      </x:c>
      <x:c r="F46" s="14" t="n">
        <x:v>164</x:v>
      </x:c>
      <x:c r="G46" s="14" t="n">
        <x:v>18</x:v>
      </x:c>
      <x:c r="H46" s="14" t="n">
        <x:v>190</x:v>
      </x:c>
      <x:c r="I46" s="14" t="n">
        <x:v>27</x:v>
      </x:c>
      <x:c r="J46" s="14" t="n">
        <x:v>32</x:v>
      </x:c>
      <x:c r="K46" s="14" t="n">
        <x:v>21</x:v>
      </x:c>
      <x:c r="L46" s="14" t="n">
        <x:v>46</x:v>
      </x:c>
      <x:c r="M46" s="14" t="n">
        <x:v>3</x:v>
      </x:c>
      <x:c r="N46" s="14" t="n">
        <x:v>13</x:v>
      </x:c>
      <x:c r="O46" s="14" t="n">
        <x:v>24</x:v>
      </x:c>
      <x:c r="P46" s="14" t="n">
        <x:v>1092</x:v>
      </x:c>
      <x:c r="Q46" s="60" t="n">
        <x:v>2018</x:v>
      </x:c>
      <x:c r="R46" s="12" t="str">
        <x:v>Department of Statistics - Establishments Census 2018 - Table 4</x:v>
      </x:c>
    </x:row>
    <x:row r="47">
      <x:c r="A47" s="12" t="str">
        <x:v>1623</x:v>
      </x:c>
      <x:c r="B47" s="12" t="str">
        <x:v>Manufacture of wooden containers</x:v>
      </x:c>
      <x:c r="C47" s="12" t="str">
        <x:v>Detailed activity (4-digit)</x:v>
      </x:c>
      <x:c r="D47" s="14" t="n">
        <x:v>17</x:v>
      </x:c>
      <x:c r="E47" s="14" t="n">
        <x:v>1</x:v>
      </x:c>
      <x:c r="F47" s="14" t="n">
        <x:v>1</x:v>
      </x:c>
      <x:c r="G47" s="14" t="n">
        <x:v>0</x:v>
      </x:c>
      <x:c r="H47" s="14" t="n">
        <x:v>0</x:v>
      </x:c>
      <x:c r="I47" s="14" t="n">
        <x:v>0</x:v>
      </x:c>
      <x:c r="J47" s="14" t="n">
        <x:v>0</x:v>
      </x:c>
      <x:c r="K47" s="14" t="n">
        <x:v>0</x:v>
      </x:c>
      <x:c r="L47" s="14" t="n">
        <x:v>0</x:v>
      </x:c>
      <x:c r="M47" s="14" t="n">
        <x:v>0</x:v>
      </x:c>
      <x:c r="N47" s="14" t="n">
        <x:v>0</x:v>
      </x:c>
      <x:c r="O47" s="14" t="n">
        <x:v>0</x:v>
      </x:c>
      <x:c r="P47" s="14" t="n">
        <x:v>19</x:v>
      </x:c>
      <x:c r="Q47" s="60" t="n">
        <x:v>2018</x:v>
      </x:c>
      <x:c r="R47" s="12" t="str">
        <x:v>Department of Statistics - Establishments Census 2018 - Table 4</x:v>
      </x:c>
    </x:row>
    <x:row r="48">
      <x:c r="A48" s="12" t="str">
        <x:v>1629</x:v>
      </x:c>
      <x:c r="B48" s="12" t="str">
        <x:v>Manufacture of other products of wood; manufacture of articles of cork, straw and plaiting materials</x:v>
      </x:c>
      <x:c r="C48" s="12" t="str">
        <x:v>Detailed activity (4-digit)</x:v>
      </x:c>
      <x:c r="D48" s="14" t="n">
        <x:v>52</x:v>
      </x:c>
      <x:c r="E48" s="14" t="n">
        <x:v>5</x:v>
      </x:c>
      <x:c r="F48" s="14" t="n">
        <x:v>14</x:v>
      </x:c>
      <x:c r="G48" s="14" t="n">
        <x:v>1</x:v>
      </x:c>
      <x:c r="H48" s="14" t="n">
        <x:v>13</x:v>
      </x:c>
      <x:c r="I48" s="14" t="n">
        <x:v>0</x:v>
      </x:c>
      <x:c r="J48" s="14" t="n">
        <x:v>0</x:v>
      </x:c>
      <x:c r="K48" s="14" t="n">
        <x:v>1</x:v>
      </x:c>
      <x:c r="L48" s="14" t="n">
        <x:v>2</x:v>
      </x:c>
      <x:c r="M48" s="14" t="n">
        <x:v>1</x:v>
      </x:c>
      <x:c r="N48" s="14" t="n">
        <x:v>0</x:v>
      </x:c>
      <x:c r="O48" s="14" t="n">
        <x:v>0</x:v>
      </x:c>
      <x:c r="P48" s="14" t="n">
        <x:v>89</x:v>
      </x:c>
      <x:c r="Q48" s="60" t="n">
        <x:v>2018</x:v>
      </x:c>
      <x:c r="R48" s="12" t="str">
        <x:v>Department of Statistics - Establishments Census 2018 - Table 4</x:v>
      </x:c>
    </x:row>
    <x:row r="49">
      <x:c r="A49" s="12" t="str">
        <x:v>17</x:v>
      </x:c>
      <x:c r="B49" s="12" t="str">
        <x:v>Manufacture of paper and paper products</x:v>
      </x:c>
      <x:c r="C49" s="12" t="str">
        <x:v>Sector (2-digit)</x:v>
      </x:c>
      <x:c r="D49" s="14" t="n">
        <x:v>92</x:v>
      </x:c>
      <x:c r="E49" s="14" t="n">
        <x:v>1</x:v>
      </x:c>
      <x:c r="F49" s="14" t="n">
        <x:v>16</x:v>
      </x:c>
      <x:c r="G49" s="14" t="n">
        <x:v>0</x:v>
      </x:c>
      <x:c r="H49" s="14" t="n">
        <x:v>8</x:v>
      </x:c>
      <x:c r="I49" s="14" t="n">
        <x:v>2</x:v>
      </x:c>
      <x:c r="J49" s="14" t="n">
        <x:v>0</x:v>
      </x:c>
      <x:c r="K49" s="14" t="n">
        <x:v>1</x:v>
      </x:c>
      <x:c r="L49" s="14" t="n">
        <x:v>0</x:v>
      </x:c>
      <x:c r="M49" s="14" t="n">
        <x:v>0</x:v>
      </x:c>
      <x:c r="N49" s="14" t="n">
        <x:v>1</x:v>
      </x:c>
      <x:c r="O49" s="14" t="n">
        <x:v>0</x:v>
      </x:c>
      <x:c r="P49" s="14" t="n">
        <x:v>121</x:v>
      </x:c>
      <x:c r="Q49" s="60" t="n">
        <x:v>2018</x:v>
      </x:c>
      <x:c r="R49" s="12" t="str">
        <x:v>Department of Statistics - Establishments Census 2018 - Table 4</x:v>
      </x:c>
    </x:row>
    <x:row r="50">
      <x:c r="A50" s="12" t="str">
        <x:v>1701</x:v>
      </x:c>
      <x:c r="B50" s="12" t="str">
        <x:v>Manufacture of pulp, paper and paperboard</x:v>
      </x:c>
      <x:c r="C50" s="12" t="str">
        <x:v>Detailed activity (4-digit)</x:v>
      </x:c>
      <x:c r="D50" s="14" t="n">
        <x:v>14</x:v>
      </x:c>
      <x:c r="E50" s="14" t="n">
        <x:v>0</x:v>
      </x:c>
      <x:c r="F50" s="14" t="n">
        <x:v>6</x:v>
      </x:c>
      <x:c r="G50" s="14" t="n">
        <x:v>0</x:v>
      </x:c>
      <x:c r="H50" s="14" t="n">
        <x:v>3</x:v>
      </x:c>
      <x:c r="I50" s="14" t="n">
        <x:v>0</x:v>
      </x:c>
      <x:c r="J50" s="14" t="n">
        <x:v>0</x:v>
      </x:c>
      <x:c r="K50" s="14" t="n">
        <x:v>0</x:v>
      </x:c>
      <x:c r="L50" s="14" t="n">
        <x:v>0</x:v>
      </x:c>
      <x:c r="M50" s="14" t="n">
        <x:v>0</x:v>
      </x:c>
      <x:c r="N50" s="14" t="n">
        <x:v>0</x:v>
      </x:c>
      <x:c r="O50" s="14" t="n">
        <x:v>0</x:v>
      </x:c>
      <x:c r="P50" s="14" t="n">
        <x:v>23</x:v>
      </x:c>
      <x:c r="Q50" s="60" t="n">
        <x:v>2018</x:v>
      </x:c>
      <x:c r="R50" s="12" t="str">
        <x:v>Department of Statistics - Establishments Census 2018 - Table 4</x:v>
      </x:c>
    </x:row>
    <x:row r="51">
      <x:c r="A51" s="12" t="str">
        <x:v>1702</x:v>
      </x:c>
      <x:c r="B51" s="12" t="str">
        <x:v>Manufacture of corrugated paper and paperboard and of containers of paper and paperboard</x:v>
      </x:c>
      <x:c r="C51" s="12" t="str">
        <x:v>Detailed activity (4-digit)</x:v>
      </x:c>
      <x:c r="D51" s="14" t="n">
        <x:v>42</x:v>
      </x:c>
      <x:c r="E51" s="14" t="n">
        <x:v>1</x:v>
      </x:c>
      <x:c r="F51" s="14" t="n">
        <x:v>6</x:v>
      </x:c>
      <x:c r="G51" s="14" t="n">
        <x:v>0</x:v>
      </x:c>
      <x:c r="H51" s="14" t="n">
        <x:v>2</x:v>
      </x:c>
      <x:c r="I51" s="14" t="n">
        <x:v>2</x:v>
      </x:c>
      <x:c r="J51" s="14" t="n">
        <x:v>0</x:v>
      </x:c>
      <x:c r="K51" s="14" t="n">
        <x:v>1</x:v>
      </x:c>
      <x:c r="L51" s="14" t="n">
        <x:v>0</x:v>
      </x:c>
      <x:c r="M51" s="14" t="n">
        <x:v>0</x:v>
      </x:c>
      <x:c r="N51" s="14" t="n">
        <x:v>1</x:v>
      </x:c>
      <x:c r="O51" s="14" t="n">
        <x:v>0</x:v>
      </x:c>
      <x:c r="P51" s="14" t="n">
        <x:v>55</x:v>
      </x:c>
      <x:c r="Q51" s="60" t="n">
        <x:v>2018</x:v>
      </x:c>
      <x:c r="R51" s="12" t="str">
        <x:v>Department of Statistics - Establishments Census 2018 - Table 4</x:v>
      </x:c>
    </x:row>
    <x:row r="52">
      <x:c r="A52" s="12" t="str">
        <x:v>1709</x:v>
      </x:c>
      <x:c r="B52" s="12" t="str">
        <x:v>Manufacture of other articles of paper and paperboard</x:v>
      </x:c>
      <x:c r="C52" s="12" t="str">
        <x:v>Detailed activity (4-digit)</x:v>
      </x:c>
      <x:c r="D52" s="14" t="n">
        <x:v>36</x:v>
      </x:c>
      <x:c r="E52" s="14" t="n">
        <x:v>0</x:v>
      </x:c>
      <x:c r="F52" s="14" t="n">
        <x:v>4</x:v>
      </x:c>
      <x:c r="G52" s="14" t="n">
        <x:v>0</x:v>
      </x:c>
      <x:c r="H52" s="14" t="n">
        <x:v>3</x:v>
      </x:c>
      <x:c r="I52" s="14" t="n">
        <x:v>0</x:v>
      </x:c>
      <x:c r="J52" s="14" t="n">
        <x:v>0</x:v>
      </x:c>
      <x:c r="K52" s="14" t="n">
        <x:v>0</x:v>
      </x:c>
      <x:c r="L52" s="14" t="n">
        <x:v>0</x:v>
      </x:c>
      <x:c r="M52" s="14" t="n">
        <x:v>0</x:v>
      </x:c>
      <x:c r="N52" s="14" t="n">
        <x:v>0</x:v>
      </x:c>
      <x:c r="O52" s="14" t="n">
        <x:v>0</x:v>
      </x:c>
      <x:c r="P52" s="14" t="n">
        <x:v>43</x:v>
      </x:c>
      <x:c r="Q52" s="60" t="n">
        <x:v>2018</x:v>
      </x:c>
      <x:c r="R52" s="12" t="str">
        <x:v>Department of Statistics - Establishments Census 2018 - Table 4</x:v>
      </x:c>
    </x:row>
    <x:row r="53">
      <x:c r="A53" s="12" t="str">
        <x:v>18</x:v>
      </x:c>
      <x:c r="B53" s="12" t="str">
        <x:v>Printing and reproduction of recorded media</x:v>
      </x:c>
      <x:c r="C53" s="12" t="str">
        <x:v>Sector (2-digit)</x:v>
      </x:c>
      <x:c r="D53" s="14" t="n">
        <x:v>435</x:v>
      </x:c>
      <x:c r="E53" s="14" t="n">
        <x:v>25</x:v>
      </x:c>
      <x:c r="F53" s="14" t="n">
        <x:v>71</x:v>
      </x:c>
      <x:c r="G53" s="14" t="n">
        <x:v>5</x:v>
      </x:c>
      <x:c r="H53" s="14" t="n">
        <x:v>67</x:v>
      </x:c>
      <x:c r="I53" s="14" t="n">
        <x:v>12</x:v>
      </x:c>
      <x:c r="J53" s="14" t="n">
        <x:v>4</x:v>
      </x:c>
      <x:c r="K53" s="14" t="n">
        <x:v>8</x:v>
      </x:c>
      <x:c r="L53" s="14" t="n">
        <x:v>11</x:v>
      </x:c>
      <x:c r="M53" s="14" t="n">
        <x:v>4</x:v>
      </x:c>
      <x:c r="N53" s="14" t="n">
        <x:v>1</x:v>
      </x:c>
      <x:c r="O53" s="14" t="n">
        <x:v>10</x:v>
      </x:c>
      <x:c r="P53" s="14" t="n">
        <x:v>653</x:v>
      </x:c>
      <x:c r="Q53" s="60" t="n">
        <x:v>2018</x:v>
      </x:c>
      <x:c r="R53" s="12" t="str">
        <x:v>Department of Statistics - Establishments Census 2018 - Table 4</x:v>
      </x:c>
    </x:row>
    <x:row r="54">
      <x:c r="A54" s="12" t="str">
        <x:v>1811</x:v>
      </x:c>
      <x:c r="B54" s="12" t="str">
        <x:v>Printing</x:v>
      </x:c>
      <x:c r="C54" s="12" t="str">
        <x:v>Detailed activity (4-digit)</x:v>
      </x:c>
      <x:c r="D54" s="14" t="n">
        <x:v>391</x:v>
      </x:c>
      <x:c r="E54" s="14" t="n">
        <x:v>24</x:v>
      </x:c>
      <x:c r="F54" s="14" t="n">
        <x:v>66</x:v>
      </x:c>
      <x:c r="G54" s="14" t="n">
        <x:v>5</x:v>
      </x:c>
      <x:c r="H54" s="14" t="n">
        <x:v>62</x:v>
      </x:c>
      <x:c r="I54" s="14" t="n">
        <x:v>12</x:v>
      </x:c>
      <x:c r="J54" s="14" t="n">
        <x:v>4</x:v>
      </x:c>
      <x:c r="K54" s="14" t="n">
        <x:v>8</x:v>
      </x:c>
      <x:c r="L54" s="14" t="n">
        <x:v>11</x:v>
      </x:c>
      <x:c r="M54" s="14" t="n">
        <x:v>4</x:v>
      </x:c>
      <x:c r="N54" s="14" t="n">
        <x:v>1</x:v>
      </x:c>
      <x:c r="O54" s="14" t="n">
        <x:v>10</x:v>
      </x:c>
      <x:c r="P54" s="14" t="n">
        <x:v>598</x:v>
      </x:c>
      <x:c r="Q54" s="60" t="n">
        <x:v>2018</x:v>
      </x:c>
      <x:c r="R54" s="12" t="str">
        <x:v>Department of Statistics - Establishments Census 2018 - Table 4</x:v>
      </x:c>
    </x:row>
    <x:row r="55">
      <x:c r="A55" s="12" t="str">
        <x:v>1812</x:v>
      </x:c>
      <x:c r="B55" s="12" t="str">
        <x:v>Service activities related to printing</x:v>
      </x:c>
      <x:c r="C55" s="12" t="str">
        <x:v>Detailed activity (4-digit)</x:v>
      </x:c>
      <x:c r="D55" s="14" t="n">
        <x:v>42</x:v>
      </x:c>
      <x:c r="E55" s="14" t="n">
        <x:v>1</x:v>
      </x:c>
      <x:c r="F55" s="14" t="n">
        <x:v>5</x:v>
      </x:c>
      <x:c r="G55" s="14" t="n">
        <x:v>0</x:v>
      </x:c>
      <x:c r="H55" s="14" t="n">
        <x:v>4</x:v>
      </x:c>
      <x:c r="I55" s="14" t="n">
        <x:v>0</x:v>
      </x:c>
      <x:c r="J55" s="14" t="n">
        <x:v>0</x:v>
      </x:c>
      <x:c r="K55" s="14" t="n">
        <x:v>0</x:v>
      </x:c>
      <x:c r="L55" s="14" t="n">
        <x:v>0</x:v>
      </x:c>
      <x:c r="M55" s="14" t="n">
        <x:v>0</x:v>
      </x:c>
      <x:c r="N55" s="14" t="n">
        <x:v>0</x:v>
      </x:c>
      <x:c r="O55" s="14" t="n">
        <x:v>0</x:v>
      </x:c>
      <x:c r="P55" s="14" t="n">
        <x:v>52</x:v>
      </x:c>
      <x:c r="Q55" s="60" t="n">
        <x:v>2018</x:v>
      </x:c>
      <x:c r="R55" s="12" t="str">
        <x:v>Department of Statistics - Establishments Census 2018 - Table 4</x:v>
      </x:c>
    </x:row>
    <x:row r="56">
      <x:c r="A56" s="12" t="str">
        <x:v>1820</x:v>
      </x:c>
      <x:c r="B56" s="12" t="str">
        <x:v>Reproduction of recorded media</x:v>
      </x:c>
      <x:c r="C56" s="12" t="str">
        <x:v>Detailed activity (4-digit)</x:v>
      </x:c>
      <x:c r="D56" s="14" t="n">
        <x:v>2</x:v>
      </x:c>
      <x:c r="E56" s="14" t="n">
        <x:v>0</x:v>
      </x:c>
      <x:c r="F56" s="14" t="n">
        <x:v>0</x:v>
      </x:c>
      <x:c r="G56" s="14" t="n">
        <x:v>0</x:v>
      </x:c>
      <x:c r="H56" s="14" t="n">
        <x:v>1</x:v>
      </x:c>
      <x:c r="I56" s="14" t="n">
        <x:v>0</x:v>
      </x:c>
      <x:c r="J56" s="14" t="n">
        <x:v>0</x:v>
      </x:c>
      <x:c r="K56" s="14" t="n">
        <x:v>0</x:v>
      </x:c>
      <x:c r="L56" s="14" t="n">
        <x:v>0</x:v>
      </x:c>
      <x:c r="M56" s="14" t="n">
        <x:v>0</x:v>
      </x:c>
      <x:c r="N56" s="14" t="n">
        <x:v>0</x:v>
      </x:c>
      <x:c r="O56" s="14" t="n">
        <x:v>0</x:v>
      </x:c>
      <x:c r="P56" s="14" t="n">
        <x:v>3</x:v>
      </x:c>
      <x:c r="Q56" s="60" t="n">
        <x:v>2018</x:v>
      </x:c>
      <x:c r="R56" s="12" t="str">
        <x:v>Department of Statistics - Establishments Census 2018 - Table 4</x:v>
      </x:c>
    </x:row>
    <x:row r="57">
      <x:c r="A57" s="12" t="str">
        <x:v>19</x:v>
      </x:c>
      <x:c r="B57" s="12" t="str">
        <x:v>Manufacture of coke and refined petroleum products</x:v>
      </x:c>
      <x:c r="C57" s="12" t="str">
        <x:v>Sector (2-digit)</x:v>
      </x:c>
      <x:c r="D57" s="14" t="n">
        <x:v>1</x:v>
      </x:c>
      <x:c r="E57" s="14" t="n">
        <x:v>0</x:v>
      </x:c>
      <x:c r="F57" s="14" t="n">
        <x:v>0</x:v>
      </x:c>
      <x:c r="G57" s="14" t="n">
        <x:v>0</x:v>
      </x:c>
      <x:c r="H57" s="14" t="n">
        <x:v>0</x:v>
      </x:c>
      <x:c r="I57" s="14" t="n">
        <x:v>0</x:v>
      </x:c>
      <x:c r="J57" s="14" t="n">
        <x:v>0</x:v>
      </x:c>
      <x:c r="K57" s="14" t="n">
        <x:v>0</x:v>
      </x:c>
      <x:c r="L57" s="14" t="n">
        <x:v>0</x:v>
      </x:c>
      <x:c r="M57" s="14" t="n">
        <x:v>0</x:v>
      </x:c>
      <x:c r="N57" s="14" t="n">
        <x:v>0</x:v>
      </x:c>
      <x:c r="O57" s="14" t="n">
        <x:v>0</x:v>
      </x:c>
      <x:c r="P57" s="14" t="n">
        <x:v>1</x:v>
      </x:c>
      <x:c r="Q57" s="60" t="n">
        <x:v>2018</x:v>
      </x:c>
      <x:c r="R57" s="12" t="str">
        <x:v>Department of Statistics - Establishments Census 2018 - Table 4</x:v>
      </x:c>
    </x:row>
    <x:row r="58">
      <x:c r="A58" s="12" t="str">
        <x:v>1920</x:v>
      </x:c>
      <x:c r="B58" s="12" t="str">
        <x:v>Manufacture of refined petroleum products</x:v>
      </x:c>
      <x:c r="C58" s="12" t="str">
        <x:v>Detailed activity (4-digit)</x:v>
      </x:c>
      <x:c r="D58" s="14" t="n">
        <x:v>1</x:v>
      </x:c>
      <x:c r="E58" s="14" t="n">
        <x:v>0</x:v>
      </x:c>
      <x:c r="F58" s="14" t="n">
        <x:v>0</x:v>
      </x:c>
      <x:c r="G58" s="14" t="n">
        <x:v>0</x:v>
      </x:c>
      <x:c r="H58" s="14" t="n">
        <x:v>0</x:v>
      </x:c>
      <x:c r="I58" s="14" t="n">
        <x:v>0</x:v>
      </x:c>
      <x:c r="J58" s="14" t="n">
        <x:v>0</x:v>
      </x:c>
      <x:c r="K58" s="14" t="n">
        <x:v>0</x:v>
      </x:c>
      <x:c r="L58" s="14" t="n">
        <x:v>0</x:v>
      </x:c>
      <x:c r="M58" s="14" t="n">
        <x:v>0</x:v>
      </x:c>
      <x:c r="N58" s="14" t="n">
        <x:v>0</x:v>
      </x:c>
      <x:c r="O58" s="14" t="n">
        <x:v>0</x:v>
      </x:c>
      <x:c r="P58" s="14" t="n">
        <x:v>1</x:v>
      </x:c>
      <x:c r="Q58" s="60" t="n">
        <x:v>2018</x:v>
      </x:c>
      <x:c r="R58" s="12" t="str">
        <x:v>Department of Statistics - Establishments Census 2018 - Table 4</x:v>
      </x:c>
    </x:row>
    <x:row r="59">
      <x:c r="A59" s="12" t="str">
        <x:v>20</x:v>
      </x:c>
      <x:c r="B59" s="12" t="str">
        <x:v>Manufacture of chemicals and chemical products</x:v>
      </x:c>
      <x:c r="C59" s="12" t="str">
        <x:v>Sector (2-digit)</x:v>
      </x:c>
      <x:c r="D59" s="14" t="n">
        <x:v>194</x:v>
      </x:c>
      <x:c r="E59" s="14" t="n">
        <x:v>7</x:v>
      </x:c>
      <x:c r="F59" s="14" t="n">
        <x:v>65</x:v>
      </x:c>
      <x:c r="G59" s="14" t="n">
        <x:v>2</x:v>
      </x:c>
      <x:c r="H59" s="14" t="n">
        <x:v>25</x:v>
      </x:c>
      <x:c r="I59" s="14" t="n">
        <x:v>8</x:v>
      </x:c>
      <x:c r="J59" s="14" t="n">
        <x:v>0</x:v>
      </x:c>
      <x:c r="K59" s="14" t="n">
        <x:v>2</x:v>
      </x:c>
      <x:c r="L59" s="14" t="n">
        <x:v>4</x:v>
      </x:c>
      <x:c r="M59" s="14" t="n">
        <x:v>0</x:v>
      </x:c>
      <x:c r="N59" s="14" t="n">
        <x:v>2</x:v>
      </x:c>
      <x:c r="O59" s="14" t="n">
        <x:v>1</x:v>
      </x:c>
      <x:c r="P59" s="14" t="n">
        <x:v>310</x:v>
      </x:c>
      <x:c r="Q59" s="60" t="n">
        <x:v>2018</x:v>
      </x:c>
      <x:c r="R59" s="12" t="str">
        <x:v>Department of Statistics - Establishments Census 2018 - Table 4</x:v>
      </x:c>
    </x:row>
    <x:row r="60">
      <x:c r="A60" s="12" t="str">
        <x:v>2011</x:v>
      </x:c>
      <x:c r="B60" s="12" t="str">
        <x:v>Manufacture of basic chemicals</x:v>
      </x:c>
      <x:c r="C60" s="12" t="str">
        <x:v>Detailed activity (4-digit)</x:v>
      </x:c>
      <x:c r="D60" s="14" t="n">
        <x:v>14</x:v>
      </x:c>
      <x:c r="E60" s="14" t="n">
        <x:v>0</x:v>
      </x:c>
      <x:c r="F60" s="14" t="n">
        <x:v>2</x:v>
      </x:c>
      <x:c r="G60" s="14" t="n">
        <x:v>0</x:v>
      </x:c>
      <x:c r="H60" s="14" t="n">
        <x:v>0</x:v>
      </x:c>
      <x:c r="I60" s="14" t="n">
        <x:v>1</x:v>
      </x:c>
      <x:c r="J60" s="14" t="n">
        <x:v>0</x:v>
      </x:c>
      <x:c r="K60" s="14" t="n">
        <x:v>0</x:v>
      </x:c>
      <x:c r="L60" s="14" t="n">
        <x:v>1</x:v>
      </x:c>
      <x:c r="M60" s="14" t="n">
        <x:v>0</x:v>
      </x:c>
      <x:c r="N60" s="14" t="n">
        <x:v>1</x:v>
      </x:c>
      <x:c r="O60" s="14" t="n">
        <x:v>0</x:v>
      </x:c>
      <x:c r="P60" s="14" t="n">
        <x:v>19</x:v>
      </x:c>
      <x:c r="Q60" s="60" t="n">
        <x:v>2018</x:v>
      </x:c>
      <x:c r="R60" s="12" t="str">
        <x:v>Department of Statistics - Establishments Census 2018 - Table 4</x:v>
      </x:c>
    </x:row>
    <x:row r="61">
      <x:c r="A61" s="12" t="str">
        <x:v>2012</x:v>
      </x:c>
      <x:c r="B61" s="12" t="str">
        <x:v>Manufacture of fertilizers and nitrogen compounds</x:v>
      </x:c>
      <x:c r="C61" s="12" t="str">
        <x:v>Detailed activity (4-digit)</x:v>
      </x:c>
      <x:c r="D61" s="14" t="n">
        <x:v>11</x:v>
      </x:c>
      <x:c r="E61" s="14" t="n">
        <x:v>2</x:v>
      </x:c>
      <x:c r="F61" s="14" t="n">
        <x:v>3</x:v>
      </x:c>
      <x:c r="G61" s="14" t="n">
        <x:v>0</x:v>
      </x:c>
      <x:c r="H61" s="14" t="n">
        <x:v>3</x:v>
      </x:c>
      <x:c r="I61" s="14" t="n">
        <x:v>2</x:v>
      </x:c>
      <x:c r="J61" s="14" t="n">
        <x:v>0</x:v>
      </x:c>
      <x:c r="K61" s="14" t="n">
        <x:v>0</x:v>
      </x:c>
      <x:c r="L61" s="14" t="n">
        <x:v>2</x:v>
      </x:c>
      <x:c r="M61" s="14" t="n">
        <x:v>0</x:v>
      </x:c>
      <x:c r="N61" s="14" t="n">
        <x:v>1</x:v>
      </x:c>
      <x:c r="O61" s="14" t="n">
        <x:v>1</x:v>
      </x:c>
      <x:c r="P61" s="14" t="n">
        <x:v>25</x:v>
      </x:c>
      <x:c r="Q61" s="60" t="n">
        <x:v>2018</x:v>
      </x:c>
      <x:c r="R61" s="12" t="str">
        <x:v>Department of Statistics - Establishments Census 2018 - Table 4</x:v>
      </x:c>
    </x:row>
    <x:row r="62">
      <x:c r="A62" s="12" t="str">
        <x:v>2013</x:v>
      </x:c>
      <x:c r="B62" s="12" t="str">
        <x:v>Manufacture of plastics and synthetic rubber in primary forms</x:v>
      </x:c>
      <x:c r="C62" s="12" t="str">
        <x:v>Detailed activity (4-digit)</x:v>
      </x:c>
      <x:c r="D62" s="14" t="n">
        <x:v>7</x:v>
      </x:c>
      <x:c r="E62" s="14" t="n">
        <x:v>0</x:v>
      </x:c>
      <x:c r="F62" s="14" t="n">
        <x:v>1</x:v>
      </x:c>
      <x:c r="G62" s="14" t="n">
        <x:v>0</x:v>
      </x:c>
      <x:c r="H62" s="14" t="n">
        <x:v>1</x:v>
      </x:c>
      <x:c r="I62" s="14" t="n">
        <x:v>0</x:v>
      </x:c>
      <x:c r="J62" s="14" t="n">
        <x:v>0</x:v>
      </x:c>
      <x:c r="K62" s="14" t="n">
        <x:v>0</x:v>
      </x:c>
      <x:c r="L62" s="14" t="n">
        <x:v>0</x:v>
      </x:c>
      <x:c r="M62" s="14" t="n">
        <x:v>0</x:v>
      </x:c>
      <x:c r="N62" s="14" t="n">
        <x:v>0</x:v>
      </x:c>
      <x:c r="O62" s="14" t="n">
        <x:v>0</x:v>
      </x:c>
      <x:c r="P62" s="14" t="n">
        <x:v>9</x:v>
      </x:c>
      <x:c r="Q62" s="60" t="n">
        <x:v>2018</x:v>
      </x:c>
      <x:c r="R62" s="12" t="str">
        <x:v>Department of Statistics - Establishments Census 2018 - Table 4</x:v>
      </x:c>
    </x:row>
    <x:row r="63">
      <x:c r="A63" s="12" t="str">
        <x:v>2021</x:v>
      </x:c>
      <x:c r="B63" s="12" t="str">
        <x:v>Manufacture of pesticides and other agrochemical products</x:v>
      </x:c>
      <x:c r="C63" s="12" t="str">
        <x:v>Detailed activity (4-digit)</x:v>
      </x:c>
      <x:c r="D63" s="14" t="n">
        <x:v>5</x:v>
      </x:c>
      <x:c r="E63" s="14" t="n">
        <x:v>0</x:v>
      </x:c>
      <x:c r="F63" s="14" t="n">
        <x:v>1</x:v>
      </x:c>
      <x:c r="G63" s="14" t="n">
        <x:v>0</x:v>
      </x:c>
      <x:c r="H63" s="14" t="n">
        <x:v>2</x:v>
      </x:c>
      <x:c r="I63" s="14" t="n">
        <x:v>1</x:v>
      </x:c>
      <x:c r="J63" s="14" t="n">
        <x:v>0</x:v>
      </x:c>
      <x:c r="K63" s="14" t="n">
        <x:v>0</x:v>
      </x:c>
      <x:c r="L63" s="14" t="n">
        <x:v>0</x:v>
      </x:c>
      <x:c r="M63" s="14" t="n">
        <x:v>0</x:v>
      </x:c>
      <x:c r="N63" s="14" t="n">
        <x:v>0</x:v>
      </x:c>
      <x:c r="O63" s="14" t="n">
        <x:v>0</x:v>
      </x:c>
      <x:c r="P63" s="14" t="n">
        <x:v>9</x:v>
      </x:c>
      <x:c r="Q63" s="60" t="n">
        <x:v>2018</x:v>
      </x:c>
      <x:c r="R63" s="12" t="str">
        <x:v>Department of Statistics - Establishments Census 2018 - Table 4</x:v>
      </x:c>
    </x:row>
    <x:row r="64">
      <x:c r="A64" s="12" t="str">
        <x:v>2022</x:v>
      </x:c>
      <x:c r="B64" s="12" t="str">
        <x:v>Manufacture of paints, varnishes and similar coatings, printing ink and mastics</x:v>
      </x:c>
      <x:c r="C64" s="12" t="str">
        <x:v>Detailed activity (4-digit)</x:v>
      </x:c>
      <x:c r="D64" s="14" t="n">
        <x:v>30</x:v>
      </x:c>
      <x:c r="E64" s="14" t="n">
        <x:v>1</x:v>
      </x:c>
      <x:c r="F64" s="14" t="n">
        <x:v>15</x:v>
      </x:c>
      <x:c r="G64" s="14" t="n">
        <x:v>1</x:v>
      </x:c>
      <x:c r="H64" s="14" t="n">
        <x:v>2</x:v>
      </x:c>
      <x:c r="I64" s="14" t="n">
        <x:v>3</x:v>
      </x:c>
      <x:c r="J64" s="14" t="n">
        <x:v>0</x:v>
      </x:c>
      <x:c r="K64" s="14" t="n">
        <x:v>1</x:v>
      </x:c>
      <x:c r="L64" s="14" t="n">
        <x:v>0</x:v>
      </x:c>
      <x:c r="M64" s="14" t="n">
        <x:v>0</x:v>
      </x:c>
      <x:c r="N64" s="14" t="n">
        <x:v>0</x:v>
      </x:c>
      <x:c r="O64" s="14" t="n">
        <x:v>0</x:v>
      </x:c>
      <x:c r="P64" s="14" t="n">
        <x:v>53</x:v>
      </x:c>
      <x:c r="Q64" s="60" t="n">
        <x:v>2018</x:v>
      </x:c>
      <x:c r="R64" s="12" t="str">
        <x:v>Department of Statistics - Establishments Census 2018 - Table 4</x:v>
      </x:c>
    </x:row>
    <x:row r="65">
      <x:c r="A65" s="12" t="str">
        <x:v>2023</x:v>
      </x:c>
      <x:c r="B65" s="12" t="str">
        <x:v>Manufacture of soap and detergents, cleaning and polishing preparations, perfumes and toilet preparations</x:v>
      </x:c>
      <x:c r="C65" s="12" t="str">
        <x:v>Detailed activity (4-digit)</x:v>
      </x:c>
      <x:c r="D65" s="14" t="n">
        <x:v>105</x:v>
      </x:c>
      <x:c r="E65" s="14" t="n">
        <x:v>3</x:v>
      </x:c>
      <x:c r="F65" s="14" t="n">
        <x:v>37</x:v>
      </x:c>
      <x:c r="G65" s="14" t="n">
        <x:v>0</x:v>
      </x:c>
      <x:c r="H65" s="14" t="n">
        <x:v>17</x:v>
      </x:c>
      <x:c r="I65" s="14" t="n">
        <x:v>0</x:v>
      </x:c>
      <x:c r="J65" s="14" t="n">
        <x:v>0</x:v>
      </x:c>
      <x:c r="K65" s="14" t="n">
        <x:v>1</x:v>
      </x:c>
      <x:c r="L65" s="14" t="n">
        <x:v>0</x:v>
      </x:c>
      <x:c r="M65" s="14" t="n">
        <x:v>0</x:v>
      </x:c>
      <x:c r="N65" s="14" t="n">
        <x:v>0</x:v>
      </x:c>
      <x:c r="O65" s="14" t="n">
        <x:v>0</x:v>
      </x:c>
      <x:c r="P65" s="14" t="n">
        <x:v>163</x:v>
      </x:c>
      <x:c r="Q65" s="60" t="n">
        <x:v>2018</x:v>
      </x:c>
      <x:c r="R65" s="12" t="str">
        <x:v>Department of Statistics - Establishments Census 2018 - Table 4</x:v>
      </x:c>
    </x:row>
    <x:row r="66">
      <x:c r="A66" s="12" t="str">
        <x:v>2029</x:v>
      </x:c>
      <x:c r="B66" s="12" t="str">
        <x:v>Manufacture of other chemical products n.e.c.</x:v>
      </x:c>
      <x:c r="C66" s="12" t="str">
        <x:v>Detailed activity (4-digit)</x:v>
      </x:c>
      <x:c r="D66" s="14" t="n">
        <x:v>22</x:v>
      </x:c>
      <x:c r="E66" s="14" t="n">
        <x:v>1</x:v>
      </x:c>
      <x:c r="F66" s="14" t="n">
        <x:v>6</x:v>
      </x:c>
      <x:c r="G66" s="14" t="n">
        <x:v>1</x:v>
      </x:c>
      <x:c r="H66" s="14" t="n">
        <x:v>0</x:v>
      </x:c>
      <x:c r="I66" s="14" t="n">
        <x:v>1</x:v>
      </x:c>
      <x:c r="J66" s="14" t="n">
        <x:v>0</x:v>
      </x:c>
      <x:c r="K66" s="14" t="n">
        <x:v>0</x:v>
      </x:c>
      <x:c r="L66" s="14" t="n">
        <x:v>1</x:v>
      </x:c>
      <x:c r="M66" s="14" t="n">
        <x:v>0</x:v>
      </x:c>
      <x:c r="N66" s="14" t="n">
        <x:v>0</x:v>
      </x:c>
      <x:c r="O66" s="14" t="n">
        <x:v>0</x:v>
      </x:c>
      <x:c r="P66" s="14" t="n">
        <x:v>32</x:v>
      </x:c>
      <x:c r="Q66" s="60" t="n">
        <x:v>2018</x:v>
      </x:c>
      <x:c r="R66" s="12" t="str">
        <x:v>Department of Statistics - Establishments Census 2018 - Table 4</x:v>
      </x:c>
    </x:row>
    <x:row r="67">
      <x:c r="A67" s="12" t="str">
        <x:v>21</x:v>
      </x:c>
      <x:c r="B67" s="12" t="str">
        <x:v>Manufacture of basic pharmaceutical products and pharmaceutical preparations</x:v>
      </x:c>
      <x:c r="C67" s="12" t="str">
        <x:v>Sector (2-digit)</x:v>
      </x:c>
      <x:c r="D67" s="14" t="n">
        <x:v>34</x:v>
      </x:c>
      <x:c r="E67" s="14" t="n">
        <x:v>4</x:v>
      </x:c>
      <x:c r="F67" s="14" t="n">
        <x:v>4</x:v>
      </x:c>
      <x:c r="G67" s="14" t="n">
        <x:v>0</x:v>
      </x:c>
      <x:c r="H67" s="14" t="n">
        <x:v>5</x:v>
      </x:c>
      <x:c r="I67" s="14" t="n">
        <x:v>3</x:v>
      </x:c>
      <x:c r="J67" s="14" t="n">
        <x:v>0</x:v>
      </x:c>
      <x:c r="K67" s="14" t="n">
        <x:v>0</x:v>
      </x:c>
      <x:c r="L67" s="14" t="n">
        <x:v>0</x:v>
      </x:c>
      <x:c r="M67" s="14" t="n">
        <x:v>0</x:v>
      </x:c>
      <x:c r="N67" s="14" t="n">
        <x:v>0</x:v>
      </x:c>
      <x:c r="O67" s="14" t="n">
        <x:v>0</x:v>
      </x:c>
      <x:c r="P67" s="14" t="n">
        <x:v>50</x:v>
      </x:c>
      <x:c r="Q67" s="60" t="n">
        <x:v>2018</x:v>
      </x:c>
      <x:c r="R67" s="12" t="str">
        <x:v>Department of Statistics - Establishments Census 2018 - Table 4</x:v>
      </x:c>
    </x:row>
    <x:row r="68">
      <x:c r="A68" s="12" t="str">
        <x:v>2100</x:v>
      </x:c>
      <x:c r="B68" s="12" t="str">
        <x:v>Manufacture of pharmaceuticals, medicinal chemical and botanical products</x:v>
      </x:c>
      <x:c r="C68" s="12" t="str">
        <x:v>Detailed activity (4-digit)</x:v>
      </x:c>
      <x:c r="D68" s="14" t="n">
        <x:v>34</x:v>
      </x:c>
      <x:c r="E68" s="14" t="n">
        <x:v>4</x:v>
      </x:c>
      <x:c r="F68" s="14" t="n">
        <x:v>4</x:v>
      </x:c>
      <x:c r="G68" s="14" t="n">
        <x:v>0</x:v>
      </x:c>
      <x:c r="H68" s="14" t="n">
        <x:v>5</x:v>
      </x:c>
      <x:c r="I68" s="14" t="n">
        <x:v>3</x:v>
      </x:c>
      <x:c r="J68" s="14" t="n">
        <x:v>0</x:v>
      </x:c>
      <x:c r="K68" s="14" t="n">
        <x:v>0</x:v>
      </x:c>
      <x:c r="L68" s="14" t="n">
        <x:v>0</x:v>
      </x:c>
      <x:c r="M68" s="14" t="n">
        <x:v>0</x:v>
      </x:c>
      <x:c r="N68" s="14" t="n">
        <x:v>0</x:v>
      </x:c>
      <x:c r="O68" s="14" t="n">
        <x:v>0</x:v>
      </x:c>
      <x:c r="P68" s="14" t="n">
        <x:v>50</x:v>
      </x:c>
      <x:c r="Q68" s="60" t="n">
        <x:v>2018</x:v>
      </x:c>
      <x:c r="R68" s="12" t="str">
        <x:v>Department of Statistics - Establishments Census 2018 - Table 4</x:v>
      </x:c>
    </x:row>
    <x:row r="69">
      <x:c r="A69" s="12" t="str">
        <x:v>22</x:v>
      </x:c>
      <x:c r="B69" s="12" t="str">
        <x:v>Manufacture of rubber and plastics products</x:v>
      </x:c>
      <x:c r="C69" s="12" t="str">
        <x:v>Sector (2-digit)</x:v>
      </x:c>
      <x:c r="D69" s="14" t="n">
        <x:v>220</x:v>
      </x:c>
      <x:c r="E69" s="14" t="n">
        <x:v>10</x:v>
      </x:c>
      <x:c r="F69" s="14" t="n">
        <x:v>25</x:v>
      </x:c>
      <x:c r="G69" s="14" t="n">
        <x:v>1</x:v>
      </x:c>
      <x:c r="H69" s="14" t="n">
        <x:v>23</x:v>
      </x:c>
      <x:c r="I69" s="14" t="n">
        <x:v>5</x:v>
      </x:c>
      <x:c r="J69" s="14" t="n">
        <x:v>0</x:v>
      </x:c>
      <x:c r="K69" s="14" t="n">
        <x:v>1</x:v>
      </x:c>
      <x:c r="L69" s="14" t="n">
        <x:v>0</x:v>
      </x:c>
      <x:c r="M69" s="14" t="n">
        <x:v>0</x:v>
      </x:c>
      <x:c r="N69" s="14" t="n">
        <x:v>1</x:v>
      </x:c>
      <x:c r="O69" s="14" t="n">
        <x:v>2</x:v>
      </x:c>
      <x:c r="P69" s="14" t="n">
        <x:v>288</x:v>
      </x:c>
      <x:c r="Q69" s="60" t="n">
        <x:v>2018</x:v>
      </x:c>
      <x:c r="R69" s="12" t="str">
        <x:v>Department of Statistics - Establishments Census 2018 - Table 4</x:v>
      </x:c>
    </x:row>
    <x:row r="70">
      <x:c r="A70" s="12" t="str">
        <x:v>2211</x:v>
      </x:c>
      <x:c r="B70" s="12" t="str">
        <x:v>Manufacture of rubber tyres and tubes; retreading and rebuilding of rubber tyres</x:v>
      </x:c>
      <x:c r="C70" s="12" t="str">
        <x:v>Detailed activity (4-digit)</x:v>
      </x:c>
      <x:c r="D70" s="14" t="n">
        <x:v>6</x:v>
      </x:c>
      <x:c r="E70" s="14" t="n">
        <x:v>0</x:v>
      </x:c>
      <x:c r="F70" s="14" t="n">
        <x:v>1</x:v>
      </x:c>
      <x:c r="G70" s="14" t="n">
        <x:v>0</x:v>
      </x:c>
      <x:c r="H70" s="14" t="n">
        <x:v>0</x:v>
      </x:c>
      <x:c r="I70" s="14" t="n">
        <x:v>0</x:v>
      </x:c>
      <x:c r="J70" s="14" t="n">
        <x:v>0</x:v>
      </x:c>
      <x:c r="K70" s="14" t="n">
        <x:v>0</x:v>
      </x:c>
      <x:c r="L70" s="14" t="n">
        <x:v>0</x:v>
      </x:c>
      <x:c r="M70" s="14" t="n">
        <x:v>0</x:v>
      </x:c>
      <x:c r="N70" s="14" t="n">
        <x:v>0</x:v>
      </x:c>
      <x:c r="O70" s="14" t="n">
        <x:v>0</x:v>
      </x:c>
      <x:c r="P70" s="14" t="n">
        <x:v>7</x:v>
      </x:c>
      <x:c r="Q70" s="60" t="n">
        <x:v>2018</x:v>
      </x:c>
      <x:c r="R70" s="12" t="str">
        <x:v>Department of Statistics - Establishments Census 2018 - Table 4</x:v>
      </x:c>
    </x:row>
    <x:row r="71">
      <x:c r="A71" s="12" t="str">
        <x:v>2219</x:v>
      </x:c>
      <x:c r="B71" s="12" t="str">
        <x:v>Manufacture of other rubber products</x:v>
      </x:c>
      <x:c r="C71" s="12" t="str">
        <x:v>Detailed activity (4-digit)</x:v>
      </x:c>
      <x:c r="D71" s="14" t="n">
        <x:v>6</x:v>
      </x:c>
      <x:c r="E71" s="14" t="n">
        <x:v>1</x:v>
      </x:c>
      <x:c r="F71" s="14" t="n">
        <x:v>0</x:v>
      </x:c>
      <x:c r="G71" s="14" t="n">
        <x:v>0</x:v>
      </x:c>
      <x:c r="H71" s="14" t="n">
        <x:v>1</x:v>
      </x:c>
      <x:c r="I71" s="14" t="n">
        <x:v>0</x:v>
      </x:c>
      <x:c r="J71" s="14" t="n">
        <x:v>0</x:v>
      </x:c>
      <x:c r="K71" s="14" t="n">
        <x:v>0</x:v>
      </x:c>
      <x:c r="L71" s="14" t="n">
        <x:v>0</x:v>
      </x:c>
      <x:c r="M71" s="14" t="n">
        <x:v>0</x:v>
      </x:c>
      <x:c r="N71" s="14" t="n">
        <x:v>0</x:v>
      </x:c>
      <x:c r="O71" s="14" t="n">
        <x:v>0</x:v>
      </x:c>
      <x:c r="P71" s="14" t="n">
        <x:v>8</x:v>
      </x:c>
      <x:c r="Q71" s="60" t="n">
        <x:v>2018</x:v>
      </x:c>
      <x:c r="R71" s="12" t="str">
        <x:v>Department of Statistics - Establishments Census 2018 - Table 4</x:v>
      </x:c>
    </x:row>
    <x:row r="72">
      <x:c r="A72" s="12" t="str">
        <x:v>2220</x:v>
      </x:c>
      <x:c r="B72" s="12" t="str">
        <x:v>Manufacture of plastics products</x:v>
      </x:c>
      <x:c r="C72" s="12" t="str">
        <x:v>Detailed activity (4-digit)</x:v>
      </x:c>
      <x:c r="D72" s="14" t="n">
        <x:v>208</x:v>
      </x:c>
      <x:c r="E72" s="14" t="n">
        <x:v>9</x:v>
      </x:c>
      <x:c r="F72" s="14" t="n">
        <x:v>24</x:v>
      </x:c>
      <x:c r="G72" s="14" t="n">
        <x:v>1</x:v>
      </x:c>
      <x:c r="H72" s="14" t="n">
        <x:v>22</x:v>
      </x:c>
      <x:c r="I72" s="14" t="n">
        <x:v>5</x:v>
      </x:c>
      <x:c r="J72" s="14" t="n">
        <x:v>0</x:v>
      </x:c>
      <x:c r="K72" s="14" t="n">
        <x:v>1</x:v>
      </x:c>
      <x:c r="L72" s="14" t="n">
        <x:v>0</x:v>
      </x:c>
      <x:c r="M72" s="14" t="n">
        <x:v>0</x:v>
      </x:c>
      <x:c r="N72" s="14" t="n">
        <x:v>1</x:v>
      </x:c>
      <x:c r="O72" s="14" t="n">
        <x:v>2</x:v>
      </x:c>
      <x:c r="P72" s="14" t="n">
        <x:v>273</x:v>
      </x:c>
      <x:c r="Q72" s="60" t="n">
        <x:v>2018</x:v>
      </x:c>
      <x:c r="R72" s="12" t="str">
        <x:v>Department of Statistics - Establishments Census 2018 - Table 4</x:v>
      </x:c>
    </x:row>
    <x:row r="73">
      <x:c r="A73" s="12" t="str">
        <x:v>23</x:v>
      </x:c>
      <x:c r="B73" s="12" t="str">
        <x:v>Manufacture of other non-metallic mineral products</x:v>
      </x:c>
      <x:c r="C73" s="12" t="str">
        <x:v>Sector (2-digit)</x:v>
      </x:c>
      <x:c r="D73" s="14" t="n">
        <x:v>760</x:v>
      </x:c>
      <x:c r="E73" s="14" t="n">
        <x:v>128</x:v>
      </x:c>
      <x:c r="F73" s="14" t="n">
        <x:v>416</x:v>
      </x:c>
      <x:c r="G73" s="14" t="n">
        <x:v>65</x:v>
      </x:c>
      <x:c r="H73" s="14" t="n">
        <x:v>400</x:v>
      </x:c>
      <x:c r="I73" s="14" t="n">
        <x:v>103</x:v>
      </x:c>
      <x:c r="J73" s="14" t="n">
        <x:v>48</x:v>
      </x:c>
      <x:c r="K73" s="14" t="n">
        <x:v>44</x:v>
      </x:c>
      <x:c r="L73" s="14" t="n">
        <x:v>84</x:v>
      </x:c>
      <x:c r="M73" s="14" t="n">
        <x:v>26</x:v>
      </x:c>
      <x:c r="N73" s="14" t="n">
        <x:v>55</x:v>
      </x:c>
      <x:c r="O73" s="14" t="n">
        <x:v>54</x:v>
      </x:c>
      <x:c r="P73" s="14" t="n">
        <x:v>2183</x:v>
      </x:c>
      <x:c r="Q73" s="60" t="n">
        <x:v>2018</x:v>
      </x:c>
      <x:c r="R73" s="12" t="str">
        <x:v>Department of Statistics - Establishments Census 2018 - Table 4</x:v>
      </x:c>
    </x:row>
    <x:row r="74">
      <x:c r="A74" s="12" t="str">
        <x:v>2310</x:v>
      </x:c>
      <x:c r="B74" s="12" t="str">
        <x:v>Manufacture of glass and glass products</x:v>
      </x:c>
      <x:c r="C74" s="12" t="str">
        <x:v>Detailed activity (4-digit)</x:v>
      </x:c>
      <x:c r="D74" s="14" t="n">
        <x:v>36</x:v>
      </x:c>
      <x:c r="E74" s="14" t="n">
        <x:v>0</x:v>
      </x:c>
      <x:c r="F74" s="14" t="n">
        <x:v>3</x:v>
      </x:c>
      <x:c r="G74" s="14" t="n">
        <x:v>0</x:v>
      </x:c>
      <x:c r="H74" s="14" t="n">
        <x:v>7</x:v>
      </x:c>
      <x:c r="I74" s="14" t="n">
        <x:v>0</x:v>
      </x:c>
      <x:c r="J74" s="14" t="n">
        <x:v>0</x:v>
      </x:c>
      <x:c r="K74" s="14" t="n">
        <x:v>0</x:v>
      </x:c>
      <x:c r="L74" s="14" t="n">
        <x:v>3</x:v>
      </x:c>
      <x:c r="M74" s="14" t="n">
        <x:v>0</x:v>
      </x:c>
      <x:c r="N74" s="14" t="n">
        <x:v>1</x:v>
      </x:c>
      <x:c r="O74" s="14" t="n">
        <x:v>2</x:v>
      </x:c>
      <x:c r="P74" s="14" t="n">
        <x:v>52</x:v>
      </x:c>
      <x:c r="Q74" s="60" t="n">
        <x:v>2018</x:v>
      </x:c>
      <x:c r="R74" s="12" t="str">
        <x:v>Department of Statistics - Establishments Census 2018 - Table 4</x:v>
      </x:c>
    </x:row>
    <x:row r="75">
      <x:c r="A75" s="12" t="str">
        <x:v>2391</x:v>
      </x:c>
      <x:c r="B75" s="12" t="str">
        <x:v>Manufacture of refractory products</x:v>
      </x:c>
      <x:c r="C75" s="12" t="str">
        <x:v>Detailed activity (4-digit)</x:v>
      </x:c>
      <x:c r="D75" s="14" t="n">
        <x:v>4</x:v>
      </x:c>
      <x:c r="E75" s="14" t="n">
        <x:v>0</x:v>
      </x:c>
      <x:c r="F75" s="14" t="n">
        <x:v>2</x:v>
      </x:c>
      <x:c r="G75" s="14" t="n">
        <x:v>1</x:v>
      </x:c>
      <x:c r="H75" s="14" t="n">
        <x:v>2</x:v>
      </x:c>
      <x:c r="I75" s="14" t="n">
        <x:v>0</x:v>
      </x:c>
      <x:c r="J75" s="14" t="n">
        <x:v>0</x:v>
      </x:c>
      <x:c r="K75" s="14" t="n">
        <x:v>1</x:v>
      </x:c>
      <x:c r="L75" s="14" t="n">
        <x:v>1</x:v>
      </x:c>
      <x:c r="M75" s="14" t="n">
        <x:v>0</x:v>
      </x:c>
      <x:c r="N75" s="14" t="n">
        <x:v>0</x:v>
      </x:c>
      <x:c r="O75" s="14" t="n">
        <x:v>0</x:v>
      </x:c>
      <x:c r="P75" s="14" t="n">
        <x:v>11</x:v>
      </x:c>
      <x:c r="Q75" s="60" t="n">
        <x:v>2018</x:v>
      </x:c>
      <x:c r="R75" s="12" t="str">
        <x:v>Department of Statistics - Establishments Census 2018 - Table 4</x:v>
      </x:c>
    </x:row>
    <x:row r="76">
      <x:c r="A76" s="12" t="str">
        <x:v>2392</x:v>
      </x:c>
      <x:c r="B76" s="12" t="str">
        <x:v>Manufacture of clay building materials</x:v>
      </x:c>
      <x:c r="C76" s="12" t="str">
        <x:v>Detailed activity (4-digit)</x:v>
      </x:c>
      <x:c r="D76" s="14" t="n">
        <x:v>1</x:v>
      </x:c>
      <x:c r="E76" s="14" t="n">
        <x:v>1</x:v>
      </x:c>
      <x:c r="F76" s="14" t="n">
        <x:v>1</x:v>
      </x:c>
      <x:c r="G76" s="14" t="n">
        <x:v>0</x:v>
      </x:c>
      <x:c r="H76" s="14" t="n">
        <x:v>0</x:v>
      </x:c>
      <x:c r="I76" s="14" t="n">
        <x:v>0</x:v>
      </x:c>
      <x:c r="J76" s="14" t="n">
        <x:v>0</x:v>
      </x:c>
      <x:c r="K76" s="14" t="n">
        <x:v>0</x:v>
      </x:c>
      <x:c r="L76" s="14" t="n">
        <x:v>0</x:v>
      </x:c>
      <x:c r="M76" s="14" t="n">
        <x:v>0</x:v>
      </x:c>
      <x:c r="N76" s="14" t="n">
        <x:v>1</x:v>
      </x:c>
      <x:c r="O76" s="14" t="n">
        <x:v>0</x:v>
      </x:c>
      <x:c r="P76" s="14" t="n">
        <x:v>4</x:v>
      </x:c>
      <x:c r="Q76" s="60" t="n">
        <x:v>2018</x:v>
      </x:c>
      <x:c r="R76" s="12" t="str">
        <x:v>Department of Statistics - Establishments Census 2018 - Table 4</x:v>
      </x:c>
    </x:row>
    <x:row r="77">
      <x:c r="A77" s="12" t="str">
        <x:v>2393</x:v>
      </x:c>
      <x:c r="B77" s="12" t="str">
        <x:v>Manufacture of other porcelain and ceramic products</x:v>
      </x:c>
      <x:c r="C77" s="12" t="str">
        <x:v>Detailed activity (4-digit)</x:v>
      </x:c>
      <x:c r="D77" s="14" t="n">
        <x:v>8</x:v>
      </x:c>
      <x:c r="E77" s="14" t="n">
        <x:v>1</x:v>
      </x:c>
      <x:c r="F77" s="14" t="n">
        <x:v>0</x:v>
      </x:c>
      <x:c r="G77" s="14" t="n">
        <x:v>4</x:v>
      </x:c>
      <x:c r="H77" s="14" t="n">
        <x:v>0</x:v>
      </x:c>
      <x:c r="I77" s="14" t="n">
        <x:v>0</x:v>
      </x:c>
      <x:c r="J77" s="14" t="n">
        <x:v>0</x:v>
      </x:c>
      <x:c r="K77" s="14" t="n">
        <x:v>0</x:v>
      </x:c>
      <x:c r="L77" s="14" t="n">
        <x:v>0</x:v>
      </x:c>
      <x:c r="M77" s="14" t="n">
        <x:v>0</x:v>
      </x:c>
      <x:c r="N77" s="14" t="n">
        <x:v>2</x:v>
      </x:c>
      <x:c r="O77" s="14" t="n">
        <x:v>0</x:v>
      </x:c>
      <x:c r="P77" s="14" t="n">
        <x:v>15</x:v>
      </x:c>
      <x:c r="Q77" s="60" t="n">
        <x:v>2018</x:v>
      </x:c>
      <x:c r="R77" s="12" t="str">
        <x:v>Department of Statistics - Establishments Census 2018 - Table 4</x:v>
      </x:c>
    </x:row>
    <x:row r="78">
      <x:c r="A78" s="12" t="str">
        <x:v>2394</x:v>
      </x:c>
      <x:c r="B78" s="12" t="str">
        <x:v>Manufacture of cement, lime and plaster</x:v>
      </x:c>
      <x:c r="C78" s="12" t="str">
        <x:v>Detailed activity (4-digit)</x:v>
      </x:c>
      <x:c r="D78" s="14" t="n">
        <x:v>6</x:v>
      </x:c>
      <x:c r="E78" s="14" t="n">
        <x:v>0</x:v>
      </x:c>
      <x:c r="F78" s="14" t="n">
        <x:v>1</x:v>
      </x:c>
      <x:c r="G78" s="14" t="n">
        <x:v>0</x:v>
      </x:c>
      <x:c r="H78" s="14" t="n">
        <x:v>0</x:v>
      </x:c>
      <x:c r="I78" s="14" t="n">
        <x:v>0</x:v>
      </x:c>
      <x:c r="J78" s="14" t="n">
        <x:v>0</x:v>
      </x:c>
      <x:c r="K78" s="14" t="n">
        <x:v>0</x:v>
      </x:c>
      <x:c r="L78" s="14" t="n">
        <x:v>0</x:v>
      </x:c>
      <x:c r="M78" s="14" t="n">
        <x:v>0</x:v>
      </x:c>
      <x:c r="N78" s="14" t="n">
        <x:v>0</x:v>
      </x:c>
      <x:c r="O78" s="14" t="n">
        <x:v>3</x:v>
      </x:c>
      <x:c r="P78" s="14" t="n">
        <x:v>10</x:v>
      </x:c>
      <x:c r="Q78" s="60" t="n">
        <x:v>2018</x:v>
      </x:c>
      <x:c r="R78" s="12" t="str">
        <x:v>Department of Statistics - Establishments Census 2018 - Table 4</x:v>
      </x:c>
    </x:row>
    <x:row r="79">
      <x:c r="A79" s="12" t="str">
        <x:v>2395</x:v>
      </x:c>
      <x:c r="B79" s="12" t="str">
        <x:v>Manufacture of articles of concrete, cement and plaster</x:v>
      </x:c>
      <x:c r="C79" s="12" t="str">
        <x:v>Detailed activity (4-digit)</x:v>
      </x:c>
      <x:c r="D79" s="14" t="n">
        <x:v>270</x:v>
      </x:c>
      <x:c r="E79" s="14" t="n">
        <x:v>87</x:v>
      </x:c>
      <x:c r="F79" s="14" t="n">
        <x:v>240</x:v>
      </x:c>
      <x:c r="G79" s="14" t="n">
        <x:v>40</x:v>
      </x:c>
      <x:c r="H79" s="14" t="n">
        <x:v>205</x:v>
      </x:c>
      <x:c r="I79" s="14" t="n">
        <x:v>65</x:v>
      </x:c>
      <x:c r="J79" s="14" t="n">
        <x:v>44</x:v>
      </x:c>
      <x:c r="K79" s="14" t="n">
        <x:v>36</x:v>
      </x:c>
      <x:c r="L79" s="14" t="n">
        <x:v>64</x:v>
      </x:c>
      <x:c r="M79" s="14" t="n">
        <x:v>25</x:v>
      </x:c>
      <x:c r="N79" s="14" t="n">
        <x:v>34</x:v>
      </x:c>
      <x:c r="O79" s="14" t="n">
        <x:v>32</x:v>
      </x:c>
      <x:c r="P79" s="14" t="n">
        <x:v>1142</x:v>
      </x:c>
      <x:c r="Q79" s="60" t="n">
        <x:v>2018</x:v>
      </x:c>
      <x:c r="R79" s="12" t="str">
        <x:v>Department of Statistics - Establishments Census 2018 - Table 4</x:v>
      </x:c>
    </x:row>
    <x:row r="80">
      <x:c r="A80" s="12" t="str">
        <x:v>2396</x:v>
      </x:c>
      <x:c r="B80" s="12" t="str">
        <x:v>Cutting, shaping and finishing of stone</x:v>
      </x:c>
      <x:c r="C80" s="12" t="str">
        <x:v>Detailed activity (4-digit)</x:v>
      </x:c>
      <x:c r="D80" s="14" t="n">
        <x:v>433</x:v>
      </x:c>
      <x:c r="E80" s="14" t="n">
        <x:v>39</x:v>
      </x:c>
      <x:c r="F80" s="14" t="n">
        <x:v>169</x:v>
      </x:c>
      <x:c r="G80" s="14" t="n">
        <x:v>20</x:v>
      </x:c>
      <x:c r="H80" s="14" t="n">
        <x:v>185</x:v>
      </x:c>
      <x:c r="I80" s="14" t="n">
        <x:v>38</x:v>
      </x:c>
      <x:c r="J80" s="14" t="n">
        <x:v>4</x:v>
      </x:c>
      <x:c r="K80" s="14" t="n">
        <x:v>7</x:v>
      </x:c>
      <x:c r="L80" s="14" t="n">
        <x:v>16</x:v>
      </x:c>
      <x:c r="M80" s="14" t="n">
        <x:v>1</x:v>
      </x:c>
      <x:c r="N80" s="14" t="n">
        <x:v>17</x:v>
      </x:c>
      <x:c r="O80" s="14" t="n">
        <x:v>17</x:v>
      </x:c>
      <x:c r="P80" s="14" t="n">
        <x:v>946</x:v>
      </x:c>
      <x:c r="Q80" s="60" t="n">
        <x:v>2018</x:v>
      </x:c>
      <x:c r="R80" s="12" t="str">
        <x:v>Department of Statistics - Establishments Census 2018 - Table 4</x:v>
      </x:c>
    </x:row>
    <x:row r="81">
      <x:c r="A81" s="12" t="str">
        <x:v>2399</x:v>
      </x:c>
      <x:c r="B81" s="12" t="str">
        <x:v>Manufacture of other non-metallic mineral products n.e.c.</x:v>
      </x:c>
      <x:c r="C81" s="12" t="str">
        <x:v>Detailed activity (4-digit)</x:v>
      </x:c>
      <x:c r="D81" s="14" t="n">
        <x:v>2</x:v>
      </x:c>
      <x:c r="E81" s="14" t="n">
        <x:v>0</x:v>
      </x:c>
      <x:c r="F81" s="14" t="n">
        <x:v>0</x:v>
      </x:c>
      <x:c r="G81" s="14" t="n">
        <x:v>0</x:v>
      </x:c>
      <x:c r="H81" s="14" t="n">
        <x:v>1</x:v>
      </x:c>
      <x:c r="I81" s="14" t="n">
        <x:v>0</x:v>
      </x:c>
      <x:c r="J81" s="14" t="n">
        <x:v>0</x:v>
      </x:c>
      <x:c r="K81" s="14" t="n">
        <x:v>0</x:v>
      </x:c>
      <x:c r="L81" s="14" t="n">
        <x:v>0</x:v>
      </x:c>
      <x:c r="M81" s="14" t="n">
        <x:v>0</x:v>
      </x:c>
      <x:c r="N81" s="14" t="n">
        <x:v>0</x:v>
      </x:c>
      <x:c r="O81" s="14" t="n">
        <x:v>0</x:v>
      </x:c>
      <x:c r="P81" s="14" t="n">
        <x:v>3</x:v>
      </x:c>
      <x:c r="Q81" s="60" t="n">
        <x:v>2018</x:v>
      </x:c>
      <x:c r="R81" s="12" t="str">
        <x:v>Department of Statistics - Establishments Census 2018 - Table 4</x:v>
      </x:c>
    </x:row>
    <x:row r="82">
      <x:c r="A82" s="12" t="str">
        <x:v>24</x:v>
      </x:c>
      <x:c r="B82" s="12" t="str">
        <x:v>Manufacture of basic metals</x:v>
      </x:c>
      <x:c r="C82" s="12" t="str">
        <x:v>Sector (2-digit)</x:v>
      </x:c>
      <x:c r="D82" s="14" t="n">
        <x:v>80</x:v>
      </x:c>
      <x:c r="E82" s="14" t="n">
        <x:v>1</x:v>
      </x:c>
      <x:c r="F82" s="14" t="n">
        <x:v>15</x:v>
      </x:c>
      <x:c r="G82" s="14" t="n">
        <x:v>0</x:v>
      </x:c>
      <x:c r="H82" s="14" t="n">
        <x:v>7</x:v>
      </x:c>
      <x:c r="I82" s="14" t="n">
        <x:v>1</x:v>
      </x:c>
      <x:c r="J82" s="14" t="n">
        <x:v>0</x:v>
      </x:c>
      <x:c r="K82" s="14" t="n">
        <x:v>0</x:v>
      </x:c>
      <x:c r="L82" s="14" t="n">
        <x:v>0</x:v>
      </x:c>
      <x:c r="M82" s="14" t="n">
        <x:v>0</x:v>
      </x:c>
      <x:c r="N82" s="14" t="n">
        <x:v>0</x:v>
      </x:c>
      <x:c r="O82" s="14" t="n">
        <x:v>1</x:v>
      </x:c>
      <x:c r="P82" s="14" t="n">
        <x:v>105</x:v>
      </x:c>
      <x:c r="Q82" s="60" t="n">
        <x:v>2018</x:v>
      </x:c>
      <x:c r="R82" s="12" t="str">
        <x:v>Department of Statistics - Establishments Census 2018 - Table 4</x:v>
      </x:c>
    </x:row>
    <x:row r="83">
      <x:c r="A83" s="12" t="str">
        <x:v>2410</x:v>
      </x:c>
      <x:c r="B83" s="12" t="str">
        <x:v>Manufacture of basic iron and steel</x:v>
      </x:c>
      <x:c r="C83" s="12" t="str">
        <x:v>Detailed activity (4-digit)</x:v>
      </x:c>
      <x:c r="D83" s="14" t="n">
        <x:v>25</x:v>
      </x:c>
      <x:c r="E83" s="14" t="n">
        <x:v>0</x:v>
      </x:c>
      <x:c r="F83" s="14" t="n">
        <x:v>10</x:v>
      </x:c>
      <x:c r="G83" s="14" t="n">
        <x:v>0</x:v>
      </x:c>
      <x:c r="H83" s="14" t="n">
        <x:v>1</x:v>
      </x:c>
      <x:c r="I83" s="14" t="n">
        <x:v>0</x:v>
      </x:c>
      <x:c r="J83" s="14" t="n">
        <x:v>0</x:v>
      </x:c>
      <x:c r="K83" s="14" t="n">
        <x:v>0</x:v>
      </x:c>
      <x:c r="L83" s="14" t="n">
        <x:v>0</x:v>
      </x:c>
      <x:c r="M83" s="14" t="n">
        <x:v>0</x:v>
      </x:c>
      <x:c r="N83" s="14" t="n">
        <x:v>0</x:v>
      </x:c>
      <x:c r="O83" s="14" t="n">
        <x:v>0</x:v>
      </x:c>
      <x:c r="P83" s="14" t="n">
        <x:v>36</x:v>
      </x:c>
      <x:c r="Q83" s="60" t="n">
        <x:v>2018</x:v>
      </x:c>
      <x:c r="R83" s="12" t="str">
        <x:v>Department of Statistics - Establishments Census 2018 - Table 4</x:v>
      </x:c>
    </x:row>
    <x:row r="84">
      <x:c r="A84" s="12" t="str">
        <x:v>2420</x:v>
      </x:c>
      <x:c r="B84" s="12" t="str">
        <x:v>Manufacture of basic precious and other non- ferrous metals</x:v>
      </x:c>
      <x:c r="C84" s="12" t="str">
        <x:v>Detailed activity (4-digit)</x:v>
      </x:c>
      <x:c r="D84" s="14" t="n">
        <x:v>17</x:v>
      </x:c>
      <x:c r="E84" s="14" t="n">
        <x:v>0</x:v>
      </x:c>
      <x:c r="F84" s="14" t="n">
        <x:v>0</x:v>
      </x:c>
      <x:c r="G84" s="14" t="n">
        <x:v>0</x:v>
      </x:c>
      <x:c r="H84" s="14" t="n">
        <x:v>0</x:v>
      </x:c>
      <x:c r="I84" s="14" t="n">
        <x:v>1</x:v>
      </x:c>
      <x:c r="J84" s="14" t="n">
        <x:v>0</x:v>
      </x:c>
      <x:c r="K84" s="14" t="n">
        <x:v>0</x:v>
      </x:c>
      <x:c r="L84" s="14" t="n">
        <x:v>0</x:v>
      </x:c>
      <x:c r="M84" s="14" t="n">
        <x:v>0</x:v>
      </x:c>
      <x:c r="N84" s="14" t="n">
        <x:v>0</x:v>
      </x:c>
      <x:c r="O84" s="14" t="n">
        <x:v>1</x:v>
      </x:c>
      <x:c r="P84" s="14" t="n">
        <x:v>19</x:v>
      </x:c>
      <x:c r="Q84" s="60" t="n">
        <x:v>2018</x:v>
      </x:c>
      <x:c r="R84" s="12" t="str">
        <x:v>Department of Statistics - Establishments Census 2018 - Table 4</x:v>
      </x:c>
    </x:row>
    <x:row r="85">
      <x:c r="A85" s="12" t="str">
        <x:v>2431</x:v>
      </x:c>
      <x:c r="B85" s="12" t="str">
        <x:v>Casting of iron and steel</x:v>
      </x:c>
      <x:c r="C85" s="12" t="str">
        <x:v>Detailed activity (4-digit)</x:v>
      </x:c>
      <x:c r="D85" s="14" t="n">
        <x:v>33</x:v>
      </x:c>
      <x:c r="E85" s="14" t="n">
        <x:v>0</x:v>
      </x:c>
      <x:c r="F85" s="14" t="n">
        <x:v>2</x:v>
      </x:c>
      <x:c r="G85" s="14" t="n">
        <x:v>0</x:v>
      </x:c>
      <x:c r="H85" s="14" t="n">
        <x:v>5</x:v>
      </x:c>
      <x:c r="I85" s="14" t="n">
        <x:v>0</x:v>
      </x:c>
      <x:c r="J85" s="14" t="n">
        <x:v>0</x:v>
      </x:c>
      <x:c r="K85" s="14" t="n">
        <x:v>0</x:v>
      </x:c>
      <x:c r="L85" s="14" t="n">
        <x:v>0</x:v>
      </x:c>
      <x:c r="M85" s="14" t="n">
        <x:v>0</x:v>
      </x:c>
      <x:c r="N85" s="14" t="n">
        <x:v>0</x:v>
      </x:c>
      <x:c r="O85" s="14" t="n">
        <x:v>0</x:v>
      </x:c>
      <x:c r="P85" s="14" t="n">
        <x:v>40</x:v>
      </x:c>
      <x:c r="Q85" s="60" t="n">
        <x:v>2018</x:v>
      </x:c>
      <x:c r="R85" s="12" t="str">
        <x:v>Department of Statistics - Establishments Census 2018 - Table 4</x:v>
      </x:c>
    </x:row>
    <x:row r="86">
      <x:c r="A86" s="12" t="str">
        <x:v>2432</x:v>
      </x:c>
      <x:c r="B86" s="12" t="str">
        <x:v>Casting of non-ferrous metals</x:v>
      </x:c>
      <x:c r="C86" s="12" t="str">
        <x:v>Detailed activity (4-digit)</x:v>
      </x:c>
      <x:c r="D86" s="14" t="n">
        <x:v>5</x:v>
      </x:c>
      <x:c r="E86" s="14" t="n">
        <x:v>1</x:v>
      </x:c>
      <x:c r="F86" s="14" t="n">
        <x:v>3</x:v>
      </x:c>
      <x:c r="G86" s="14" t="n">
        <x:v>0</x:v>
      </x:c>
      <x:c r="H86" s="14" t="n">
        <x:v>1</x:v>
      </x:c>
      <x:c r="I86" s="14" t="n">
        <x:v>0</x:v>
      </x:c>
      <x:c r="J86" s="14" t="n">
        <x:v>0</x:v>
      </x:c>
      <x:c r="K86" s="14" t="n">
        <x:v>0</x:v>
      </x:c>
      <x:c r="L86" s="14" t="n">
        <x:v>0</x:v>
      </x:c>
      <x:c r="M86" s="14" t="n">
        <x:v>0</x:v>
      </x:c>
      <x:c r="N86" s="14" t="n">
        <x:v>0</x:v>
      </x:c>
      <x:c r="O86" s="14" t="n">
        <x:v>0</x:v>
      </x:c>
      <x:c r="P86" s="14" t="n">
        <x:v>10</x:v>
      </x:c>
      <x:c r="Q86" s="60" t="n">
        <x:v>2018</x:v>
      </x:c>
      <x:c r="R86" s="12" t="str">
        <x:v>Department of Statistics - Establishments Census 2018 - Table 4</x:v>
      </x:c>
    </x:row>
    <x:row r="87">
      <x:c r="A87" s="12" t="str">
        <x:v>25</x:v>
      </x:c>
      <x:c r="B87" s="12" t="str">
        <x:v>Manufacture of fabricated metal products, except machinery and equipment</x:v>
      </x:c>
      <x:c r="C87" s="12" t="str">
        <x:v>Sector (2-digit)</x:v>
      </x:c>
      <x:c r="D87" s="14" t="n">
        <x:v>1755</x:v>
      </x:c>
      <x:c r="E87" s="14" t="n">
        <x:v>330</x:v>
      </x:c>
      <x:c r="F87" s="14" t="n">
        <x:v>603</x:v>
      </x:c>
      <x:c r="G87" s="14" t="n">
        <x:v>67</x:v>
      </x:c>
      <x:c r="H87" s="14" t="n">
        <x:v>739</x:v>
      </x:c>
      <x:c r="I87" s="14" t="n">
        <x:v>138</x:v>
      </x:c>
      <x:c r="J87" s="14" t="n">
        <x:v>134</x:v>
      </x:c>
      <x:c r="K87" s="14" t="n">
        <x:v>119</x:v>
      </x:c>
      <x:c r="L87" s="14" t="n">
        <x:v>157</x:v>
      </x:c>
      <x:c r="M87" s="14" t="n">
        <x:v>43</x:v>
      </x:c>
      <x:c r="N87" s="14" t="n">
        <x:v>57</x:v>
      </x:c>
      <x:c r="O87" s="14" t="n">
        <x:v>86</x:v>
      </x:c>
      <x:c r="P87" s="14" t="n">
        <x:v>4228</x:v>
      </x:c>
      <x:c r="Q87" s="60" t="n">
        <x:v>2018</x:v>
      </x:c>
      <x:c r="R87" s="12" t="str">
        <x:v>Department of Statistics - Establishments Census 2018 - Table 4</x:v>
      </x:c>
    </x:row>
    <x:row r="88">
      <x:c r="A88" s="12" t="str">
        <x:v>2511</x:v>
      </x:c>
      <x:c r="B88" s="12" t="str">
        <x:v>Manufacture of structural metal products</x:v>
      </x:c>
      <x:c r="C88" s="12" t="str">
        <x:v>Detailed activity (4-digit)</x:v>
      </x:c>
      <x:c r="D88" s="14" t="n">
        <x:v>1159</x:v>
      </x:c>
      <x:c r="E88" s="14" t="n">
        <x:v>300</x:v>
      </x:c>
      <x:c r="F88" s="14" t="n">
        <x:v>502</x:v>
      </x:c>
      <x:c r="G88" s="14" t="n">
        <x:v>52</x:v>
      </x:c>
      <x:c r="H88" s="14" t="n">
        <x:v>645</x:v>
      </x:c>
      <x:c r="I88" s="14" t="n">
        <x:v>120</x:v>
      </x:c>
      <x:c r="J88" s="14" t="n">
        <x:v>125</x:v>
      </x:c>
      <x:c r="K88" s="14" t="n">
        <x:v>114</x:v>
      </x:c>
      <x:c r="L88" s="14" t="n">
        <x:v>146</x:v>
      </x:c>
      <x:c r="M88" s="14" t="n">
        <x:v>40</x:v>
      </x:c>
      <x:c r="N88" s="14" t="n">
        <x:v>50</x:v>
      </x:c>
      <x:c r="O88" s="14" t="n">
        <x:v>75</x:v>
      </x:c>
      <x:c r="P88" s="14" t="n">
        <x:v>3328</x:v>
      </x:c>
      <x:c r="Q88" s="60" t="n">
        <x:v>2018</x:v>
      </x:c>
      <x:c r="R88" s="12" t="str">
        <x:v>Department of Statistics - Establishments Census 2018 - Table 4</x:v>
      </x:c>
    </x:row>
    <x:row r="89">
      <x:c r="A89" s="12" t="str">
        <x:v>2512</x:v>
      </x:c>
      <x:c r="B89" s="12" t="str">
        <x:v>Manufacture of tanks, reservoirs and containers of metal</x:v>
      </x:c>
      <x:c r="C89" s="12" t="str">
        <x:v>Detailed activity (4-digit)</x:v>
      </x:c>
      <x:c r="D89" s="14" t="n">
        <x:v>19</x:v>
      </x:c>
      <x:c r="E89" s="14" t="n">
        <x:v>1</x:v>
      </x:c>
      <x:c r="F89" s="14" t="n">
        <x:v>5</x:v>
      </x:c>
      <x:c r="G89" s="14" t="n">
        <x:v>0</x:v>
      </x:c>
      <x:c r="H89" s="14" t="n">
        <x:v>4</x:v>
      </x:c>
      <x:c r="I89" s="14" t="n">
        <x:v>1</x:v>
      </x:c>
      <x:c r="J89" s="14" t="n">
        <x:v>1</x:v>
      </x:c>
      <x:c r="K89" s="14" t="n">
        <x:v>0</x:v>
      </x:c>
      <x:c r="L89" s="14" t="n">
        <x:v>0</x:v>
      </x:c>
      <x:c r="M89" s="14" t="n">
        <x:v>0</x:v>
      </x:c>
      <x:c r="N89" s="14" t="n">
        <x:v>0</x:v>
      </x:c>
      <x:c r="O89" s="14" t="n">
        <x:v>1</x:v>
      </x:c>
      <x:c r="P89" s="14" t="n">
        <x:v>32</x:v>
      </x:c>
      <x:c r="Q89" s="60" t="n">
        <x:v>2018</x:v>
      </x:c>
      <x:c r="R89" s="12" t="str">
        <x:v>Department of Statistics - Establishments Census 2018 - Table 4</x:v>
      </x:c>
    </x:row>
    <x:row r="90">
      <x:c r="A90" s="12" t="str">
        <x:v>2513</x:v>
      </x:c>
      <x:c r="B90" s="12" t="str">
        <x:v>Manufacture of steam generators, except central heating hot water boilers</x:v>
      </x:c>
      <x:c r="C90" s="12" t="str">
        <x:v>Detailed activity (4-digit)</x:v>
      </x:c>
      <x:c r="D90" s="14" t="n">
        <x:v>1</x:v>
      </x:c>
      <x:c r="E90" s="14" t="n">
        <x:v>0</x:v>
      </x:c>
      <x:c r="F90" s="14" t="n">
        <x:v>0</x:v>
      </x:c>
      <x:c r="G90" s="14" t="n">
        <x:v>0</x:v>
      </x:c>
      <x:c r="H90" s="14" t="n">
        <x:v>1</x:v>
      </x:c>
      <x:c r="I90" s="14" t="n">
        <x:v>0</x:v>
      </x:c>
      <x:c r="J90" s="14" t="n">
        <x:v>0</x:v>
      </x:c>
      <x:c r="K90" s="14" t="n">
        <x:v>0</x:v>
      </x:c>
      <x:c r="L90" s="14" t="n">
        <x:v>0</x:v>
      </x:c>
      <x:c r="M90" s="14" t="n">
        <x:v>0</x:v>
      </x:c>
      <x:c r="N90" s="14" t="n">
        <x:v>0</x:v>
      </x:c>
      <x:c r="O90" s="14" t="n">
        <x:v>0</x:v>
      </x:c>
      <x:c r="P90" s="14" t="n">
        <x:v>2</x:v>
      </x:c>
      <x:c r="Q90" s="60" t="n">
        <x:v>2018</x:v>
      </x:c>
      <x:c r="R90" s="12" t="str">
        <x:v>Department of Statistics - Establishments Census 2018 - Table 4</x:v>
      </x:c>
    </x:row>
    <x:row r="91">
      <x:c r="A91" s="12" t="str">
        <x:v>2591</x:v>
      </x:c>
      <x:c r="B91" s="12" t="str">
        <x:v>Forging, pressing, stamping and roll-forming of metal; powder metallurgy</x:v>
      </x:c>
      <x:c r="C91" s="12" t="str">
        <x:v>Detailed activity (4-digit)</x:v>
      </x:c>
      <x:c r="D91" s="14" t="n">
        <x:v>57</x:v>
      </x:c>
      <x:c r="E91" s="14" t="n">
        <x:v>0</x:v>
      </x:c>
      <x:c r="F91" s="14" t="n">
        <x:v>8</x:v>
      </x:c>
      <x:c r="G91" s="14" t="n">
        <x:v>0</x:v>
      </x:c>
      <x:c r="H91" s="14" t="n">
        <x:v>2</x:v>
      </x:c>
      <x:c r="I91" s="14" t="n">
        <x:v>1</x:v>
      </x:c>
      <x:c r="J91" s="14" t="n">
        <x:v>0</x:v>
      </x:c>
      <x:c r="K91" s="14" t="n">
        <x:v>0</x:v>
      </x:c>
      <x:c r="L91" s="14" t="n">
        <x:v>0</x:v>
      </x:c>
      <x:c r="M91" s="14" t="n">
        <x:v>0</x:v>
      </x:c>
      <x:c r="N91" s="14" t="n">
        <x:v>0</x:v>
      </x:c>
      <x:c r="O91" s="14" t="n">
        <x:v>0</x:v>
      </x:c>
      <x:c r="P91" s="14" t="n">
        <x:v>68</x:v>
      </x:c>
      <x:c r="Q91" s="60" t="n">
        <x:v>2018</x:v>
      </x:c>
      <x:c r="R91" s="12" t="str">
        <x:v>Department of Statistics - Establishments Census 2018 - Table 4</x:v>
      </x:c>
    </x:row>
    <x:row r="92">
      <x:c r="A92" s="12" t="str">
        <x:v>2592</x:v>
      </x:c>
      <x:c r="B92" s="12" t="str">
        <x:v>Treatment and coating of metals; machining</x:v>
      </x:c>
      <x:c r="C92" s="12" t="str">
        <x:v>Detailed activity (4-digit)</x:v>
      </x:c>
      <x:c r="D92" s="14" t="n">
        <x:v>391</x:v>
      </x:c>
      <x:c r="E92" s="14" t="n">
        <x:v>20</x:v>
      </x:c>
      <x:c r="F92" s="14" t="n">
        <x:v>68</x:v>
      </x:c>
      <x:c r="G92" s="14" t="n">
        <x:v>8</x:v>
      </x:c>
      <x:c r="H92" s="14" t="n">
        <x:v>63</x:v>
      </x:c>
      <x:c r="I92" s="14" t="n">
        <x:v>13</x:v>
      </x:c>
      <x:c r="J92" s="14" t="n">
        <x:v>6</x:v>
      </x:c>
      <x:c r="K92" s="14" t="n">
        <x:v>4</x:v>
      </x:c>
      <x:c r="L92" s="14" t="n">
        <x:v>9</x:v>
      </x:c>
      <x:c r="M92" s="14" t="n">
        <x:v>3</x:v>
      </x:c>
      <x:c r="N92" s="14" t="n">
        <x:v>6</x:v>
      </x:c>
      <x:c r="O92" s="14" t="n">
        <x:v>9</x:v>
      </x:c>
      <x:c r="P92" s="14" t="n">
        <x:v>600</x:v>
      </x:c>
      <x:c r="Q92" s="60" t="n">
        <x:v>2018</x:v>
      </x:c>
      <x:c r="R92" s="12" t="str">
        <x:v>Department of Statistics - Establishments Census 2018 - Table 4</x:v>
      </x:c>
    </x:row>
    <x:row r="93">
      <x:c r="A93" s="12" t="str">
        <x:v>2593</x:v>
      </x:c>
      <x:c r="B93" s="12" t="str">
        <x:v>Manufacture of cutlery, hand tools and general hardware</x:v>
      </x:c>
      <x:c r="C93" s="12" t="str">
        <x:v>Detailed activity (4-digit)</x:v>
      </x:c>
      <x:c r="D93" s="14" t="n">
        <x:v>16</x:v>
      </x:c>
      <x:c r="E93" s="14" t="n">
        <x:v>0</x:v>
      </x:c>
      <x:c r="F93" s="14" t="n">
        <x:v>0</x:v>
      </x:c>
      <x:c r="G93" s="14" t="n">
        <x:v>0</x:v>
      </x:c>
      <x:c r="H93" s="14" t="n">
        <x:v>1</x:v>
      </x:c>
      <x:c r="I93" s="14" t="n">
        <x:v>0</x:v>
      </x:c>
      <x:c r="J93" s="14" t="n">
        <x:v>0</x:v>
      </x:c>
      <x:c r="K93" s="14" t="n">
        <x:v>0</x:v>
      </x:c>
      <x:c r="L93" s="14" t="n">
        <x:v>0</x:v>
      </x:c>
      <x:c r="M93" s="14" t="n">
        <x:v>0</x:v>
      </x:c>
      <x:c r="N93" s="14" t="n">
        <x:v>0</x:v>
      </x:c>
      <x:c r="O93" s="14" t="n">
        <x:v>0</x:v>
      </x:c>
      <x:c r="P93" s="14" t="n">
        <x:v>17</x:v>
      </x:c>
      <x:c r="Q93" s="60" t="n">
        <x:v>2018</x:v>
      </x:c>
      <x:c r="R93" s="12" t="str">
        <x:v>Department of Statistics - Establishments Census 2018 - Table 4</x:v>
      </x:c>
    </x:row>
    <x:row r="94">
      <x:c r="A94" s="12" t="str">
        <x:v>2599</x:v>
      </x:c>
      <x:c r="B94" s="12" t="str">
        <x:v>Manufacture of other fabricated metal products n.e.c.</x:v>
      </x:c>
      <x:c r="C94" s="12" t="str">
        <x:v>Detailed activity (4-digit)</x:v>
      </x:c>
      <x:c r="D94" s="14" t="n">
        <x:v>112</x:v>
      </x:c>
      <x:c r="E94" s="14" t="n">
        <x:v>9</x:v>
      </x:c>
      <x:c r="F94" s="14" t="n">
        <x:v>20</x:v>
      </x:c>
      <x:c r="G94" s="14" t="n">
        <x:v>7</x:v>
      </x:c>
      <x:c r="H94" s="14" t="n">
        <x:v>23</x:v>
      </x:c>
      <x:c r="I94" s="14" t="n">
        <x:v>3</x:v>
      </x:c>
      <x:c r="J94" s="14" t="n">
        <x:v>2</x:v>
      </x:c>
      <x:c r="K94" s="14" t="n">
        <x:v>1</x:v>
      </x:c>
      <x:c r="L94" s="14" t="n">
        <x:v>2</x:v>
      </x:c>
      <x:c r="M94" s="14" t="n">
        <x:v>0</x:v>
      </x:c>
      <x:c r="N94" s="14" t="n">
        <x:v>1</x:v>
      </x:c>
      <x:c r="O94" s="14" t="n">
        <x:v>1</x:v>
      </x:c>
      <x:c r="P94" s="14" t="n">
        <x:v>181</x:v>
      </x:c>
      <x:c r="Q94" s="60" t="n">
        <x:v>2018</x:v>
      </x:c>
      <x:c r="R94" s="12" t="str">
        <x:v>Department of Statistics - Establishments Census 2018 - Table 4</x:v>
      </x:c>
    </x:row>
    <x:row r="95">
      <x:c r="A95" s="12" t="str">
        <x:v>26</x:v>
      </x:c>
      <x:c r="B95" s="12" t="str">
        <x:v>Manufacture of computer, electronic and optical products</x:v>
      </x:c>
      <x:c r="C95" s="12" t="str">
        <x:v>Sector (2-digit)</x:v>
      </x:c>
      <x:c r="D95" s="14" t="n">
        <x:v>22</x:v>
      </x:c>
      <x:c r="E95" s="14" t="n">
        <x:v>3</x:v>
      </x:c>
      <x:c r="F95" s="14" t="n">
        <x:v>2</x:v>
      </x:c>
      <x:c r="G95" s="14" t="n">
        <x:v>1</x:v>
      </x:c>
      <x:c r="H95" s="14" t="n">
        <x:v>2</x:v>
      </x:c>
      <x:c r="I95" s="14" t="n">
        <x:v>1</x:v>
      </x:c>
      <x:c r="J95" s="14" t="n">
        <x:v>0</x:v>
      </x:c>
      <x:c r="K95" s="14" t="n">
        <x:v>0</x:v>
      </x:c>
      <x:c r="L95" s="14" t="n">
        <x:v>0</x:v>
      </x:c>
      <x:c r="M95" s="14" t="n">
        <x:v>0</x:v>
      </x:c>
      <x:c r="N95" s="14" t="n">
        <x:v>1</x:v>
      </x:c>
      <x:c r="O95" s="14" t="n">
        <x:v>0</x:v>
      </x:c>
      <x:c r="P95" s="14" t="n">
        <x:v>32</x:v>
      </x:c>
      <x:c r="Q95" s="60" t="n">
        <x:v>2018</x:v>
      </x:c>
      <x:c r="R95" s="12" t="str">
        <x:v>Department of Statistics - Establishments Census 2018 - Table 4</x:v>
      </x:c>
    </x:row>
    <x:row r="96">
      <x:c r="A96" s="12" t="str">
        <x:v>2610</x:v>
      </x:c>
      <x:c r="B96" s="12" t="str">
        <x:v>Manufacture of electronic components and boards</x:v>
      </x:c>
      <x:c r="C96" s="12" t="str">
        <x:v>Detailed activity (4-digit)</x:v>
      </x:c>
      <x:c r="D96" s="14" t="n">
        <x:v>13</x:v>
      </x:c>
      <x:c r="E96" s="14" t="n">
        <x:v>1</x:v>
      </x:c>
      <x:c r="F96" s="14" t="n">
        <x:v>1</x:v>
      </x:c>
      <x:c r="G96" s="14" t="n">
        <x:v>1</x:v>
      </x:c>
      <x:c r="H96" s="14" t="n">
        <x:v>2</x:v>
      </x:c>
      <x:c r="I96" s="14" t="n">
        <x:v>1</x:v>
      </x:c>
      <x:c r="J96" s="14" t="n">
        <x:v>0</x:v>
      </x:c>
      <x:c r="K96" s="14" t="n">
        <x:v>0</x:v>
      </x:c>
      <x:c r="L96" s="14" t="n">
        <x:v>0</x:v>
      </x:c>
      <x:c r="M96" s="14" t="n">
        <x:v>0</x:v>
      </x:c>
      <x:c r="N96" s="14" t="n">
        <x:v>0</x:v>
      </x:c>
      <x:c r="O96" s="14" t="n">
        <x:v>0</x:v>
      </x:c>
      <x:c r="P96" s="14" t="n">
        <x:v>19</x:v>
      </x:c>
      <x:c r="Q96" s="60" t="n">
        <x:v>2018</x:v>
      </x:c>
      <x:c r="R96" s="12" t="str">
        <x:v>Department of Statistics - Establishments Census 2018 - Table 4</x:v>
      </x:c>
    </x:row>
    <x:row r="97">
      <x:c r="A97" s="12" t="str">
        <x:v>2620</x:v>
      </x:c>
      <x:c r="B97" s="12" t="str">
        <x:v>Manufacture of computers and peripheral equipment</x:v>
      </x:c>
      <x:c r="C97" s="12" t="str">
        <x:v>Detailed activity (4-digit)</x:v>
      </x:c>
      <x:c r="D97" s="14" t="n">
        <x:v>1</x:v>
      </x:c>
      <x:c r="E97" s="14" t="n">
        <x:v>1</x:v>
      </x:c>
      <x:c r="F97" s="14" t="n">
        <x:v>0</x:v>
      </x:c>
      <x:c r="G97" s="14" t="n">
        <x:v>0</x:v>
      </x:c>
      <x:c r="H97" s="14" t="n">
        <x:v>0</x:v>
      </x:c>
      <x:c r="I97" s="14" t="n">
        <x:v>0</x:v>
      </x:c>
      <x:c r="J97" s="14" t="n">
        <x:v>0</x:v>
      </x:c>
      <x:c r="K97" s="14" t="n">
        <x:v>0</x:v>
      </x:c>
      <x:c r="L97" s="14" t="n">
        <x:v>0</x:v>
      </x:c>
      <x:c r="M97" s="14" t="n">
        <x:v>0</x:v>
      </x:c>
      <x:c r="N97" s="14" t="n">
        <x:v>0</x:v>
      </x:c>
      <x:c r="O97" s="14" t="n">
        <x:v>0</x:v>
      </x:c>
      <x:c r="P97" s="14" t="n">
        <x:v>2</x:v>
      </x:c>
      <x:c r="Q97" s="60" t="n">
        <x:v>2018</x:v>
      </x:c>
      <x:c r="R97" s="12" t="str">
        <x:v>Department of Statistics - Establishments Census 2018 - Table 4</x:v>
      </x:c>
    </x:row>
    <x:row r="98">
      <x:c r="A98" s="12" t="str">
        <x:v>2640</x:v>
      </x:c>
      <x:c r="B98" s="12" t="str">
        <x:v>Manufacture of consumer electronics</x:v>
      </x:c>
      <x:c r="C98" s="12" t="str">
        <x:v>Detailed activity (4-digit)</x:v>
      </x:c>
      <x:c r="D98" s="14" t="n">
        <x:v>5</x:v>
      </x:c>
      <x:c r="E98" s="14" t="n">
        <x:v>1</x:v>
      </x:c>
      <x:c r="F98" s="14" t="n">
        <x:v>1</x:v>
      </x:c>
      <x:c r="G98" s="14" t="n">
        <x:v>0</x:v>
      </x:c>
      <x:c r="H98" s="14" t="n">
        <x:v>0</x:v>
      </x:c>
      <x:c r="I98" s="14" t="n">
        <x:v>0</x:v>
      </x:c>
      <x:c r="J98" s="14" t="n">
        <x:v>0</x:v>
      </x:c>
      <x:c r="K98" s="14" t="n">
        <x:v>0</x:v>
      </x:c>
      <x:c r="L98" s="14" t="n">
        <x:v>0</x:v>
      </x:c>
      <x:c r="M98" s="14" t="n">
        <x:v>0</x:v>
      </x:c>
      <x:c r="N98" s="14" t="n">
        <x:v>1</x:v>
      </x:c>
      <x:c r="O98" s="14" t="n">
        <x:v>0</x:v>
      </x:c>
      <x:c r="P98" s="14" t="n">
        <x:v>8</x:v>
      </x:c>
      <x:c r="Q98" s="60" t="n">
        <x:v>2018</x:v>
      </x:c>
      <x:c r="R98" s="12" t="str">
        <x:v>Department of Statistics - Establishments Census 2018 - Table 4</x:v>
      </x:c>
    </x:row>
    <x:row r="99">
      <x:c r="A99" s="12" t="str">
        <x:v>2660</x:v>
      </x:c>
      <x:c r="B99" s="12" t="str">
        <x:v>Manufacture of irradiation, electromedical and electrotherapeutic equipment</x:v>
      </x:c>
      <x:c r="C99" s="12" t="str">
        <x:v>Detailed activity (4-digit)</x:v>
      </x:c>
      <x:c r="D99" s="14" t="n">
        <x:v>2</x:v>
      </x:c>
      <x:c r="E99" s="14" t="n">
        <x:v>0</x:v>
      </x:c>
      <x:c r="F99" s="14" t="n">
        <x:v>0</x:v>
      </x:c>
      <x:c r="G99" s="14" t="n">
        <x:v>0</x:v>
      </x:c>
      <x:c r="H99" s="14" t="n">
        <x:v>0</x:v>
      </x:c>
      <x:c r="I99" s="14" t="n">
        <x:v>0</x:v>
      </x:c>
      <x:c r="J99" s="14" t="n">
        <x:v>0</x:v>
      </x:c>
      <x:c r="K99" s="14" t="n">
        <x:v>0</x:v>
      </x:c>
      <x:c r="L99" s="14" t="n">
        <x:v>0</x:v>
      </x:c>
      <x:c r="M99" s="14" t="n">
        <x:v>0</x:v>
      </x:c>
      <x:c r="N99" s="14" t="n">
        <x:v>0</x:v>
      </x:c>
      <x:c r="O99" s="14" t="n">
        <x:v>0</x:v>
      </x:c>
      <x:c r="P99" s="14" t="n">
        <x:v>2</x:v>
      </x:c>
      <x:c r="Q99" s="60" t="n">
        <x:v>2018</x:v>
      </x:c>
      <x:c r="R99" s="12" t="str">
        <x:v>Department of Statistics - Establishments Census 2018 - Table 4</x:v>
      </x:c>
    </x:row>
    <x:row r="100">
      <x:c r="A100" s="12" t="str">
        <x:v>2680</x:v>
      </x:c>
      <x:c r="B100" s="12" t="str">
        <x:v>Manufacture of magnetic and optical media</x:v>
      </x:c>
      <x:c r="C100" s="12" t="str">
        <x:v>Detailed activity (4-digit)</x:v>
      </x:c>
      <x:c r="D100" s="14" t="n">
        <x:v>1</x:v>
      </x:c>
      <x:c r="E100" s="14" t="n">
        <x:v>0</x:v>
      </x:c>
      <x:c r="F100" s="14" t="n">
        <x:v>0</x:v>
      </x:c>
      <x:c r="G100" s="14" t="n">
        <x:v>0</x:v>
      </x:c>
      <x:c r="H100" s="14" t="n">
        <x:v>0</x:v>
      </x:c>
      <x:c r="I100" s="14" t="n">
        <x:v>0</x:v>
      </x:c>
      <x:c r="J100" s="14" t="n">
        <x:v>0</x:v>
      </x:c>
      <x:c r="K100" s="14" t="n">
        <x:v>0</x:v>
      </x:c>
      <x:c r="L100" s="14" t="n">
        <x:v>0</x:v>
      </x:c>
      <x:c r="M100" s="14" t="n">
        <x:v>0</x:v>
      </x:c>
      <x:c r="N100" s="14" t="n">
        <x:v>0</x:v>
      </x:c>
      <x:c r="O100" s="14" t="n">
        <x:v>0</x:v>
      </x:c>
      <x:c r="P100" s="14" t="n">
        <x:v>1</x:v>
      </x:c>
      <x:c r="Q100" s="60" t="n">
        <x:v>2018</x:v>
      </x:c>
      <x:c r="R100" s="12" t="str">
        <x:v>Department of Statistics - Establishments Census 2018 - Table 4</x:v>
      </x:c>
    </x:row>
    <x:row r="101">
      <x:c r="A101" s="12" t="str">
        <x:v>27</x:v>
      </x:c>
      <x:c r="B101" s="12" t="str">
        <x:v>Manufacture of electrical equipment</x:v>
      </x:c>
      <x:c r="C101" s="12" t="str">
        <x:v>Sector (2-digit)</x:v>
      </x:c>
      <x:c r="D101" s="14" t="n">
        <x:v>113</x:v>
      </x:c>
      <x:c r="E101" s="14" t="n">
        <x:v>1</x:v>
      </x:c>
      <x:c r="F101" s="14" t="n">
        <x:v>20</x:v>
      </x:c>
      <x:c r="G101" s="14" t="n">
        <x:v>0</x:v>
      </x:c>
      <x:c r="H101" s="14" t="n">
        <x:v>21</x:v>
      </x:c>
      <x:c r="I101" s="14" t="n">
        <x:v>4</x:v>
      </x:c>
      <x:c r="J101" s="14" t="n">
        <x:v>1</x:v>
      </x:c>
      <x:c r="K101" s="14" t="n">
        <x:v>1</x:v>
      </x:c>
      <x:c r="L101" s="14" t="n">
        <x:v>2</x:v>
      </x:c>
      <x:c r="M101" s="14" t="n">
        <x:v>0</x:v>
      </x:c>
      <x:c r="N101" s="14" t="n">
        <x:v>1</x:v>
      </x:c>
      <x:c r="O101" s="14" t="n">
        <x:v>4</x:v>
      </x:c>
      <x:c r="P101" s="14" t="n">
        <x:v>168</x:v>
      </x:c>
      <x:c r="Q101" s="60" t="n">
        <x:v>2018</x:v>
      </x:c>
      <x:c r="R101" s="12" t="str">
        <x:v>Department of Statistics - Establishments Census 2018 - Table 4</x:v>
      </x:c>
    </x:row>
    <x:row r="102">
      <x:c r="A102" s="12" t="str">
        <x:v>2710</x:v>
      </x:c>
      <x:c r="B102" s="12" t="str">
        <x:v>Manufacture of electric motors, generators, transformers and electricity distribution and control apparatus</x:v>
      </x:c>
      <x:c r="C102" s="12" t="str">
        <x:v>Detailed activity (4-digit)</x:v>
      </x:c>
      <x:c r="D102" s="14" t="n">
        <x:v>10</x:v>
      </x:c>
      <x:c r="E102" s="14" t="n">
        <x:v>0</x:v>
      </x:c>
      <x:c r="F102" s="14" t="n">
        <x:v>1</x:v>
      </x:c>
      <x:c r="G102" s="14" t="n">
        <x:v>0</x:v>
      </x:c>
      <x:c r="H102" s="14" t="n">
        <x:v>0</x:v>
      </x:c>
      <x:c r="I102" s="14" t="n">
        <x:v>0</x:v>
      </x:c>
      <x:c r="J102" s="14" t="n">
        <x:v>0</x:v>
      </x:c>
      <x:c r="K102" s="14" t="n">
        <x:v>0</x:v>
      </x:c>
      <x:c r="L102" s="14" t="n">
        <x:v>1</x:v>
      </x:c>
      <x:c r="M102" s="14" t="n">
        <x:v>0</x:v>
      </x:c>
      <x:c r="N102" s="14" t="n">
        <x:v>0</x:v>
      </x:c>
      <x:c r="O102" s="14" t="n">
        <x:v>0</x:v>
      </x:c>
      <x:c r="P102" s="14" t="n">
        <x:v>12</x:v>
      </x:c>
      <x:c r="Q102" s="60" t="n">
        <x:v>2018</x:v>
      </x:c>
      <x:c r="R102" s="12" t="str">
        <x:v>Department of Statistics - Establishments Census 2018 - Table 4</x:v>
      </x:c>
    </x:row>
    <x:row r="103">
      <x:c r="A103" s="12" t="str">
        <x:v>2720</x:v>
      </x:c>
      <x:c r="B103" s="12" t="str">
        <x:v>Manufacture of batteries and accumulators</x:v>
      </x:c>
      <x:c r="C103" s="12" t="str">
        <x:v>Detailed activity (4-digit)</x:v>
      </x:c>
      <x:c r="D103" s="14" t="n">
        <x:v>3</x:v>
      </x:c>
      <x:c r="E103" s="14" t="n">
        <x:v>0</x:v>
      </x:c>
      <x:c r="F103" s="14" t="n">
        <x:v>0</x:v>
      </x:c>
      <x:c r="G103" s="14" t="n">
        <x:v>0</x:v>
      </x:c>
      <x:c r="H103" s="14" t="n">
        <x:v>0</x:v>
      </x:c>
      <x:c r="I103" s="14" t="n">
        <x:v>0</x:v>
      </x:c>
      <x:c r="J103" s="14" t="n">
        <x:v>0</x:v>
      </x:c>
      <x:c r="K103" s="14" t="n">
        <x:v>0</x:v>
      </x:c>
      <x:c r="L103" s="14" t="n">
        <x:v>0</x:v>
      </x:c>
      <x:c r="M103" s="14" t="n">
        <x:v>0</x:v>
      </x:c>
      <x:c r="N103" s="14" t="n">
        <x:v>0</x:v>
      </x:c>
      <x:c r="O103" s="14" t="n">
        <x:v>0</x:v>
      </x:c>
      <x:c r="P103" s="14" t="n">
        <x:v>3</x:v>
      </x:c>
      <x:c r="Q103" s="60" t="n">
        <x:v>2018</x:v>
      </x:c>
      <x:c r="R103" s="12" t="str">
        <x:v>Department of Statistics - Establishments Census 2018 - Table 4</x:v>
      </x:c>
    </x:row>
    <x:row r="104">
      <x:c r="A104" s="12" t="str">
        <x:v>2732</x:v>
      </x:c>
      <x:c r="B104" s="12" t="str">
        <x:v>Manufacture of other electronic and electric wires and cables</x:v>
      </x:c>
      <x:c r="C104" s="12" t="str">
        <x:v>Detailed activity (4-digit)</x:v>
      </x:c>
      <x:c r="D104" s="14" t="n">
        <x:v>9</x:v>
      </x:c>
      <x:c r="E104" s="14" t="n">
        <x:v>0</x:v>
      </x:c>
      <x:c r="F104" s="14" t="n">
        <x:v>3</x:v>
      </x:c>
      <x:c r="G104" s="14" t="n">
        <x:v>0</x:v>
      </x:c>
      <x:c r="H104" s="14" t="n">
        <x:v>2</x:v>
      </x:c>
      <x:c r="I104" s="14" t="n">
        <x:v>2</x:v>
      </x:c>
      <x:c r="J104" s="14" t="n">
        <x:v>0</x:v>
      </x:c>
      <x:c r="K104" s="14" t="n">
        <x:v>0</x:v>
      </x:c>
      <x:c r="L104" s="14" t="n">
        <x:v>0</x:v>
      </x:c>
      <x:c r="M104" s="14" t="n">
        <x:v>0</x:v>
      </x:c>
      <x:c r="N104" s="14" t="n">
        <x:v>0</x:v>
      </x:c>
      <x:c r="O104" s="14" t="n">
        <x:v>0</x:v>
      </x:c>
      <x:c r="P104" s="14" t="n">
        <x:v>16</x:v>
      </x:c>
      <x:c r="Q104" s="60" t="n">
        <x:v>2018</x:v>
      </x:c>
      <x:c r="R104" s="12" t="str">
        <x:v>Department of Statistics - Establishments Census 2018 - Table 4</x:v>
      </x:c>
    </x:row>
    <x:row r="105">
      <x:c r="A105" s="12" t="str">
        <x:v>2733</x:v>
      </x:c>
      <x:c r="B105" s="12" t="str">
        <x:v>Manufacture of wiring devices</x:v>
      </x:c>
      <x:c r="C105" s="12" t="str">
        <x:v>Detailed activity (4-digit)</x:v>
      </x:c>
      <x:c r="D105" s="14" t="n">
        <x:v>1</x:v>
      </x:c>
      <x:c r="E105" s="14" t="n">
        <x:v>0</x:v>
      </x:c>
      <x:c r="F105" s="14" t="n">
        <x:v>0</x:v>
      </x:c>
      <x:c r="G105" s="14" t="n">
        <x:v>0</x:v>
      </x:c>
      <x:c r="H105" s="14" t="n">
        <x:v>0</x:v>
      </x:c>
      <x:c r="I105" s="14" t="n">
        <x:v>0</x:v>
      </x:c>
      <x:c r="J105" s="14" t="n">
        <x:v>0</x:v>
      </x:c>
      <x:c r="K105" s="14" t="n">
        <x:v>0</x:v>
      </x:c>
      <x:c r="L105" s="14" t="n">
        <x:v>0</x:v>
      </x:c>
      <x:c r="M105" s="14" t="n">
        <x:v>0</x:v>
      </x:c>
      <x:c r="N105" s="14" t="n">
        <x:v>0</x:v>
      </x:c>
      <x:c r="O105" s="14" t="n">
        <x:v>0</x:v>
      </x:c>
      <x:c r="P105" s="14" t="n">
        <x:v>1</x:v>
      </x:c>
      <x:c r="Q105" s="60" t="n">
        <x:v>2018</x:v>
      </x:c>
      <x:c r="R105" s="12" t="str">
        <x:v>Department of Statistics - Establishments Census 2018 - Table 4</x:v>
      </x:c>
    </x:row>
    <x:row r="106">
      <x:c r="A106" s="12" t="str">
        <x:v>2740</x:v>
      </x:c>
      <x:c r="B106" s="12" t="str">
        <x:v>Manufacture of electric lighting equipment</x:v>
      </x:c>
      <x:c r="C106" s="12" t="str">
        <x:v>Detailed activity (4-digit)</x:v>
      </x:c>
      <x:c r="D106" s="14" t="n">
        <x:v>3</x:v>
      </x:c>
      <x:c r="E106" s="14" t="n">
        <x:v>0</x:v>
      </x:c>
      <x:c r="F106" s="14" t="n">
        <x:v>1</x:v>
      </x:c>
      <x:c r="G106" s="14" t="n">
        <x:v>0</x:v>
      </x:c>
      <x:c r="H106" s="14" t="n">
        <x:v>6</x:v>
      </x:c>
      <x:c r="I106" s="14" t="n">
        <x:v>0</x:v>
      </x:c>
      <x:c r="J106" s="14" t="n">
        <x:v>0</x:v>
      </x:c>
      <x:c r="K106" s="14" t="n">
        <x:v>0</x:v>
      </x:c>
      <x:c r="L106" s="14" t="n">
        <x:v>0</x:v>
      </x:c>
      <x:c r="M106" s="14" t="n">
        <x:v>0</x:v>
      </x:c>
      <x:c r="N106" s="14" t="n">
        <x:v>0</x:v>
      </x:c>
      <x:c r="O106" s="14" t="n">
        <x:v>1</x:v>
      </x:c>
      <x:c r="P106" s="14" t="n">
        <x:v>11</x:v>
      </x:c>
      <x:c r="Q106" s="60" t="n">
        <x:v>2018</x:v>
      </x:c>
      <x:c r="R106" s="12" t="str">
        <x:v>Department of Statistics - Establishments Census 2018 - Table 4</x:v>
      </x:c>
    </x:row>
    <x:row r="107">
      <x:c r="A107" s="12" t="str">
        <x:v>2750</x:v>
      </x:c>
      <x:c r="B107" s="12" t="str">
        <x:v>Manufacture of domestic appliances</x:v>
      </x:c>
      <x:c r="C107" s="12" t="str">
        <x:v>Detailed activity (4-digit)</x:v>
      </x:c>
      <x:c r="D107" s="14" t="n">
        <x:v>62</x:v>
      </x:c>
      <x:c r="E107" s="14" t="n">
        <x:v>1</x:v>
      </x:c>
      <x:c r="F107" s="14" t="n">
        <x:v>15</x:v>
      </x:c>
      <x:c r="G107" s="14" t="n">
        <x:v>0</x:v>
      </x:c>
      <x:c r="H107" s="14" t="n">
        <x:v>13</x:v>
      </x:c>
      <x:c r="I107" s="14" t="n">
        <x:v>2</x:v>
      </x:c>
      <x:c r="J107" s="14" t="n">
        <x:v>1</x:v>
      </x:c>
      <x:c r="K107" s="14" t="n">
        <x:v>1</x:v>
      </x:c>
      <x:c r="L107" s="14" t="n">
        <x:v>1</x:v>
      </x:c>
      <x:c r="M107" s="14" t="n">
        <x:v>0</x:v>
      </x:c>
      <x:c r="N107" s="14" t="n">
        <x:v>1</x:v>
      </x:c>
      <x:c r="O107" s="14" t="n">
        <x:v>3</x:v>
      </x:c>
      <x:c r="P107" s="14" t="n">
        <x:v>100</x:v>
      </x:c>
      <x:c r="Q107" s="60" t="n">
        <x:v>2018</x:v>
      </x:c>
      <x:c r="R107" s="12" t="str">
        <x:v>Department of Statistics - Establishments Census 2018 - Table 4</x:v>
      </x:c>
    </x:row>
    <x:row r="108">
      <x:c r="A108" s="12" t="str">
        <x:v>2790</x:v>
      </x:c>
      <x:c r="B108" s="12" t="str">
        <x:v>Manufacture of other electrical equipment</x:v>
      </x:c>
      <x:c r="C108" s="12" t="str">
        <x:v>Detailed activity (4-digit)</x:v>
      </x:c>
      <x:c r="D108" s="14" t="n">
        <x:v>25</x:v>
      </x:c>
      <x:c r="E108" s="14" t="n">
        <x:v>0</x:v>
      </x:c>
      <x:c r="F108" s="14" t="n">
        <x:v>0</x:v>
      </x:c>
      <x:c r="G108" s="14" t="n">
        <x:v>0</x:v>
      </x:c>
      <x:c r="H108" s="14" t="n">
        <x:v>0</x:v>
      </x:c>
      <x:c r="I108" s="14" t="n">
        <x:v>0</x:v>
      </x:c>
      <x:c r="J108" s="14" t="n">
        <x:v>0</x:v>
      </x:c>
      <x:c r="K108" s="14" t="n">
        <x:v>0</x:v>
      </x:c>
      <x:c r="L108" s="14" t="n">
        <x:v>0</x:v>
      </x:c>
      <x:c r="M108" s="14" t="n">
        <x:v>0</x:v>
      </x:c>
      <x:c r="N108" s="14" t="n">
        <x:v>0</x:v>
      </x:c>
      <x:c r="O108" s="14" t="n">
        <x:v>0</x:v>
      </x:c>
      <x:c r="P108" s="14" t="n">
        <x:v>25</x:v>
      </x:c>
      <x:c r="Q108" s="60" t="n">
        <x:v>2018</x:v>
      </x:c>
      <x:c r="R108" s="12" t="str">
        <x:v>Department of Statistics - Establishments Census 2018 - Table 4</x:v>
      </x:c>
    </x:row>
    <x:row r="109">
      <x:c r="A109" s="12" t="str">
        <x:v>28</x:v>
      </x:c>
      <x:c r="B109" s="12" t="str">
        <x:v>Manufacture of machinery and equipment n.e.c.</x:v>
      </x:c>
      <x:c r="C109" s="12" t="str">
        <x:v>Sector (2-digit)</x:v>
      </x:c>
      <x:c r="D109" s="14" t="n">
        <x:v>78</x:v>
      </x:c>
      <x:c r="E109" s="14" t="n">
        <x:v>1</x:v>
      </x:c>
      <x:c r="F109" s="14" t="n">
        <x:v>8</x:v>
      </x:c>
      <x:c r="G109" s="14" t="n">
        <x:v>0</x:v>
      </x:c>
      <x:c r="H109" s="14" t="n">
        <x:v>3</x:v>
      </x:c>
      <x:c r="I109" s="14" t="n">
        <x:v>1</x:v>
      </x:c>
      <x:c r="J109" s="14" t="n">
        <x:v>0</x:v>
      </x:c>
      <x:c r="K109" s="14" t="n">
        <x:v>0</x:v>
      </x:c>
      <x:c r="L109" s="14" t="n">
        <x:v>0</x:v>
      </x:c>
      <x:c r="M109" s="14" t="n">
        <x:v>0</x:v>
      </x:c>
      <x:c r="N109" s="14" t="n">
        <x:v>0</x:v>
      </x:c>
      <x:c r="O109" s="14" t="n">
        <x:v>2</x:v>
      </x:c>
      <x:c r="P109" s="14" t="n">
        <x:v>93</x:v>
      </x:c>
      <x:c r="Q109" s="60" t="n">
        <x:v>2018</x:v>
      </x:c>
      <x:c r="R109" s="12" t="str">
        <x:v>Department of Statistics - Establishments Census 2018 - Table 4</x:v>
      </x:c>
    </x:row>
    <x:row r="110">
      <x:c r="A110" s="12" t="str">
        <x:v>2811</x:v>
      </x:c>
      <x:c r="B110" s="12" t="str">
        <x:v>Manufacture of engines and turbines, except aircraft, vehicle and cycle engines</x:v>
      </x:c>
      <x:c r="C110" s="12" t="str">
        <x:v>Detailed activity (4-digit)</x:v>
      </x:c>
      <x:c r="D110" s="14" t="n">
        <x:v>1</x:v>
      </x:c>
      <x:c r="E110" s="14" t="n">
        <x:v>0</x:v>
      </x:c>
      <x:c r="F110" s="14" t="n">
        <x:v>0</x:v>
      </x:c>
      <x:c r="G110" s="14" t="n">
        <x:v>0</x:v>
      </x:c>
      <x:c r="H110" s="14" t="n">
        <x:v>0</x:v>
      </x:c>
      <x:c r="I110" s="14" t="n">
        <x:v>0</x:v>
      </x:c>
      <x:c r="J110" s="14" t="n">
        <x:v>0</x:v>
      </x:c>
      <x:c r="K110" s="14" t="n">
        <x:v>0</x:v>
      </x:c>
      <x:c r="L110" s="14" t="n">
        <x:v>0</x:v>
      </x:c>
      <x:c r="M110" s="14" t="n">
        <x:v>0</x:v>
      </x:c>
      <x:c r="N110" s="14" t="n">
        <x:v>0</x:v>
      </x:c>
      <x:c r="O110" s="14" t="n">
        <x:v>0</x:v>
      </x:c>
      <x:c r="P110" s="14" t="n">
        <x:v>1</x:v>
      </x:c>
      <x:c r="Q110" s="60" t="n">
        <x:v>2018</x:v>
      </x:c>
      <x:c r="R110" s="12" t="str">
        <x:v>Department of Statistics - Establishments Census 2018 - Table 4</x:v>
      </x:c>
    </x:row>
    <x:row r="111">
      <x:c r="A111" s="12" t="str">
        <x:v>2813</x:v>
      </x:c>
      <x:c r="B111" s="12" t="str">
        <x:v>Manufacture of other pumps, compressors, taps and valves</x:v>
      </x:c>
      <x:c r="C111" s="12" t="str">
        <x:v>Detailed activity (4-digit)</x:v>
      </x:c>
      <x:c r="D111" s="14" t="n">
        <x:v>14</x:v>
      </x:c>
      <x:c r="E111" s="14" t="n">
        <x:v>0</x:v>
      </x:c>
      <x:c r="F111" s="14" t="n">
        <x:v>1</x:v>
      </x:c>
      <x:c r="G111" s="14" t="n">
        <x:v>0</x:v>
      </x:c>
      <x:c r="H111" s="14" t="n">
        <x:v>0</x:v>
      </x:c>
      <x:c r="I111" s="14" t="n">
        <x:v>0</x:v>
      </x:c>
      <x:c r="J111" s="14" t="n">
        <x:v>0</x:v>
      </x:c>
      <x:c r="K111" s="14" t="n">
        <x:v>0</x:v>
      </x:c>
      <x:c r="L111" s="14" t="n">
        <x:v>0</x:v>
      </x:c>
      <x:c r="M111" s="14" t="n">
        <x:v>0</x:v>
      </x:c>
      <x:c r="N111" s="14" t="n">
        <x:v>0</x:v>
      </x:c>
      <x:c r="O111" s="14" t="n">
        <x:v>0</x:v>
      </x:c>
      <x:c r="P111" s="14" t="n">
        <x:v>15</x:v>
      </x:c>
      <x:c r="Q111" s="60" t="n">
        <x:v>2018</x:v>
      </x:c>
      <x:c r="R111" s="12" t="str">
        <x:v>Department of Statistics - Establishments Census 2018 - Table 4</x:v>
      </x:c>
    </x:row>
    <x:row r="112">
      <x:c r="A112" s="12" t="str">
        <x:v>2815</x:v>
      </x:c>
      <x:c r="B112" s="12" t="str">
        <x:v>Manufacture of ovens, furnaces and furnace burners</x:v>
      </x:c>
      <x:c r="C112" s="12" t="str">
        <x:v>Detailed activity (4-digit)</x:v>
      </x:c>
      <x:c r="D112" s="14" t="n">
        <x:v>1</x:v>
      </x:c>
      <x:c r="E112" s="14" t="n">
        <x:v>0</x:v>
      </x:c>
      <x:c r="F112" s="14" t="n">
        <x:v>0</x:v>
      </x:c>
      <x:c r="G112" s="14" t="n">
        <x:v>0</x:v>
      </x:c>
      <x:c r="H112" s="14" t="n">
        <x:v>0</x:v>
      </x:c>
      <x:c r="I112" s="14" t="n">
        <x:v>0</x:v>
      </x:c>
      <x:c r="J112" s="14" t="n">
        <x:v>0</x:v>
      </x:c>
      <x:c r="K112" s="14" t="n">
        <x:v>0</x:v>
      </x:c>
      <x:c r="L112" s="14" t="n">
        <x:v>0</x:v>
      </x:c>
      <x:c r="M112" s="14" t="n">
        <x:v>0</x:v>
      </x:c>
      <x:c r="N112" s="14" t="n">
        <x:v>0</x:v>
      </x:c>
      <x:c r="O112" s="14" t="n">
        <x:v>0</x:v>
      </x:c>
      <x:c r="P112" s="14" t="n">
        <x:v>1</x:v>
      </x:c>
      <x:c r="Q112" s="60" t="n">
        <x:v>2018</x:v>
      </x:c>
      <x:c r="R112" s="12" t="str">
        <x:v>Department of Statistics - Establishments Census 2018 - Table 4</x:v>
      </x:c>
    </x:row>
    <x:row r="113">
      <x:c r="A113" s="12" t="str">
        <x:v>2816</x:v>
      </x:c>
      <x:c r="B113" s="12" t="str">
        <x:v>Manufacture of lifting and handling equipment</x:v>
      </x:c>
      <x:c r="C113" s="12" t="str">
        <x:v>Detailed activity (4-digit)</x:v>
      </x:c>
      <x:c r="D113" s="14" t="n">
        <x:v>16</x:v>
      </x:c>
      <x:c r="E113" s="14" t="n">
        <x:v>1</x:v>
      </x:c>
      <x:c r="F113" s="14" t="n">
        <x:v>0</x:v>
      </x:c>
      <x:c r="G113" s="14" t="n">
        <x:v>0</x:v>
      </x:c>
      <x:c r="H113" s="14" t="n">
        <x:v>0</x:v>
      </x:c>
      <x:c r="I113" s="14" t="n">
        <x:v>0</x:v>
      </x:c>
      <x:c r="J113" s="14" t="n">
        <x:v>0</x:v>
      </x:c>
      <x:c r="K113" s="14" t="n">
        <x:v>0</x:v>
      </x:c>
      <x:c r="L113" s="14" t="n">
        <x:v>0</x:v>
      </x:c>
      <x:c r="M113" s="14" t="n">
        <x:v>0</x:v>
      </x:c>
      <x:c r="N113" s="14" t="n">
        <x:v>0</x:v>
      </x:c>
      <x:c r="O113" s="14" t="n">
        <x:v>0</x:v>
      </x:c>
      <x:c r="P113" s="14" t="n">
        <x:v>17</x:v>
      </x:c>
      <x:c r="Q113" s="60" t="n">
        <x:v>2018</x:v>
      </x:c>
      <x:c r="R113" s="12" t="str">
        <x:v>Department of Statistics - Establishments Census 2018 - Table 4</x:v>
      </x:c>
    </x:row>
    <x:row r="114">
      <x:c r="A114" s="12" t="str">
        <x:v>2819</x:v>
      </x:c>
      <x:c r="B114" s="12" t="str">
        <x:v>Manufacture of other general-purpose machinery</x:v>
      </x:c>
      <x:c r="C114" s="12" t="str">
        <x:v>Detailed activity (4-digit)</x:v>
      </x:c>
      <x:c r="D114" s="14" t="n">
        <x:v>19</x:v>
      </x:c>
      <x:c r="E114" s="14" t="n">
        <x:v>0</x:v>
      </x:c>
      <x:c r="F114" s="14" t="n">
        <x:v>1</x:v>
      </x:c>
      <x:c r="G114" s="14" t="n">
        <x:v>0</x:v>
      </x:c>
      <x:c r="H114" s="14" t="n">
        <x:v>2</x:v>
      </x:c>
      <x:c r="I114" s="14" t="n">
        <x:v>1</x:v>
      </x:c>
      <x:c r="J114" s="14" t="n">
        <x:v>0</x:v>
      </x:c>
      <x:c r="K114" s="14" t="n">
        <x:v>0</x:v>
      </x:c>
      <x:c r="L114" s="14" t="n">
        <x:v>0</x:v>
      </x:c>
      <x:c r="M114" s="14" t="n">
        <x:v>0</x:v>
      </x:c>
      <x:c r="N114" s="14" t="n">
        <x:v>0</x:v>
      </x:c>
      <x:c r="O114" s="14" t="n">
        <x:v>1</x:v>
      </x:c>
      <x:c r="P114" s="14" t="n">
        <x:v>24</x:v>
      </x:c>
      <x:c r="Q114" s="60" t="n">
        <x:v>2018</x:v>
      </x:c>
      <x:c r="R114" s="12" t="str">
        <x:v>Department of Statistics - Establishments Census 2018 - Table 4</x:v>
      </x:c>
    </x:row>
    <x:row r="115">
      <x:c r="A115" s="12" t="str">
        <x:v>2821</x:v>
      </x:c>
      <x:c r="B115" s="12" t="str">
        <x:v>Manufacture of agricultural and forestry machinery</x:v>
      </x:c>
      <x:c r="C115" s="12" t="str">
        <x:v>Detailed activity (4-digit)</x:v>
      </x:c>
      <x:c r="D115" s="14" t="n">
        <x:v>3</x:v>
      </x:c>
      <x:c r="E115" s="14" t="n">
        <x:v>0</x:v>
      </x:c>
      <x:c r="F115" s="14" t="n">
        <x:v>2</x:v>
      </x:c>
      <x:c r="G115" s="14" t="n">
        <x:v>0</x:v>
      </x:c>
      <x:c r="H115" s="14" t="n">
        <x:v>1</x:v>
      </x:c>
      <x:c r="I115" s="14" t="n">
        <x:v>0</x:v>
      </x:c>
      <x:c r="J115" s="14" t="n">
        <x:v>0</x:v>
      </x:c>
      <x:c r="K115" s="14" t="n">
        <x:v>0</x:v>
      </x:c>
      <x:c r="L115" s="14" t="n">
        <x:v>0</x:v>
      </x:c>
      <x:c r="M115" s="14" t="n">
        <x:v>0</x:v>
      </x:c>
      <x:c r="N115" s="14" t="n">
        <x:v>0</x:v>
      </x:c>
      <x:c r="O115" s="14" t="n">
        <x:v>0</x:v>
      </x:c>
      <x:c r="P115" s="14" t="n">
        <x:v>6</x:v>
      </x:c>
      <x:c r="Q115" s="60" t="n">
        <x:v>2018</x:v>
      </x:c>
      <x:c r="R115" s="12" t="str">
        <x:v>Department of Statistics - Establishments Census 2018 - Table 4</x:v>
      </x:c>
    </x:row>
    <x:row r="116">
      <x:c r="A116" s="12" t="str">
        <x:v>2822</x:v>
      </x:c>
      <x:c r="B116" s="12" t="str">
        <x:v>Manufacture of metal-forming machinery and machine tools</x:v>
      </x:c>
      <x:c r="C116" s="12" t="str">
        <x:v>Detailed activity (4-digit)</x:v>
      </x:c>
      <x:c r="D116" s="14" t="n">
        <x:v>1</x:v>
      </x:c>
      <x:c r="E116" s="14" t="n">
        <x:v>0</x:v>
      </x:c>
      <x:c r="F116" s="14" t="n">
        <x:v>1</x:v>
      </x:c>
      <x:c r="G116" s="14" t="n">
        <x:v>0</x:v>
      </x:c>
      <x:c r="H116" s="14" t="n">
        <x:v>0</x:v>
      </x:c>
      <x:c r="I116" s="14" t="n">
        <x:v>0</x:v>
      </x:c>
      <x:c r="J116" s="14" t="n">
        <x:v>0</x:v>
      </x:c>
      <x:c r="K116" s="14" t="n">
        <x:v>0</x:v>
      </x:c>
      <x:c r="L116" s="14" t="n">
        <x:v>0</x:v>
      </x:c>
      <x:c r="M116" s="14" t="n">
        <x:v>0</x:v>
      </x:c>
      <x:c r="N116" s="14" t="n">
        <x:v>0</x:v>
      </x:c>
      <x:c r="O116" s="14" t="n">
        <x:v>0</x:v>
      </x:c>
      <x:c r="P116" s="14" t="n">
        <x:v>2</x:v>
      </x:c>
      <x:c r="Q116" s="60" t="n">
        <x:v>2018</x:v>
      </x:c>
      <x:c r="R116" s="12" t="str">
        <x:v>Department of Statistics - Establishments Census 2018 - Table 4</x:v>
      </x:c>
    </x:row>
    <x:row r="117">
      <x:c r="A117" s="12" t="str">
        <x:v>2824</x:v>
      </x:c>
      <x:c r="B117" s="12" t="str">
        <x:v>Manufacture of machinery for mining, quarrying and construction</x:v>
      </x:c>
      <x:c r="C117" s="12" t="str">
        <x:v>Detailed activity (4-digit)</x:v>
      </x:c>
      <x:c r="D117" s="14" t="n">
        <x:v>7</x:v>
      </x:c>
      <x:c r="E117" s="14" t="n">
        <x:v>0</x:v>
      </x:c>
      <x:c r="F117" s="14" t="n">
        <x:v>1</x:v>
      </x:c>
      <x:c r="G117" s="14" t="n">
        <x:v>0</x:v>
      </x:c>
      <x:c r="H117" s="14" t="n">
        <x:v>0</x:v>
      </x:c>
      <x:c r="I117" s="14" t="n">
        <x:v>0</x:v>
      </x:c>
      <x:c r="J117" s="14" t="n">
        <x:v>0</x:v>
      </x:c>
      <x:c r="K117" s="14" t="n">
        <x:v>0</x:v>
      </x:c>
      <x:c r="L117" s="14" t="n">
        <x:v>0</x:v>
      </x:c>
      <x:c r="M117" s="14" t="n">
        <x:v>0</x:v>
      </x:c>
      <x:c r="N117" s="14" t="n">
        <x:v>0</x:v>
      </x:c>
      <x:c r="O117" s="14" t="n">
        <x:v>1</x:v>
      </x:c>
      <x:c r="P117" s="14" t="n">
        <x:v>9</x:v>
      </x:c>
      <x:c r="Q117" s="60" t="n">
        <x:v>2018</x:v>
      </x:c>
      <x:c r="R117" s="12" t="str">
        <x:v>Department of Statistics - Establishments Census 2018 - Table 4</x:v>
      </x:c>
    </x:row>
    <x:row r="118">
      <x:c r="A118" s="12" t="str">
        <x:v>2825</x:v>
      </x:c>
      <x:c r="B118" s="12" t="str">
        <x:v>Manufacture of machinery for food, beverage and tobacco processing</x:v>
      </x:c>
      <x:c r="C118" s="12" t="str">
        <x:v>Detailed activity (4-digit)</x:v>
      </x:c>
      <x:c r="D118" s="14" t="n">
        <x:v>6</x:v>
      </x:c>
      <x:c r="E118" s="14" t="n">
        <x:v>0</x:v>
      </x:c>
      <x:c r="F118" s="14" t="n">
        <x:v>2</x:v>
      </x:c>
      <x:c r="G118" s="14" t="n">
        <x:v>0</x:v>
      </x:c>
      <x:c r="H118" s="14" t="n">
        <x:v>0</x:v>
      </x:c>
      <x:c r="I118" s="14" t="n">
        <x:v>0</x:v>
      </x:c>
      <x:c r="J118" s="14" t="n">
        <x:v>0</x:v>
      </x:c>
      <x:c r="K118" s="14" t="n">
        <x:v>0</x:v>
      </x:c>
      <x:c r="L118" s="14" t="n">
        <x:v>0</x:v>
      </x:c>
      <x:c r="M118" s="14" t="n">
        <x:v>0</x:v>
      </x:c>
      <x:c r="N118" s="14" t="n">
        <x:v>0</x:v>
      </x:c>
      <x:c r="O118" s="14" t="n">
        <x:v>0</x:v>
      </x:c>
      <x:c r="P118" s="14" t="n">
        <x:v>8</x:v>
      </x:c>
      <x:c r="Q118" s="60" t="n">
        <x:v>2018</x:v>
      </x:c>
      <x:c r="R118" s="12" t="str">
        <x:v>Department of Statistics - Establishments Census 2018 - Table 4</x:v>
      </x:c>
    </x:row>
    <x:row r="119">
      <x:c r="A119" s="12" t="str">
        <x:v>2826</x:v>
      </x:c>
      <x:c r="B119" s="12" t="str">
        <x:v>Manufacture of machinery for textile, apparel and leather production</x:v>
      </x:c>
      <x:c r="C119" s="12" t="str">
        <x:v>Detailed activity (4-digit)</x:v>
      </x:c>
      <x:c r="D119" s="14" t="n">
        <x:v>1</x:v>
      </x:c>
      <x:c r="E119" s="14" t="n">
        <x:v>0</x:v>
      </x:c>
      <x:c r="F119" s="14" t="n">
        <x:v>0</x:v>
      </x:c>
      <x:c r="G119" s="14" t="n">
        <x:v>0</x:v>
      </x:c>
      <x:c r="H119" s="14" t="n">
        <x:v>0</x:v>
      </x:c>
      <x:c r="I119" s="14" t="n">
        <x:v>0</x:v>
      </x:c>
      <x:c r="J119" s="14" t="n">
        <x:v>0</x:v>
      </x:c>
      <x:c r="K119" s="14" t="n">
        <x:v>0</x:v>
      </x:c>
      <x:c r="L119" s="14" t="n">
        <x:v>0</x:v>
      </x:c>
      <x:c r="M119" s="14" t="n">
        <x:v>0</x:v>
      </x:c>
      <x:c r="N119" s="14" t="n">
        <x:v>0</x:v>
      </x:c>
      <x:c r="O119" s="14" t="n">
        <x:v>0</x:v>
      </x:c>
      <x:c r="P119" s="14" t="n">
        <x:v>1</x:v>
      </x:c>
      <x:c r="Q119" s="60" t="n">
        <x:v>2018</x:v>
      </x:c>
      <x:c r="R119" s="12" t="str">
        <x:v>Department of Statistics - Establishments Census 2018 - Table 4</x:v>
      </x:c>
    </x:row>
    <x:row r="120">
      <x:c r="A120" s="12" t="str">
        <x:v>2829</x:v>
      </x:c>
      <x:c r="B120" s="12" t="str">
        <x:v>Manufacture of other special-purpose machinery</x:v>
      </x:c>
      <x:c r="C120" s="12" t="str">
        <x:v>Detailed activity (4-digit)</x:v>
      </x:c>
      <x:c r="D120" s="14" t="n">
        <x:v>9</x:v>
      </x:c>
      <x:c r="E120" s="14" t="n">
        <x:v>0</x:v>
      </x:c>
      <x:c r="F120" s="14" t="n">
        <x:v>0</x:v>
      </x:c>
      <x:c r="G120" s="14" t="n">
        <x:v>0</x:v>
      </x:c>
      <x:c r="H120" s="14" t="n">
        <x:v>0</x:v>
      </x:c>
      <x:c r="I120" s="14" t="n">
        <x:v>0</x:v>
      </x:c>
      <x:c r="J120" s="14" t="n">
        <x:v>0</x:v>
      </x:c>
      <x:c r="K120" s="14" t="n">
        <x:v>0</x:v>
      </x:c>
      <x:c r="L120" s="14" t="n">
        <x:v>0</x:v>
      </x:c>
      <x:c r="M120" s="14" t="n">
        <x:v>0</x:v>
      </x:c>
      <x:c r="N120" s="14" t="n">
        <x:v>0</x:v>
      </x:c>
      <x:c r="O120" s="14" t="n">
        <x:v>0</x:v>
      </x:c>
      <x:c r="P120" s="14" t="n">
        <x:v>9</x:v>
      </x:c>
      <x:c r="Q120" s="60" t="n">
        <x:v>2018</x:v>
      </x:c>
      <x:c r="R120" s="12" t="str">
        <x:v>Department of Statistics - Establishments Census 2018 - Table 4</x:v>
      </x:c>
    </x:row>
    <x:row r="121">
      <x:c r="A121" s="12" t="str">
        <x:v>29</x:v>
      </x:c>
      <x:c r="B121" s="12" t="str">
        <x:v>Manufacture of motor vehicles, trailers and semi-trailers</x:v>
      </x:c>
      <x:c r="C121" s="12" t="str">
        <x:v>Sector (2-digit)</x:v>
      </x:c>
      <x:c r="D121" s="14" t="n">
        <x:v>98</x:v>
      </x:c>
      <x:c r="E121" s="14" t="n">
        <x:v>9</x:v>
      </x:c>
      <x:c r="F121" s="14" t="n">
        <x:v>26</x:v>
      </x:c>
      <x:c r="G121" s="14" t="n">
        <x:v>4</x:v>
      </x:c>
      <x:c r="H121" s="14" t="n">
        <x:v>9</x:v>
      </x:c>
      <x:c r="I121" s="14" t="n">
        <x:v>1</x:v>
      </x:c>
      <x:c r="J121" s="14" t="n">
        <x:v>1</x:v>
      </x:c>
      <x:c r="K121" s="14" t="n">
        <x:v>0</x:v>
      </x:c>
      <x:c r="L121" s="14" t="n">
        <x:v>1</x:v>
      </x:c>
      <x:c r="M121" s="14" t="n">
        <x:v>0</x:v>
      </x:c>
      <x:c r="N121" s="14" t="n">
        <x:v>0</x:v>
      </x:c>
      <x:c r="O121" s="14" t="n">
        <x:v>10</x:v>
      </x:c>
      <x:c r="P121" s="14" t="n">
        <x:v>159</x:v>
      </x:c>
      <x:c r="Q121" s="60" t="n">
        <x:v>2018</x:v>
      </x:c>
      <x:c r="R121" s="12" t="str">
        <x:v>Department of Statistics - Establishments Census 2018 - Table 4</x:v>
      </x:c>
    </x:row>
    <x:row r="122">
      <x:c r="A122" s="12" t="str">
        <x:v>2910</x:v>
      </x:c>
      <x:c r="B122" s="12" t="str">
        <x:v>Manufacture of motor vehicles</x:v>
      </x:c>
      <x:c r="C122" s="12" t="str">
        <x:v>Detailed activity (4-digit)</x:v>
      </x:c>
      <x:c r="D122" s="14" t="n">
        <x:v>8</x:v>
      </x:c>
      <x:c r="E122" s="14" t="n">
        <x:v>0</x:v>
      </x:c>
      <x:c r="F122" s="14" t="n">
        <x:v>1</x:v>
      </x:c>
      <x:c r="G122" s="14" t="n">
        <x:v>0</x:v>
      </x:c>
      <x:c r="H122" s="14" t="n">
        <x:v>0</x:v>
      </x:c>
      <x:c r="I122" s="14" t="n">
        <x:v>0</x:v>
      </x:c>
      <x:c r="J122" s="14" t="n">
        <x:v>0</x:v>
      </x:c>
      <x:c r="K122" s="14" t="n">
        <x:v>0</x:v>
      </x:c>
      <x:c r="L122" s="14" t="n">
        <x:v>0</x:v>
      </x:c>
      <x:c r="M122" s="14" t="n">
        <x:v>0</x:v>
      </x:c>
      <x:c r="N122" s="14" t="n">
        <x:v>0</x:v>
      </x:c>
      <x:c r="O122" s="14" t="n">
        <x:v>0</x:v>
      </x:c>
      <x:c r="P122" s="14" t="n">
        <x:v>9</x:v>
      </x:c>
      <x:c r="Q122" s="60" t="n">
        <x:v>2018</x:v>
      </x:c>
      <x:c r="R122" s="12" t="str">
        <x:v>Department of Statistics - Establishments Census 2018 - Table 4</x:v>
      </x:c>
    </x:row>
    <x:row r="123">
      <x:c r="A123" s="12" t="str">
        <x:v>2920</x:v>
      </x:c>
      <x:c r="B123" s="12" t="str">
        <x:v>Manufacture of bodies (coachwork) for motor vehicles; manufacture of trailers and semi-trailers</x:v>
      </x:c>
      <x:c r="C123" s="12" t="str">
        <x:v>Detailed activity (4-digit)</x:v>
      </x:c>
      <x:c r="D123" s="14" t="n">
        <x:v>84</x:v>
      </x:c>
      <x:c r="E123" s="14" t="n">
        <x:v>8</x:v>
      </x:c>
      <x:c r="F123" s="14" t="n">
        <x:v>20</x:v>
      </x:c>
      <x:c r="G123" s="14" t="n">
        <x:v>3</x:v>
      </x:c>
      <x:c r="H123" s="14" t="n">
        <x:v>6</x:v>
      </x:c>
      <x:c r="I123" s="14" t="n">
        <x:v>1</x:v>
      </x:c>
      <x:c r="J123" s="14" t="n">
        <x:v>1</x:v>
      </x:c>
      <x:c r="K123" s="14" t="n">
        <x:v>0</x:v>
      </x:c>
      <x:c r="L123" s="14" t="n">
        <x:v>0</x:v>
      </x:c>
      <x:c r="M123" s="14" t="n">
        <x:v>0</x:v>
      </x:c>
      <x:c r="N123" s="14" t="n">
        <x:v>0</x:v>
      </x:c>
      <x:c r="O123" s="14" t="n">
        <x:v>10</x:v>
      </x:c>
      <x:c r="P123" s="14" t="n">
        <x:v>133</x:v>
      </x:c>
      <x:c r="Q123" s="60" t="n">
        <x:v>2018</x:v>
      </x:c>
      <x:c r="R123" s="12" t="str">
        <x:v>Department of Statistics - Establishments Census 2018 - Table 4</x:v>
      </x:c>
    </x:row>
    <x:row r="124">
      <x:c r="A124" s="12" t="str">
        <x:v>2930</x:v>
      </x:c>
      <x:c r="B124" s="12" t="str">
        <x:v>Manufacture of parts and accessories for motor vehicles</x:v>
      </x:c>
      <x:c r="C124" s="12" t="str">
        <x:v>Detailed activity (4-digit)</x:v>
      </x:c>
      <x:c r="D124" s="14" t="n">
        <x:v>6</x:v>
      </x:c>
      <x:c r="E124" s="14" t="n">
        <x:v>1</x:v>
      </x:c>
      <x:c r="F124" s="14" t="n">
        <x:v>5</x:v>
      </x:c>
      <x:c r="G124" s="14" t="n">
        <x:v>1</x:v>
      </x:c>
      <x:c r="H124" s="14" t="n">
        <x:v>3</x:v>
      </x:c>
      <x:c r="I124" s="14" t="n">
        <x:v>0</x:v>
      </x:c>
      <x:c r="J124" s="14" t="n">
        <x:v>0</x:v>
      </x:c>
      <x:c r="K124" s="14" t="n">
        <x:v>0</x:v>
      </x:c>
      <x:c r="L124" s="14" t="n">
        <x:v>1</x:v>
      </x:c>
      <x:c r="M124" s="14" t="n">
        <x:v>0</x:v>
      </x:c>
      <x:c r="N124" s="14" t="n">
        <x:v>0</x:v>
      </x:c>
      <x:c r="O124" s="14" t="n">
        <x:v>0</x:v>
      </x:c>
      <x:c r="P124" s="14" t="n">
        <x:v>17</x:v>
      </x:c>
      <x:c r="Q124" s="60" t="n">
        <x:v>2018</x:v>
      </x:c>
      <x:c r="R124" s="12" t="str">
        <x:v>Department of Statistics - Establishments Census 2018 - Table 4</x:v>
      </x:c>
    </x:row>
    <x:row r="125">
      <x:c r="A125" s="12" t="str">
        <x:v>30</x:v>
      </x:c>
      <x:c r="B125" s="12" t="str">
        <x:v>Manufacture of other transport equipment</x:v>
      </x:c>
      <x:c r="C125" s="12" t="str">
        <x:v>Sector (2-digit)</x:v>
      </x:c>
      <x:c r="D125" s="14" t="n">
        <x:v>0</x:v>
      </x:c>
      <x:c r="E125" s="14" t="n">
        <x:v>0</x:v>
      </x:c>
      <x:c r="F125" s="14" t="n">
        <x:v>1</x:v>
      </x:c>
      <x:c r="G125" s="14" t="n">
        <x:v>0</x:v>
      </x:c>
      <x:c r="H125" s="14" t="n">
        <x:v>0</x:v>
      </x:c>
      <x:c r="I125" s="14" t="n">
        <x:v>0</x:v>
      </x:c>
      <x:c r="J125" s="14" t="n">
        <x:v>0</x:v>
      </x:c>
      <x:c r="K125" s="14" t="n">
        <x:v>0</x:v>
      </x:c>
      <x:c r="L125" s="14" t="n">
        <x:v>0</x:v>
      </x:c>
      <x:c r="M125" s="14" t="n">
        <x:v>0</x:v>
      </x:c>
      <x:c r="N125" s="14" t="n">
        <x:v>0</x:v>
      </x:c>
      <x:c r="O125" s="14" t="n">
        <x:v>0</x:v>
      </x:c>
      <x:c r="P125" s="14" t="n">
        <x:v>1</x:v>
      </x:c>
      <x:c r="Q125" s="60" t="n">
        <x:v>2018</x:v>
      </x:c>
      <x:c r="R125" s="12" t="str">
        <x:v>Department of Statistics - Establishments Census 2018 - Table 4</x:v>
      </x:c>
    </x:row>
    <x:row r="126">
      <x:c r="A126" s="12" t="str">
        <x:v>3012</x:v>
      </x:c>
      <x:c r="B126" s="12" t="str">
        <x:v>Building of pleasure and sporting boats</x:v>
      </x:c>
      <x:c r="C126" s="12" t="str">
        <x:v>Detailed activity (4-digit)</x:v>
      </x:c>
      <x:c r="D126" s="14" t="n">
        <x:v>0</x:v>
      </x:c>
      <x:c r="E126" s="14" t="n">
        <x:v>0</x:v>
      </x:c>
      <x:c r="F126" s="14" t="n">
        <x:v>1</x:v>
      </x:c>
      <x:c r="G126" s="14" t="n">
        <x:v>0</x:v>
      </x:c>
      <x:c r="H126" s="14" t="n">
        <x:v>0</x:v>
      </x:c>
      <x:c r="I126" s="14" t="n">
        <x:v>0</x:v>
      </x:c>
      <x:c r="J126" s="14" t="n">
        <x:v>0</x:v>
      </x:c>
      <x:c r="K126" s="14" t="n">
        <x:v>0</x:v>
      </x:c>
      <x:c r="L126" s="14" t="n">
        <x:v>0</x:v>
      </x:c>
      <x:c r="M126" s="14" t="n">
        <x:v>0</x:v>
      </x:c>
      <x:c r="N126" s="14" t="n">
        <x:v>0</x:v>
      </x:c>
      <x:c r="O126" s="14" t="n">
        <x:v>0</x:v>
      </x:c>
      <x:c r="P126" s="14" t="n">
        <x:v>1</x:v>
      </x:c>
      <x:c r="Q126" s="60" t="n">
        <x:v>2018</x:v>
      </x:c>
      <x:c r="R126" s="12" t="str">
        <x:v>Department of Statistics - Establishments Census 2018 - Table 4</x:v>
      </x:c>
    </x:row>
    <x:row r="127">
      <x:c r="A127" s="12" t="str">
        <x:v>31</x:v>
      </x:c>
      <x:c r="B127" s="12" t="str">
        <x:v>Manufacture of furniture</x:v>
      </x:c>
      <x:c r="C127" s="12" t="str">
        <x:v>Sector (2-digit)</x:v>
      </x:c>
      <x:c r="D127" s="14" t="n">
        <x:v>1562</x:v>
      </x:c>
      <x:c r="E127" s="14" t="n">
        <x:v>130</x:v>
      </x:c>
      <x:c r="F127" s="14" t="n">
        <x:v>587</x:v>
      </x:c>
      <x:c r="G127" s="14" t="n">
        <x:v>46</x:v>
      </x:c>
      <x:c r="H127" s="14" t="n">
        <x:v>371</x:v>
      </x:c>
      <x:c r="I127" s="14" t="n">
        <x:v>40</x:v>
      </x:c>
      <x:c r="J127" s="14" t="n">
        <x:v>29</x:v>
      </x:c>
      <x:c r="K127" s="14" t="n">
        <x:v>25</x:v>
      </x:c>
      <x:c r="L127" s="14" t="n">
        <x:v>79</x:v>
      </x:c>
      <x:c r="M127" s="14" t="n">
        <x:v>26</x:v>
      </x:c>
      <x:c r="N127" s="14" t="n">
        <x:v>37</x:v>
      </x:c>
      <x:c r="O127" s="14" t="n">
        <x:v>43</x:v>
      </x:c>
      <x:c r="P127" s="14" t="n">
        <x:v>2975</x:v>
      </x:c>
      <x:c r="Q127" s="60" t="n">
        <x:v>2018</x:v>
      </x:c>
      <x:c r="R127" s="12" t="str">
        <x:v>Department of Statistics - Establishments Census 2018 - Table 4</x:v>
      </x:c>
    </x:row>
    <x:row r="128">
      <x:c r="A128" s="12" t="str">
        <x:v>3100</x:v>
      </x:c>
      <x:c r="B128" s="12" t="str">
        <x:v>Manufacture of furniture</x:v>
      </x:c>
      <x:c r="C128" s="12" t="str">
        <x:v>Detailed activity (4-digit)</x:v>
      </x:c>
      <x:c r="D128" s="14" t="n">
        <x:v>1562</x:v>
      </x:c>
      <x:c r="E128" s="14" t="n">
        <x:v>130</x:v>
      </x:c>
      <x:c r="F128" s="14" t="n">
        <x:v>587</x:v>
      </x:c>
      <x:c r="G128" s="14" t="n">
        <x:v>46</x:v>
      </x:c>
      <x:c r="H128" s="14" t="n">
        <x:v>371</x:v>
      </x:c>
      <x:c r="I128" s="14" t="n">
        <x:v>40</x:v>
      </x:c>
      <x:c r="J128" s="14" t="n">
        <x:v>29</x:v>
      </x:c>
      <x:c r="K128" s="14" t="n">
        <x:v>25</x:v>
      </x:c>
      <x:c r="L128" s="14" t="n">
        <x:v>79</x:v>
      </x:c>
      <x:c r="M128" s="14" t="n">
        <x:v>26</x:v>
      </x:c>
      <x:c r="N128" s="14" t="n">
        <x:v>37</x:v>
      </x:c>
      <x:c r="O128" s="14" t="n">
        <x:v>43</x:v>
      </x:c>
      <x:c r="P128" s="14" t="n">
        <x:v>2975</x:v>
      </x:c>
      <x:c r="Q128" s="60" t="n">
        <x:v>2018</x:v>
      </x:c>
      <x:c r="R128" s="12" t="str">
        <x:v>Department of Statistics - Establishments Census 2018 - Table 4</x:v>
      </x:c>
    </x:row>
    <x:row r="129">
      <x:c r="A129" s="12" t="str">
        <x:v>32</x:v>
      </x:c>
      <x:c r="B129" s="12" t="str">
        <x:v>Other manufacturing</x:v>
      </x:c>
      <x:c r="C129" s="12" t="str">
        <x:v>Sector (2-digit)</x:v>
      </x:c>
      <x:c r="D129" s="14" t="n">
        <x:v>168</x:v>
      </x:c>
      <x:c r="E129" s="14" t="n">
        <x:v>3</x:v>
      </x:c>
      <x:c r="F129" s="14" t="n">
        <x:v>24</x:v>
      </x:c>
      <x:c r="G129" s="14" t="n">
        <x:v>1</x:v>
      </x:c>
      <x:c r="H129" s="14" t="n">
        <x:v>28</x:v>
      </x:c>
      <x:c r="I129" s="14" t="n">
        <x:v>5</x:v>
      </x:c>
      <x:c r="J129" s="14" t="n">
        <x:v>1</x:v>
      </x:c>
      <x:c r="K129" s="14" t="n">
        <x:v>2</x:v>
      </x:c>
      <x:c r="L129" s="14" t="n">
        <x:v>4</x:v>
      </x:c>
      <x:c r="M129" s="14" t="n">
        <x:v>2</x:v>
      </x:c>
      <x:c r="N129" s="14" t="n">
        <x:v>2</x:v>
      </x:c>
      <x:c r="O129" s="14" t="n">
        <x:v>2</x:v>
      </x:c>
      <x:c r="P129" s="14" t="n">
        <x:v>242</x:v>
      </x:c>
      <x:c r="Q129" s="60" t="n">
        <x:v>2018</x:v>
      </x:c>
      <x:c r="R129" s="12" t="str">
        <x:v>Department of Statistics - Establishments Census 2018 - Table 4</x:v>
      </x:c>
    </x:row>
    <x:row r="130">
      <x:c r="A130" s="12" t="str">
        <x:v>3211</x:v>
      </x:c>
      <x:c r="B130" s="12" t="str">
        <x:v>Manufacture of jewellery and related articles</x:v>
      </x:c>
      <x:c r="C130" s="12" t="str">
        <x:v>Detailed activity (4-digit)</x:v>
      </x:c>
      <x:c r="D130" s="14" t="n">
        <x:v>58</x:v>
      </x:c>
      <x:c r="E130" s="14" t="n">
        <x:v>1</x:v>
      </x:c>
      <x:c r="F130" s="14" t="n">
        <x:v>5</x:v>
      </x:c>
      <x:c r="G130" s="14" t="n">
        <x:v>0</x:v>
      </x:c>
      <x:c r="H130" s="14" t="n">
        <x:v>1</x:v>
      </x:c>
      <x:c r="I130" s="14" t="n">
        <x:v>0</x:v>
      </x:c>
      <x:c r="J130" s="14" t="n">
        <x:v>0</x:v>
      </x:c>
      <x:c r="K130" s="14" t="n">
        <x:v>0</x:v>
      </x:c>
      <x:c r="L130" s="14" t="n">
        <x:v>0</x:v>
      </x:c>
      <x:c r="M130" s="14" t="n">
        <x:v>2</x:v>
      </x:c>
      <x:c r="N130" s="14" t="n">
        <x:v>1</x:v>
      </x:c>
      <x:c r="O130" s="14" t="n">
        <x:v>0</x:v>
      </x:c>
      <x:c r="P130" s="14" t="n">
        <x:v>68</x:v>
      </x:c>
      <x:c r="Q130" s="60" t="n">
        <x:v>2018</x:v>
      </x:c>
      <x:c r="R130" s="12" t="str">
        <x:v>Department of Statistics - Establishments Census 2018 - Table 4</x:v>
      </x:c>
    </x:row>
    <x:row r="131">
      <x:c r="A131" s="12" t="str">
        <x:v>3240</x:v>
      </x:c>
      <x:c r="B131" s="12" t="str">
        <x:v>Manufacture of games and toys</x:v>
      </x:c>
      <x:c r="C131" s="12" t="str">
        <x:v>Detailed activity (4-digit)</x:v>
      </x:c>
      <x:c r="D131" s="14" t="n">
        <x:v>3</x:v>
      </x:c>
      <x:c r="E131" s="14" t="n">
        <x:v>0</x:v>
      </x:c>
      <x:c r="F131" s="14" t="n">
        <x:v>0</x:v>
      </x:c>
      <x:c r="G131" s="14" t="n">
        <x:v>0</x:v>
      </x:c>
      <x:c r="H131" s="14" t="n">
        <x:v>0</x:v>
      </x:c>
      <x:c r="I131" s="14" t="n">
        <x:v>0</x:v>
      </x:c>
      <x:c r="J131" s="14" t="n">
        <x:v>0</x:v>
      </x:c>
      <x:c r="K131" s="14" t="n">
        <x:v>0</x:v>
      </x:c>
      <x:c r="L131" s="14" t="n">
        <x:v>0</x:v>
      </x:c>
      <x:c r="M131" s="14" t="n">
        <x:v>0</x:v>
      </x:c>
      <x:c r="N131" s="14" t="n">
        <x:v>1</x:v>
      </x:c>
      <x:c r="O131" s="14" t="n">
        <x:v>0</x:v>
      </x:c>
      <x:c r="P131" s="14" t="n">
        <x:v>4</x:v>
      </x:c>
      <x:c r="Q131" s="60" t="n">
        <x:v>2018</x:v>
      </x:c>
      <x:c r="R131" s="12" t="str">
        <x:v>Department of Statistics - Establishments Census 2018 - Table 4</x:v>
      </x:c>
    </x:row>
    <x:row r="132">
      <x:c r="A132" s="12" t="str">
        <x:v>3250</x:v>
      </x:c>
      <x:c r="B132" s="12" t="str">
        <x:v>Manufacture of medical and dental instruments and supplies</x:v>
      </x:c>
      <x:c r="C132" s="12" t="str">
        <x:v>Detailed activity (4-digit)</x:v>
      </x:c>
      <x:c r="D132" s="14" t="n">
        <x:v>85</x:v>
      </x:c>
      <x:c r="E132" s="14" t="n">
        <x:v>1</x:v>
      </x:c>
      <x:c r="F132" s="14" t="n">
        <x:v>15</x:v>
      </x:c>
      <x:c r="G132" s="14" t="n">
        <x:v>0</x:v>
      </x:c>
      <x:c r="H132" s="14" t="n">
        <x:v>25</x:v>
      </x:c>
      <x:c r="I132" s="14" t="n">
        <x:v>4</x:v>
      </x:c>
      <x:c r="J132" s="14" t="n">
        <x:v>1</x:v>
      </x:c>
      <x:c r="K132" s="14" t="n">
        <x:v>2</x:v>
      </x:c>
      <x:c r="L132" s="14" t="n">
        <x:v>3</x:v>
      </x:c>
      <x:c r="M132" s="14" t="n">
        <x:v>0</x:v>
      </x:c>
      <x:c r="N132" s="14" t="n">
        <x:v>0</x:v>
      </x:c>
      <x:c r="O132" s="14" t="n">
        <x:v>1</x:v>
      </x:c>
      <x:c r="P132" s="14" t="n">
        <x:v>137</x:v>
      </x:c>
      <x:c r="Q132" s="60" t="n">
        <x:v>2018</x:v>
      </x:c>
      <x:c r="R132" s="12" t="str">
        <x:v>Department of Statistics - Establishments Census 2018 - Table 4</x:v>
      </x:c>
    </x:row>
    <x:row r="133">
      <x:c r="A133" s="12" t="str">
        <x:v>3290</x:v>
      </x:c>
      <x:c r="B133" s="12" t="str">
        <x:v>Other manufacturing n.e.c.</x:v>
      </x:c>
      <x:c r="C133" s="12" t="str">
        <x:v>Detailed activity (4-digit)</x:v>
      </x:c>
      <x:c r="D133" s="14" t="n">
        <x:v>22</x:v>
      </x:c>
      <x:c r="E133" s="14" t="n">
        <x:v>1</x:v>
      </x:c>
      <x:c r="F133" s="14" t="n">
        <x:v>4</x:v>
      </x:c>
      <x:c r="G133" s="14" t="n">
        <x:v>1</x:v>
      </x:c>
      <x:c r="H133" s="14" t="n">
        <x:v>2</x:v>
      </x:c>
      <x:c r="I133" s="14" t="n">
        <x:v>1</x:v>
      </x:c>
      <x:c r="J133" s="14" t="n">
        <x:v>0</x:v>
      </x:c>
      <x:c r="K133" s="14" t="n">
        <x:v>0</x:v>
      </x:c>
      <x:c r="L133" s="14" t="n">
        <x:v>1</x:v>
      </x:c>
      <x:c r="M133" s="14" t="n">
        <x:v>0</x:v>
      </x:c>
      <x:c r="N133" s="14" t="n">
        <x:v>0</x:v>
      </x:c>
      <x:c r="O133" s="14" t="n">
        <x:v>1</x:v>
      </x:c>
      <x:c r="P133" s="14" t="n">
        <x:v>33</x:v>
      </x:c>
      <x:c r="Q133" s="60" t="n">
        <x:v>2018</x:v>
      </x:c>
      <x:c r="R133" s="12" t="str">
        <x:v>Department of Statistics - Establishments Census 2018 - Table 4</x:v>
      </x:c>
    </x:row>
    <x:row r="134">
      <x:c r="A134" s="12" t="str">
        <x:v>33</x:v>
      </x:c>
      <x:c r="B134" s="12" t="str">
        <x:v>Repair and installation of machinery and equipment</x:v>
      </x:c>
      <x:c r="C134" s="12" t="str">
        <x:v>Sector (2-digit)</x:v>
      </x:c>
      <x:c r="D134" s="14" t="n">
        <x:v>356</x:v>
      </x:c>
      <x:c r="E134" s="14" t="n">
        <x:v>33</x:v>
      </x:c>
      <x:c r="F134" s="14" t="n">
        <x:v>84</x:v>
      </x:c>
      <x:c r="G134" s="14" t="n">
        <x:v>1</x:v>
      </x:c>
      <x:c r="H134" s="14" t="n">
        <x:v>57</x:v>
      </x:c>
      <x:c r="I134" s="14" t="n">
        <x:v>10</x:v>
      </x:c>
      <x:c r="J134" s="14" t="n">
        <x:v>13</x:v>
      </x:c>
      <x:c r="K134" s="14" t="n">
        <x:v>7</x:v>
      </x:c>
      <x:c r="L134" s="14" t="n">
        <x:v>8</x:v>
      </x:c>
      <x:c r="M134" s="14" t="n">
        <x:v>2</x:v>
      </x:c>
      <x:c r="N134" s="14" t="n">
        <x:v>2</x:v>
      </x:c>
      <x:c r="O134" s="14" t="n">
        <x:v>19</x:v>
      </x:c>
      <x:c r="P134" s="14" t="n">
        <x:v>592</x:v>
      </x:c>
      <x:c r="Q134" s="60" t="n">
        <x:v>2018</x:v>
      </x:c>
      <x:c r="R134" s="12" t="str">
        <x:v>Department of Statistics - Establishments Census 2018 - Table 4</x:v>
      </x:c>
    </x:row>
    <x:row r="135">
      <x:c r="A135" s="12" t="str">
        <x:v>3311</x:v>
      </x:c>
      <x:c r="B135" s="12" t="str">
        <x:v>Repair of fabricated metal products</x:v>
      </x:c>
      <x:c r="C135" s="12" t="str">
        <x:v>Detailed activity (4-digit)</x:v>
      </x:c>
      <x:c r="D135" s="14" t="n">
        <x:v>72</x:v>
      </x:c>
      <x:c r="E135" s="14" t="n">
        <x:v>11</x:v>
      </x:c>
      <x:c r="F135" s="14" t="n">
        <x:v>35</x:v>
      </x:c>
      <x:c r="G135" s="14" t="n">
        <x:v>0</x:v>
      </x:c>
      <x:c r="H135" s="14" t="n">
        <x:v>36</x:v>
      </x:c>
      <x:c r="I135" s="14" t="n">
        <x:v>9</x:v>
      </x:c>
      <x:c r="J135" s="14" t="n">
        <x:v>10</x:v>
      </x:c>
      <x:c r="K135" s="14" t="n">
        <x:v>3</x:v>
      </x:c>
      <x:c r="L135" s="14" t="n">
        <x:v>3</x:v>
      </x:c>
      <x:c r="M135" s="14" t="n">
        <x:v>1</x:v>
      </x:c>
      <x:c r="N135" s="14" t="n">
        <x:v>1</x:v>
      </x:c>
      <x:c r="O135" s="14" t="n">
        <x:v>3</x:v>
      </x:c>
      <x:c r="P135" s="14" t="n">
        <x:v>184</x:v>
      </x:c>
      <x:c r="Q135" s="60" t="n">
        <x:v>2018</x:v>
      </x:c>
      <x:c r="R135" s="12" t="str">
        <x:v>Department of Statistics - Establishments Census 2018 - Table 4</x:v>
      </x:c>
    </x:row>
    <x:row r="136">
      <x:c r="A136" s="12" t="str">
        <x:v>3312</x:v>
      </x:c>
      <x:c r="B136" s="12" t="str">
        <x:v>Repair of machinery</x:v>
      </x:c>
      <x:c r="C136" s="12" t="str">
        <x:v>Detailed activity (4-digit)</x:v>
      </x:c>
      <x:c r="D136" s="14" t="n">
        <x:v>215</x:v>
      </x:c>
      <x:c r="E136" s="14" t="n">
        <x:v>16</x:v>
      </x:c>
      <x:c r="F136" s="14" t="n">
        <x:v>40</x:v>
      </x:c>
      <x:c r="G136" s="14" t="n">
        <x:v>1</x:v>
      </x:c>
      <x:c r="H136" s="14" t="n">
        <x:v>15</x:v>
      </x:c>
      <x:c r="I136" s="14" t="n">
        <x:v>1</x:v>
      </x:c>
      <x:c r="J136" s="14" t="n">
        <x:v>1</x:v>
      </x:c>
      <x:c r="K136" s="14" t="n">
        <x:v>4</x:v>
      </x:c>
      <x:c r="L136" s="14" t="n">
        <x:v>5</x:v>
      </x:c>
      <x:c r="M136" s="14" t="n">
        <x:v>1</x:v>
      </x:c>
      <x:c r="N136" s="14" t="n">
        <x:v>1</x:v>
      </x:c>
      <x:c r="O136" s="14" t="n">
        <x:v>8</x:v>
      </x:c>
      <x:c r="P136" s="14" t="n">
        <x:v>308</x:v>
      </x:c>
      <x:c r="Q136" s="60" t="n">
        <x:v>2018</x:v>
      </x:c>
      <x:c r="R136" s="12" t="str">
        <x:v>Department of Statistics - Establishments Census 2018 - Table 4</x:v>
      </x:c>
    </x:row>
    <x:row r="137">
      <x:c r="A137" s="12" t="str">
        <x:v>3313</x:v>
      </x:c>
      <x:c r="B137" s="12" t="str">
        <x:v>Repair of electronic and optical equipment</x:v>
      </x:c>
      <x:c r="C137" s="12" t="str">
        <x:v>Detailed activity (4-digit)</x:v>
      </x:c>
      <x:c r="D137" s="14" t="n">
        <x:v>2</x:v>
      </x:c>
      <x:c r="E137" s="14" t="n">
        <x:v>0</x:v>
      </x:c>
      <x:c r="F137" s="14" t="n">
        <x:v>2</x:v>
      </x:c>
      <x:c r="G137" s="14" t="n">
        <x:v>0</x:v>
      </x:c>
      <x:c r="H137" s="14" t="n">
        <x:v>0</x:v>
      </x:c>
      <x:c r="I137" s="14" t="n">
        <x:v>0</x:v>
      </x:c>
      <x:c r="J137" s="14" t="n">
        <x:v>0</x:v>
      </x:c>
      <x:c r="K137" s="14" t="n">
        <x:v>0</x:v>
      </x:c>
      <x:c r="L137" s="14" t="n">
        <x:v>0</x:v>
      </x:c>
      <x:c r="M137" s="14" t="n">
        <x:v>0</x:v>
      </x:c>
      <x:c r="N137" s="14" t="n">
        <x:v>0</x:v>
      </x:c>
      <x:c r="O137" s="14" t="n">
        <x:v>0</x:v>
      </x:c>
      <x:c r="P137" s="14" t="n">
        <x:v>4</x:v>
      </x:c>
      <x:c r="Q137" s="60" t="n">
        <x:v>2018</x:v>
      </x:c>
      <x:c r="R137" s="12" t="str">
        <x:v>Department of Statistics - Establishments Census 2018 - Table 4</x:v>
      </x:c>
    </x:row>
    <x:row r="138">
      <x:c r="A138" s="12" t="str">
        <x:v>3314</x:v>
      </x:c>
      <x:c r="B138" s="12" t="str">
        <x:v>Repair of electrical equipment</x:v>
      </x:c>
      <x:c r="C138" s="12" t="str">
        <x:v>Detailed activity (4-digit)</x:v>
      </x:c>
      <x:c r="D138" s="14" t="n">
        <x:v>50</x:v>
      </x:c>
      <x:c r="E138" s="14" t="n">
        <x:v>5</x:v>
      </x:c>
      <x:c r="F138" s="14" t="n">
        <x:v>7</x:v>
      </x:c>
      <x:c r="G138" s="14" t="n">
        <x:v>0</x:v>
      </x:c>
      <x:c r="H138" s="14" t="n">
        <x:v>6</x:v>
      </x:c>
      <x:c r="I138" s="14" t="n">
        <x:v>0</x:v>
      </x:c>
      <x:c r="J138" s="14" t="n">
        <x:v>2</x:v>
      </x:c>
      <x:c r="K138" s="14" t="n">
        <x:v>0</x:v>
      </x:c>
      <x:c r="L138" s="14" t="n">
        <x:v>0</x:v>
      </x:c>
      <x:c r="M138" s="14" t="n">
        <x:v>0</x:v>
      </x:c>
      <x:c r="N138" s="14" t="n">
        <x:v>0</x:v>
      </x:c>
      <x:c r="O138" s="14" t="n">
        <x:v>0</x:v>
      </x:c>
      <x:c r="P138" s="14" t="n">
        <x:v>70</x:v>
      </x:c>
      <x:c r="Q138" s="60" t="n">
        <x:v>2018</x:v>
      </x:c>
      <x:c r="R138" s="12" t="str">
        <x:v>Department of Statistics - Establishments Census 2018 - Table 4</x:v>
      </x:c>
    </x:row>
    <x:row r="139">
      <x:c r="A139" s="12" t="str">
        <x:v>3315</x:v>
      </x:c>
      <x:c r="B139" s="12" t="str">
        <x:v>Repair of transport equipment, except motor vehicles</x:v>
      </x:c>
      <x:c r="C139" s="12" t="str">
        <x:v>Detailed activity (4-digit)</x:v>
      </x:c>
      <x:c r="D139" s="14" t="n">
        <x:v>4</x:v>
      </x:c>
      <x:c r="E139" s="14" t="n">
        <x:v>0</x:v>
      </x:c>
      <x:c r="F139" s="14" t="n">
        <x:v>0</x:v>
      </x:c>
      <x:c r="G139" s="14" t="n">
        <x:v>0</x:v>
      </x:c>
      <x:c r="H139" s="14" t="n">
        <x:v>0</x:v>
      </x:c>
      <x:c r="I139" s="14" t="n">
        <x:v>0</x:v>
      </x:c>
      <x:c r="J139" s="14" t="n">
        <x:v>0</x:v>
      </x:c>
      <x:c r="K139" s="14" t="n">
        <x:v>0</x:v>
      </x:c>
      <x:c r="L139" s="14" t="n">
        <x:v>0</x:v>
      </x:c>
      <x:c r="M139" s="14" t="n">
        <x:v>0</x:v>
      </x:c>
      <x:c r="N139" s="14" t="n">
        <x:v>0</x:v>
      </x:c>
      <x:c r="O139" s="14" t="n">
        <x:v>8</x:v>
      </x:c>
      <x:c r="P139" s="14" t="n">
        <x:v>12</x:v>
      </x:c>
      <x:c r="Q139" s="60" t="n">
        <x:v>2018</x:v>
      </x:c>
      <x:c r="R139" s="12" t="str">
        <x:v>Department of Statistics - Establishments Census 2018 - Table 4</x:v>
      </x:c>
    </x:row>
    <x:row r="140">
      <x:c r="A140" s="12" t="str">
        <x:v>3319</x:v>
      </x:c>
      <x:c r="B140" s="12" t="str">
        <x:v>Repair of other equipment</x:v>
      </x:c>
      <x:c r="C140" s="12" t="str">
        <x:v>Detailed activity (4-digit)</x:v>
      </x:c>
      <x:c r="D140" s="14" t="n">
        <x:v>8</x:v>
      </x:c>
      <x:c r="E140" s="14" t="n">
        <x:v>1</x:v>
      </x:c>
      <x:c r="F140" s="14" t="n">
        <x:v>0</x:v>
      </x:c>
      <x:c r="G140" s="14" t="n">
        <x:v>0</x:v>
      </x:c>
      <x:c r="H140" s="14" t="n">
        <x:v>0</x:v>
      </x:c>
      <x:c r="I140" s="14" t="n">
        <x:v>0</x:v>
      </x:c>
      <x:c r="J140" s="14" t="n">
        <x:v>0</x:v>
      </x:c>
      <x:c r="K140" s="14" t="n">
        <x:v>0</x:v>
      </x:c>
      <x:c r="L140" s="14" t="n">
        <x:v>0</x:v>
      </x:c>
      <x:c r="M140" s="14" t="n">
        <x:v>0</x:v>
      </x:c>
      <x:c r="N140" s="14" t="n">
        <x:v>0</x:v>
      </x:c>
      <x:c r="O140" s="14" t="n">
        <x:v>0</x:v>
      </x:c>
      <x:c r="P140" s="14" t="n">
        <x:v>9</x:v>
      </x:c>
      <x:c r="Q140" s="60" t="n">
        <x:v>2018</x:v>
      </x:c>
      <x:c r="R140" s="12" t="str">
        <x:v>Department of Statistics - Establishments Census 2018 - Table 4</x:v>
      </x:c>
    </x:row>
    <x:row r="141">
      <x:c r="A141" s="12" t="str">
        <x:v>3320</x:v>
      </x:c>
      <x:c r="B141" s="12" t="str">
        <x:v>Installation of industrial machinery and equipment</x:v>
      </x:c>
      <x:c r="C141" s="12" t="str">
        <x:v>Detailed activity (4-digit)</x:v>
      </x:c>
      <x:c r="D141" s="14" t="n">
        <x:v>5</x:v>
      </x:c>
      <x:c r="E141" s="14" t="n">
        <x:v>0</x:v>
      </x:c>
      <x:c r="F141" s="14" t="n">
        <x:v>0</x:v>
      </x:c>
      <x:c r="G141" s="14" t="n">
        <x:v>0</x:v>
      </x:c>
      <x:c r="H141" s="14" t="n">
        <x:v>0</x:v>
      </x:c>
      <x:c r="I141" s="14" t="n">
        <x:v>0</x:v>
      </x:c>
      <x:c r="J141" s="14" t="n">
        <x:v>0</x:v>
      </x:c>
      <x:c r="K141" s="14" t="n">
        <x:v>0</x:v>
      </x:c>
      <x:c r="L141" s="14" t="n">
        <x:v>0</x:v>
      </x:c>
      <x:c r="M141" s="14" t="n">
        <x:v>0</x:v>
      </x:c>
      <x:c r="N141" s="14" t="n">
        <x:v>0</x:v>
      </x:c>
      <x:c r="O141" s="14" t="n">
        <x:v>0</x:v>
      </x:c>
      <x:c r="P141" s="14" t="n">
        <x:v>5</x:v>
      </x:c>
      <x:c r="Q141" s="60" t="n">
        <x:v>2018</x:v>
      </x:c>
      <x:c r="R141" s="12" t="str">
        <x:v>Department of Statistics - Establishments Census 2018 - Table 4</x:v>
      </x:c>
    </x:row>
    <x:row r="142">
      <x:c r="A142" s="12" t="str">
        <x:v>35</x:v>
      </x:c>
      <x:c r="B142" s="12" t="str">
        <x:v>Electricity, gas, steam and air conditioning supply</x:v>
      </x:c>
      <x:c r="C142" s="12" t="str">
        <x:v>Sector (2-digit)</x:v>
      </x:c>
      <x:c r="D142" s="14" t="n">
        <x:v>26</x:v>
      </x:c>
      <x:c r="E142" s="14" t="n">
        <x:v>0</x:v>
      </x:c>
      <x:c r="F142" s="14" t="n">
        <x:v>3</x:v>
      </x:c>
      <x:c r="G142" s="14" t="n">
        <x:v>0</x:v>
      </x:c>
      <x:c r="H142" s="14" t="n">
        <x:v>4</x:v>
      </x:c>
      <x:c r="I142" s="14" t="n">
        <x:v>0</x:v>
      </x:c>
      <x:c r="J142" s="14" t="n">
        <x:v>0</x:v>
      </x:c>
      <x:c r="K142" s="14" t="n">
        <x:v>0</x:v>
      </x:c>
      <x:c r="L142" s="14" t="n">
        <x:v>0</x:v>
      </x:c>
      <x:c r="M142" s="14" t="n">
        <x:v>0</x:v>
      </x:c>
      <x:c r="N142" s="14" t="n">
        <x:v>1</x:v>
      </x:c>
      <x:c r="O142" s="14" t="n">
        <x:v>0</x:v>
      </x:c>
      <x:c r="P142" s="14" t="n">
        <x:v>34</x:v>
      </x:c>
      <x:c r="Q142" s="60" t="n">
        <x:v>2018</x:v>
      </x:c>
      <x:c r="R142" s="12" t="str">
        <x:v>Department of Statistics - Establishments Census 2018 - Table 4</x:v>
      </x:c>
    </x:row>
    <x:row r="143">
      <x:c r="A143" s="12" t="str">
        <x:v>3510</x:v>
      </x:c>
      <x:c r="B143" s="12" t="str">
        <x:v>Electric power generation, transmission and distribution</x:v>
      </x:c>
      <x:c r="C143" s="12" t="str">
        <x:v>Detailed activity (4-digit)</x:v>
      </x:c>
      <x:c r="D143" s="14" t="n">
        <x:v>26</x:v>
      </x:c>
      <x:c r="E143" s="14" t="n">
        <x:v>0</x:v>
      </x:c>
      <x:c r="F143" s="14" t="n">
        <x:v>3</x:v>
      </x:c>
      <x:c r="G143" s="14" t="n">
        <x:v>0</x:v>
      </x:c>
      <x:c r="H143" s="14" t="n">
        <x:v>4</x:v>
      </x:c>
      <x:c r="I143" s="14" t="n">
        <x:v>0</x:v>
      </x:c>
      <x:c r="J143" s="14" t="n">
        <x:v>0</x:v>
      </x:c>
      <x:c r="K143" s="14" t="n">
        <x:v>0</x:v>
      </x:c>
      <x:c r="L143" s="14" t="n">
        <x:v>0</x:v>
      </x:c>
      <x:c r="M143" s="14" t="n">
        <x:v>0</x:v>
      </x:c>
      <x:c r="N143" s="14" t="n">
        <x:v>1</x:v>
      </x:c>
      <x:c r="O143" s="14" t="n">
        <x:v>0</x:v>
      </x:c>
      <x:c r="P143" s="14" t="n">
        <x:v>34</x:v>
      </x:c>
      <x:c r="Q143" s="60" t="n">
        <x:v>2018</x:v>
      </x:c>
      <x:c r="R143" s="12" t="str">
        <x:v>Department of Statistics - Establishments Census 2018 - Table 4</x:v>
      </x:c>
    </x:row>
    <x:row r="144">
      <x:c r="A144" s="12" t="str">
        <x:v>36</x:v>
      </x:c>
      <x:c r="B144" s="12" t="str">
        <x:v>Water collection, treatment and supply</x:v>
      </x:c>
      <x:c r="C144" s="12" t="str">
        <x:v>Sector (2-digit)</x:v>
      </x:c>
      <x:c r="D144" s="14" t="n">
        <x:v>3</x:v>
      </x:c>
      <x:c r="E144" s="14" t="n">
        <x:v>2</x:v>
      </x:c>
      <x:c r="F144" s="14" t="n">
        <x:v>5</x:v>
      </x:c>
      <x:c r="G144" s="14" t="n">
        <x:v>2</x:v>
      </x:c>
      <x:c r="H144" s="14" t="n">
        <x:v>2</x:v>
      </x:c>
      <x:c r="I144" s="14" t="n">
        <x:v>1</x:v>
      </x:c>
      <x:c r="J144" s="14" t="n">
        <x:v>0</x:v>
      </x:c>
      <x:c r="K144" s="14" t="n">
        <x:v>0</x:v>
      </x:c>
      <x:c r="L144" s="14" t="n">
        <x:v>0</x:v>
      </x:c>
      <x:c r="M144" s="14" t="n">
        <x:v>0</x:v>
      </x:c>
      <x:c r="N144" s="14" t="n">
        <x:v>0</x:v>
      </x:c>
      <x:c r="O144" s="14" t="n">
        <x:v>3</x:v>
      </x:c>
      <x:c r="P144" s="14" t="n">
        <x:v>18</x:v>
      </x:c>
      <x:c r="Q144" s="60" t="n">
        <x:v>2018</x:v>
      </x:c>
      <x:c r="R144" s="12" t="str">
        <x:v>Department of Statistics - Establishments Census 2018 - Table 4</x:v>
      </x:c>
    </x:row>
    <x:row r="145">
      <x:c r="A145" s="12" t="str">
        <x:v>3600</x:v>
      </x:c>
      <x:c r="B145" s="12" t="str">
        <x:v>Water collection, treatment and supply</x:v>
      </x:c>
      <x:c r="C145" s="12" t="str">
        <x:v>Detailed activity (4-digit)</x:v>
      </x:c>
      <x:c r="D145" s="14" t="n">
        <x:v>3</x:v>
      </x:c>
      <x:c r="E145" s="14" t="n">
        <x:v>2</x:v>
      </x:c>
      <x:c r="F145" s="14" t="n">
        <x:v>5</x:v>
      </x:c>
      <x:c r="G145" s="14" t="n">
        <x:v>2</x:v>
      </x:c>
      <x:c r="H145" s="14" t="n">
        <x:v>2</x:v>
      </x:c>
      <x:c r="I145" s="14" t="n">
        <x:v>1</x:v>
      </x:c>
      <x:c r="J145" s="14" t="n">
        <x:v>0</x:v>
      </x:c>
      <x:c r="K145" s="14" t="n">
        <x:v>0</x:v>
      </x:c>
      <x:c r="L145" s="14" t="n">
        <x:v>0</x:v>
      </x:c>
      <x:c r="M145" s="14" t="n">
        <x:v>0</x:v>
      </x:c>
      <x:c r="N145" s="14" t="n">
        <x:v>0</x:v>
      </x:c>
      <x:c r="O145" s="14" t="n">
        <x:v>3</x:v>
      </x:c>
      <x:c r="P145" s="14" t="n">
        <x:v>18</x:v>
      </x:c>
      <x:c r="Q145" s="60" t="n">
        <x:v>2018</x:v>
      </x:c>
      <x:c r="R145" s="12" t="str">
        <x:v>Department of Statistics - Establishments Census 2018 - Table 4</x:v>
      </x:c>
    </x:row>
    <x:row r="146">
      <x:c r="A146" s="12" t="str">
        <x:v>38</x:v>
      </x:c>
      <x:c r="B146" s="12" t="str">
        <x:v>Waste collection, treatment and disposal activities; materials recovery</x:v>
      </x:c>
      <x:c r="C146" s="12" t="str">
        <x:v>Sector (2-digit)</x:v>
      </x:c>
      <x:c r="D146" s="14" t="n">
        <x:v>23</x:v>
      </x:c>
      <x:c r="E146" s="14" t="n">
        <x:v>0</x:v>
      </x:c>
      <x:c r="F146" s="14" t="n">
        <x:v>15</x:v>
      </x:c>
      <x:c r="G146" s="14" t="n">
        <x:v>0</x:v>
      </x:c>
      <x:c r="H146" s="14" t="n">
        <x:v>10</x:v>
      </x:c>
      <x:c r="I146" s="14" t="n">
        <x:v>0</x:v>
      </x:c>
      <x:c r="J146" s="14" t="n">
        <x:v>0</x:v>
      </x:c>
      <x:c r="K146" s="14" t="n">
        <x:v>0</x:v>
      </x:c>
      <x:c r="L146" s="14" t="n">
        <x:v>1</x:v>
      </x:c>
      <x:c r="M146" s="14" t="n">
        <x:v>0</x:v>
      </x:c>
      <x:c r="N146" s="14" t="n">
        <x:v>0</x:v>
      </x:c>
      <x:c r="O146" s="14" t="n">
        <x:v>2</x:v>
      </x:c>
      <x:c r="P146" s="14" t="n">
        <x:v>51</x:v>
      </x:c>
      <x:c r="Q146" s="60" t="n">
        <x:v>2018</x:v>
      </x:c>
      <x:c r="R146" s="12" t="str">
        <x:v>Department of Statistics - Establishments Census 2018 - Table 4</x:v>
      </x:c>
    </x:row>
    <x:row r="147">
      <x:c r="A147" s="12" t="str">
        <x:v>3811</x:v>
      </x:c>
      <x:c r="B147" s="12" t="str">
        <x:v>Collection of non-hazardous waste</x:v>
      </x:c>
      <x:c r="C147" s="12" t="str">
        <x:v>Detailed activity (4-digit)</x:v>
      </x:c>
      <x:c r="D147" s="14" t="n">
        <x:v>0</x:v>
      </x:c>
      <x:c r="E147" s="14" t="n">
        <x:v>0</x:v>
      </x:c>
      <x:c r="F147" s="14" t="n">
        <x:v>1</x:v>
      </x:c>
      <x:c r="G147" s="14" t="n">
        <x:v>0</x:v>
      </x:c>
      <x:c r="H147" s="14" t="n">
        <x:v>0</x:v>
      </x:c>
      <x:c r="I147" s="14" t="n">
        <x:v>0</x:v>
      </x:c>
      <x:c r="J147" s="14" t="n">
        <x:v>0</x:v>
      </x:c>
      <x:c r="K147" s="14" t="n">
        <x:v>0</x:v>
      </x:c>
      <x:c r="L147" s="14" t="n">
        <x:v>0</x:v>
      </x:c>
      <x:c r="M147" s="14" t="n">
        <x:v>0</x:v>
      </x:c>
      <x:c r="N147" s="14" t="n">
        <x:v>0</x:v>
      </x:c>
      <x:c r="O147" s="14" t="n">
        <x:v>0</x:v>
      </x:c>
      <x:c r="P147" s="14" t="n">
        <x:v>1</x:v>
      </x:c>
      <x:c r="Q147" s="60" t="n">
        <x:v>2018</x:v>
      </x:c>
      <x:c r="R147" s="12" t="str">
        <x:v>Department of Statistics - Establishments Census 2018 - Table 4</x:v>
      </x:c>
    </x:row>
    <x:row r="148">
      <x:c r="A148" s="12" t="str">
        <x:v>3812</x:v>
      </x:c>
      <x:c r="B148" s="12" t="str">
        <x:v>Collection of hazardous waste</x:v>
      </x:c>
      <x:c r="C148" s="12" t="str">
        <x:v>Detailed activity (4-digit)</x:v>
      </x:c>
      <x:c r="D148" s="14" t="n">
        <x:v>1</x:v>
      </x:c>
      <x:c r="E148" s="14" t="n">
        <x:v>0</x:v>
      </x:c>
      <x:c r="F148" s="14" t="n">
        <x:v>0</x:v>
      </x:c>
      <x:c r="G148" s="14" t="n">
        <x:v>0</x:v>
      </x:c>
      <x:c r="H148" s="14" t="n">
        <x:v>0</x:v>
      </x:c>
      <x:c r="I148" s="14" t="n">
        <x:v>0</x:v>
      </x:c>
      <x:c r="J148" s="14" t="n">
        <x:v>0</x:v>
      </x:c>
      <x:c r="K148" s="14" t="n">
        <x:v>0</x:v>
      </x:c>
      <x:c r="L148" s="14" t="n">
        <x:v>0</x:v>
      </x:c>
      <x:c r="M148" s="14" t="n">
        <x:v>0</x:v>
      </x:c>
      <x:c r="N148" s="14" t="n">
        <x:v>0</x:v>
      </x:c>
      <x:c r="O148" s="14" t="n">
        <x:v>1</x:v>
      </x:c>
      <x:c r="P148" s="14" t="n">
        <x:v>2</x:v>
      </x:c>
      <x:c r="Q148" s="60" t="n">
        <x:v>2018</x:v>
      </x:c>
      <x:c r="R148" s="12" t="str">
        <x:v>Department of Statistics - Establishments Census 2018 - Table 4</x:v>
      </x:c>
    </x:row>
    <x:row r="149">
      <x:c r="A149" s="12" t="str">
        <x:v>3830</x:v>
      </x:c>
      <x:c r="B149" s="12" t="str">
        <x:v>Materials recovery</x:v>
      </x:c>
      <x:c r="C149" s="12" t="str">
        <x:v>Detailed activity (4-digit)</x:v>
      </x:c>
      <x:c r="D149" s="14" t="n">
        <x:v>22</x:v>
      </x:c>
      <x:c r="E149" s="14" t="n">
        <x:v>0</x:v>
      </x:c>
      <x:c r="F149" s="14" t="n">
        <x:v>14</x:v>
      </x:c>
      <x:c r="G149" s="14" t="n">
        <x:v>0</x:v>
      </x:c>
      <x:c r="H149" s="14" t="n">
        <x:v>10</x:v>
      </x:c>
      <x:c r="I149" s="14" t="n">
        <x:v>0</x:v>
      </x:c>
      <x:c r="J149" s="14" t="n">
        <x:v>0</x:v>
      </x:c>
      <x:c r="K149" s="14" t="n">
        <x:v>0</x:v>
      </x:c>
      <x:c r="L149" s="14" t="n">
        <x:v>1</x:v>
      </x:c>
      <x:c r="M149" s="14" t="n">
        <x:v>0</x:v>
      </x:c>
      <x:c r="N149" s="14" t="n">
        <x:v>0</x:v>
      </x:c>
      <x:c r="O149" s="14" t="n">
        <x:v>1</x:v>
      </x:c>
      <x:c r="P149" s="14" t="n">
        <x:v>48</x:v>
      </x:c>
      <x:c r="Q149" s="60" t="n">
        <x:v>2018</x:v>
      </x:c>
      <x:c r="R149" s="12" t="str">
        <x:v>Department of Statistics - Establishments Census 2018 - Table 4</x:v>
      </x:c>
    </x:row>
    <x:row r="150">
      <x:c r="A150" s="12" t="str">
        <x:v>39</x:v>
      </x:c>
      <x:c r="B150" s="12" t="str">
        <x:v>Remediation activities and other waste management services</x:v>
      </x:c>
      <x:c r="C150" s="12" t="str">
        <x:v>Sector (2-digit)</x:v>
      </x:c>
      <x:c r="D150" s="14" t="n">
        <x:v>1</x:v>
      </x:c>
      <x:c r="E150" s="14" t="n">
        <x:v>0</x:v>
      </x:c>
      <x:c r="F150" s="14" t="n">
        <x:v>0</x:v>
      </x:c>
      <x:c r="G150" s="14" t="n">
        <x:v>0</x:v>
      </x:c>
      <x:c r="H150" s="14" t="n">
        <x:v>0</x:v>
      </x:c>
      <x:c r="I150" s="14" t="n">
        <x:v>0</x:v>
      </x:c>
      <x:c r="J150" s="14" t="n">
        <x:v>0</x:v>
      </x:c>
      <x:c r="K150" s="14" t="n">
        <x:v>0</x:v>
      </x:c>
      <x:c r="L150" s="14" t="n">
        <x:v>0</x:v>
      </x:c>
      <x:c r="M150" s="14" t="n">
        <x:v>0</x:v>
      </x:c>
      <x:c r="N150" s="14" t="n">
        <x:v>0</x:v>
      </x:c>
      <x:c r="O150" s="14" t="n">
        <x:v>0</x:v>
      </x:c>
      <x:c r="P150" s="14" t="n">
        <x:v>1</x:v>
      </x:c>
      <x:c r="Q150" s="60" t="n">
        <x:v>2018</x:v>
      </x:c>
      <x:c r="R150" s="12" t="str">
        <x:v>Department of Statistics - Establishments Census 2018 - Table 4</x:v>
      </x:c>
    </x:row>
    <x:row r="151">
      <x:c r="A151" s="12" t="str">
        <x:v>3900</x:v>
      </x:c>
      <x:c r="B151" s="12" t="str">
        <x:v>Remediation activities and other waste management services</x:v>
      </x:c>
      <x:c r="C151" s="12" t="str">
        <x:v>Detailed activity (4-digit)</x:v>
      </x:c>
      <x:c r="D151" s="14" t="n">
        <x:v>1</x:v>
      </x:c>
      <x:c r="E151" s="14" t="n">
        <x:v>0</x:v>
      </x:c>
      <x:c r="F151" s="14" t="n">
        <x:v>0</x:v>
      </x:c>
      <x:c r="G151" s="14" t="n">
        <x:v>0</x:v>
      </x:c>
      <x:c r="H151" s="14" t="n">
        <x:v>0</x:v>
      </x:c>
      <x:c r="I151" s="14" t="n">
        <x:v>0</x:v>
      </x:c>
      <x:c r="J151" s="14" t="n">
        <x:v>0</x:v>
      </x:c>
      <x:c r="K151" s="14" t="n">
        <x:v>0</x:v>
      </x:c>
      <x:c r="L151" s="14" t="n">
        <x:v>0</x:v>
      </x:c>
      <x:c r="M151" s="14" t="n">
        <x:v>0</x:v>
      </x:c>
      <x:c r="N151" s="14" t="n">
        <x:v>0</x:v>
      </x:c>
      <x:c r="O151" s="14" t="n">
        <x:v>0</x:v>
      </x:c>
      <x:c r="P151" s="14" t="n">
        <x:v>1</x:v>
      </x:c>
      <x:c r="Q151" s="60" t="n">
        <x:v>2018</x:v>
      </x:c>
      <x:c r="R151" s="12" t="str">
        <x:v>Department of Statistics - Establishments Census 2018 - Table 4</x:v>
      </x:c>
    </x:row>
    <x:row r="152">
      <x:c r="A152" s="12" t="str">
        <x:v>41</x:v>
      </x:c>
      <x:c r="B152" s="12" t="str">
        <x:v>Construction of buildings</x:v>
      </x:c>
      <x:c r="C152" s="12" t="str">
        <x:v>Sector (2-digit)</x:v>
      </x:c>
      <x:c r="D152" s="14" t="n">
        <x:v>383</x:v>
      </x:c>
      <x:c r="E152" s="14" t="n">
        <x:v>16</x:v>
      </x:c>
      <x:c r="F152" s="14" t="n">
        <x:v>12</x:v>
      </x:c>
      <x:c r="G152" s="14" t="n">
        <x:v>2</x:v>
      </x:c>
      <x:c r="H152" s="14" t="n">
        <x:v>19</x:v>
      </x:c>
      <x:c r="I152" s="14" t="n">
        <x:v>6</x:v>
      </x:c>
      <x:c r="J152" s="14" t="n">
        <x:v>0</x:v>
      </x:c>
      <x:c r="K152" s="14" t="n">
        <x:v>2</x:v>
      </x:c>
      <x:c r="L152" s="14" t="n">
        <x:v>8</x:v>
      </x:c>
      <x:c r="M152" s="14" t="n">
        <x:v>1</x:v>
      </x:c>
      <x:c r="N152" s="14" t="n">
        <x:v>6</x:v>
      </x:c>
      <x:c r="O152" s="14" t="n">
        <x:v>18</x:v>
      </x:c>
      <x:c r="P152" s="14" t="n">
        <x:v>473</x:v>
      </x:c>
      <x:c r="Q152" s="60" t="n">
        <x:v>2018</x:v>
      </x:c>
      <x:c r="R152" s="12" t="str">
        <x:v>Department of Statistics - Establishments Census 2018 - Table 4</x:v>
      </x:c>
    </x:row>
    <x:row r="153">
      <x:c r="A153" s="12" t="str">
        <x:v>4100</x:v>
      </x:c>
      <x:c r="B153" s="12" t="str">
        <x:v>Construction of buildings</x:v>
      </x:c>
      <x:c r="C153" s="12" t="str">
        <x:v>Detailed activity (4-digit)</x:v>
      </x:c>
      <x:c r="D153" s="14" t="n">
        <x:v>383</x:v>
      </x:c>
      <x:c r="E153" s="14" t="n">
        <x:v>16</x:v>
      </x:c>
      <x:c r="F153" s="14" t="n">
        <x:v>12</x:v>
      </x:c>
      <x:c r="G153" s="14" t="n">
        <x:v>2</x:v>
      </x:c>
      <x:c r="H153" s="14" t="n">
        <x:v>19</x:v>
      </x:c>
      <x:c r="I153" s="14" t="n">
        <x:v>6</x:v>
      </x:c>
      <x:c r="J153" s="14" t="n">
        <x:v>0</x:v>
      </x:c>
      <x:c r="K153" s="14" t="n">
        <x:v>2</x:v>
      </x:c>
      <x:c r="L153" s="14" t="n">
        <x:v>8</x:v>
      </x:c>
      <x:c r="M153" s="14" t="n">
        <x:v>1</x:v>
      </x:c>
      <x:c r="N153" s="14" t="n">
        <x:v>6</x:v>
      </x:c>
      <x:c r="O153" s="14" t="n">
        <x:v>18</x:v>
      </x:c>
      <x:c r="P153" s="14" t="n">
        <x:v>473</x:v>
      </x:c>
      <x:c r="Q153" s="60" t="n">
        <x:v>2018</x:v>
      </x:c>
      <x:c r="R153" s="12" t="str">
        <x:v>Department of Statistics - Establishments Census 2018 - Table 4</x:v>
      </x:c>
    </x:row>
    <x:row r="154">
      <x:c r="A154" s="12" t="str">
        <x:v>42</x:v>
      </x:c>
      <x:c r="B154" s="12" t="str">
        <x:v>Civil engineering</x:v>
      </x:c>
      <x:c r="C154" s="12" t="str">
        <x:v>Sector (2-digit)</x:v>
      </x:c>
      <x:c r="D154" s="14" t="n">
        <x:v>40</x:v>
      </x:c>
      <x:c r="E154" s="14" t="n">
        <x:v>3</x:v>
      </x:c>
      <x:c r="F154" s="14" t="n">
        <x:v>1</x:v>
      </x:c>
      <x:c r="G154" s="14" t="n">
        <x:v>0</x:v>
      </x:c>
      <x:c r="H154" s="14" t="n">
        <x:v>8</x:v>
      </x:c>
      <x:c r="I154" s="14" t="n">
        <x:v>2</x:v>
      </x:c>
      <x:c r="J154" s="14" t="n">
        <x:v>1</x:v>
      </x:c>
      <x:c r="K154" s="14" t="n">
        <x:v>1</x:v>
      </x:c>
      <x:c r="L154" s="14" t="n">
        <x:v>4</x:v>
      </x:c>
      <x:c r="M154" s="14" t="n">
        <x:v>0</x:v>
      </x:c>
      <x:c r="N154" s="14" t="n">
        <x:v>0</x:v>
      </x:c>
      <x:c r="O154" s="14" t="n">
        <x:v>4</x:v>
      </x:c>
      <x:c r="P154" s="14" t="n">
        <x:v>64</x:v>
      </x:c>
      <x:c r="Q154" s="60" t="n">
        <x:v>2018</x:v>
      </x:c>
      <x:c r="R154" s="12" t="str">
        <x:v>Department of Statistics - Establishments Census 2018 - Table 4</x:v>
      </x:c>
    </x:row>
    <x:row r="155">
      <x:c r="A155" s="12" t="str">
        <x:v>4210</x:v>
      </x:c>
      <x:c r="B155" s="12" t="str">
        <x:v>Construction of roads and railways</x:v>
      </x:c>
      <x:c r="C155" s="12" t="str">
        <x:v>Detailed activity (4-digit)</x:v>
      </x:c>
      <x:c r="D155" s="14" t="n">
        <x:v>7</x:v>
      </x:c>
      <x:c r="E155" s="14" t="n">
        <x:v>2</x:v>
      </x:c>
      <x:c r="F155" s="14" t="n">
        <x:v>0</x:v>
      </x:c>
      <x:c r="G155" s="14" t="n">
        <x:v>0</x:v>
      </x:c>
      <x:c r="H155" s="14" t="n">
        <x:v>5</x:v>
      </x:c>
      <x:c r="I155" s="14" t="n">
        <x:v>0</x:v>
      </x:c>
      <x:c r="J155" s="14" t="n">
        <x:v>0</x:v>
      </x:c>
      <x:c r="K155" s="14" t="n">
        <x:v>0</x:v>
      </x:c>
      <x:c r="L155" s="14" t="n">
        <x:v>3</x:v>
      </x:c>
      <x:c r="M155" s="14" t="n">
        <x:v>0</x:v>
      </x:c>
      <x:c r="N155" s="14" t="n">
        <x:v>0</x:v>
      </x:c>
      <x:c r="O155" s="14" t="n">
        <x:v>4</x:v>
      </x:c>
      <x:c r="P155" s="14" t="n">
        <x:v>21</x:v>
      </x:c>
      <x:c r="Q155" s="60" t="n">
        <x:v>2018</x:v>
      </x:c>
      <x:c r="R155" s="12" t="str">
        <x:v>Department of Statistics - Establishments Census 2018 - Table 4</x:v>
      </x:c>
    </x:row>
    <x:row r="156">
      <x:c r="A156" s="12" t="str">
        <x:v>4220</x:v>
      </x:c>
      <x:c r="B156" s="12" t="str">
        <x:v>Construction of utility projects</x:v>
      </x:c>
      <x:c r="C156" s="12" t="str">
        <x:v>Detailed activity (4-digit)</x:v>
      </x:c>
      <x:c r="D156" s="14" t="n">
        <x:v>21</x:v>
      </x:c>
      <x:c r="E156" s="14" t="n">
        <x:v>1</x:v>
      </x:c>
      <x:c r="F156" s="14" t="n">
        <x:v>1</x:v>
      </x:c>
      <x:c r="G156" s="14" t="n">
        <x:v>0</x:v>
      </x:c>
      <x:c r="H156" s="14" t="n">
        <x:v>0</x:v>
      </x:c>
      <x:c r="I156" s="14" t="n">
        <x:v>1</x:v>
      </x:c>
      <x:c r="J156" s="14" t="n">
        <x:v>1</x:v>
      </x:c>
      <x:c r="K156" s="14" t="n">
        <x:v>0</x:v>
      </x:c>
      <x:c r="L156" s="14" t="n">
        <x:v>0</x:v>
      </x:c>
      <x:c r="M156" s="14" t="n">
        <x:v>0</x:v>
      </x:c>
      <x:c r="N156" s="14" t="n">
        <x:v>0</x:v>
      </x:c>
      <x:c r="O156" s="14" t="n">
        <x:v>0</x:v>
      </x:c>
      <x:c r="P156" s="14" t="n">
        <x:v>25</x:v>
      </x:c>
      <x:c r="Q156" s="60" t="n">
        <x:v>2018</x:v>
      </x:c>
      <x:c r="R156" s="12" t="str">
        <x:v>Department of Statistics - Establishments Census 2018 - Table 4</x:v>
      </x:c>
    </x:row>
    <x:row r="157">
      <x:c r="A157" s="12" t="str">
        <x:v>4290</x:v>
      </x:c>
      <x:c r="B157" s="12" t="str">
        <x:v>Construction of other civil engineering projects</x:v>
      </x:c>
      <x:c r="C157" s="12" t="str">
        <x:v>Detailed activity (4-digit)</x:v>
      </x:c>
      <x:c r="D157" s="14" t="n">
        <x:v>12</x:v>
      </x:c>
      <x:c r="E157" s="14" t="n">
        <x:v>0</x:v>
      </x:c>
      <x:c r="F157" s="14" t="n">
        <x:v>0</x:v>
      </x:c>
      <x:c r="G157" s="14" t="n">
        <x:v>0</x:v>
      </x:c>
      <x:c r="H157" s="14" t="n">
        <x:v>3</x:v>
      </x:c>
      <x:c r="I157" s="14" t="n">
        <x:v>1</x:v>
      </x:c>
      <x:c r="J157" s="14" t="n">
        <x:v>0</x:v>
      </x:c>
      <x:c r="K157" s="14" t="n">
        <x:v>1</x:v>
      </x:c>
      <x:c r="L157" s="14" t="n">
        <x:v>1</x:v>
      </x:c>
      <x:c r="M157" s="14" t="n">
        <x:v>0</x:v>
      </x:c>
      <x:c r="N157" s="14" t="n">
        <x:v>0</x:v>
      </x:c>
      <x:c r="O157" s="14" t="n">
        <x:v>0</x:v>
      </x:c>
      <x:c r="P157" s="14" t="n">
        <x:v>18</x:v>
      </x:c>
      <x:c r="Q157" s="60" t="n">
        <x:v>2018</x:v>
      </x:c>
      <x:c r="R157" s="12" t="str">
        <x:v>Department of Statistics - Establishments Census 2018 - Table 4</x:v>
      </x:c>
    </x:row>
    <x:row r="158">
      <x:c r="A158" s="12" t="str">
        <x:v>43</x:v>
      </x:c>
      <x:c r="B158" s="12" t="str">
        <x:v>Specialized construction activities</x:v>
      </x:c>
      <x:c r="C158" s="12" t="str">
        <x:v>Sector (2-digit)</x:v>
      </x:c>
      <x:c r="D158" s="14" t="n">
        <x:v>279</x:v>
      </x:c>
      <x:c r="E158" s="14" t="n">
        <x:v>31</x:v>
      </x:c>
      <x:c r="F158" s="14" t="n">
        <x:v>106</x:v>
      </x:c>
      <x:c r="G158" s="14" t="n">
        <x:v>6</x:v>
      </x:c>
      <x:c r="H158" s="14" t="n">
        <x:v>62</x:v>
      </x:c>
      <x:c r="I158" s="14" t="n">
        <x:v>6</x:v>
      </x:c>
      <x:c r="J158" s="14" t="n">
        <x:v>2</x:v>
      </x:c>
      <x:c r="K158" s="14" t="n">
        <x:v>2</x:v>
      </x:c>
      <x:c r="L158" s="14" t="n">
        <x:v>12</x:v>
      </x:c>
      <x:c r="M158" s="14" t="n">
        <x:v>2</x:v>
      </x:c>
      <x:c r="N158" s="14" t="n">
        <x:v>4</x:v>
      </x:c>
      <x:c r="O158" s="14" t="n">
        <x:v>15</x:v>
      </x:c>
      <x:c r="P158" s="14" t="n">
        <x:v>527</x:v>
      </x:c>
      <x:c r="Q158" s="60" t="n">
        <x:v>2018</x:v>
      </x:c>
      <x:c r="R158" s="12" t="str">
        <x:v>Department of Statistics - Establishments Census 2018 - Table 4</x:v>
      </x:c>
    </x:row>
    <x:row r="159">
      <x:c r="A159" s="12" t="str">
        <x:v>4312</x:v>
      </x:c>
      <x:c r="B159" s="12" t="str">
        <x:v>Site preparation</x:v>
      </x:c>
      <x:c r="C159" s="12" t="str">
        <x:v>Detailed activity (4-digit)</x:v>
      </x:c>
      <x:c r="D159" s="14" t="n">
        <x:v>1</x:v>
      </x:c>
      <x:c r="E159" s="14" t="n">
        <x:v>1</x:v>
      </x:c>
      <x:c r="F159" s="14" t="n">
        <x:v>0</x:v>
      </x:c>
      <x:c r="G159" s="14" t="n">
        <x:v>0</x:v>
      </x:c>
      <x:c r="H159" s="14" t="n">
        <x:v>1</x:v>
      </x:c>
      <x:c r="I159" s="14" t="n">
        <x:v>0</x:v>
      </x:c>
      <x:c r="J159" s="14" t="n">
        <x:v>0</x:v>
      </x:c>
      <x:c r="K159" s="14" t="n">
        <x:v>0</x:v>
      </x:c>
      <x:c r="L159" s="14" t="n">
        <x:v>0</x:v>
      </x:c>
      <x:c r="M159" s="14" t="n">
        <x:v>0</x:v>
      </x:c>
      <x:c r="N159" s="14" t="n">
        <x:v>0</x:v>
      </x:c>
      <x:c r="O159" s="14" t="n">
        <x:v>0</x:v>
      </x:c>
      <x:c r="P159" s="14" t="n">
        <x:v>3</x:v>
      </x:c>
      <x:c r="Q159" s="60" t="n">
        <x:v>2018</x:v>
      </x:c>
      <x:c r="R159" s="12" t="str">
        <x:v>Department of Statistics - Establishments Census 2018 - Table 4</x:v>
      </x:c>
    </x:row>
    <x:row r="160">
      <x:c r="A160" s="12" t="str">
        <x:v>4321</x:v>
      </x:c>
      <x:c r="B160" s="12" t="str">
        <x:v>Electrical installation</x:v>
      </x:c>
      <x:c r="C160" s="12" t="str">
        <x:v>Detailed activity (4-digit)</x:v>
      </x:c>
      <x:c r="D160" s="14" t="n">
        <x:v>61</x:v>
      </x:c>
      <x:c r="E160" s="14" t="n">
        <x:v>2</x:v>
      </x:c>
      <x:c r="F160" s="14" t="n">
        <x:v>10</x:v>
      </x:c>
      <x:c r="G160" s="14" t="n">
        <x:v>0</x:v>
      </x:c>
      <x:c r="H160" s="14" t="n">
        <x:v>7</x:v>
      </x:c>
      <x:c r="I160" s="14" t="n">
        <x:v>2</x:v>
      </x:c>
      <x:c r="J160" s="14" t="n">
        <x:v>0</x:v>
      </x:c>
      <x:c r="K160" s="14" t="n">
        <x:v>1</x:v>
      </x:c>
      <x:c r="L160" s="14" t="n">
        <x:v>2</x:v>
      </x:c>
      <x:c r="M160" s="14" t="n">
        <x:v>1</x:v>
      </x:c>
      <x:c r="N160" s="14" t="n">
        <x:v>0</x:v>
      </x:c>
      <x:c r="O160" s="14" t="n">
        <x:v>0</x:v>
      </x:c>
      <x:c r="P160" s="14" t="n">
        <x:v>86</x:v>
      </x:c>
      <x:c r="Q160" s="60" t="n">
        <x:v>2018</x:v>
      </x:c>
      <x:c r="R160" s="12" t="str">
        <x:v>Department of Statistics - Establishments Census 2018 - Table 4</x:v>
      </x:c>
    </x:row>
    <x:row r="161">
      <x:c r="A161" s="12" t="str">
        <x:v>4322</x:v>
      </x:c>
      <x:c r="B161" s="12" t="str">
        <x:v>Plumbing, heat and air-conditioning installation</x:v>
      </x:c>
      <x:c r="C161" s="12" t="str">
        <x:v>Detailed activity (4-digit)</x:v>
      </x:c>
      <x:c r="D161" s="14" t="n">
        <x:v>131</x:v>
      </x:c>
      <x:c r="E161" s="14" t="n">
        <x:v>15</x:v>
      </x:c>
      <x:c r="F161" s="14" t="n">
        <x:v>64</x:v>
      </x:c>
      <x:c r="G161" s="14" t="n">
        <x:v>3</x:v>
      </x:c>
      <x:c r="H161" s="14" t="n">
        <x:v>27</x:v>
      </x:c>
      <x:c r="I161" s="14" t="n">
        <x:v>2</x:v>
      </x:c>
      <x:c r="J161" s="14" t="n">
        <x:v>1</x:v>
      </x:c>
      <x:c r="K161" s="14" t="n">
        <x:v>1</x:v>
      </x:c>
      <x:c r="L161" s="14" t="n">
        <x:v>4</x:v>
      </x:c>
      <x:c r="M161" s="14" t="n">
        <x:v>0</x:v>
      </x:c>
      <x:c r="N161" s="14" t="n">
        <x:v>2</x:v>
      </x:c>
      <x:c r="O161" s="14" t="n">
        <x:v>12</x:v>
      </x:c>
      <x:c r="P161" s="14" t="n">
        <x:v>262</x:v>
      </x:c>
      <x:c r="Q161" s="60" t="n">
        <x:v>2018</x:v>
      </x:c>
      <x:c r="R161" s="12" t="str">
        <x:v>Department of Statistics - Establishments Census 2018 - Table 4</x:v>
      </x:c>
    </x:row>
    <x:row r="162">
      <x:c r="A162" s="12" t="str">
        <x:v>4329</x:v>
      </x:c>
      <x:c r="B162" s="12" t="str">
        <x:v>Other construction installation</x:v>
      </x:c>
      <x:c r="C162" s="12" t="str">
        <x:v>Detailed activity (4-digit)</x:v>
      </x:c>
      <x:c r="D162" s="14" t="n">
        <x:v>15</x:v>
      </x:c>
      <x:c r="E162" s="14" t="n">
        <x:v>0</x:v>
      </x:c>
      <x:c r="F162" s="14" t="n">
        <x:v>2</x:v>
      </x:c>
      <x:c r="G162" s="14" t="n">
        <x:v>0</x:v>
      </x:c>
      <x:c r="H162" s="14" t="n">
        <x:v>0</x:v>
      </x:c>
      <x:c r="I162" s="14" t="n">
        <x:v>0</x:v>
      </x:c>
      <x:c r="J162" s="14" t="n">
        <x:v>0</x:v>
      </x:c>
      <x:c r="K162" s="14" t="n">
        <x:v>0</x:v>
      </x:c>
      <x:c r="L162" s="14" t="n">
        <x:v>1</x:v>
      </x:c>
      <x:c r="M162" s="14" t="n">
        <x:v>0</x:v>
      </x:c>
      <x:c r="N162" s="14" t="n">
        <x:v>0</x:v>
      </x:c>
      <x:c r="O162" s="14" t="n">
        <x:v>0</x:v>
      </x:c>
      <x:c r="P162" s="14" t="n">
        <x:v>18</x:v>
      </x:c>
      <x:c r="Q162" s="60" t="n">
        <x:v>2018</x:v>
      </x:c>
      <x:c r="R162" s="12" t="str">
        <x:v>Department of Statistics - Establishments Census 2018 - Table 4</x:v>
      </x:c>
    </x:row>
    <x:row r="163">
      <x:c r="A163" s="12" t="str">
        <x:v>4330</x:v>
      </x:c>
      <x:c r="B163" s="12" t="str">
        <x:v>Building completion and finishing</x:v>
      </x:c>
      <x:c r="C163" s="12" t="str">
        <x:v>Detailed activity (4-digit)</x:v>
      </x:c>
      <x:c r="D163" s="14" t="n">
        <x:v>64</x:v>
      </x:c>
      <x:c r="E163" s="14" t="n">
        <x:v>9</x:v>
      </x:c>
      <x:c r="F163" s="14" t="n">
        <x:v>27</x:v>
      </x:c>
      <x:c r="G163" s="14" t="n">
        <x:v>3</x:v>
      </x:c>
      <x:c r="H163" s="14" t="n">
        <x:v>24</x:v>
      </x:c>
      <x:c r="I163" s="14" t="n">
        <x:v>2</x:v>
      </x:c>
      <x:c r="J163" s="14" t="n">
        <x:v>1</x:v>
      </x:c>
      <x:c r="K163" s="14" t="n">
        <x:v>0</x:v>
      </x:c>
      <x:c r="L163" s="14" t="n">
        <x:v>4</x:v>
      </x:c>
      <x:c r="M163" s="14" t="n">
        <x:v>0</x:v>
      </x:c>
      <x:c r="N163" s="14" t="n">
        <x:v>2</x:v>
      </x:c>
      <x:c r="O163" s="14" t="n">
        <x:v>3</x:v>
      </x:c>
      <x:c r="P163" s="14" t="n">
        <x:v>139</x:v>
      </x:c>
      <x:c r="Q163" s="60" t="n">
        <x:v>2018</x:v>
      </x:c>
      <x:c r="R163" s="12" t="str">
        <x:v>Department of Statistics - Establishments Census 2018 - Table 4</x:v>
      </x:c>
    </x:row>
    <x:row r="164">
      <x:c r="A164" s="12" t="str">
        <x:v>4390</x:v>
      </x:c>
      <x:c r="B164" s="12" t="str">
        <x:v>Other specialized construction activities</x:v>
      </x:c>
      <x:c r="C164" s="12" t="str">
        <x:v>Detailed activity (4-digit)</x:v>
      </x:c>
      <x:c r="D164" s="14" t="n">
        <x:v>7</x:v>
      </x:c>
      <x:c r="E164" s="14" t="n">
        <x:v>4</x:v>
      </x:c>
      <x:c r="F164" s="14" t="n">
        <x:v>3</x:v>
      </x:c>
      <x:c r="G164" s="14" t="n">
        <x:v>0</x:v>
      </x:c>
      <x:c r="H164" s="14" t="n">
        <x:v>3</x:v>
      </x:c>
      <x:c r="I164" s="14" t="n">
        <x:v>0</x:v>
      </x:c>
      <x:c r="J164" s="14" t="n">
        <x:v>0</x:v>
      </x:c>
      <x:c r="K164" s="14" t="n">
        <x:v>0</x:v>
      </x:c>
      <x:c r="L164" s="14" t="n">
        <x:v>1</x:v>
      </x:c>
      <x:c r="M164" s="14" t="n">
        <x:v>1</x:v>
      </x:c>
      <x:c r="N164" s="14" t="n">
        <x:v>0</x:v>
      </x:c>
      <x:c r="O164" s="14" t="n">
        <x:v>0</x:v>
      </x:c>
      <x:c r="P164" s="14" t="n">
        <x:v>19</x:v>
      </x:c>
      <x:c r="Q164" s="60" t="n">
        <x:v>2018</x:v>
      </x:c>
      <x:c r="R164" s="12" t="str">
        <x:v>Department of Statistics - Establishments Census 2018 - Table 4</x:v>
      </x:c>
    </x:row>
    <x:row r="165">
      <x:c r="A165" s="12" t="str">
        <x:v>45</x:v>
      </x:c>
      <x:c r="B165" s="12" t="str">
        <x:v>Wholesale and retail trade and repair of motor vehicles and motorcycles</x:v>
      </x:c>
      <x:c r="C165" s="12" t="str">
        <x:v>Sector (2-digit)</x:v>
      </x:c>
      <x:c r="D165" s="14" t="n">
        <x:v>8137</x:v>
      </x:c>
      <x:c r="E165" s="14" t="n">
        <x:v>1038</x:v>
      </x:c>
      <x:c r="F165" s="14" t="n">
        <x:v>2895</x:v>
      </x:c>
      <x:c r="G165" s="14" t="n">
        <x:v>227</x:v>
      </x:c>
      <x:c r="H165" s="14" t="n">
        <x:v>2606</x:v>
      </x:c>
      <x:c r="I165" s="14" t="n">
        <x:v>414</x:v>
      </x:c>
      <x:c r="J165" s="14" t="n">
        <x:v>363</x:v>
      </x:c>
      <x:c r="K165" s="14" t="n">
        <x:v>290</x:v>
      </x:c>
      <x:c r="L165" s="14" t="n">
        <x:v>507</x:v>
      </x:c>
      <x:c r="M165" s="14" t="n">
        <x:v>145</x:v>
      </x:c>
      <x:c r="N165" s="14" t="n">
        <x:v>229</x:v>
      </x:c>
      <x:c r="O165" s="14" t="n">
        <x:v>376</x:v>
      </x:c>
      <x:c r="P165" s="14" t="n">
        <x:v>17227</x:v>
      </x:c>
      <x:c r="Q165" s="60" t="n">
        <x:v>2018</x:v>
      </x:c>
      <x:c r="R165" s="12" t="str">
        <x:v>Department of Statistics - Establishments Census 2018 - Table 4</x:v>
      </x:c>
    </x:row>
    <x:row r="166">
      <x:c r="A166" s="12" t="str">
        <x:v>4510</x:v>
      </x:c>
      <x:c r="B166" s="12" t="str">
        <x:v>Sale of motor vehicles</x:v>
      </x:c>
      <x:c r="C166" s="12" t="str">
        <x:v>Detailed activity (4-digit)</x:v>
      </x:c>
      <x:c r="D166" s="14" t="n">
        <x:v>450</x:v>
      </x:c>
      <x:c r="E166" s="14" t="n">
        <x:v>30</x:v>
      </x:c>
      <x:c r="F166" s="14" t="n">
        <x:v>656</x:v>
      </x:c>
      <x:c r="G166" s="14" t="n">
        <x:v>1</x:v>
      </x:c>
      <x:c r="H166" s="14" t="n">
        <x:v>138</x:v>
      </x:c>
      <x:c r="I166" s="14" t="n">
        <x:v>33</x:v>
      </x:c>
      <x:c r="J166" s="14" t="n">
        <x:v>29</x:v>
      </x:c>
      <x:c r="K166" s="14" t="n">
        <x:v>13</x:v>
      </x:c>
      <x:c r="L166" s="14" t="n">
        <x:v>23</x:v>
      </x:c>
      <x:c r="M166" s="14" t="n">
        <x:v>2</x:v>
      </x:c>
      <x:c r="N166" s="14" t="n">
        <x:v>2</x:v>
      </x:c>
      <x:c r="O166" s="14" t="n">
        <x:v>5</x:v>
      </x:c>
      <x:c r="P166" s="14" t="n">
        <x:v>1382</x:v>
      </x:c>
      <x:c r="Q166" s="60" t="n">
        <x:v>2018</x:v>
      </x:c>
      <x:c r="R166" s="12" t="str">
        <x:v>Department of Statistics - Establishments Census 2018 - Table 4</x:v>
      </x:c>
    </x:row>
    <x:row r="167">
      <x:c r="A167" s="12" t="str">
        <x:v>4520</x:v>
      </x:c>
      <x:c r="B167" s="12" t="str">
        <x:v>Maintenance and repair of motor vehicles</x:v>
      </x:c>
      <x:c r="C167" s="12" t="str">
        <x:v>Detailed activity (4-digit)</x:v>
      </x:c>
      <x:c r="D167" s="14" t="n">
        <x:v>5404</x:v>
      </x:c>
      <x:c r="E167" s="14" t="n">
        <x:v>819</x:v>
      </x:c>
      <x:c r="F167" s="14" t="n">
        <x:v>1733</x:v>
      </x:c>
      <x:c r="G167" s="14" t="n">
        <x:v>165</x:v>
      </x:c>
      <x:c r="H167" s="14" t="n">
        <x:v>1800</x:v>
      </x:c>
      <x:c r="I167" s="14" t="n">
        <x:v>307</x:v>
      </x:c>
      <x:c r="J167" s="14" t="n">
        <x:v>261</x:v>
      </x:c>
      <x:c r="K167" s="14" t="n">
        <x:v>201</x:v>
      </x:c>
      <x:c r="L167" s="14" t="n">
        <x:v>350</x:v>
      </x:c>
      <x:c r="M167" s="14" t="n">
        <x:v>100</x:v>
      </x:c>
      <x:c r="N167" s="14" t="n">
        <x:v>164</x:v>
      </x:c>
      <x:c r="O167" s="14" t="n">
        <x:v>262</x:v>
      </x:c>
      <x:c r="P167" s="14" t="n">
        <x:v>11566</x:v>
      </x:c>
      <x:c r="Q167" s="60" t="n">
        <x:v>2018</x:v>
      </x:c>
      <x:c r="R167" s="12" t="str">
        <x:v>Department of Statistics - Establishments Census 2018 - Table 4</x:v>
      </x:c>
    </x:row>
    <x:row r="168">
      <x:c r="A168" s="12" t="str">
        <x:v>4530</x:v>
      </x:c>
      <x:c r="B168" s="12" t="str">
        <x:v>Sale of motor vehicle parts and accessories</x:v>
      </x:c>
      <x:c r="C168" s="12" t="str">
        <x:v>Detailed activity (4-digit)</x:v>
      </x:c>
      <x:c r="D168" s="14" t="n">
        <x:v>2271</x:v>
      </x:c>
      <x:c r="E168" s="14" t="n">
        <x:v>188</x:v>
      </x:c>
      <x:c r="F168" s="14" t="n">
        <x:v>503</x:v>
      </x:c>
      <x:c r="G168" s="14" t="n">
        <x:v>61</x:v>
      </x:c>
      <x:c r="H168" s="14" t="n">
        <x:v>660</x:v>
      </x:c>
      <x:c r="I168" s="14" t="n">
        <x:v>74</x:v>
      </x:c>
      <x:c r="J168" s="14" t="n">
        <x:v>73</x:v>
      </x:c>
      <x:c r="K168" s="14" t="n">
        <x:v>75</x:v>
      </x:c>
      <x:c r="L168" s="14" t="n">
        <x:v>134</x:v>
      </x:c>
      <x:c r="M168" s="14" t="n">
        <x:v>43</x:v>
      </x:c>
      <x:c r="N168" s="14" t="n">
        <x:v>63</x:v>
      </x:c>
      <x:c r="O168" s="14" t="n">
        <x:v>108</x:v>
      </x:c>
      <x:c r="P168" s="14" t="n">
        <x:v>4253</x:v>
      </x:c>
      <x:c r="Q168" s="60" t="n">
        <x:v>2018</x:v>
      </x:c>
      <x:c r="R168" s="12" t="str">
        <x:v>Department of Statistics - Establishments Census 2018 - Table 4</x:v>
      </x:c>
    </x:row>
    <x:row r="169">
      <x:c r="A169" s="12" t="str">
        <x:v>4540</x:v>
      </x:c>
      <x:c r="B169" s="12" t="str">
        <x:v>Sale, maintenance and repair of motorcycles and related parts and accessories</x:v>
      </x:c>
      <x:c r="C169" s="12" t="str">
        <x:v>Detailed activity (4-digit)</x:v>
      </x:c>
      <x:c r="D169" s="14" t="n">
        <x:v>12</x:v>
      </x:c>
      <x:c r="E169" s="14" t="n">
        <x:v>1</x:v>
      </x:c>
      <x:c r="F169" s="14" t="n">
        <x:v>3</x:v>
      </x:c>
      <x:c r="G169" s="14" t="n">
        <x:v>0</x:v>
      </x:c>
      <x:c r="H169" s="14" t="n">
        <x:v>8</x:v>
      </x:c>
      <x:c r="I169" s="14" t="n">
        <x:v>0</x:v>
      </x:c>
      <x:c r="J169" s="14" t="n">
        <x:v>0</x:v>
      </x:c>
      <x:c r="K169" s="14" t="n">
        <x:v>1</x:v>
      </x:c>
      <x:c r="L169" s="14" t="n">
        <x:v>0</x:v>
      </x:c>
      <x:c r="M169" s="14" t="n">
        <x:v>0</x:v>
      </x:c>
      <x:c r="N169" s="14" t="n">
        <x:v>0</x:v>
      </x:c>
      <x:c r="O169" s="14" t="n">
        <x:v>1</x:v>
      </x:c>
      <x:c r="P169" s="14" t="n">
        <x:v>26</x:v>
      </x:c>
      <x:c r="Q169" s="60" t="n">
        <x:v>2018</x:v>
      </x:c>
      <x:c r="R169" s="12" t="str">
        <x:v>Department of Statistics - Establishments Census 2018 - Table 4</x:v>
      </x:c>
    </x:row>
    <x:row r="170">
      <x:c r="A170" s="12" t="str">
        <x:v>46</x:v>
      </x:c>
      <x:c r="B170" s="12" t="str">
        <x:v>Wholesale trade, except of motor vehicles and motorcycles</x:v>
      </x:c>
      <x:c r="C170" s="12" t="str">
        <x:v>Sector (2-digit)</x:v>
      </x:c>
      <x:c r="D170" s="14" t="n">
        <x:v>3860</x:v>
      </x:c>
      <x:c r="E170" s="14" t="n">
        <x:v>268</x:v>
      </x:c>
      <x:c r="F170" s="14" t="n">
        <x:v>565</x:v>
      </x:c>
      <x:c r="G170" s="14" t="n">
        <x:v>74</x:v>
      </x:c>
      <x:c r="H170" s="14" t="n">
        <x:v>591</x:v>
      </x:c>
      <x:c r="I170" s="14" t="n">
        <x:v>98</x:v>
      </x:c>
      <x:c r="J170" s="14" t="n">
        <x:v>83</x:v>
      </x:c>
      <x:c r="K170" s="14" t="n">
        <x:v>50</x:v>
      </x:c>
      <x:c r="L170" s="14" t="n">
        <x:v>102</x:v>
      </x:c>
      <x:c r="M170" s="14" t="n">
        <x:v>29</x:v>
      </x:c>
      <x:c r="N170" s="14" t="n">
        <x:v>37</x:v>
      </x:c>
      <x:c r="O170" s="14" t="n">
        <x:v>108</x:v>
      </x:c>
      <x:c r="P170" s="14" t="n">
        <x:v>5865</x:v>
      </x:c>
      <x:c r="Q170" s="60" t="n">
        <x:v>2018</x:v>
      </x:c>
      <x:c r="R170" s="12" t="str">
        <x:v>Department of Statistics - Establishments Census 2018 - Table 4</x:v>
      </x:c>
    </x:row>
    <x:row r="171">
      <x:c r="A171" s="12" t="str">
        <x:v>4610</x:v>
      </x:c>
      <x:c r="B171" s="12" t="str">
        <x:v>Wholesale on a fee or contract basis</x:v>
      </x:c>
      <x:c r="C171" s="12" t="str">
        <x:v>Detailed activity (4-digit)</x:v>
      </x:c>
      <x:c r="D171" s="14" t="n">
        <x:v>278</x:v>
      </x:c>
      <x:c r="E171" s="14" t="n">
        <x:v>22</x:v>
      </x:c>
      <x:c r="F171" s="14" t="n">
        <x:v>5</x:v>
      </x:c>
      <x:c r="G171" s="14" t="n">
        <x:v>2</x:v>
      </x:c>
      <x:c r="H171" s="14" t="n">
        <x:v>16</x:v>
      </x:c>
      <x:c r="I171" s="14" t="n">
        <x:v>0</x:v>
      </x:c>
      <x:c r="J171" s="14" t="n">
        <x:v>1</x:v>
      </x:c>
      <x:c r="K171" s="14" t="n">
        <x:v>0</x:v>
      </x:c>
      <x:c r="L171" s="14" t="n">
        <x:v>0</x:v>
      </x:c>
      <x:c r="M171" s="14" t="n">
        <x:v>0</x:v>
      </x:c>
      <x:c r="N171" s="14" t="n">
        <x:v>0</x:v>
      </x:c>
      <x:c r="O171" s="14" t="n">
        <x:v>10</x:v>
      </x:c>
      <x:c r="P171" s="14" t="n">
        <x:v>334</x:v>
      </x:c>
      <x:c r="Q171" s="60" t="n">
        <x:v>2018</x:v>
      </x:c>
      <x:c r="R171" s="12" t="str">
        <x:v>Department of Statistics - Establishments Census 2018 - Table 4</x:v>
      </x:c>
    </x:row>
    <x:row r="172">
      <x:c r="A172" s="12" t="str">
        <x:v>4620</x:v>
      </x:c>
      <x:c r="B172" s="12" t="str">
        <x:v>Wholesale of agricultural raw materials and live animals</x:v>
      </x:c>
      <x:c r="C172" s="12" t="str">
        <x:v>Detailed activity (4-digit)</x:v>
      </x:c>
      <x:c r="D172" s="14" t="n">
        <x:v>79</x:v>
      </x:c>
      <x:c r="E172" s="14" t="n">
        <x:v>25</x:v>
      </x:c>
      <x:c r="F172" s="14" t="n">
        <x:v>40</x:v>
      </x:c>
      <x:c r="G172" s="14" t="n">
        <x:v>11</x:v>
      </x:c>
      <x:c r="H172" s="14" t="n">
        <x:v>10</x:v>
      </x:c>
      <x:c r="I172" s="14" t="n">
        <x:v>9</x:v>
      </x:c>
      <x:c r="J172" s="14" t="n">
        <x:v>4</x:v>
      </x:c>
      <x:c r="K172" s="14" t="n">
        <x:v>0</x:v>
      </x:c>
      <x:c r="L172" s="14" t="n">
        <x:v>10</x:v>
      </x:c>
      <x:c r="M172" s="14" t="n">
        <x:v>7</x:v>
      </x:c>
      <x:c r="N172" s="14" t="n">
        <x:v>3</x:v>
      </x:c>
      <x:c r="O172" s="14" t="n">
        <x:v>7</x:v>
      </x:c>
      <x:c r="P172" s="14" t="n">
        <x:v>205</x:v>
      </x:c>
      <x:c r="Q172" s="60" t="n">
        <x:v>2018</x:v>
      </x:c>
      <x:c r="R172" s="12" t="str">
        <x:v>Department of Statistics - Establishments Census 2018 - Table 4</x:v>
      </x:c>
    </x:row>
    <x:row r="173">
      <x:c r="A173" s="12" t="str">
        <x:v>4630</x:v>
      </x:c>
      <x:c r="B173" s="12" t="str">
        <x:v>Wholesale of food, beverages and tobacco</x:v>
      </x:c>
      <x:c r="C173" s="12" t="str">
        <x:v>Detailed activity (4-digit)</x:v>
      </x:c>
      <x:c r="D173" s="14" t="n">
        <x:v>546</x:v>
      </x:c>
      <x:c r="E173" s="14" t="n">
        <x:v>33</x:v>
      </x:c>
      <x:c r="F173" s="14" t="n">
        <x:v>84</x:v>
      </x:c>
      <x:c r="G173" s="14" t="n">
        <x:v>7</x:v>
      </x:c>
      <x:c r="H173" s="14" t="n">
        <x:v>84</x:v>
      </x:c>
      <x:c r="I173" s="14" t="n">
        <x:v>18</x:v>
      </x:c>
      <x:c r="J173" s="14" t="n">
        <x:v>32</x:v>
      </x:c>
      <x:c r="K173" s="14" t="n">
        <x:v>9</x:v>
      </x:c>
      <x:c r="L173" s="14" t="n">
        <x:v>12</x:v>
      </x:c>
      <x:c r="M173" s="14" t="n">
        <x:v>3</x:v>
      </x:c>
      <x:c r="N173" s="14" t="n">
        <x:v>8</x:v>
      </x:c>
      <x:c r="O173" s="14" t="n">
        <x:v>16</x:v>
      </x:c>
      <x:c r="P173" s="14" t="n">
        <x:v>852</x:v>
      </x:c>
      <x:c r="Q173" s="60" t="n">
        <x:v>2018</x:v>
      </x:c>
      <x:c r="R173" s="12" t="str">
        <x:v>Department of Statistics - Establishments Census 2018 - Table 4</x:v>
      </x:c>
    </x:row>
    <x:row r="174">
      <x:c r="A174" s="12" t="str">
        <x:v>4641</x:v>
      </x:c>
      <x:c r="B174" s="12" t="str">
        <x:v>Wholesale of textiles, clothing and footwear</x:v>
      </x:c>
      <x:c r="C174" s="12" t="str">
        <x:v>Detailed activity (4-digit)</x:v>
      </x:c>
      <x:c r="D174" s="14" t="n">
        <x:v>333</x:v>
      </x:c>
      <x:c r="E174" s="14" t="n">
        <x:v>1</x:v>
      </x:c>
      <x:c r="F174" s="14" t="n">
        <x:v>9</x:v>
      </x:c>
      <x:c r="G174" s="14" t="n">
        <x:v>1</x:v>
      </x:c>
      <x:c r="H174" s="14" t="n">
        <x:v>15</x:v>
      </x:c>
      <x:c r="I174" s="14" t="n">
        <x:v>0</x:v>
      </x:c>
      <x:c r="J174" s="14" t="n">
        <x:v>8</x:v>
      </x:c>
      <x:c r="K174" s="14" t="n">
        <x:v>0</x:v>
      </x:c>
      <x:c r="L174" s="14" t="n">
        <x:v>0</x:v>
      </x:c>
      <x:c r="M174" s="14" t="n">
        <x:v>0</x:v>
      </x:c>
      <x:c r="N174" s="14" t="n">
        <x:v>0</x:v>
      </x:c>
      <x:c r="O174" s="14" t="n">
        <x:v>5</x:v>
      </x:c>
      <x:c r="P174" s="14" t="n">
        <x:v>372</x:v>
      </x:c>
      <x:c r="Q174" s="60" t="n">
        <x:v>2018</x:v>
      </x:c>
      <x:c r="R174" s="12" t="str">
        <x:v>Department of Statistics - Establishments Census 2018 - Table 4</x:v>
      </x:c>
    </x:row>
    <x:row r="175">
      <x:c r="A175" s="12" t="str">
        <x:v>4649</x:v>
      </x:c>
      <x:c r="B175" s="12" t="str">
        <x:v>Wholesale of other household goods</x:v>
      </x:c>
      <x:c r="C175" s="12" t="str">
        <x:v>Detailed activity (4-digit)</x:v>
      </x:c>
      <x:c r="D175" s="14" t="n">
        <x:v>621</x:v>
      </x:c>
      <x:c r="E175" s="14" t="n">
        <x:v>9</x:v>
      </x:c>
      <x:c r="F175" s="14" t="n">
        <x:v>58</x:v>
      </x:c>
      <x:c r="G175" s="14" t="n">
        <x:v>5</x:v>
      </x:c>
      <x:c r="H175" s="14" t="n">
        <x:v>51</x:v>
      </x:c>
      <x:c r="I175" s="14" t="n">
        <x:v>7</x:v>
      </x:c>
      <x:c r="J175" s="14" t="n">
        <x:v>2</x:v>
      </x:c>
      <x:c r="K175" s="14" t="n">
        <x:v>0</x:v>
      </x:c>
      <x:c r="L175" s="14" t="n">
        <x:v>6</x:v>
      </x:c>
      <x:c r="M175" s="14" t="n">
        <x:v>0</x:v>
      </x:c>
      <x:c r="N175" s="14" t="n">
        <x:v>0</x:v>
      </x:c>
      <x:c r="O175" s="14" t="n">
        <x:v>1</x:v>
      </x:c>
      <x:c r="P175" s="14" t="n">
        <x:v>760</x:v>
      </x:c>
      <x:c r="Q175" s="60" t="n">
        <x:v>2018</x:v>
      </x:c>
      <x:c r="R175" s="12" t="str">
        <x:v>Department of Statistics - Establishments Census 2018 - Table 4</x:v>
      </x:c>
    </x:row>
    <x:row r="176">
      <x:c r="A176" s="12" t="str">
        <x:v>4651</x:v>
      </x:c>
      <x:c r="B176" s="12" t="str">
        <x:v>Wholesale of computers, computer peripheral equipment and software</x:v>
      </x:c>
      <x:c r="C176" s="12" t="str">
        <x:v>Detailed activity (4-digit)</x:v>
      </x:c>
      <x:c r="D176" s="14" t="n">
        <x:v>58</x:v>
      </x:c>
      <x:c r="E176" s="14" t="n">
        <x:v>0</x:v>
      </x:c>
      <x:c r="F176" s="14" t="n">
        <x:v>0</x:v>
      </x:c>
      <x:c r="G176" s="14" t="n">
        <x:v>0</x:v>
      </x:c>
      <x:c r="H176" s="14" t="n">
        <x:v>3</x:v>
      </x:c>
      <x:c r="I176" s="14" t="n">
        <x:v>0</x:v>
      </x:c>
      <x:c r="J176" s="14" t="n">
        <x:v>0</x:v>
      </x:c>
      <x:c r="K176" s="14" t="n">
        <x:v>0</x:v>
      </x:c>
      <x:c r="L176" s="14" t="n">
        <x:v>1</x:v>
      </x:c>
      <x:c r="M176" s="14" t="n">
        <x:v>0</x:v>
      </x:c>
      <x:c r="N176" s="14" t="n">
        <x:v>0</x:v>
      </x:c>
      <x:c r="O176" s="14" t="n">
        <x:v>3</x:v>
      </x:c>
      <x:c r="P176" s="14" t="n">
        <x:v>65</x:v>
      </x:c>
      <x:c r="Q176" s="60" t="n">
        <x:v>2018</x:v>
      </x:c>
      <x:c r="R176" s="12" t="str">
        <x:v>Department of Statistics - Establishments Census 2018 - Table 4</x:v>
      </x:c>
    </x:row>
    <x:row r="177">
      <x:c r="A177" s="12" t="str">
        <x:v>4652</x:v>
      </x:c>
      <x:c r="B177" s="12" t="str">
        <x:v>Wholesale of electronic and telecommunications equipment and parts</x:v>
      </x:c>
      <x:c r="C177" s="12" t="str">
        <x:v>Detailed activity (4-digit)</x:v>
      </x:c>
      <x:c r="D177" s="14" t="n">
        <x:v>49</x:v>
      </x:c>
      <x:c r="E177" s="14" t="n">
        <x:v>0</x:v>
      </x:c>
      <x:c r="F177" s="14" t="n">
        <x:v>1</x:v>
      </x:c>
      <x:c r="G177" s="14" t="n">
        <x:v>0</x:v>
      </x:c>
      <x:c r="H177" s="14" t="n">
        <x:v>3</x:v>
      </x:c>
      <x:c r="I177" s="14" t="n">
        <x:v>0</x:v>
      </x:c>
      <x:c r="J177" s="14" t="n">
        <x:v>0</x:v>
      </x:c>
      <x:c r="K177" s="14" t="n">
        <x:v>0</x:v>
      </x:c>
      <x:c r="L177" s="14" t="n">
        <x:v>0</x:v>
      </x:c>
      <x:c r="M177" s="14" t="n">
        <x:v>0</x:v>
      </x:c>
      <x:c r="N177" s="14" t="n">
        <x:v>0</x:v>
      </x:c>
      <x:c r="O177" s="14" t="n">
        <x:v>0</x:v>
      </x:c>
      <x:c r="P177" s="14" t="n">
        <x:v>53</x:v>
      </x:c>
      <x:c r="Q177" s="60" t="n">
        <x:v>2018</x:v>
      </x:c>
      <x:c r="R177" s="12" t="str">
        <x:v>Department of Statistics - Establishments Census 2018 - Table 4</x:v>
      </x:c>
    </x:row>
    <x:row r="178">
      <x:c r="A178" s="12" t="str">
        <x:v>4653</x:v>
      </x:c>
      <x:c r="B178" s="12" t="str">
        <x:v>Wholesale of agricultural machinery, equipment and supplies</x:v>
      </x:c>
      <x:c r="C178" s="12" t="str">
        <x:v>Detailed activity (4-digit)</x:v>
      </x:c>
      <x:c r="D178" s="14" t="n">
        <x:v>90</x:v>
      </x:c>
      <x:c r="E178" s="14" t="n">
        <x:v>26</x:v>
      </x:c>
      <x:c r="F178" s="14" t="n">
        <x:v>8</x:v>
      </x:c>
      <x:c r="G178" s="14" t="n">
        <x:v>1</x:v>
      </x:c>
      <x:c r="H178" s="14" t="n">
        <x:v>12</x:v>
      </x:c>
      <x:c r="I178" s="14" t="n">
        <x:v>0</x:v>
      </x:c>
      <x:c r="J178" s="14" t="n">
        <x:v>1</x:v>
      </x:c>
      <x:c r="K178" s="14" t="n">
        <x:v>2</x:v>
      </x:c>
      <x:c r="L178" s="14" t="n">
        <x:v>8</x:v>
      </x:c>
      <x:c r="M178" s="14" t="n">
        <x:v>3</x:v>
      </x:c>
      <x:c r="N178" s="14" t="n">
        <x:v>0</x:v>
      </x:c>
      <x:c r="O178" s="14" t="n">
        <x:v>0</x:v>
      </x:c>
      <x:c r="P178" s="14" t="n">
        <x:v>151</x:v>
      </x:c>
      <x:c r="Q178" s="60" t="n">
        <x:v>2018</x:v>
      </x:c>
      <x:c r="R178" s="12" t="str">
        <x:v>Department of Statistics - Establishments Census 2018 - Table 4</x:v>
      </x:c>
    </x:row>
    <x:row r="179">
      <x:c r="A179" s="12" t="str">
        <x:v>4659</x:v>
      </x:c>
      <x:c r="B179" s="12" t="str">
        <x:v>Wholesale of other machinery and equipment</x:v>
      </x:c>
      <x:c r="C179" s="12" t="str">
        <x:v>Detailed activity (4-digit)</x:v>
      </x:c>
      <x:c r="D179" s="14" t="n">
        <x:v>759</x:v>
      </x:c>
      <x:c r="E179" s="14" t="n">
        <x:v>9</x:v>
      </x:c>
      <x:c r="F179" s="14" t="n">
        <x:v>120</x:v>
      </x:c>
      <x:c r="G179" s="14" t="n">
        <x:v>9</x:v>
      </x:c>
      <x:c r="H179" s="14" t="n">
        <x:v>71</x:v>
      </x:c>
      <x:c r="I179" s="14" t="n">
        <x:v>8</x:v>
      </x:c>
      <x:c r="J179" s="14" t="n">
        <x:v>10</x:v>
      </x:c>
      <x:c r="K179" s="14" t="n">
        <x:v>2</x:v>
      </x:c>
      <x:c r="L179" s="14" t="n">
        <x:v>9</x:v>
      </x:c>
      <x:c r="M179" s="14" t="n">
        <x:v>3</x:v>
      </x:c>
      <x:c r="N179" s="14" t="n">
        <x:v>4</x:v>
      </x:c>
      <x:c r="O179" s="14" t="n">
        <x:v>21</x:v>
      </x:c>
      <x:c r="P179" s="14" t="n">
        <x:v>1025</x:v>
      </x:c>
      <x:c r="Q179" s="60" t="n">
        <x:v>2018</x:v>
      </x:c>
      <x:c r="R179" s="12" t="str">
        <x:v>Department of Statistics - Establishments Census 2018 - Table 4</x:v>
      </x:c>
    </x:row>
    <x:row r="180">
      <x:c r="A180" s="12" t="str">
        <x:v>4661</x:v>
      </x:c>
      <x:c r="B180" s="12" t="str">
        <x:v>Wholesale of solid, liquid and gaseous fuels and related products</x:v>
      </x:c>
      <x:c r="C180" s="12" t="str">
        <x:v>Detailed activity (4-digit)</x:v>
      </x:c>
      <x:c r="D180" s="14" t="n">
        <x:v>21</x:v>
      </x:c>
      <x:c r="E180" s="14" t="n">
        <x:v>0</x:v>
      </x:c>
      <x:c r="F180" s="14" t="n">
        <x:v>3</x:v>
      </x:c>
      <x:c r="G180" s="14" t="n">
        <x:v>0</x:v>
      </x:c>
      <x:c r="H180" s="14" t="n">
        <x:v>0</x:v>
      </x:c>
      <x:c r="I180" s="14" t="n">
        <x:v>1</x:v>
      </x:c>
      <x:c r="J180" s="14" t="n">
        <x:v>0</x:v>
      </x:c>
      <x:c r="K180" s="14" t="n">
        <x:v>1</x:v>
      </x:c>
      <x:c r="L180" s="14" t="n">
        <x:v>0</x:v>
      </x:c>
      <x:c r="M180" s="14" t="n">
        <x:v>0</x:v>
      </x:c>
      <x:c r="N180" s="14" t="n">
        <x:v>0</x:v>
      </x:c>
      <x:c r="O180" s="14" t="n">
        <x:v>0</x:v>
      </x:c>
      <x:c r="P180" s="14" t="n">
        <x:v>26</x:v>
      </x:c>
      <x:c r="Q180" s="60" t="n">
        <x:v>2018</x:v>
      </x:c>
      <x:c r="R180" s="12" t="str">
        <x:v>Department of Statistics - Establishments Census 2018 - Table 4</x:v>
      </x:c>
    </x:row>
    <x:row r="181">
      <x:c r="A181" s="12" t="str">
        <x:v>4662</x:v>
      </x:c>
      <x:c r="B181" s="12" t="str">
        <x:v>Wholesale of metals and metal ores</x:v>
      </x:c>
      <x:c r="C181" s="12" t="str">
        <x:v>Detailed activity (4-digit)</x:v>
      </x:c>
      <x:c r="D181" s="14" t="n">
        <x:v>126</x:v>
      </x:c>
      <x:c r="E181" s="14" t="n">
        <x:v>8</x:v>
      </x:c>
      <x:c r="F181" s="14" t="n">
        <x:v>21</x:v>
      </x:c>
      <x:c r="G181" s="14" t="n">
        <x:v>2</x:v>
      </x:c>
      <x:c r="H181" s="14" t="n">
        <x:v>30</x:v>
      </x:c>
      <x:c r="I181" s="14" t="n">
        <x:v>8</x:v>
      </x:c>
      <x:c r="J181" s="14" t="n">
        <x:v>0</x:v>
      </x:c>
      <x:c r="K181" s="14" t="n">
        <x:v>6</x:v>
      </x:c>
      <x:c r="L181" s="14" t="n">
        <x:v>8</x:v>
      </x:c>
      <x:c r="M181" s="14" t="n">
        <x:v>2</x:v>
      </x:c>
      <x:c r="N181" s="14" t="n">
        <x:v>5</x:v>
      </x:c>
      <x:c r="O181" s="14" t="n">
        <x:v>4</x:v>
      </x:c>
      <x:c r="P181" s="14" t="n">
        <x:v>220</x:v>
      </x:c>
      <x:c r="Q181" s="60" t="n">
        <x:v>2018</x:v>
      </x:c>
      <x:c r="R181" s="12" t="str">
        <x:v>Department of Statistics - Establishments Census 2018 - Table 4</x:v>
      </x:c>
    </x:row>
    <x:row r="182">
      <x:c r="A182" s="12" t="str">
        <x:v>4663</x:v>
      </x:c>
      <x:c r="B182" s="12" t="str">
        <x:v>Wholesale of construction materials, hardware, plumbing and heating equipment and supplies</x:v>
      </x:c>
      <x:c r="C182" s="12" t="str">
        <x:v>Detailed activity (4-digit)</x:v>
      </x:c>
      <x:c r="D182" s="14" t="n">
        <x:v>465</x:v>
      </x:c>
      <x:c r="E182" s="14" t="n">
        <x:v>78</x:v>
      </x:c>
      <x:c r="F182" s="14" t="n">
        <x:v>112</x:v>
      </x:c>
      <x:c r="G182" s="14" t="n">
        <x:v>11</x:v>
      </x:c>
      <x:c r="H182" s="14" t="n">
        <x:v>185</x:v>
      </x:c>
      <x:c r="I182" s="14" t="n">
        <x:v>40</x:v>
      </x:c>
      <x:c r="J182" s="14" t="n">
        <x:v>17</x:v>
      </x:c>
      <x:c r="K182" s="14" t="n">
        <x:v>17</x:v>
      </x:c>
      <x:c r="L182" s="14" t="n">
        <x:v>27</x:v>
      </x:c>
      <x:c r="M182" s="14" t="n">
        <x:v>7</x:v>
      </x:c>
      <x:c r="N182" s="14" t="n">
        <x:v>8</x:v>
      </x:c>
      <x:c r="O182" s="14" t="n">
        <x:v>24</x:v>
      </x:c>
      <x:c r="P182" s="14" t="n">
        <x:v>991</x:v>
      </x:c>
      <x:c r="Q182" s="60" t="n">
        <x:v>2018</x:v>
      </x:c>
      <x:c r="R182" s="12" t="str">
        <x:v>Department of Statistics - Establishments Census 2018 - Table 4</x:v>
      </x:c>
    </x:row>
    <x:row r="183">
      <x:c r="A183" s="12" t="str">
        <x:v>4669</x:v>
      </x:c>
      <x:c r="B183" s="12" t="str">
        <x:v>Wholesale of waste and scrap and other products n.e.c.</x:v>
      </x:c>
      <x:c r="C183" s="12" t="str">
        <x:v>Detailed activity (4-digit)</x:v>
      </x:c>
      <x:c r="D183" s="14" t="n">
        <x:v>314</x:v>
      </x:c>
      <x:c r="E183" s="14" t="n">
        <x:v>39</x:v>
      </x:c>
      <x:c r="F183" s="14" t="n">
        <x:v>89</x:v>
      </x:c>
      <x:c r="G183" s="14" t="n">
        <x:v>20</x:v>
      </x:c>
      <x:c r="H183" s="14" t="n">
        <x:v>84</x:v>
      </x:c>
      <x:c r="I183" s="14" t="n">
        <x:v>7</x:v>
      </x:c>
      <x:c r="J183" s="14" t="n">
        <x:v>6</x:v>
      </x:c>
      <x:c r="K183" s="14" t="n">
        <x:v>13</x:v>
      </x:c>
      <x:c r="L183" s="14" t="n">
        <x:v>19</x:v>
      </x:c>
      <x:c r="M183" s="14" t="n">
        <x:v>4</x:v>
      </x:c>
      <x:c r="N183" s="14" t="n">
        <x:v>7</x:v>
      </x:c>
      <x:c r="O183" s="14" t="n">
        <x:v>6</x:v>
      </x:c>
      <x:c r="P183" s="14" t="n">
        <x:v>608</x:v>
      </x:c>
      <x:c r="Q183" s="60" t="n">
        <x:v>2018</x:v>
      </x:c>
      <x:c r="R183" s="12" t="str">
        <x:v>Department of Statistics - Establishments Census 2018 - Table 4</x:v>
      </x:c>
    </x:row>
    <x:row r="184">
      <x:c r="A184" s="12" t="str">
        <x:v>4690</x:v>
      </x:c>
      <x:c r="B184" s="12" t="str">
        <x:v>Non-specialized wholesale trade</x:v>
      </x:c>
      <x:c r="C184" s="12" t="str">
        <x:v>Detailed activity (4-digit)</x:v>
      </x:c>
      <x:c r="D184" s="14" t="n">
        <x:v>121</x:v>
      </x:c>
      <x:c r="E184" s="14" t="n">
        <x:v>18</x:v>
      </x:c>
      <x:c r="F184" s="14" t="n">
        <x:v>15</x:v>
      </x:c>
      <x:c r="G184" s="14" t="n">
        <x:v>5</x:v>
      </x:c>
      <x:c r="H184" s="14" t="n">
        <x:v>27</x:v>
      </x:c>
      <x:c r="I184" s="14" t="n">
        <x:v>0</x:v>
      </x:c>
      <x:c r="J184" s="14" t="n">
        <x:v>2</x:v>
      </x:c>
      <x:c r="K184" s="14" t="n">
        <x:v>0</x:v>
      </x:c>
      <x:c r="L184" s="14" t="n">
        <x:v>2</x:v>
      </x:c>
      <x:c r="M184" s="14" t="n">
        <x:v>0</x:v>
      </x:c>
      <x:c r="N184" s="14" t="n">
        <x:v>2</x:v>
      </x:c>
      <x:c r="O184" s="14" t="n">
        <x:v>11</x:v>
      </x:c>
      <x:c r="P184" s="14" t="n">
        <x:v>203</x:v>
      </x:c>
      <x:c r="Q184" s="60" t="n">
        <x:v>2018</x:v>
      </x:c>
      <x:c r="R184" s="12" t="str">
        <x:v>Department of Statistics - Establishments Census 2018 - Table 4</x:v>
      </x:c>
    </x:row>
    <x:row r="185">
      <x:c r="A185" s="12" t="str">
        <x:v>47</x:v>
      </x:c>
      <x:c r="B185" s="12" t="str">
        <x:v>Retail trade, except of motor vehicles and motorcycles</x:v>
      </x:c>
      <x:c r="C185" s="12" t="str">
        <x:v>Sector (2-digit)</x:v>
      </x:c>
      <x:c r="D185" s="14" t="n">
        <x:v>27129</x:v>
      </x:c>
      <x:c r="E185" s="14" t="n">
        <x:v>5208</x:v>
      </x:c>
      <x:c r="F185" s="14" t="n">
        <x:v>10713</x:v>
      </x:c>
      <x:c r="G185" s="14" t="n">
        <x:v>1884</x:v>
      </x:c>
      <x:c r="H185" s="14" t="n">
        <x:v>12574</x:v>
      </x:c>
      <x:c r="I185" s="14" t="n">
        <x:v>2452</x:v>
      </x:c>
      <x:c r="J185" s="14" t="n">
        <x:v>1881</x:v>
      </x:c>
      <x:c r="K185" s="14" t="n">
        <x:v>1771</x:v>
      </x:c>
      <x:c r="L185" s="14" t="n">
        <x:v>3159</x:v>
      </x:c>
      <x:c r="M185" s="14" t="n">
        <x:v>1060</x:v>
      </x:c>
      <x:c r="N185" s="14" t="n">
        <x:v>1238</x:v>
      </x:c>
      <x:c r="O185" s="14" t="n">
        <x:v>1773</x:v>
      </x:c>
      <x:c r="P185" s="14" t="n">
        <x:v>70842</x:v>
      </x:c>
      <x:c r="Q185" s="60" t="n">
        <x:v>2018</x:v>
      </x:c>
      <x:c r="R185" s="12" t="str">
        <x:v>Department of Statistics - Establishments Census 2018 - Table 4</x:v>
      </x:c>
    </x:row>
    <x:row r="186">
      <x:c r="A186" s="12" t="str">
        <x:v>4711</x:v>
      </x:c>
      <x:c r="B186" s="12" t="str">
        <x:v>Retail sale in non-specialized stores with food, beverages or tobacco predominating</x:v>
      </x:c>
      <x:c r="C186" s="12" t="str">
        <x:v>Detailed activity (4-digit)</x:v>
      </x:c>
      <x:c r="D186" s="14" t="n">
        <x:v>5689</x:v>
      </x:c>
      <x:c r="E186" s="14" t="n">
        <x:v>1614</x:v>
      </x:c>
      <x:c r="F186" s="14" t="n">
        <x:v>3084</x:v>
      </x:c>
      <x:c r="G186" s="14" t="n">
        <x:v>425</x:v>
      </x:c>
      <x:c r="H186" s="14" t="n">
        <x:v>3614</x:v>
      </x:c>
      <x:c r="I186" s="14" t="n">
        <x:v>733</x:v>
      </x:c>
      <x:c r="J186" s="14" t="n">
        <x:v>617</x:v>
      </x:c>
      <x:c r="K186" s="14" t="n">
        <x:v>638</x:v>
      </x:c>
      <x:c r="L186" s="14" t="n">
        <x:v>930</x:v>
      </x:c>
      <x:c r="M186" s="14" t="n">
        <x:v>307</x:v>
      </x:c>
      <x:c r="N186" s="14" t="n">
        <x:v>427</x:v>
      </x:c>
      <x:c r="O186" s="14" t="n">
        <x:v>396</x:v>
      </x:c>
      <x:c r="P186" s="14" t="n">
        <x:v>18474</x:v>
      </x:c>
      <x:c r="Q186" s="60" t="n">
        <x:v>2018</x:v>
      </x:c>
      <x:c r="R186" s="12" t="str">
        <x:v>Department of Statistics - Establishments Census 2018 - Table 4</x:v>
      </x:c>
    </x:row>
    <x:row r="187">
      <x:c r="A187" s="12" t="str">
        <x:v>4719</x:v>
      </x:c>
      <x:c r="B187" s="12" t="str">
        <x:v>Other retail sale in non-specialized stores</x:v>
      </x:c>
      <x:c r="C187" s="12" t="str">
        <x:v>Detailed activity (4-digit)</x:v>
      </x:c>
      <x:c r="D187" s="14" t="n">
        <x:v>51</x:v>
      </x:c>
      <x:c r="E187" s="14" t="n">
        <x:v>1</x:v>
      </x:c>
      <x:c r="F187" s="14" t="n">
        <x:v>26</x:v>
      </x:c>
      <x:c r="G187" s="14" t="n">
        <x:v>0</x:v>
      </x:c>
      <x:c r="H187" s="14" t="n">
        <x:v>15</x:v>
      </x:c>
      <x:c r="I187" s="14" t="n">
        <x:v>18</x:v>
      </x:c>
      <x:c r="J187" s="14" t="n">
        <x:v>5</x:v>
      </x:c>
      <x:c r="K187" s="14" t="n">
        <x:v>3</x:v>
      </x:c>
      <x:c r="L187" s="14" t="n">
        <x:v>8</x:v>
      </x:c>
      <x:c r="M187" s="14" t="n">
        <x:v>4</x:v>
      </x:c>
      <x:c r="N187" s="14" t="n">
        <x:v>5</x:v>
      </x:c>
      <x:c r="O187" s="14" t="n">
        <x:v>3</x:v>
      </x:c>
      <x:c r="P187" s="14" t="n">
        <x:v>139</x:v>
      </x:c>
      <x:c r="Q187" s="60" t="n">
        <x:v>2018</x:v>
      </x:c>
      <x:c r="R187" s="12" t="str">
        <x:v>Department of Statistics - Establishments Census 2018 - Table 4</x:v>
      </x:c>
    </x:row>
    <x:row r="188">
      <x:c r="A188" s="12" t="str">
        <x:v>4721</x:v>
      </x:c>
      <x:c r="B188" s="12" t="str">
        <x:v>Retail sale of food in specialized stores</x:v>
      </x:c>
      <x:c r="C188" s="12" t="str">
        <x:v>Detailed activity (4-digit)</x:v>
      </x:c>
      <x:c r="D188" s="14" t="n">
        <x:v>2731</x:v>
      </x:c>
      <x:c r="E188" s="14" t="n">
        <x:v>826</x:v>
      </x:c>
      <x:c r="F188" s="14" t="n">
        <x:v>1312</x:v>
      </x:c>
      <x:c r="G188" s="14" t="n">
        <x:v>266</x:v>
      </x:c>
      <x:c r="H188" s="14" t="n">
        <x:v>1976</x:v>
      </x:c>
      <x:c r="I188" s="14" t="n">
        <x:v>393</x:v>
      </x:c>
      <x:c r="J188" s="14" t="n">
        <x:v>300</x:v>
      </x:c>
      <x:c r="K188" s="14" t="n">
        <x:v>311</x:v>
      </x:c>
      <x:c r="L188" s="14" t="n">
        <x:v>493</x:v>
      </x:c>
      <x:c r="M188" s="14" t="n">
        <x:v>215</x:v>
      </x:c>
      <x:c r="N188" s="14" t="n">
        <x:v>166</x:v>
      </x:c>
      <x:c r="O188" s="14" t="n">
        <x:v>189</x:v>
      </x:c>
      <x:c r="P188" s="14" t="n">
        <x:v>9178</x:v>
      </x:c>
      <x:c r="Q188" s="60" t="n">
        <x:v>2018</x:v>
      </x:c>
      <x:c r="R188" s="12" t="str">
        <x:v>Department of Statistics - Establishments Census 2018 - Table 4</x:v>
      </x:c>
    </x:row>
    <x:row r="189">
      <x:c r="A189" s="12" t="str">
        <x:v>4722</x:v>
      </x:c>
      <x:c r="B189" s="12" t="str">
        <x:v>Retail sale of beverages in specialized stores</x:v>
      </x:c>
      <x:c r="C189" s="12" t="str">
        <x:v>Detailed activity (4-digit)</x:v>
      </x:c>
      <x:c r="D189" s="14" t="n">
        <x:v>691</x:v>
      </x:c>
      <x:c r="E189" s="14" t="n">
        <x:v>169</x:v>
      </x:c>
      <x:c r="F189" s="14" t="n">
        <x:v>226</x:v>
      </x:c>
      <x:c r="G189" s="14" t="n">
        <x:v>67</x:v>
      </x:c>
      <x:c r="H189" s="14" t="n">
        <x:v>316</x:v>
      </x:c>
      <x:c r="I189" s="14" t="n">
        <x:v>68</x:v>
      </x:c>
      <x:c r="J189" s="14" t="n">
        <x:v>70</x:v>
      </x:c>
      <x:c r="K189" s="14" t="n">
        <x:v>53</x:v>
      </x:c>
      <x:c r="L189" s="14" t="n">
        <x:v>134</x:v>
      </x:c>
      <x:c r="M189" s="14" t="n">
        <x:v>17</x:v>
      </x:c>
      <x:c r="N189" s="14" t="n">
        <x:v>44</x:v>
      </x:c>
      <x:c r="O189" s="14" t="n">
        <x:v>33</x:v>
      </x:c>
      <x:c r="P189" s="14" t="n">
        <x:v>1888</x:v>
      </x:c>
      <x:c r="Q189" s="60" t="n">
        <x:v>2018</x:v>
      </x:c>
      <x:c r="R189" s="12" t="str">
        <x:v>Department of Statistics - Establishments Census 2018 - Table 4</x:v>
      </x:c>
    </x:row>
    <x:row r="190">
      <x:c r="A190" s="12" t="str">
        <x:v>4723</x:v>
      </x:c>
      <x:c r="B190" s="12" t="str">
        <x:v>Retail sale of tobacco products in specialized stores</x:v>
      </x:c>
      <x:c r="C190" s="12" t="str">
        <x:v>Detailed activity (4-digit)</x:v>
      </x:c>
      <x:c r="D190" s="14" t="n">
        <x:v>596</x:v>
      </x:c>
      <x:c r="E190" s="14" t="n">
        <x:v>94</x:v>
      </x:c>
      <x:c r="F190" s="14" t="n">
        <x:v>303</x:v>
      </x:c>
      <x:c r="G190" s="14" t="n">
        <x:v>34</x:v>
      </x:c>
      <x:c r="H190" s="14" t="n">
        <x:v>271</x:v>
      </x:c>
      <x:c r="I190" s="14" t="n">
        <x:v>46</x:v>
      </x:c>
      <x:c r="J190" s="14" t="n">
        <x:v>28</x:v>
      </x:c>
      <x:c r="K190" s="14" t="n">
        <x:v>11</x:v>
      </x:c>
      <x:c r="L190" s="14" t="n">
        <x:v>32</x:v>
      </x:c>
      <x:c r="M190" s="14" t="n">
        <x:v>11</x:v>
      </x:c>
      <x:c r="N190" s="14" t="n">
        <x:v>15</x:v>
      </x:c>
      <x:c r="O190" s="14" t="n">
        <x:v>17</x:v>
      </x:c>
      <x:c r="P190" s="14" t="n">
        <x:v>1458</x:v>
      </x:c>
      <x:c r="Q190" s="60" t="n">
        <x:v>2018</x:v>
      </x:c>
      <x:c r="R190" s="12" t="str">
        <x:v>Department of Statistics - Establishments Census 2018 - Table 4</x:v>
      </x:c>
    </x:row>
    <x:row r="191">
      <x:c r="A191" s="12" t="str">
        <x:v>4730</x:v>
      </x:c>
      <x:c r="B191" s="12" t="str">
        <x:v>Retail sale of automotive fuel in specialized stores</x:v>
      </x:c>
      <x:c r="C191" s="12" t="str">
        <x:v>Detailed activity (4-digit)</x:v>
      </x:c>
      <x:c r="D191" s="14" t="n">
        <x:v>132</x:v>
      </x:c>
      <x:c r="E191" s="14" t="n">
        <x:v>16</x:v>
      </x:c>
      <x:c r="F191" s="14" t="n">
        <x:v>38</x:v>
      </x:c>
      <x:c r="G191" s="14" t="n">
        <x:v>16</x:v>
      </x:c>
      <x:c r="H191" s="14" t="n">
        <x:v>81</x:v>
      </x:c>
      <x:c r="I191" s="14" t="n">
        <x:v>23</x:v>
      </x:c>
      <x:c r="J191" s="14" t="n">
        <x:v>11</x:v>
      </x:c>
      <x:c r="K191" s="14" t="n">
        <x:v>7</x:v>
      </x:c>
      <x:c r="L191" s="14" t="n">
        <x:v>10</x:v>
      </x:c>
      <x:c r="M191" s="14" t="n">
        <x:v>3</x:v>
      </x:c>
      <x:c r="N191" s="14" t="n">
        <x:v>10</x:v>
      </x:c>
      <x:c r="O191" s="14" t="n">
        <x:v>19</x:v>
      </x:c>
      <x:c r="P191" s="14" t="n">
        <x:v>366</x:v>
      </x:c>
      <x:c r="Q191" s="60" t="n">
        <x:v>2018</x:v>
      </x:c>
      <x:c r="R191" s="12" t="str">
        <x:v>Department of Statistics - Establishments Census 2018 - Table 4</x:v>
      </x:c>
    </x:row>
    <x:row r="192">
      <x:c r="A192" s="12" t="str">
        <x:v>4741</x:v>
      </x:c>
      <x:c r="B192" s="12" t="str">
        <x:v>Retail sale of computers, peripheral units, software and telecommunications equipment in specialized stores</x:v>
      </x:c>
      <x:c r="C192" s="12" t="str">
        <x:v>Detailed activity (4-digit)</x:v>
      </x:c>
      <x:c r="D192" s="14" t="n">
        <x:v>1522</x:v>
      </x:c>
      <x:c r="E192" s="14" t="n">
        <x:v>254</x:v>
      </x:c>
      <x:c r="F192" s="14" t="n">
        <x:v>626</x:v>
      </x:c>
      <x:c r="G192" s="14" t="n">
        <x:v>110</x:v>
      </x:c>
      <x:c r="H192" s="14" t="n">
        <x:v>565</x:v>
      </x:c>
      <x:c r="I192" s="14" t="n">
        <x:v>125</x:v>
      </x:c>
      <x:c r="J192" s="14" t="n">
        <x:v>80</x:v>
      </x:c>
      <x:c r="K192" s="14" t="n">
        <x:v>80</x:v>
      </x:c>
      <x:c r="L192" s="14" t="n">
        <x:v>139</x:v>
      </x:c>
      <x:c r="M192" s="14" t="n">
        <x:v>57</x:v>
      </x:c>
      <x:c r="N192" s="14" t="n">
        <x:v>66</x:v>
      </x:c>
      <x:c r="O192" s="14" t="n">
        <x:v>112</x:v>
      </x:c>
      <x:c r="P192" s="14" t="n">
        <x:v>3736</x:v>
      </x:c>
      <x:c r="Q192" s="60" t="n">
        <x:v>2018</x:v>
      </x:c>
      <x:c r="R192" s="12" t="str">
        <x:v>Department of Statistics - Establishments Census 2018 - Table 4</x:v>
      </x:c>
    </x:row>
    <x:row r="193">
      <x:c r="A193" s="12" t="str">
        <x:v>4742</x:v>
      </x:c>
      <x:c r="B193" s="12" t="str">
        <x:v>Retail sale of audio and video equipment in specialized stores</x:v>
      </x:c>
      <x:c r="C193" s="12" t="str">
        <x:v>Detailed activity (4-digit)</x:v>
      </x:c>
      <x:c r="D193" s="14" t="n">
        <x:v>157</x:v>
      </x:c>
      <x:c r="E193" s="14" t="n">
        <x:v>27</x:v>
      </x:c>
      <x:c r="F193" s="14" t="n">
        <x:v>69</x:v>
      </x:c>
      <x:c r="G193" s="14" t="n">
        <x:v>12</x:v>
      </x:c>
      <x:c r="H193" s="14" t="n">
        <x:v>39</x:v>
      </x:c>
      <x:c r="I193" s="14" t="n">
        <x:v>9</x:v>
      </x:c>
      <x:c r="J193" s="14" t="n">
        <x:v>6</x:v>
      </x:c>
      <x:c r="K193" s="14" t="n">
        <x:v>6</x:v>
      </x:c>
      <x:c r="L193" s="14" t="n">
        <x:v>21</x:v>
      </x:c>
      <x:c r="M193" s="14" t="n">
        <x:v>5</x:v>
      </x:c>
      <x:c r="N193" s="14" t="n">
        <x:v>8</x:v>
      </x:c>
      <x:c r="O193" s="14" t="n">
        <x:v>2</x:v>
      </x:c>
      <x:c r="P193" s="14" t="n">
        <x:v>361</x:v>
      </x:c>
      <x:c r="Q193" s="60" t="n">
        <x:v>2018</x:v>
      </x:c>
      <x:c r="R193" s="12" t="str">
        <x:v>Department of Statistics - Establishments Census 2018 - Table 4</x:v>
      </x:c>
    </x:row>
    <x:row r="194">
      <x:c r="A194" s="12" t="str">
        <x:v>4751</x:v>
      </x:c>
      <x:c r="B194" s="12" t="str">
        <x:v>Retail sale of textiles in specialized stores</x:v>
      </x:c>
      <x:c r="C194" s="12" t="str">
        <x:v>Detailed activity (4-digit)</x:v>
      </x:c>
      <x:c r="D194" s="14" t="n">
        <x:v>407</x:v>
      </x:c>
      <x:c r="E194" s="14" t="n">
        <x:v>24</x:v>
      </x:c>
      <x:c r="F194" s="14" t="n">
        <x:v>119</x:v>
      </x:c>
      <x:c r="G194" s="14" t="n">
        <x:v>26</x:v>
      </x:c>
      <x:c r="H194" s="14" t="n">
        <x:v>142</x:v>
      </x:c>
      <x:c r="I194" s="14" t="n">
        <x:v>20</x:v>
      </x:c>
      <x:c r="J194" s="14" t="n">
        <x:v>12</x:v>
      </x:c>
      <x:c r="K194" s="14" t="n">
        <x:v>7</x:v>
      </x:c>
      <x:c r="L194" s="14" t="n">
        <x:v>17</x:v>
      </x:c>
      <x:c r="M194" s="14" t="n">
        <x:v>2</x:v>
      </x:c>
      <x:c r="N194" s="14" t="n">
        <x:v>5</x:v>
      </x:c>
      <x:c r="O194" s="14" t="n">
        <x:v>57</x:v>
      </x:c>
      <x:c r="P194" s="14" t="n">
        <x:v>838</x:v>
      </x:c>
      <x:c r="Q194" s="60" t="n">
        <x:v>2018</x:v>
      </x:c>
      <x:c r="R194" s="12" t="str">
        <x:v>Department of Statistics - Establishments Census 2018 - Table 4</x:v>
      </x:c>
    </x:row>
    <x:row r="195">
      <x:c r="A195" s="12" t="str">
        <x:v>4752</x:v>
      </x:c>
      <x:c r="B195" s="12" t="str">
        <x:v>Retail sale of hardware, paints and glass in specialized stores</x:v>
      </x:c>
      <x:c r="C195" s="12" t="str">
        <x:v>Detailed activity (4-digit)</x:v>
      </x:c>
      <x:c r="D195" s="14" t="n">
        <x:v>1813</x:v>
      </x:c>
      <x:c r="E195" s="14" t="n">
        <x:v>242</x:v>
      </x:c>
      <x:c r="F195" s="14" t="n">
        <x:v>626</x:v>
      </x:c>
      <x:c r="G195" s="14" t="n">
        <x:v>120</x:v>
      </x:c>
      <x:c r="H195" s="14" t="n">
        <x:v>767</x:v>
      </x:c>
      <x:c r="I195" s="14" t="n">
        <x:v>160</x:v>
      </x:c>
      <x:c r="J195" s="14" t="n">
        <x:v>113</x:v>
      </x:c>
      <x:c r="K195" s="14" t="n">
        <x:v>108</x:v>
      </x:c>
      <x:c r="L195" s="14" t="n">
        <x:v>149</x:v>
      </x:c>
      <x:c r="M195" s="14" t="n">
        <x:v>73</x:v>
      </x:c>
      <x:c r="N195" s="14" t="n">
        <x:v>65</x:v>
      </x:c>
      <x:c r="O195" s="14" t="n">
        <x:v>87</x:v>
      </x:c>
      <x:c r="P195" s="14" t="n">
        <x:v>4323</x:v>
      </x:c>
      <x:c r="Q195" s="60" t="n">
        <x:v>2018</x:v>
      </x:c>
      <x:c r="R195" s="12" t="str">
        <x:v>Department of Statistics - Establishments Census 2018 - Table 4</x:v>
      </x:c>
    </x:row>
    <x:row r="196">
      <x:c r="A196" s="12" t="str">
        <x:v>4753</x:v>
      </x:c>
      <x:c r="B196" s="12" t="str">
        <x:v>Retail sale of carpets, rugs, wall and floor coverings in specialized stores</x:v>
      </x:c>
      <x:c r="C196" s="12" t="str">
        <x:v>Detailed activity (4-digit)</x:v>
      </x:c>
      <x:c r="D196" s="14" t="n">
        <x:v>331</x:v>
      </x:c>
      <x:c r="E196" s="14" t="n">
        <x:v>26</x:v>
      </x:c>
      <x:c r="F196" s="14" t="n">
        <x:v>83</x:v>
      </x:c>
      <x:c r="G196" s="14" t="n">
        <x:v>27</x:v>
      </x:c>
      <x:c r="H196" s="14" t="n">
        <x:v>129</x:v>
      </x:c>
      <x:c r="I196" s="14" t="n">
        <x:v>13</x:v>
      </x:c>
      <x:c r="J196" s="14" t="n">
        <x:v>8</x:v>
      </x:c>
      <x:c r="K196" s="14" t="n">
        <x:v>14</x:v>
      </x:c>
      <x:c r="L196" s="14" t="n">
        <x:v>21</x:v>
      </x:c>
      <x:c r="M196" s="14" t="n">
        <x:v>8</x:v>
      </x:c>
      <x:c r="N196" s="14" t="n">
        <x:v>14</x:v>
      </x:c>
      <x:c r="O196" s="14" t="n">
        <x:v>19</x:v>
      </x:c>
      <x:c r="P196" s="14" t="n">
        <x:v>693</x:v>
      </x:c>
      <x:c r="Q196" s="60" t="n">
        <x:v>2018</x:v>
      </x:c>
      <x:c r="R196" s="12" t="str">
        <x:v>Department of Statistics - Establishments Census 2018 - Table 4</x:v>
      </x:c>
    </x:row>
    <x:row r="197">
      <x:c r="A197" s="12" t="str">
        <x:v>4759</x:v>
      </x:c>
      <x:c r="B197" s="12" t="str">
        <x:v>Retail sale of electrical household appliances, furniture, lighting equipment and other household articles in specialized stores</x:v>
      </x:c>
      <x:c r="C197" s="12" t="str">
        <x:v>Detailed activity (4-digit)</x:v>
      </x:c>
      <x:c r="D197" s="14" t="n">
        <x:v>2267</x:v>
      </x:c>
      <x:c r="E197" s="14" t="n">
        <x:v>328</x:v>
      </x:c>
      <x:c r="F197" s="14" t="n">
        <x:v>732</x:v>
      </x:c>
      <x:c r="G197" s="14" t="n">
        <x:v>145</x:v>
      </x:c>
      <x:c r="H197" s="14" t="n">
        <x:v>884</x:v>
      </x:c>
      <x:c r="I197" s="14" t="n">
        <x:v>157</x:v>
      </x:c>
      <x:c r="J197" s="14" t="n">
        <x:v>108</x:v>
      </x:c>
      <x:c r="K197" s="14" t="n">
        <x:v>114</x:v>
      </x:c>
      <x:c r="L197" s="14" t="n">
        <x:v>225</x:v>
      </x:c>
      <x:c r="M197" s="14" t="n">
        <x:v>66</x:v>
      </x:c>
      <x:c r="N197" s="14" t="n">
        <x:v>80</x:v>
      </x:c>
      <x:c r="O197" s="14" t="n">
        <x:v>128</x:v>
      </x:c>
      <x:c r="P197" s="14" t="n">
        <x:v>5234</x:v>
      </x:c>
      <x:c r="Q197" s="60" t="n">
        <x:v>2018</x:v>
      </x:c>
      <x:c r="R197" s="12" t="str">
        <x:v>Department of Statistics - Establishments Census 2018 - Table 4</x:v>
      </x:c>
    </x:row>
    <x:row r="198">
      <x:c r="A198" s="12" t="str">
        <x:v>4761</x:v>
      </x:c>
      <x:c r="B198" s="12" t="str">
        <x:v>Retail sale of books, newspapers and stationary in specialized stores</x:v>
      </x:c>
      <x:c r="C198" s="12" t="str">
        <x:v>Detailed activity (4-digit)</x:v>
      </x:c>
      <x:c r="D198" s="14" t="n">
        <x:v>946</x:v>
      </x:c>
      <x:c r="E198" s="14" t="n">
        <x:v>148</x:v>
      </x:c>
      <x:c r="F198" s="14" t="n">
        <x:v>335</x:v>
      </x:c>
      <x:c r="G198" s="14" t="n">
        <x:v>45</x:v>
      </x:c>
      <x:c r="H198" s="14" t="n">
        <x:v>358</x:v>
      </x:c>
      <x:c r="I198" s="14" t="n">
        <x:v>62</x:v>
      </x:c>
      <x:c r="J198" s="14" t="n">
        <x:v>59</x:v>
      </x:c>
      <x:c r="K198" s="14" t="n">
        <x:v>41</x:v>
      </x:c>
      <x:c r="L198" s="14" t="n">
        <x:v>99</x:v>
      </x:c>
      <x:c r="M198" s="14" t="n">
        <x:v>38</x:v>
      </x:c>
      <x:c r="N198" s="14" t="n">
        <x:v>30</x:v>
      </x:c>
      <x:c r="O198" s="14" t="n">
        <x:v>40</x:v>
      </x:c>
      <x:c r="P198" s="14" t="n">
        <x:v>2201</x:v>
      </x:c>
      <x:c r="Q198" s="60" t="n">
        <x:v>2018</x:v>
      </x:c>
      <x:c r="R198" s="12" t="str">
        <x:v>Department of Statistics - Establishments Census 2018 - Table 4</x:v>
      </x:c>
    </x:row>
    <x:row r="199">
      <x:c r="A199" s="12" t="str">
        <x:v>4762</x:v>
      </x:c>
      <x:c r="B199" s="12" t="str">
        <x:v>Retail sale of music and video recordings in specialized stores</x:v>
      </x:c>
      <x:c r="C199" s="12" t="str">
        <x:v>Detailed activity (4-digit)</x:v>
      </x:c>
      <x:c r="D199" s="14" t="n">
        <x:v>73</x:v>
      </x:c>
      <x:c r="E199" s="14" t="n">
        <x:v>9</x:v>
      </x:c>
      <x:c r="F199" s="14" t="n">
        <x:v>21</x:v>
      </x:c>
      <x:c r="G199" s="14" t="n">
        <x:v>2</x:v>
      </x:c>
      <x:c r="H199" s="14" t="n">
        <x:v>13</x:v>
      </x:c>
      <x:c r="I199" s="14" t="n">
        <x:v>1</x:v>
      </x:c>
      <x:c r="J199" s="14" t="n">
        <x:v>0</x:v>
      </x:c>
      <x:c r="K199" s="14" t="n">
        <x:v>0</x:v>
      </x:c>
      <x:c r="L199" s="14" t="n">
        <x:v>2</x:v>
      </x:c>
      <x:c r="M199" s="14" t="n">
        <x:v>0</x:v>
      </x:c>
      <x:c r="N199" s="14" t="n">
        <x:v>1</x:v>
      </x:c>
      <x:c r="O199" s="14" t="n">
        <x:v>1</x:v>
      </x:c>
      <x:c r="P199" s="14" t="n">
        <x:v>123</x:v>
      </x:c>
      <x:c r="Q199" s="60" t="n">
        <x:v>2018</x:v>
      </x:c>
      <x:c r="R199" s="12" t="str">
        <x:v>Department of Statistics - Establishments Census 2018 - Table 4</x:v>
      </x:c>
    </x:row>
    <x:row r="200">
      <x:c r="A200" s="12" t="str">
        <x:v>4763</x:v>
      </x:c>
      <x:c r="B200" s="12" t="str">
        <x:v>Retail sale of sporting equipment in specialized stores</x:v>
      </x:c>
      <x:c r="C200" s="12" t="str">
        <x:v>Detailed activity (4-digit)</x:v>
      </x:c>
      <x:c r="D200" s="14" t="n">
        <x:v>103</x:v>
      </x:c>
      <x:c r="E200" s="14" t="n">
        <x:v>9</x:v>
      </x:c>
      <x:c r="F200" s="14" t="n">
        <x:v>22</x:v>
      </x:c>
      <x:c r="G200" s="14" t="n">
        <x:v>0</x:v>
      </x:c>
      <x:c r="H200" s="14" t="n">
        <x:v>21</x:v>
      </x:c>
      <x:c r="I200" s="14" t="n">
        <x:v>13</x:v>
      </x:c>
      <x:c r="J200" s="14" t="n">
        <x:v>2</x:v>
      </x:c>
      <x:c r="K200" s="14" t="n">
        <x:v>2</x:v>
      </x:c>
      <x:c r="L200" s="14" t="n">
        <x:v>5</x:v>
      </x:c>
      <x:c r="M200" s="14" t="n">
        <x:v>2</x:v>
      </x:c>
      <x:c r="N200" s="14" t="n">
        <x:v>1</x:v>
      </x:c>
      <x:c r="O200" s="14" t="n">
        <x:v>4</x:v>
      </x:c>
      <x:c r="P200" s="14" t="n">
        <x:v>184</x:v>
      </x:c>
      <x:c r="Q200" s="60" t="n">
        <x:v>2018</x:v>
      </x:c>
      <x:c r="R200" s="12" t="str">
        <x:v>Department of Statistics - Establishments Census 2018 - Table 4</x:v>
      </x:c>
    </x:row>
    <x:row r="201">
      <x:c r="A201" s="12" t="str">
        <x:v>4764</x:v>
      </x:c>
      <x:c r="B201" s="12" t="str">
        <x:v>Retail sale of games and toys in specialized stores</x:v>
      </x:c>
      <x:c r="C201" s="12" t="str">
        <x:v>Detailed activity (4-digit)</x:v>
      </x:c>
      <x:c r="D201" s="14" t="n">
        <x:v>177</x:v>
      </x:c>
      <x:c r="E201" s="14" t="n">
        <x:v>18</x:v>
      </x:c>
      <x:c r="F201" s="14" t="n">
        <x:v>50</x:v>
      </x:c>
      <x:c r="G201" s="14" t="n">
        <x:v>8</x:v>
      </x:c>
      <x:c r="H201" s="14" t="n">
        <x:v>55</x:v>
      </x:c>
      <x:c r="I201" s="14" t="n">
        <x:v>14</x:v>
      </x:c>
      <x:c r="J201" s="14" t="n">
        <x:v>3</x:v>
      </x:c>
      <x:c r="K201" s="14" t="n">
        <x:v>5</x:v>
      </x:c>
      <x:c r="L201" s="14" t="n">
        <x:v>14</x:v>
      </x:c>
      <x:c r="M201" s="14" t="n">
        <x:v>4</x:v>
      </x:c>
      <x:c r="N201" s="14" t="n">
        <x:v>1</x:v>
      </x:c>
      <x:c r="O201" s="14" t="n">
        <x:v>16</x:v>
      </x:c>
      <x:c r="P201" s="14" t="n">
        <x:v>365</x:v>
      </x:c>
      <x:c r="Q201" s="60" t="n">
        <x:v>2018</x:v>
      </x:c>
      <x:c r="R201" s="12" t="str">
        <x:v>Department of Statistics - Establishments Census 2018 - Table 4</x:v>
      </x:c>
    </x:row>
    <x:row r="202">
      <x:c r="A202" s="12" t="str">
        <x:v>4771</x:v>
      </x:c>
      <x:c r="B202" s="12" t="str">
        <x:v>Retail sale of clothing, footwear and leather articles in specialized stores</x:v>
      </x:c>
      <x:c r="C202" s="12" t="str">
        <x:v>Detailed activity (4-digit)</x:v>
      </x:c>
      <x:c r="D202" s="14" t="n">
        <x:v>3798</x:v>
      </x:c>
      <x:c r="E202" s="14" t="n">
        <x:v>419</x:v>
      </x:c>
      <x:c r="F202" s="14" t="n">
        <x:v>1185</x:v>
      </x:c>
      <x:c r="G202" s="14" t="n">
        <x:v>236</x:v>
      </x:c>
      <x:c r="H202" s="14" t="n">
        <x:v>1371</x:v>
      </x:c>
      <x:c r="I202" s="14" t="n">
        <x:v>291</x:v>
      </x:c>
      <x:c r="J202" s="14" t="n">
        <x:v>126</x:v>
      </x:c>
      <x:c r="K202" s="14" t="n">
        <x:v>159</x:v>
      </x:c>
      <x:c r="L202" s="14" t="n">
        <x:v>385</x:v>
      </x:c>
      <x:c r="M202" s="14" t="n">
        <x:v>113</x:v>
      </x:c>
      <x:c r="N202" s="14" t="n">
        <x:v>112</x:v>
      </x:c>
      <x:c r="O202" s="14" t="n">
        <x:v>398</x:v>
      </x:c>
      <x:c r="P202" s="14" t="n">
        <x:v>8593</x:v>
      </x:c>
      <x:c r="Q202" s="60" t="n">
        <x:v>2018</x:v>
      </x:c>
      <x:c r="R202" s="12" t="str">
        <x:v>Department of Statistics - Establishments Census 2018 - Table 4</x:v>
      </x:c>
    </x:row>
    <x:row r="203">
      <x:c r="A203" s="12" t="str">
        <x:v>4772</x:v>
      </x:c>
      <x:c r="B203" s="12" t="str">
        <x:v>Retail sale of pharmaceutical and medical goods, cosmetic and toilet articles in specialized stores</x:v>
      </x:c>
      <x:c r="C203" s="12" t="str">
        <x:v>Detailed activity (4-digit)</x:v>
      </x:c>
      <x:c r="D203" s="14" t="n">
        <x:v>1673</x:v>
      </x:c>
      <x:c r="E203" s="14" t="n">
        <x:v>179</x:v>
      </x:c>
      <x:c r="F203" s="14" t="n">
        <x:v>435</x:v>
      </x:c>
      <x:c r="G203" s="14" t="n">
        <x:v>68</x:v>
      </x:c>
      <x:c r="H203" s="14" t="n">
        <x:v>374</x:v>
      </x:c>
      <x:c r="I203" s="14" t="n">
        <x:v>77</x:v>
      </x:c>
      <x:c r="J203" s="14" t="n">
        <x:v>66</x:v>
      </x:c>
      <x:c r="K203" s="14" t="n">
        <x:v>29</x:v>
      </x:c>
      <x:c r="L203" s="14" t="n">
        <x:v>100</x:v>
      </x:c>
      <x:c r="M203" s="14" t="n">
        <x:v>27</x:v>
      </x:c>
      <x:c r="N203" s="14" t="n">
        <x:v>46</x:v>
      </x:c>
      <x:c r="O203" s="14" t="n">
        <x:v>69</x:v>
      </x:c>
      <x:c r="P203" s="14" t="n">
        <x:v>3143</x:v>
      </x:c>
      <x:c r="Q203" s="60" t="n">
        <x:v>2018</x:v>
      </x:c>
      <x:c r="R203" s="12" t="str">
        <x:v>Department of Statistics - Establishments Census 2018 - Table 4</x:v>
      </x:c>
    </x:row>
    <x:row r="204">
      <x:c r="A204" s="12" t="str">
        <x:v>4773</x:v>
      </x:c>
      <x:c r="B204" s="12" t="str">
        <x:v>Other retail sale of new goods in specialized stores</x:v>
      </x:c>
      <x:c r="C204" s="12" t="str">
        <x:v>Detailed activity (4-digit)</x:v>
      </x:c>
      <x:c r="D204" s="14" t="n">
        <x:v>3288</x:v>
      </x:c>
      <x:c r="E204" s="14" t="n">
        <x:v>616</x:v>
      </x:c>
      <x:c r="F204" s="14" t="n">
        <x:v>1043</x:v>
      </x:c>
      <x:c r="G204" s="14" t="n">
        <x:v>234</x:v>
      </x:c>
      <x:c r="H204" s="14" t="n">
        <x:v>1222</x:v>
      </x:c>
      <x:c r="I204" s="14" t="n">
        <x:v>201</x:v>
      </x:c>
      <x:c r="J204" s="14" t="n">
        <x:v>185</x:v>
      </x:c>
      <x:c r="K204" s="14" t="n">
        <x:v>126</x:v>
      </x:c>
      <x:c r="L204" s="14" t="n">
        <x:v>256</x:v>
      </x:c>
      <x:c r="M204" s="14" t="n">
        <x:v>79</x:v>
      </x:c>
      <x:c r="N204" s="14" t="n">
        <x:v>110</x:v>
      </x:c>
      <x:c r="O204" s="14" t="n">
        <x:v>138</x:v>
      </x:c>
      <x:c r="P204" s="14" t="n">
        <x:v>7498</x:v>
      </x:c>
      <x:c r="Q204" s="60" t="n">
        <x:v>2018</x:v>
      </x:c>
      <x:c r="R204" s="12" t="str">
        <x:v>Department of Statistics - Establishments Census 2018 - Table 4</x:v>
      </x:c>
    </x:row>
    <x:row r="205">
      <x:c r="A205" s="12" t="str">
        <x:v>4774</x:v>
      </x:c>
      <x:c r="B205" s="12" t="str">
        <x:v>Retail sale of second-hand goods</x:v>
      </x:c>
      <x:c r="C205" s="12" t="str">
        <x:v>Detailed activity (4-digit)</x:v>
      </x:c>
      <x:c r="D205" s="14" t="n">
        <x:v>637</x:v>
      </x:c>
      <x:c r="E205" s="14" t="n">
        <x:v>181</x:v>
      </x:c>
      <x:c r="F205" s="14" t="n">
        <x:v>372</x:v>
      </x:c>
      <x:c r="G205" s="14" t="n">
        <x:v>43</x:v>
      </x:c>
      <x:c r="H205" s="14" t="n">
        <x:v>353</x:v>
      </x:c>
      <x:c r="I205" s="14" t="n">
        <x:v>28</x:v>
      </x:c>
      <x:c r="J205" s="14" t="n">
        <x:v>82</x:v>
      </x:c>
      <x:c r="K205" s="14" t="n">
        <x:v>57</x:v>
      </x:c>
      <x:c r="L205" s="14" t="n">
        <x:v>117</x:v>
      </x:c>
      <x:c r="M205" s="14" t="n">
        <x:v>26</x:v>
      </x:c>
      <x:c r="N205" s="14" t="n">
        <x:v>32</x:v>
      </x:c>
      <x:c r="O205" s="14" t="n">
        <x:v>41</x:v>
      </x:c>
      <x:c r="P205" s="14" t="n">
        <x:v>1969</x:v>
      </x:c>
      <x:c r="Q205" s="60" t="n">
        <x:v>2018</x:v>
      </x:c>
      <x:c r="R205" s="12" t="str">
        <x:v>Department of Statistics - Establishments Census 2018 - Table 4</x:v>
      </x:c>
    </x:row>
    <x:row r="206">
      <x:c r="A206" s="12" t="str">
        <x:v>4781</x:v>
      </x:c>
      <x:c r="B206" s="12" t="str">
        <x:v>Retail sale via stalls and markets of food, beverages and tobacco products</x:v>
      </x:c>
      <x:c r="C206" s="12" t="str">
        <x:v>Detailed activity (4-digit)</x:v>
      </x:c>
      <x:c r="D206" s="14" t="n">
        <x:v>4</x:v>
      </x:c>
      <x:c r="E206" s="14" t="n">
        <x:v>8</x:v>
      </x:c>
      <x:c r="F206" s="14" t="n">
        <x:v>5</x:v>
      </x:c>
      <x:c r="G206" s="14" t="n">
        <x:v>0</x:v>
      </x:c>
      <x:c r="H206" s="14" t="n">
        <x:v>6</x:v>
      </x:c>
      <x:c r="I206" s="14" t="n">
        <x:v>0</x:v>
      </x:c>
      <x:c r="J206" s="14" t="n">
        <x:v>0</x:v>
      </x:c>
      <x:c r="K206" s="14" t="n">
        <x:v>0</x:v>
      </x:c>
      <x:c r="L206" s="14" t="n">
        <x:v>2</x:v>
      </x:c>
      <x:c r="M206" s="14" t="n">
        <x:v>0</x:v>
      </x:c>
      <x:c r="N206" s="14" t="n">
        <x:v>0</x:v>
      </x:c>
      <x:c r="O206" s="14" t="n">
        <x:v>4</x:v>
      </x:c>
      <x:c r="P206" s="14" t="n">
        <x:v>29</x:v>
      </x:c>
      <x:c r="Q206" s="60" t="n">
        <x:v>2018</x:v>
      </x:c>
      <x:c r="R206" s="12" t="str">
        <x:v>Department of Statistics - Establishments Census 2018 - Table 4</x:v>
      </x:c>
    </x:row>
    <x:row r="207">
      <x:c r="A207" s="12" t="str">
        <x:v>4782</x:v>
      </x:c>
      <x:c r="B207" s="12" t="str">
        <x:v>Retail sale via stalls and markets of textiles, clothing and footwear</x:v>
      </x:c>
      <x:c r="C207" s="12" t="str">
        <x:v>Detailed activity (4-digit)</x:v>
      </x:c>
      <x:c r="D207" s="14" t="n">
        <x:v>0</x:v>
      </x:c>
      <x:c r="E207" s="14" t="n">
        <x:v>0</x:v>
      </x:c>
      <x:c r="F207" s="14" t="n">
        <x:v>0</x:v>
      </x:c>
      <x:c r="G207" s="14" t="n">
        <x:v>0</x:v>
      </x:c>
      <x:c r="H207" s="14" t="n">
        <x:v>0</x:v>
      </x:c>
      <x:c r="I207" s="14" t="n">
        <x:v>0</x:v>
      </x:c>
      <x:c r="J207" s="14" t="n">
        <x:v>0</x:v>
      </x:c>
      <x:c r="K207" s="14" t="n">
        <x:v>0</x:v>
      </x:c>
      <x:c r="L207" s="14" t="n">
        <x:v>0</x:v>
      </x:c>
      <x:c r="M207" s="14" t="n">
        <x:v>3</x:v>
      </x:c>
      <x:c r="N207" s="14" t="n">
        <x:v>0</x:v>
      </x:c>
      <x:c r="O207" s="14" t="n">
        <x:v>0</x:v>
      </x:c>
      <x:c r="P207" s="14" t="n">
        <x:v>3</x:v>
      </x:c>
      <x:c r="Q207" s="60" t="n">
        <x:v>2018</x:v>
      </x:c>
      <x:c r="R207" s="12" t="str">
        <x:v>Department of Statistics - Establishments Census 2018 - Table 4</x:v>
      </x:c>
    </x:row>
    <x:row r="208">
      <x:c r="A208" s="12" t="str">
        <x:v>4789</x:v>
      </x:c>
      <x:c r="B208" s="12" t="str">
        <x:v>Retail sale via stalls and markets of other goods</x:v>
      </x:c>
      <x:c r="C208" s="12" t="str">
        <x:v>Detailed activity (4-digit)</x:v>
      </x:c>
      <x:c r="D208" s="14" t="n">
        <x:v>3</x:v>
      </x:c>
      <x:c r="E208" s="14" t="n">
        <x:v>0</x:v>
      </x:c>
      <x:c r="F208" s="14" t="n">
        <x:v>0</x:v>
      </x:c>
      <x:c r="G208" s="14" t="n">
        <x:v>0</x:v>
      </x:c>
      <x:c r="H208" s="14" t="n">
        <x:v>0</x:v>
      </x:c>
      <x:c r="I208" s="14" t="n">
        <x:v>0</x:v>
      </x:c>
      <x:c r="J208" s="14" t="n">
        <x:v>0</x:v>
      </x:c>
      <x:c r="K208" s="14" t="n">
        <x:v>0</x:v>
      </x:c>
      <x:c r="L208" s="14" t="n">
        <x:v>0</x:v>
      </x:c>
      <x:c r="M208" s="14" t="n">
        <x:v>0</x:v>
      </x:c>
      <x:c r="N208" s="14" t="n">
        <x:v>0</x:v>
      </x:c>
      <x:c r="O208" s="14" t="n">
        <x:v>0</x:v>
      </x:c>
      <x:c r="P208" s="14" t="n">
        <x:v>3</x:v>
      </x:c>
      <x:c r="Q208" s="60" t="n">
        <x:v>2018</x:v>
      </x:c>
      <x:c r="R208" s="12" t="str">
        <x:v>Department of Statistics - Establishments Census 2018 - Table 4</x:v>
      </x:c>
    </x:row>
    <x:row r="209">
      <x:c r="A209" s="12" t="str">
        <x:v>4791</x:v>
      </x:c>
      <x:c r="B209" s="12" t="str">
        <x:v>Retail sale via mail order houses or via Internet</x:v>
      </x:c>
      <x:c r="C209" s="12" t="str">
        <x:v>Detailed activity (4-digit)</x:v>
      </x:c>
      <x:c r="D209" s="14" t="n">
        <x:v>40</x:v>
      </x:c>
      <x:c r="E209" s="14" t="n">
        <x:v>0</x:v>
      </x:c>
      <x:c r="F209" s="14" t="n">
        <x:v>1</x:v>
      </x:c>
      <x:c r="G209" s="14" t="n">
        <x:v>0</x:v>
      </x:c>
      <x:c r="H209" s="14" t="n">
        <x:v>2</x:v>
      </x:c>
      <x:c r="I209" s="14" t="n">
        <x:v>0</x:v>
      </x:c>
      <x:c r="J209" s="14" t="n">
        <x:v>0</x:v>
      </x:c>
      <x:c r="K209" s="14" t="n">
        <x:v>0</x:v>
      </x:c>
      <x:c r="L209" s="14" t="n">
        <x:v>0</x:v>
      </x:c>
      <x:c r="M209" s="14" t="n">
        <x:v>0</x:v>
      </x:c>
      <x:c r="N209" s="14" t="n">
        <x:v>0</x:v>
      </x:c>
      <x:c r="O209" s="14" t="n">
        <x:v>0</x:v>
      </x:c>
      <x:c r="P209" s="14" t="n">
        <x:v>43</x:v>
      </x:c>
      <x:c r="Q209" s="60" t="n">
        <x:v>2018</x:v>
      </x:c>
      <x:c r="R209" s="12" t="str">
        <x:v>Department of Statistics - Establishments Census 2018 - Table 4</x:v>
      </x:c>
    </x:row>
    <x:row r="210">
      <x:c r="A210" s="12" t="str">
        <x:v>49</x:v>
      </x:c>
      <x:c r="B210" s="12" t="str">
        <x:v>Land transport and transport via pipelines</x:v>
      </x:c>
      <x:c r="C210" s="12" t="str">
        <x:v>Sector (2-digit)</x:v>
      </x:c>
      <x:c r="D210" s="14" t="n">
        <x:v>230</x:v>
      </x:c>
      <x:c r="E210" s="14" t="n">
        <x:v>20</x:v>
      </x:c>
      <x:c r="F210" s="14" t="n">
        <x:v>38</x:v>
      </x:c>
      <x:c r="G210" s="14" t="n">
        <x:v>10</x:v>
      </x:c>
      <x:c r="H210" s="14" t="n">
        <x:v>47</x:v>
      </x:c>
      <x:c r="I210" s="14" t="n">
        <x:v>6</x:v>
      </x:c>
      <x:c r="J210" s="14" t="n">
        <x:v>4</x:v>
      </x:c>
      <x:c r="K210" s="14" t="n">
        <x:v>4</x:v>
      </x:c>
      <x:c r="L210" s="14" t="n">
        <x:v>6</x:v>
      </x:c>
      <x:c r="M210" s="14" t="n">
        <x:v>5</x:v>
      </x:c>
      <x:c r="N210" s="14" t="n">
        <x:v>16</x:v>
      </x:c>
      <x:c r="O210" s="14" t="n">
        <x:v>24</x:v>
      </x:c>
      <x:c r="P210" s="14" t="n">
        <x:v>410</x:v>
      </x:c>
      <x:c r="Q210" s="60" t="n">
        <x:v>2018</x:v>
      </x:c>
      <x:c r="R210" s="12" t="str">
        <x:v>Department of Statistics - Establishments Census 2018 - Table 4</x:v>
      </x:c>
    </x:row>
    <x:row r="211">
      <x:c r="A211" s="12" t="str">
        <x:v>4911</x:v>
      </x:c>
      <x:c r="B211" s="12" t="str">
        <x:v>Passenger rail transport, interurban</x:v>
      </x:c>
      <x:c r="C211" s="12" t="str">
        <x:v>Detailed activity (4-digit)</x:v>
      </x:c>
      <x:c r="D211" s="14" t="n">
        <x:v>1</x:v>
      </x:c>
      <x:c r="E211" s="14" t="n">
        <x:v>0</x:v>
      </x:c>
      <x:c r="F211" s="14" t="n">
        <x:v>0</x:v>
      </x:c>
      <x:c r="G211" s="14" t="n">
        <x:v>0</x:v>
      </x:c>
      <x:c r="H211" s="14" t="n">
        <x:v>0</x:v>
      </x:c>
      <x:c r="I211" s="14" t="n">
        <x:v>0</x:v>
      </x:c>
      <x:c r="J211" s="14" t="n">
        <x:v>0</x:v>
      </x:c>
      <x:c r="K211" s="14" t="n">
        <x:v>0</x:v>
      </x:c>
      <x:c r="L211" s="14" t="n">
        <x:v>0</x:v>
      </x:c>
      <x:c r="M211" s="14" t="n">
        <x:v>0</x:v>
      </x:c>
      <x:c r="N211" s="14" t="n">
        <x:v>0</x:v>
      </x:c>
      <x:c r="O211" s="14" t="n">
        <x:v>0</x:v>
      </x:c>
      <x:c r="P211" s="14" t="n">
        <x:v>1</x:v>
      </x:c>
      <x:c r="Q211" s="60" t="n">
        <x:v>2018</x:v>
      </x:c>
      <x:c r="R211" s="12" t="str">
        <x:v>Department of Statistics - Establishments Census 2018 - Table 4</x:v>
      </x:c>
    </x:row>
    <x:row r="212">
      <x:c r="A212" s="12" t="str">
        <x:v>4912</x:v>
      </x:c>
      <x:c r="B212" s="12" t="str">
        <x:v>Freight rail transport</x:v>
      </x:c>
      <x:c r="C212" s="12" t="str">
        <x:v>Detailed activity (4-digit)</x:v>
      </x:c>
      <x:c r="D212" s="14" t="n">
        <x:v>0</x:v>
      </x:c>
      <x:c r="E212" s="14" t="n">
        <x:v>0</x:v>
      </x:c>
      <x:c r="F212" s="14" t="n">
        <x:v>0</x:v>
      </x:c>
      <x:c r="G212" s="14" t="n">
        <x:v>0</x:v>
      </x:c>
      <x:c r="H212" s="14" t="n">
        <x:v>0</x:v>
      </x:c>
      <x:c r="I212" s="14" t="n">
        <x:v>0</x:v>
      </x:c>
      <x:c r="J212" s="14" t="n">
        <x:v>0</x:v>
      </x:c>
      <x:c r="K212" s="14" t="n">
        <x:v>0</x:v>
      </x:c>
      <x:c r="L212" s="14" t="n">
        <x:v>0</x:v>
      </x:c>
      <x:c r="M212" s="14" t="n">
        <x:v>0</x:v>
      </x:c>
      <x:c r="N212" s="14" t="n">
        <x:v>1</x:v>
      </x:c>
      <x:c r="O212" s="14" t="n">
        <x:v>0</x:v>
      </x:c>
      <x:c r="P212" s="14" t="n">
        <x:v>1</x:v>
      </x:c>
      <x:c r="Q212" s="60" t="n">
        <x:v>2018</x:v>
      </x:c>
      <x:c r="R212" s="12" t="str">
        <x:v>Department of Statistics - Establishments Census 2018 - Table 4</x:v>
      </x:c>
    </x:row>
    <x:row r="213">
      <x:c r="A213" s="12" t="str">
        <x:v>4921</x:v>
      </x:c>
      <x:c r="B213" s="12" t="str">
        <x:v>Urban and suburban passenger land transport</x:v>
      </x:c>
      <x:c r="C213" s="12" t="str">
        <x:v>Detailed activity (4-digit)</x:v>
      </x:c>
      <x:c r="D213" s="14" t="n">
        <x:v>24</x:v>
      </x:c>
      <x:c r="E213" s="14" t="n">
        <x:v>2</x:v>
      </x:c>
      <x:c r="F213" s="14" t="n">
        <x:v>5</x:v>
      </x:c>
      <x:c r="G213" s="14" t="n">
        <x:v>1</x:v>
      </x:c>
      <x:c r="H213" s="14" t="n">
        <x:v>6</x:v>
      </x:c>
      <x:c r="I213" s="14" t="n">
        <x:v>1</x:v>
      </x:c>
      <x:c r="J213" s="14" t="n">
        <x:v>2</x:v>
      </x:c>
      <x:c r="K213" s="14" t="n">
        <x:v>1</x:v>
      </x:c>
      <x:c r="L213" s="14" t="n">
        <x:v>1</x:v>
      </x:c>
      <x:c r="M213" s="14" t="n">
        <x:v>0</x:v>
      </x:c>
      <x:c r="N213" s="14" t="n">
        <x:v>2</x:v>
      </x:c>
      <x:c r="O213" s="14" t="n">
        <x:v>2</x:v>
      </x:c>
      <x:c r="P213" s="14" t="n">
        <x:v>47</x:v>
      </x:c>
      <x:c r="Q213" s="60" t="n">
        <x:v>2018</x:v>
      </x:c>
      <x:c r="R213" s="12" t="str">
        <x:v>Department of Statistics - Establishments Census 2018 - Table 4</x:v>
      </x:c>
    </x:row>
    <x:row r="214">
      <x:c r="A214" s="12" t="str">
        <x:v>4922</x:v>
      </x:c>
      <x:c r="B214" s="12" t="str">
        <x:v>Other passenger land transport</x:v>
      </x:c>
      <x:c r="C214" s="12" t="str">
        <x:v>Detailed activity (4-digit)</x:v>
      </x:c>
      <x:c r="D214" s="14" t="n">
        <x:v>108</x:v>
      </x:c>
      <x:c r="E214" s="14" t="n">
        <x:v>18</x:v>
      </x:c>
      <x:c r="F214" s="14" t="n">
        <x:v>28</x:v>
      </x:c>
      <x:c r="G214" s="14" t="n">
        <x:v>9</x:v>
      </x:c>
      <x:c r="H214" s="14" t="n">
        <x:v>31</x:v>
      </x:c>
      <x:c r="I214" s="14" t="n">
        <x:v>3</x:v>
      </x:c>
      <x:c r="J214" s="14" t="n">
        <x:v>2</x:v>
      </x:c>
      <x:c r="K214" s="14" t="n">
        <x:v>3</x:v>
      </x:c>
      <x:c r="L214" s="14" t="n">
        <x:v>2</x:v>
      </x:c>
      <x:c r="M214" s="14" t="n">
        <x:v>4</x:v>
      </x:c>
      <x:c r="N214" s="14" t="n">
        <x:v>6</x:v>
      </x:c>
      <x:c r="O214" s="14" t="n">
        <x:v>11</x:v>
      </x:c>
      <x:c r="P214" s="14" t="n">
        <x:v>225</x:v>
      </x:c>
      <x:c r="Q214" s="60" t="n">
        <x:v>2018</x:v>
      </x:c>
      <x:c r="R214" s="12" t="str">
        <x:v>Department of Statistics - Establishments Census 2018 - Table 4</x:v>
      </x:c>
    </x:row>
    <x:row r="215">
      <x:c r="A215" s="12" t="str">
        <x:v>4923</x:v>
      </x:c>
      <x:c r="B215" s="12" t="str">
        <x:v>Freight transport by road</x:v>
      </x:c>
      <x:c r="C215" s="12" t="str">
        <x:v>Detailed activity (4-digit)</x:v>
      </x:c>
      <x:c r="D215" s="14" t="n">
        <x:v>96</x:v>
      </x:c>
      <x:c r="E215" s="14" t="n">
        <x:v>0</x:v>
      </x:c>
      <x:c r="F215" s="14" t="n">
        <x:v>5</x:v>
      </x:c>
      <x:c r="G215" s="14" t="n">
        <x:v>0</x:v>
      </x:c>
      <x:c r="H215" s="14" t="n">
        <x:v>10</x:v>
      </x:c>
      <x:c r="I215" s="14" t="n">
        <x:v>2</x:v>
      </x:c>
      <x:c r="J215" s="14" t="n">
        <x:v>0</x:v>
      </x:c>
      <x:c r="K215" s="14" t="n">
        <x:v>0</x:v>
      </x:c>
      <x:c r="L215" s="14" t="n">
        <x:v>3</x:v>
      </x:c>
      <x:c r="M215" s="14" t="n">
        <x:v>1</x:v>
      </x:c>
      <x:c r="N215" s="14" t="n">
        <x:v>7</x:v>
      </x:c>
      <x:c r="O215" s="14" t="n">
        <x:v>11</x:v>
      </x:c>
      <x:c r="P215" s="14" t="n">
        <x:v>135</x:v>
      </x:c>
      <x:c r="Q215" s="60" t="n">
        <x:v>2018</x:v>
      </x:c>
      <x:c r="R215" s="12" t="str">
        <x:v>Department of Statistics - Establishments Census 2018 - Table 4</x:v>
      </x:c>
    </x:row>
    <x:row r="216">
      <x:c r="A216" s="12" t="str">
        <x:v>4930</x:v>
      </x:c>
      <x:c r="B216" s="12" t="str">
        <x:v>Transport via pipeline</x:v>
      </x:c>
      <x:c r="C216" s="12" t="str">
        <x:v>Detailed activity (4-digit)</x:v>
      </x:c>
      <x:c r="D216" s="14" t="n">
        <x:v>1</x:v>
      </x:c>
      <x:c r="E216" s="14" t="n">
        <x:v>0</x:v>
      </x:c>
      <x:c r="F216" s="14" t="n">
        <x:v>0</x:v>
      </x:c>
      <x:c r="G216" s="14" t="n">
        <x:v>0</x:v>
      </x:c>
      <x:c r="H216" s="14" t="n">
        <x:v>0</x:v>
      </x:c>
      <x:c r="I216" s="14" t="n">
        <x:v>0</x:v>
      </x:c>
      <x:c r="J216" s="14" t="n">
        <x:v>0</x:v>
      </x:c>
      <x:c r="K216" s="14" t="n">
        <x:v>0</x:v>
      </x:c>
      <x:c r="L216" s="14" t="n">
        <x:v>0</x:v>
      </x:c>
      <x:c r="M216" s="14" t="n">
        <x:v>0</x:v>
      </x:c>
      <x:c r="N216" s="14" t="n">
        <x:v>0</x:v>
      </x:c>
      <x:c r="O216" s="14" t="n">
        <x:v>0</x:v>
      </x:c>
      <x:c r="P216" s="14" t="n">
        <x:v>1</x:v>
      </x:c>
      <x:c r="Q216" s="60" t="n">
        <x:v>2018</x:v>
      </x:c>
      <x:c r="R216" s="12" t="str">
        <x:v>Department of Statistics - Establishments Census 2018 - Table 4</x:v>
      </x:c>
    </x:row>
    <x:row r="217">
      <x:c r="A217" s="12" t="str">
        <x:v>50</x:v>
      </x:c>
      <x:c r="B217" s="12" t="str">
        <x:v>Water transport</x:v>
      </x:c>
      <x:c r="C217" s="12" t="str">
        <x:v>Sector (2-digit)</x:v>
      </x:c>
      <x:c r="D217" s="14" t="n">
        <x:v>1</x:v>
      </x:c>
      <x:c r="E217" s="14" t="n">
        <x:v>0</x:v>
      </x:c>
      <x:c r="F217" s="14" t="n">
        <x:v>0</x:v>
      </x:c>
      <x:c r="G217" s="14" t="n">
        <x:v>0</x:v>
      </x:c>
      <x:c r="H217" s="14" t="n">
        <x:v>0</x:v>
      </x:c>
      <x:c r="I217" s="14" t="n">
        <x:v>0</x:v>
      </x:c>
      <x:c r="J217" s="14" t="n">
        <x:v>0</x:v>
      </x:c>
      <x:c r="K217" s="14" t="n">
        <x:v>0</x:v>
      </x:c>
      <x:c r="L217" s="14" t="n">
        <x:v>0</x:v>
      </x:c>
      <x:c r="M217" s="14" t="n">
        <x:v>0</x:v>
      </x:c>
      <x:c r="N217" s="14" t="n">
        <x:v>0</x:v>
      </x:c>
      <x:c r="O217" s="14" t="n">
        <x:v>3</x:v>
      </x:c>
      <x:c r="P217" s="14" t="n">
        <x:v>4</x:v>
      </x:c>
      <x:c r="Q217" s="60" t="n">
        <x:v>2018</x:v>
      </x:c>
      <x:c r="R217" s="12" t="str">
        <x:v>Department of Statistics - Establishments Census 2018 - Table 4</x:v>
      </x:c>
    </x:row>
    <x:row r="218">
      <x:c r="A218" s="12" t="str">
        <x:v>5011</x:v>
      </x:c>
      <x:c r="B218" s="12" t="str">
        <x:v>Sea and coastal passenger water transport</x:v>
      </x:c>
      <x:c r="C218" s="12" t="str">
        <x:v>Detailed activity (4-digit)</x:v>
      </x:c>
      <x:c r="D218" s="14" t="n">
        <x:v>0</x:v>
      </x:c>
      <x:c r="E218" s="14" t="n">
        <x:v>0</x:v>
      </x:c>
      <x:c r="F218" s="14" t="n">
        <x:v>0</x:v>
      </x:c>
      <x:c r="G218" s="14" t="n">
        <x:v>0</x:v>
      </x:c>
      <x:c r="H218" s="14" t="n">
        <x:v>0</x:v>
      </x:c>
      <x:c r="I218" s="14" t="n">
        <x:v>0</x:v>
      </x:c>
      <x:c r="J218" s="14" t="n">
        <x:v>0</x:v>
      </x:c>
      <x:c r="K218" s="14" t="n">
        <x:v>0</x:v>
      </x:c>
      <x:c r="L218" s="14" t="n">
        <x:v>0</x:v>
      </x:c>
      <x:c r="M218" s="14" t="n">
        <x:v>0</x:v>
      </x:c>
      <x:c r="N218" s="14" t="n">
        <x:v>0</x:v>
      </x:c>
      <x:c r="O218" s="14" t="n">
        <x:v>3</x:v>
      </x:c>
      <x:c r="P218" s="14" t="n">
        <x:v>3</x:v>
      </x:c>
      <x:c r="Q218" s="60" t="n">
        <x:v>2018</x:v>
      </x:c>
      <x:c r="R218" s="12" t="str">
        <x:v>Department of Statistics - Establishments Census 2018 - Table 4</x:v>
      </x:c>
    </x:row>
    <x:row r="219">
      <x:c r="A219" s="12" t="str">
        <x:v>5012</x:v>
      </x:c>
      <x:c r="B219" s="12" t="str">
        <x:v>Sea and coastal freight water transport</x:v>
      </x:c>
      <x:c r="C219" s="12" t="str">
        <x:v>Detailed activity (4-digit)</x:v>
      </x:c>
      <x:c r="D219" s="14" t="n">
        <x:v>1</x:v>
      </x:c>
      <x:c r="E219" s="14" t="n">
        <x:v>0</x:v>
      </x:c>
      <x:c r="F219" s="14" t="n">
        <x:v>0</x:v>
      </x:c>
      <x:c r="G219" s="14" t="n">
        <x:v>0</x:v>
      </x:c>
      <x:c r="H219" s="14" t="n">
        <x:v>0</x:v>
      </x:c>
      <x:c r="I219" s="14" t="n">
        <x:v>0</x:v>
      </x:c>
      <x:c r="J219" s="14" t="n">
        <x:v>0</x:v>
      </x:c>
      <x:c r="K219" s="14" t="n">
        <x:v>0</x:v>
      </x:c>
      <x:c r="L219" s="14" t="n">
        <x:v>0</x:v>
      </x:c>
      <x:c r="M219" s="14" t="n">
        <x:v>0</x:v>
      </x:c>
      <x:c r="N219" s="14" t="n">
        <x:v>0</x:v>
      </x:c>
      <x:c r="O219" s="14" t="n">
        <x:v>0</x:v>
      </x:c>
      <x:c r="P219" s="14" t="n">
        <x:v>1</x:v>
      </x:c>
      <x:c r="Q219" s="60" t="n">
        <x:v>2018</x:v>
      </x:c>
      <x:c r="R219" s="12" t="str">
        <x:v>Department of Statistics - Establishments Census 2018 - Table 4</x:v>
      </x:c>
    </x:row>
    <x:row r="220">
      <x:c r="A220" s="12" t="str">
        <x:v>51</x:v>
      </x:c>
      <x:c r="B220" s="12" t="str">
        <x:v>Air transport</x:v>
      </x:c>
      <x:c r="C220" s="12" t="str">
        <x:v>Sector (2-digit)</x:v>
      </x:c>
      <x:c r="D220" s="14" t="n">
        <x:v>6</x:v>
      </x:c>
      <x:c r="E220" s="14" t="n">
        <x:v>0</x:v>
      </x:c>
      <x:c r="F220" s="14" t="n">
        <x:v>0</x:v>
      </x:c>
      <x:c r="G220" s="14" t="n">
        <x:v>0</x:v>
      </x:c>
      <x:c r="H220" s="14" t="n">
        <x:v>0</x:v>
      </x:c>
      <x:c r="I220" s="14" t="n">
        <x:v>0</x:v>
      </x:c>
      <x:c r="J220" s="14" t="n">
        <x:v>0</x:v>
      </x:c>
      <x:c r="K220" s="14" t="n">
        <x:v>0</x:v>
      </x:c>
      <x:c r="L220" s="14" t="n">
        <x:v>0</x:v>
      </x:c>
      <x:c r="M220" s="14" t="n">
        <x:v>0</x:v>
      </x:c>
      <x:c r="N220" s="14" t="n">
        <x:v>0</x:v>
      </x:c>
      <x:c r="O220" s="14" t="n">
        <x:v>0</x:v>
      </x:c>
      <x:c r="P220" s="14" t="n">
        <x:v>6</x:v>
      </x:c>
      <x:c r="Q220" s="60" t="n">
        <x:v>2018</x:v>
      </x:c>
      <x:c r="R220" s="12" t="str">
        <x:v>Department of Statistics - Establishments Census 2018 - Table 4</x:v>
      </x:c>
    </x:row>
    <x:row r="221">
      <x:c r="A221" s="12" t="str">
        <x:v>5110</x:v>
      </x:c>
      <x:c r="B221" s="12" t="str">
        <x:v>Passenger air transport</x:v>
      </x:c>
      <x:c r="C221" s="12" t="str">
        <x:v>Detailed activity (4-digit)</x:v>
      </x:c>
      <x:c r="D221" s="14" t="n">
        <x:v>6</x:v>
      </x:c>
      <x:c r="E221" s="14" t="n">
        <x:v>0</x:v>
      </x:c>
      <x:c r="F221" s="14" t="n">
        <x:v>0</x:v>
      </x:c>
      <x:c r="G221" s="14" t="n">
        <x:v>0</x:v>
      </x:c>
      <x:c r="H221" s="14" t="n">
        <x:v>0</x:v>
      </x:c>
      <x:c r="I221" s="14" t="n">
        <x:v>0</x:v>
      </x:c>
      <x:c r="J221" s="14" t="n">
        <x:v>0</x:v>
      </x:c>
      <x:c r="K221" s="14" t="n">
        <x:v>0</x:v>
      </x:c>
      <x:c r="L221" s="14" t="n">
        <x:v>0</x:v>
      </x:c>
      <x:c r="M221" s="14" t="n">
        <x:v>0</x:v>
      </x:c>
      <x:c r="N221" s="14" t="n">
        <x:v>0</x:v>
      </x:c>
      <x:c r="O221" s="14" t="n">
        <x:v>0</x:v>
      </x:c>
      <x:c r="P221" s="14" t="n">
        <x:v>6</x:v>
      </x:c>
      <x:c r="Q221" s="60" t="n">
        <x:v>2018</x:v>
      </x:c>
      <x:c r="R221" s="12" t="str">
        <x:v>Department of Statistics - Establishments Census 2018 - Table 4</x:v>
      </x:c>
    </x:row>
    <x:row r="222">
      <x:c r="A222" s="12" t="str">
        <x:v>52</x:v>
      </x:c>
      <x:c r="B222" s="12" t="str">
        <x:v>Warehousing and support activities for transportation</x:v>
      </x:c>
      <x:c r="C222" s="12" t="str">
        <x:v>Sector (2-digit)</x:v>
      </x:c>
      <x:c r="D222" s="14" t="n">
        <x:v>615</x:v>
      </x:c>
      <x:c r="E222" s="14" t="n">
        <x:v>7</x:v>
      </x:c>
      <x:c r="F222" s="14" t="n">
        <x:v>143</x:v>
      </x:c>
      <x:c r="G222" s="14" t="n">
        <x:v>1</x:v>
      </x:c>
      <x:c r="H222" s="14" t="n">
        <x:v>57</x:v>
      </x:c>
      <x:c r="I222" s="14" t="n">
        <x:v>30</x:v>
      </x:c>
      <x:c r="J222" s="14" t="n">
        <x:v>5</x:v>
      </x:c>
      <x:c r="K222" s="14" t="n">
        <x:v>2</x:v>
      </x:c>
      <x:c r="L222" s="14" t="n">
        <x:v>3</x:v>
      </x:c>
      <x:c r="M222" s="14" t="n">
        <x:v>1</x:v>
      </x:c>
      <x:c r="N222" s="14" t="n">
        <x:v>13</x:v>
      </x:c>
      <x:c r="O222" s="14" t="n">
        <x:v>55</x:v>
      </x:c>
      <x:c r="P222" s="14" t="n">
        <x:v>932</x:v>
      </x:c>
      <x:c r="Q222" s="60" t="n">
        <x:v>2018</x:v>
      </x:c>
      <x:c r="R222" s="12" t="str">
        <x:v>Department of Statistics - Establishments Census 2018 - Table 4</x:v>
      </x:c>
    </x:row>
    <x:row r="223">
      <x:c r="A223" s="12" t="str">
        <x:v>5210</x:v>
      </x:c>
      <x:c r="B223" s="12" t="str">
        <x:v>Warehousing and storage</x:v>
      </x:c>
      <x:c r="C223" s="12" t="str">
        <x:v>Detailed activity (4-digit)</x:v>
      </x:c>
      <x:c r="D223" s="14" t="n">
        <x:v>15</x:v>
      </x:c>
      <x:c r="E223" s="14" t="n">
        <x:v>0</x:v>
      </x:c>
      <x:c r="F223" s="14" t="n">
        <x:v>2</x:v>
      </x:c>
      <x:c r="G223" s="14" t="n">
        <x:v>0</x:v>
      </x:c>
      <x:c r="H223" s="14" t="n">
        <x:v>1</x:v>
      </x:c>
      <x:c r="I223" s="14" t="n">
        <x:v>0</x:v>
      </x:c>
      <x:c r="J223" s="14" t="n">
        <x:v>1</x:v>
      </x:c>
      <x:c r="K223" s="14" t="n">
        <x:v>1</x:v>
      </x:c>
      <x:c r="L223" s="14" t="n">
        <x:v>0</x:v>
      </x:c>
      <x:c r="M223" s="14" t="n">
        <x:v>0</x:v>
      </x:c>
      <x:c r="N223" s="14" t="n">
        <x:v>0</x:v>
      </x:c>
      <x:c r="O223" s="14" t="n">
        <x:v>2</x:v>
      </x:c>
      <x:c r="P223" s="14" t="n">
        <x:v>22</x:v>
      </x:c>
      <x:c r="Q223" s="60" t="n">
        <x:v>2018</x:v>
      </x:c>
      <x:c r="R223" s="12" t="str">
        <x:v>Department of Statistics - Establishments Census 2018 - Table 4</x:v>
      </x:c>
    </x:row>
    <x:row r="224">
      <x:c r="A224" s="12" t="str">
        <x:v>5221</x:v>
      </x:c>
      <x:c r="B224" s="12" t="str">
        <x:v>Service activities incidental to land transportation</x:v>
      </x:c>
      <x:c r="C224" s="12" t="str">
        <x:v>Detailed activity (4-digit)</x:v>
      </x:c>
      <x:c r="D224" s="14" t="n">
        <x:v>276</x:v>
      </x:c>
      <x:c r="E224" s="14" t="n">
        <x:v>7</x:v>
      </x:c>
      <x:c r="F224" s="14" t="n">
        <x:v>52</x:v>
      </x:c>
      <x:c r="G224" s="14" t="n">
        <x:v>1</x:v>
      </x:c>
      <x:c r="H224" s="14" t="n">
        <x:v>50</x:v>
      </x:c>
      <x:c r="I224" s="14" t="n">
        <x:v>1</x:v>
      </x:c>
      <x:c r="J224" s="14" t="n">
        <x:v>4</x:v>
      </x:c>
      <x:c r="K224" s="14" t="n">
        <x:v>1</x:v>
      </x:c>
      <x:c r="L224" s="14" t="n">
        <x:v>1</x:v>
      </x:c>
      <x:c r="M224" s="14" t="n">
        <x:v>1</x:v>
      </x:c>
      <x:c r="N224" s="14" t="n">
        <x:v>9</x:v>
      </x:c>
      <x:c r="O224" s="14" t="n">
        <x:v>5</x:v>
      </x:c>
      <x:c r="P224" s="14" t="n">
        <x:v>408</x:v>
      </x:c>
      <x:c r="Q224" s="60" t="n">
        <x:v>2018</x:v>
      </x:c>
      <x:c r="R224" s="12" t="str">
        <x:v>Department of Statistics - Establishments Census 2018 - Table 4</x:v>
      </x:c>
    </x:row>
    <x:row r="225">
      <x:c r="A225" s="12" t="str">
        <x:v>5222</x:v>
      </x:c>
      <x:c r="B225" s="12" t="str">
        <x:v>Service activities incidental to water transportation</x:v>
      </x:c>
      <x:c r="C225" s="12" t="str">
        <x:v>Detailed activity (4-digit)</x:v>
      </x:c>
      <x:c r="D225" s="14" t="n">
        <x:v>96</x:v>
      </x:c>
      <x:c r="E225" s="14" t="n">
        <x:v>0</x:v>
      </x:c>
      <x:c r="F225" s="14" t="n">
        <x:v>0</x:v>
      </x:c>
      <x:c r="G225" s="14" t="n">
        <x:v>0</x:v>
      </x:c>
      <x:c r="H225" s="14" t="n">
        <x:v>0</x:v>
      </x:c>
      <x:c r="I225" s="14" t="n">
        <x:v>0</x:v>
      </x:c>
      <x:c r="J225" s="14" t="n">
        <x:v>0</x:v>
      </x:c>
      <x:c r="K225" s="14" t="n">
        <x:v>0</x:v>
      </x:c>
      <x:c r="L225" s="14" t="n">
        <x:v>0</x:v>
      </x:c>
      <x:c r="M225" s="14" t="n">
        <x:v>0</x:v>
      </x:c>
      <x:c r="N225" s="14" t="n">
        <x:v>0</x:v>
      </x:c>
      <x:c r="O225" s="14" t="n">
        <x:v>19</x:v>
      </x:c>
      <x:c r="P225" s="14" t="n">
        <x:v>115</x:v>
      </x:c>
      <x:c r="Q225" s="60" t="n">
        <x:v>2018</x:v>
      </x:c>
      <x:c r="R225" s="12" t="str">
        <x:v>Department of Statistics - Establishments Census 2018 - Table 4</x:v>
      </x:c>
    </x:row>
    <x:row r="226">
      <x:c r="A226" s="12" t="str">
        <x:v>5223</x:v>
      </x:c>
      <x:c r="B226" s="12" t="str">
        <x:v>Service activities incidental to air transportation</x:v>
      </x:c>
      <x:c r="C226" s="12" t="str">
        <x:v>Detailed activity (4-digit)</x:v>
      </x:c>
      <x:c r="D226" s="14" t="n">
        <x:v>43</x:v>
      </x:c>
      <x:c r="E226" s="14" t="n">
        <x:v>0</x:v>
      </x:c>
      <x:c r="F226" s="14" t="n">
        <x:v>3</x:v>
      </x:c>
      <x:c r="G226" s="14" t="n">
        <x:v>0</x:v>
      </x:c>
      <x:c r="H226" s="14" t="n">
        <x:v>1</x:v>
      </x:c>
      <x:c r="I226" s="14" t="n">
        <x:v>0</x:v>
      </x:c>
      <x:c r="J226" s="14" t="n">
        <x:v>0</x:v>
      </x:c>
      <x:c r="K226" s="14" t="n">
        <x:v>0</x:v>
      </x:c>
      <x:c r="L226" s="14" t="n">
        <x:v>0</x:v>
      </x:c>
      <x:c r="M226" s="14" t="n">
        <x:v>0</x:v>
      </x:c>
      <x:c r="N226" s="14" t="n">
        <x:v>0</x:v>
      </x:c>
      <x:c r="O226" s="14" t="n">
        <x:v>1</x:v>
      </x:c>
      <x:c r="P226" s="14" t="n">
        <x:v>48</x:v>
      </x:c>
      <x:c r="Q226" s="60" t="n">
        <x:v>2018</x:v>
      </x:c>
      <x:c r="R226" s="12" t="str">
        <x:v>Department of Statistics - Establishments Census 2018 - Table 4</x:v>
      </x:c>
    </x:row>
    <x:row r="227">
      <x:c r="A227" s="12" t="str">
        <x:v>5224</x:v>
      </x:c>
      <x:c r="B227" s="12" t="str">
        <x:v>Cargo handling</x:v>
      </x:c>
      <x:c r="C227" s="12" t="str">
        <x:v>Detailed activity (4-digit)</x:v>
      </x:c>
      <x:c r="D227" s="14" t="n">
        <x:v>0</x:v>
      </x:c>
      <x:c r="E227" s="14" t="n">
        <x:v>0</x:v>
      </x:c>
      <x:c r="F227" s="14" t="n">
        <x:v>0</x:v>
      </x:c>
      <x:c r="G227" s="14" t="n">
        <x:v>0</x:v>
      </x:c>
      <x:c r="H227" s="14" t="n">
        <x:v>0</x:v>
      </x:c>
      <x:c r="I227" s="14" t="n">
        <x:v>0</x:v>
      </x:c>
      <x:c r="J227" s="14" t="n">
        <x:v>0</x:v>
      </x:c>
      <x:c r="K227" s="14" t="n">
        <x:v>0</x:v>
      </x:c>
      <x:c r="L227" s="14" t="n">
        <x:v>0</x:v>
      </x:c>
      <x:c r="M227" s="14" t="n">
        <x:v>0</x:v>
      </x:c>
      <x:c r="N227" s="14" t="n">
        <x:v>0</x:v>
      </x:c>
      <x:c r="O227" s="14" t="n">
        <x:v>1</x:v>
      </x:c>
      <x:c r="P227" s="14" t="n">
        <x:v>1</x:v>
      </x:c>
      <x:c r="Q227" s="60" t="n">
        <x:v>2018</x:v>
      </x:c>
      <x:c r="R227" s="12" t="str">
        <x:v>Department of Statistics - Establishments Census 2018 - Table 4</x:v>
      </x:c>
    </x:row>
    <x:row r="228">
      <x:c r="A228" s="12" t="str">
        <x:v>5229</x:v>
      </x:c>
      <x:c r="B228" s="12" t="str">
        <x:v>Other transportation support activities</x:v>
      </x:c>
      <x:c r="C228" s="12" t="str">
        <x:v>Detailed activity (4-digit)</x:v>
      </x:c>
      <x:c r="D228" s="14" t="n">
        <x:v>185</x:v>
      </x:c>
      <x:c r="E228" s="14" t="n">
        <x:v>0</x:v>
      </x:c>
      <x:c r="F228" s="14" t="n">
        <x:v>86</x:v>
      </x:c>
      <x:c r="G228" s="14" t="n">
        <x:v>0</x:v>
      </x:c>
      <x:c r="H228" s="14" t="n">
        <x:v>5</x:v>
      </x:c>
      <x:c r="I228" s="14" t="n">
        <x:v>29</x:v>
      </x:c>
      <x:c r="J228" s="14" t="n">
        <x:v>0</x:v>
      </x:c>
      <x:c r="K228" s="14" t="n">
        <x:v>0</x:v>
      </x:c>
      <x:c r="L228" s="14" t="n">
        <x:v>2</x:v>
      </x:c>
      <x:c r="M228" s="14" t="n">
        <x:v>0</x:v>
      </x:c>
      <x:c r="N228" s="14" t="n">
        <x:v>4</x:v>
      </x:c>
      <x:c r="O228" s="14" t="n">
        <x:v>27</x:v>
      </x:c>
      <x:c r="P228" s="14" t="n">
        <x:v>338</x:v>
      </x:c>
      <x:c r="Q228" s="60" t="n">
        <x:v>2018</x:v>
      </x:c>
      <x:c r="R228" s="12" t="str">
        <x:v>Department of Statistics - Establishments Census 2018 - Table 4</x:v>
      </x:c>
    </x:row>
    <x:row r="229">
      <x:c r="A229" s="12" t="str">
        <x:v>53</x:v>
      </x:c>
      <x:c r="B229" s="12" t="str">
        <x:v>Postal and courier activities</x:v>
      </x:c>
      <x:c r="C229" s="12" t="str">
        <x:v>Sector (2-digit)</x:v>
      </x:c>
      <x:c r="D229" s="14" t="n">
        <x:v>24</x:v>
      </x:c>
      <x:c r="E229" s="14" t="n">
        <x:v>0</x:v>
      </x:c>
      <x:c r="F229" s="14" t="n">
        <x:v>0</x:v>
      </x:c>
      <x:c r="G229" s="14" t="n">
        <x:v>0</x:v>
      </x:c>
      <x:c r="H229" s="14" t="n">
        <x:v>2</x:v>
      </x:c>
      <x:c r="I229" s="14" t="n">
        <x:v>0</x:v>
      </x:c>
      <x:c r="J229" s="14" t="n">
        <x:v>0</x:v>
      </x:c>
      <x:c r="K229" s="14" t="n">
        <x:v>0</x:v>
      </x:c>
      <x:c r="L229" s="14" t="n">
        <x:v>0</x:v>
      </x:c>
      <x:c r="M229" s="14" t="n">
        <x:v>0</x:v>
      </x:c>
      <x:c r="N229" s="14" t="n">
        <x:v>0</x:v>
      </x:c>
      <x:c r="O229" s="14" t="n">
        <x:v>0</x:v>
      </x:c>
      <x:c r="P229" s="14" t="n">
        <x:v>26</x:v>
      </x:c>
      <x:c r="Q229" s="60" t="n">
        <x:v>2018</x:v>
      </x:c>
      <x:c r="R229" s="12" t="str">
        <x:v>Department of Statistics - Establishments Census 2018 - Table 4</x:v>
      </x:c>
    </x:row>
    <x:row r="230">
      <x:c r="A230" s="12" t="str">
        <x:v>5310</x:v>
      </x:c>
      <x:c r="B230" s="12" t="str">
        <x:v>Postal activities</x:v>
      </x:c>
      <x:c r="C230" s="12" t="str">
        <x:v>Detailed activity (4-digit)</x:v>
      </x:c>
      <x:c r="D230" s="14" t="n">
        <x:v>1</x:v>
      </x:c>
      <x:c r="E230" s="14" t="n">
        <x:v>0</x:v>
      </x:c>
      <x:c r="F230" s="14" t="n">
        <x:v>0</x:v>
      </x:c>
      <x:c r="G230" s="14" t="n">
        <x:v>0</x:v>
      </x:c>
      <x:c r="H230" s="14" t="n">
        <x:v>0</x:v>
      </x:c>
      <x:c r="I230" s="14" t="n">
        <x:v>0</x:v>
      </x:c>
      <x:c r="J230" s="14" t="n">
        <x:v>0</x:v>
      </x:c>
      <x:c r="K230" s="14" t="n">
        <x:v>0</x:v>
      </x:c>
      <x:c r="L230" s="14" t="n">
        <x:v>0</x:v>
      </x:c>
      <x:c r="M230" s="14" t="n">
        <x:v>0</x:v>
      </x:c>
      <x:c r="N230" s="14" t="n">
        <x:v>0</x:v>
      </x:c>
      <x:c r="O230" s="14" t="n">
        <x:v>0</x:v>
      </x:c>
      <x:c r="P230" s="14" t="n">
        <x:v>1</x:v>
      </x:c>
      <x:c r="Q230" s="60" t="n">
        <x:v>2018</x:v>
      </x:c>
      <x:c r="R230" s="12" t="str">
        <x:v>Department of Statistics - Establishments Census 2018 - Table 4</x:v>
      </x:c>
    </x:row>
    <x:row r="231">
      <x:c r="A231" s="12" t="str">
        <x:v>5320</x:v>
      </x:c>
      <x:c r="B231" s="12" t="str">
        <x:v>Courier activities</x:v>
      </x:c>
      <x:c r="C231" s="12" t="str">
        <x:v>Detailed activity (4-digit)</x:v>
      </x:c>
      <x:c r="D231" s="14" t="n">
        <x:v>23</x:v>
      </x:c>
      <x:c r="E231" s="14" t="n">
        <x:v>0</x:v>
      </x:c>
      <x:c r="F231" s="14" t="n">
        <x:v>0</x:v>
      </x:c>
      <x:c r="G231" s="14" t="n">
        <x:v>0</x:v>
      </x:c>
      <x:c r="H231" s="14" t="n">
        <x:v>2</x:v>
      </x:c>
      <x:c r="I231" s="14" t="n">
        <x:v>0</x:v>
      </x:c>
      <x:c r="J231" s="14" t="n">
        <x:v>0</x:v>
      </x:c>
      <x:c r="K231" s="14" t="n">
        <x:v>0</x:v>
      </x:c>
      <x:c r="L231" s="14" t="n">
        <x:v>0</x:v>
      </x:c>
      <x:c r="M231" s="14" t="n">
        <x:v>0</x:v>
      </x:c>
      <x:c r="N231" s="14" t="n">
        <x:v>0</x:v>
      </x:c>
      <x:c r="O231" s="14" t="n">
        <x:v>0</x:v>
      </x:c>
      <x:c r="P231" s="14" t="n">
        <x:v>25</x:v>
      </x:c>
      <x:c r="Q231" s="60" t="n">
        <x:v>2018</x:v>
      </x:c>
      <x:c r="R231" s="12" t="str">
        <x:v>Department of Statistics - Establishments Census 2018 - Table 4</x:v>
      </x:c>
    </x:row>
    <x:row r="232">
      <x:c r="A232" s="12" t="str">
        <x:v>55</x:v>
      </x:c>
      <x:c r="B232" s="12" t="str">
        <x:v>Accommodation</x:v>
      </x:c>
      <x:c r="C232" s="12" t="str">
        <x:v>Sector (2-digit)</x:v>
      </x:c>
      <x:c r="D232" s="14" t="n">
        <x:v>343</x:v>
      </x:c>
      <x:c r="E232" s="14" t="n">
        <x:v>14</x:v>
      </x:c>
      <x:c r="F232" s="14" t="n">
        <x:v>10</x:v>
      </x:c>
      <x:c r="G232" s="14" t="n">
        <x:v>12</x:v>
      </x:c>
      <x:c r="H232" s="14" t="n">
        <x:v>29</x:v>
      </x:c>
      <x:c r="I232" s="14" t="n">
        <x:v>8</x:v>
      </x:c>
      <x:c r="J232" s="14" t="n">
        <x:v>3</x:v>
      </x:c>
      <x:c r="K232" s="14" t="n">
        <x:v>4</x:v>
      </x:c>
      <x:c r="L232" s="14" t="n">
        <x:v>46</x:v>
      </x:c>
      <x:c r="M232" s="14" t="n">
        <x:v>7</x:v>
      </x:c>
      <x:c r="N232" s="14" t="n">
        <x:v>45</x:v>
      </x:c>
      <x:c r="O232" s="14" t="n">
        <x:v>163</x:v>
      </x:c>
      <x:c r="P232" s="14" t="n">
        <x:v>684</x:v>
      </x:c>
      <x:c r="Q232" s="60" t="n">
        <x:v>2018</x:v>
      </x:c>
      <x:c r="R232" s="12" t="str">
        <x:v>Department of Statistics - Establishments Census 2018 - Table 4</x:v>
      </x:c>
    </x:row>
    <x:row r="233">
      <x:c r="A233" s="12" t="str">
        <x:v>5510</x:v>
      </x:c>
      <x:c r="B233" s="12" t="str">
        <x:v>Short term accommodation activities</x:v>
      </x:c>
      <x:c r="C233" s="12" t="str">
        <x:v>Detailed activity (4-digit)</x:v>
      </x:c>
      <x:c r="D233" s="14" t="n">
        <x:v>322</x:v>
      </x:c>
      <x:c r="E233" s="14" t="n">
        <x:v>14</x:v>
      </x:c>
      <x:c r="F233" s="14" t="n">
        <x:v>9</x:v>
      </x:c>
      <x:c r="G233" s="14" t="n">
        <x:v>12</x:v>
      </x:c>
      <x:c r="H233" s="14" t="n">
        <x:v>11</x:v>
      </x:c>
      <x:c r="I233" s="14" t="n">
        <x:v>4</x:v>
      </x:c>
      <x:c r="J233" s="14" t="n">
        <x:v>3</x:v>
      </x:c>
      <x:c r="K233" s="14" t="n">
        <x:v>4</x:v>
      </x:c>
      <x:c r="L233" s="14" t="n">
        <x:v>5</x:v>
      </x:c>
      <x:c r="M233" s="14" t="n">
        <x:v>5</x:v>
      </x:c>
      <x:c r="N233" s="14" t="n">
        <x:v>43</x:v>
      </x:c>
      <x:c r="O233" s="14" t="n">
        <x:v>154</x:v>
      </x:c>
      <x:c r="P233" s="14" t="n">
        <x:v>586</x:v>
      </x:c>
      <x:c r="Q233" s="60" t="n">
        <x:v>2018</x:v>
      </x:c>
      <x:c r="R233" s="12" t="str">
        <x:v>Department of Statistics - Establishments Census 2018 - Table 4</x:v>
      </x:c>
    </x:row>
    <x:row r="234">
      <x:c r="A234" s="12" t="str">
        <x:v>5520</x:v>
      </x:c>
      <x:c r="B234" s="12" t="str">
        <x:v>Camping grounds, recreational vehicle parks and trailer parks</x:v>
      </x:c>
      <x:c r="C234" s="12" t="str">
        <x:v>Detailed activity (4-digit)</x:v>
      </x:c>
      <x:c r="D234" s="14" t="n">
        <x:v>0</x:v>
      </x:c>
      <x:c r="E234" s="14" t="n">
        <x:v>0</x:v>
      </x:c>
      <x:c r="F234" s="14" t="n">
        <x:v>0</x:v>
      </x:c>
      <x:c r="G234" s="14" t="n">
        <x:v>0</x:v>
      </x:c>
      <x:c r="H234" s="14" t="n">
        <x:v>0</x:v>
      </x:c>
      <x:c r="I234" s="14" t="n">
        <x:v>0</x:v>
      </x:c>
      <x:c r="J234" s="14" t="n">
        <x:v>0</x:v>
      </x:c>
      <x:c r="K234" s="14" t="n">
        <x:v>0</x:v>
      </x:c>
      <x:c r="L234" s="14" t="n">
        <x:v>0</x:v>
      </x:c>
      <x:c r="M234" s="14" t="n">
        <x:v>1</x:v>
      </x:c>
      <x:c r="N234" s="14" t="n">
        <x:v>0</x:v>
      </x:c>
      <x:c r="O234" s="14" t="n">
        <x:v>9</x:v>
      </x:c>
      <x:c r="P234" s="14" t="n">
        <x:v>10</x:v>
      </x:c>
      <x:c r="Q234" s="60" t="n">
        <x:v>2018</x:v>
      </x:c>
      <x:c r="R234" s="12" t="str">
        <x:v>Department of Statistics - Establishments Census 2018 - Table 4</x:v>
      </x:c>
    </x:row>
    <x:row r="235">
      <x:c r="A235" s="12" t="str">
        <x:v>5590</x:v>
      </x:c>
      <x:c r="B235" s="12" t="str">
        <x:v>Other accommodation</x:v>
      </x:c>
      <x:c r="C235" s="12" t="str">
        <x:v>Detailed activity (4-digit)</x:v>
      </x:c>
      <x:c r="D235" s="14" t="n">
        <x:v>21</x:v>
      </x:c>
      <x:c r="E235" s="14" t="n">
        <x:v>0</x:v>
      </x:c>
      <x:c r="F235" s="14" t="n">
        <x:v>1</x:v>
      </x:c>
      <x:c r="G235" s="14" t="n">
        <x:v>0</x:v>
      </x:c>
      <x:c r="H235" s="14" t="n">
        <x:v>18</x:v>
      </x:c>
      <x:c r="I235" s="14" t="n">
        <x:v>4</x:v>
      </x:c>
      <x:c r="J235" s="14" t="n">
        <x:v>0</x:v>
      </x:c>
      <x:c r="K235" s="14" t="n">
        <x:v>0</x:v>
      </x:c>
      <x:c r="L235" s="14" t="n">
        <x:v>41</x:v>
      </x:c>
      <x:c r="M235" s="14" t="n">
        <x:v>1</x:v>
      </x:c>
      <x:c r="N235" s="14" t="n">
        <x:v>2</x:v>
      </x:c>
      <x:c r="O235" s="14" t="n">
        <x:v>0</x:v>
      </x:c>
      <x:c r="P235" s="14" t="n">
        <x:v>88</x:v>
      </x:c>
      <x:c r="Q235" s="60" t="n">
        <x:v>2018</x:v>
      </x:c>
      <x:c r="R235" s="12" t="str">
        <x:v>Department of Statistics - Establishments Census 2018 - Table 4</x:v>
      </x:c>
    </x:row>
    <x:row r="236">
      <x:c r="A236" s="12" t="str">
        <x:v>56</x:v>
      </x:c>
      <x:c r="B236" s="12" t="str">
        <x:v>Food and beverage service activities</x:v>
      </x:c>
      <x:c r="C236" s="12" t="str">
        <x:v>Sector (2-digit)</x:v>
      </x:c>
      <x:c r="D236" s="14" t="n">
        <x:v>5255</x:v>
      </x:c>
      <x:c r="E236" s="14" t="n">
        <x:v>1141</x:v>
      </x:c>
      <x:c r="F236" s="14" t="n">
        <x:v>1873</x:v>
      </x:c>
      <x:c r="G236" s="14" t="n">
        <x:v>370</x:v>
      </x:c>
      <x:c r="H236" s="14" t="n">
        <x:v>1929</x:v>
      </x:c>
      <x:c r="I236" s="14" t="n">
        <x:v>376</x:v>
      </x:c>
      <x:c r="J236" s="14" t="n">
        <x:v>339</x:v>
      </x:c>
      <x:c r="K236" s="14" t="n">
        <x:v>259</x:v>
      </x:c>
      <x:c r="L236" s="14" t="n">
        <x:v>410</x:v>
      </x:c>
      <x:c r="M236" s="14" t="n">
        <x:v>171</x:v>
      </x:c>
      <x:c r="N236" s="14" t="n">
        <x:v>250</x:v>
      </x:c>
      <x:c r="O236" s="14" t="n">
        <x:v>350</x:v>
      </x:c>
      <x:c r="P236" s="14" t="n">
        <x:v>12723</x:v>
      </x:c>
      <x:c r="Q236" s="60" t="n">
        <x:v>2018</x:v>
      </x:c>
      <x:c r="R236" s="12" t="str">
        <x:v>Department of Statistics - Establishments Census 2018 - Table 4</x:v>
      </x:c>
    </x:row>
    <x:row r="237">
      <x:c r="A237" s="12" t="str">
        <x:v>5610</x:v>
      </x:c>
      <x:c r="B237" s="12" t="str">
        <x:v>Restaurants and mobile food service activities</x:v>
      </x:c>
      <x:c r="C237" s="12" t="str">
        <x:v>Detailed activity (4-digit)</x:v>
      </x:c>
      <x:c r="D237" s="14" t="n">
        <x:v>2680</x:v>
      </x:c>
      <x:c r="E237" s="14" t="n">
        <x:v>483</x:v>
      </x:c>
      <x:c r="F237" s="14" t="n">
        <x:v>876</x:v>
      </x:c>
      <x:c r="G237" s="14" t="n">
        <x:v>173</x:v>
      </x:c>
      <x:c r="H237" s="14" t="n">
        <x:v>933</x:v>
      </x:c>
      <x:c r="I237" s="14" t="n">
        <x:v>227</x:v>
      </x:c>
      <x:c r="J237" s="14" t="n">
        <x:v>166</x:v>
      </x:c>
      <x:c r="K237" s="14" t="n">
        <x:v>128</x:v>
      </x:c>
      <x:c r="L237" s="14" t="n">
        <x:v>207</x:v>
      </x:c>
      <x:c r="M237" s="14" t="n">
        <x:v>95</x:v>
      </x:c>
      <x:c r="N237" s="14" t="n">
        <x:v>116</x:v>
      </x:c>
      <x:c r="O237" s="14" t="n">
        <x:v>219</x:v>
      </x:c>
      <x:c r="P237" s="14" t="n">
        <x:v>6303</x:v>
      </x:c>
      <x:c r="Q237" s="60" t="n">
        <x:v>2018</x:v>
      </x:c>
      <x:c r="R237" s="12" t="str">
        <x:v>Department of Statistics - Establishments Census 2018 - Table 4</x:v>
      </x:c>
    </x:row>
    <x:row r="238">
      <x:c r="A238" s="12" t="str">
        <x:v>5621</x:v>
      </x:c>
      <x:c r="B238" s="12" t="str">
        <x:v>Event catering</x:v>
      </x:c>
      <x:c r="C238" s="12" t="str">
        <x:v>Detailed activity (4-digit)</x:v>
      </x:c>
      <x:c r="D238" s="14" t="n">
        <x:v>39</x:v>
      </x:c>
      <x:c r="E238" s="14" t="n">
        <x:v>11</x:v>
      </x:c>
      <x:c r="F238" s="14" t="n">
        <x:v>2</x:v>
      </x:c>
      <x:c r="G238" s="14" t="n">
        <x:v>5</x:v>
      </x:c>
      <x:c r="H238" s="14" t="n">
        <x:v>8</x:v>
      </x:c>
      <x:c r="I238" s="14" t="n">
        <x:v>2</x:v>
      </x:c>
      <x:c r="J238" s="14" t="n">
        <x:v>2</x:v>
      </x:c>
      <x:c r="K238" s="14" t="n">
        <x:v>1</x:v>
      </x:c>
      <x:c r="L238" s="14" t="n">
        <x:v>6</x:v>
      </x:c>
      <x:c r="M238" s="14" t="n">
        <x:v>1</x:v>
      </x:c>
      <x:c r="N238" s="14" t="n">
        <x:v>1</x:v>
      </x:c>
      <x:c r="O238" s="14" t="n">
        <x:v>2</x:v>
      </x:c>
      <x:c r="P238" s="14" t="n">
        <x:v>80</x:v>
      </x:c>
      <x:c r="Q238" s="60" t="n">
        <x:v>2018</x:v>
      </x:c>
      <x:c r="R238" s="12" t="str">
        <x:v>Department of Statistics - Establishments Census 2018 - Table 4</x:v>
      </x:c>
    </x:row>
    <x:row r="239">
      <x:c r="A239" s="12" t="str">
        <x:v>5630</x:v>
      </x:c>
      <x:c r="B239" s="12" t="str">
        <x:v>Beverage serving activities</x:v>
      </x:c>
      <x:c r="C239" s="12" t="str">
        <x:v>Detailed activity (4-digit)</x:v>
      </x:c>
      <x:c r="D239" s="14" t="n">
        <x:v>2536</x:v>
      </x:c>
      <x:c r="E239" s="14" t="n">
        <x:v>647</x:v>
      </x:c>
      <x:c r="F239" s="14" t="n">
        <x:v>995</x:v>
      </x:c>
      <x:c r="G239" s="14" t="n">
        <x:v>192</x:v>
      </x:c>
      <x:c r="H239" s="14" t="n">
        <x:v>988</x:v>
      </x:c>
      <x:c r="I239" s="14" t="n">
        <x:v>147</x:v>
      </x:c>
      <x:c r="J239" s="14" t="n">
        <x:v>171</x:v>
      </x:c>
      <x:c r="K239" s="14" t="n">
        <x:v>130</x:v>
      </x:c>
      <x:c r="L239" s="14" t="n">
        <x:v>197</x:v>
      </x:c>
      <x:c r="M239" s="14" t="n">
        <x:v>75</x:v>
      </x:c>
      <x:c r="N239" s="14" t="n">
        <x:v>133</x:v>
      </x:c>
      <x:c r="O239" s="14" t="n">
        <x:v>129</x:v>
      </x:c>
      <x:c r="P239" s="14" t="n">
        <x:v>6340</x:v>
      </x:c>
      <x:c r="Q239" s="60" t="n">
        <x:v>2018</x:v>
      </x:c>
      <x:c r="R239" s="12" t="str">
        <x:v>Department of Statistics - Establishments Census 2018 - Table 4</x:v>
      </x:c>
    </x:row>
    <x:row r="240">
      <x:c r="A240" s="12" t="str">
        <x:v>58</x:v>
      </x:c>
      <x:c r="B240" s="12" t="str">
        <x:v>Publishing activities</x:v>
      </x:c>
      <x:c r="C240" s="12" t="str">
        <x:v>Sector (2-digit)</x:v>
      </x:c>
      <x:c r="D240" s="14" t="n">
        <x:v>50</x:v>
      </x:c>
      <x:c r="E240" s="14" t="n">
        <x:v>0</x:v>
      </x:c>
      <x:c r="F240" s="14" t="n">
        <x:v>1</x:v>
      </x:c>
      <x:c r="G240" s="14" t="n">
        <x:v>0</x:v>
      </x:c>
      <x:c r="H240" s="14" t="n">
        <x:v>0</x:v>
      </x:c>
      <x:c r="I240" s="14" t="n">
        <x:v>0</x:v>
      </x:c>
      <x:c r="J240" s="14" t="n">
        <x:v>0</x:v>
      </x:c>
      <x:c r="K240" s="14" t="n">
        <x:v>0</x:v>
      </x:c>
      <x:c r="L240" s="14" t="n">
        <x:v>0</x:v>
      </x:c>
      <x:c r="M240" s="14" t="n">
        <x:v>0</x:v>
      </x:c>
      <x:c r="N240" s="14" t="n">
        <x:v>0</x:v>
      </x:c>
      <x:c r="O240" s="14" t="n">
        <x:v>0</x:v>
      </x:c>
      <x:c r="P240" s="14" t="n">
        <x:v>51</x:v>
      </x:c>
      <x:c r="Q240" s="60" t="n">
        <x:v>2018</x:v>
      </x:c>
      <x:c r="R240" s="12" t="str">
        <x:v>Department of Statistics - Establishments Census 2018 - Table 4</x:v>
      </x:c>
    </x:row>
    <x:row r="241">
      <x:c r="A241" s="12" t="str">
        <x:v>5811</x:v>
      </x:c>
      <x:c r="B241" s="12" t="str">
        <x:v>Book publishing</x:v>
      </x:c>
      <x:c r="C241" s="12" t="str">
        <x:v>Detailed activity (4-digit)</x:v>
      </x:c>
      <x:c r="D241" s="14" t="n">
        <x:v>35</x:v>
      </x:c>
      <x:c r="E241" s="14" t="n">
        <x:v>0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0</x:v>
      </x:c>
      <x:c r="K241" s="14" t="n">
        <x:v>0</x:v>
      </x:c>
      <x:c r="L241" s="14" t="n">
        <x:v>0</x:v>
      </x:c>
      <x:c r="M241" s="14" t="n">
        <x:v>0</x:v>
      </x:c>
      <x:c r="N241" s="14" t="n">
        <x:v>0</x:v>
      </x:c>
      <x:c r="O241" s="14" t="n">
        <x:v>0</x:v>
      </x:c>
      <x:c r="P241" s="14" t="n">
        <x:v>35</x:v>
      </x:c>
      <x:c r="Q241" s="60" t="n">
        <x:v>2018</x:v>
      </x:c>
      <x:c r="R241" s="12" t="str">
        <x:v>Department of Statistics - Establishments Census 2018 - Table 4</x:v>
      </x:c>
    </x:row>
    <x:row r="242">
      <x:c r="A242" s="12" t="str">
        <x:v>5813</x:v>
      </x:c>
      <x:c r="B242" s="12" t="str">
        <x:v>Publishing of newspapers, journals and periodicals</x:v>
      </x:c>
      <x:c r="C242" s="12" t="str">
        <x:v>Detailed activity (4-digit)</x:v>
      </x:c>
      <x:c r="D242" s="14" t="n">
        <x:v>4</x:v>
      </x:c>
      <x:c r="E242" s="14" t="n">
        <x:v>0</x:v>
      </x:c>
      <x:c r="F242" s="14" t="n">
        <x:v>0</x:v>
      </x:c>
      <x:c r="G242" s="14" t="n">
        <x:v>0</x:v>
      </x:c>
      <x:c r="H242" s="14" t="n">
        <x:v>0</x:v>
      </x:c>
      <x:c r="I242" s="14" t="n">
        <x:v>0</x:v>
      </x:c>
      <x:c r="J242" s="14" t="n">
        <x:v>0</x:v>
      </x:c>
      <x:c r="K242" s="14" t="n">
        <x:v>0</x:v>
      </x:c>
      <x:c r="L242" s="14" t="n">
        <x:v>0</x:v>
      </x:c>
      <x:c r="M242" s="14" t="n">
        <x:v>0</x:v>
      </x:c>
      <x:c r="N242" s="14" t="n">
        <x:v>0</x:v>
      </x:c>
      <x:c r="O242" s="14" t="n">
        <x:v>0</x:v>
      </x:c>
      <x:c r="P242" s="14" t="n">
        <x:v>4</x:v>
      </x:c>
      <x:c r="Q242" s="60" t="n">
        <x:v>2018</x:v>
      </x:c>
      <x:c r="R242" s="12" t="str">
        <x:v>Department of Statistics - Establishments Census 2018 - Table 4</x:v>
      </x:c>
    </x:row>
    <x:row r="243">
      <x:c r="A243" s="12" t="str">
        <x:v>5819</x:v>
      </x:c>
      <x:c r="B243" s="12" t="str">
        <x:v>Other publishing activities</x:v>
      </x:c>
      <x:c r="C243" s="12" t="str">
        <x:v>Detailed activity (4-digit)</x:v>
      </x:c>
      <x:c r="D243" s="14" t="n">
        <x:v>11</x:v>
      </x:c>
      <x:c r="E243" s="14" t="n">
        <x:v>0</x:v>
      </x:c>
      <x:c r="F243" s="14" t="n">
        <x:v>1</x:v>
      </x:c>
      <x:c r="G243" s="14" t="n">
        <x:v>0</x:v>
      </x:c>
      <x:c r="H243" s="14" t="n">
        <x:v>0</x:v>
      </x:c>
      <x:c r="I243" s="14" t="n">
        <x:v>0</x:v>
      </x:c>
      <x:c r="J243" s="14" t="n">
        <x:v>0</x:v>
      </x:c>
      <x:c r="K243" s="14" t="n">
        <x:v>0</x:v>
      </x:c>
      <x:c r="L243" s="14" t="n">
        <x:v>0</x:v>
      </x:c>
      <x:c r="M243" s="14" t="n">
        <x:v>0</x:v>
      </x:c>
      <x:c r="N243" s="14" t="n">
        <x:v>0</x:v>
      </x:c>
      <x:c r="O243" s="14" t="n">
        <x:v>0</x:v>
      </x:c>
      <x:c r="P243" s="14" t="n">
        <x:v>12</x:v>
      </x:c>
      <x:c r="Q243" s="60" t="n">
        <x:v>2018</x:v>
      </x:c>
      <x:c r="R243" s="12" t="str">
        <x:v>Department of Statistics - Establishments Census 2018 - Table 4</x:v>
      </x:c>
    </x:row>
    <x:row r="244">
      <x:c r="A244" s="12" t="str">
        <x:v>59</x:v>
      </x:c>
      <x:c r="B244" s="12" t="str">
        <x:v>Motion picture, video and television programme production, sound recording and music publishing activities</x:v>
      </x:c>
      <x:c r="C244" s="12" t="str">
        <x:v>Sector (2-digit)</x:v>
      </x:c>
      <x:c r="D244" s="14" t="n">
        <x:v>51</x:v>
      </x:c>
      <x:c r="E244" s="14" t="n">
        <x:v>2</x:v>
      </x:c>
      <x:c r="F244" s="14" t="n">
        <x:v>1</x:v>
      </x:c>
      <x:c r="G244" s="14" t="n">
        <x:v>0</x:v>
      </x:c>
      <x:c r="H244" s="14" t="n">
        <x:v>2</x:v>
      </x:c>
      <x:c r="I244" s="14" t="n">
        <x:v>0</x:v>
      </x:c>
      <x:c r="J244" s="14" t="n">
        <x:v>0</x:v>
      </x:c>
      <x:c r="K244" s="14" t="n">
        <x:v>0</x:v>
      </x:c>
      <x:c r="L244" s="14" t="n">
        <x:v>0</x:v>
      </x:c>
      <x:c r="M244" s="14" t="n">
        <x:v>0</x:v>
      </x:c>
      <x:c r="N244" s="14" t="n">
        <x:v>1</x:v>
      </x:c>
      <x:c r="O244" s="14" t="n">
        <x:v>1</x:v>
      </x:c>
      <x:c r="P244" s="14" t="n">
        <x:v>58</x:v>
      </x:c>
      <x:c r="Q244" s="60" t="n">
        <x:v>2018</x:v>
      </x:c>
      <x:c r="R244" s="12" t="str">
        <x:v>Department of Statistics - Establishments Census 2018 - Table 4</x:v>
      </x:c>
    </x:row>
    <x:row r="245">
      <x:c r="A245" s="12" t="str">
        <x:v>5911</x:v>
      </x:c>
      <x:c r="B245" s="12" t="str">
        <x:v>Motion picture, video and television programme production activities</x:v>
      </x:c>
      <x:c r="C245" s="12" t="str">
        <x:v>Detailed activity (4-digit)</x:v>
      </x:c>
      <x:c r="D245" s="14" t="n">
        <x:v>40</x:v>
      </x:c>
      <x:c r="E245" s="14" t="n">
        <x:v>1</x:v>
      </x:c>
      <x:c r="F245" s="14" t="n">
        <x:v>0</x:v>
      </x:c>
      <x:c r="G245" s="14" t="n">
        <x:v>0</x:v>
      </x:c>
      <x:c r="H245" s="14" t="n">
        <x:v>2</x:v>
      </x:c>
      <x:c r="I245" s="14" t="n">
        <x:v>0</x:v>
      </x:c>
      <x:c r="J245" s="14" t="n">
        <x:v>0</x:v>
      </x:c>
      <x:c r="K245" s="14" t="n">
        <x:v>0</x:v>
      </x:c>
      <x:c r="L245" s="14" t="n">
        <x:v>0</x:v>
      </x:c>
      <x:c r="M245" s="14" t="n">
        <x:v>0</x:v>
      </x:c>
      <x:c r="N245" s="14" t="n">
        <x:v>0</x:v>
      </x:c>
      <x:c r="O245" s="14" t="n">
        <x:v>1</x:v>
      </x:c>
      <x:c r="P245" s="14" t="n">
        <x:v>44</x:v>
      </x:c>
      <x:c r="Q245" s="60" t="n">
        <x:v>2018</x:v>
      </x:c>
      <x:c r="R245" s="12" t="str">
        <x:v>Department of Statistics - Establishments Census 2018 - Table 4</x:v>
      </x:c>
    </x:row>
    <x:row r="246">
      <x:c r="A246" s="12" t="str">
        <x:v>5913</x:v>
      </x:c>
      <x:c r="B246" s="12" t="str">
        <x:v>Motion picture, video and television programme distribution activities</x:v>
      </x:c>
      <x:c r="C246" s="12" t="str">
        <x:v>Detailed activity (4-digit)</x:v>
      </x:c>
      <x:c r="D246" s="14" t="n">
        <x:v>1</x:v>
      </x:c>
      <x:c r="E246" s="14" t="n">
        <x:v>0</x:v>
      </x:c>
      <x:c r="F246" s="14" t="n">
        <x:v>0</x:v>
      </x:c>
      <x:c r="G246" s="14" t="n">
        <x:v>0</x:v>
      </x:c>
      <x:c r="H246" s="14" t="n">
        <x:v>0</x:v>
      </x:c>
      <x:c r="I246" s="14" t="n">
        <x:v>0</x:v>
      </x:c>
      <x:c r="J246" s="14" t="n">
        <x:v>0</x:v>
      </x:c>
      <x:c r="K246" s="14" t="n">
        <x:v>0</x:v>
      </x:c>
      <x:c r="L246" s="14" t="n">
        <x:v>0</x:v>
      </x:c>
      <x:c r="M246" s="14" t="n">
        <x:v>0</x:v>
      </x:c>
      <x:c r="N246" s="14" t="n">
        <x:v>1</x:v>
      </x:c>
      <x:c r="O246" s="14" t="n">
        <x:v>0</x:v>
      </x:c>
      <x:c r="P246" s="14" t="n">
        <x:v>2</x:v>
      </x:c>
      <x:c r="Q246" s="60" t="n">
        <x:v>2018</x:v>
      </x:c>
      <x:c r="R246" s="12" t="str">
        <x:v>Department of Statistics - Establishments Census 2018 - Table 4</x:v>
      </x:c>
    </x:row>
    <x:row r="247">
      <x:c r="A247" s="12" t="str">
        <x:v>5914</x:v>
      </x:c>
      <x:c r="B247" s="12" t="str">
        <x:v>Motion picture projection activities</x:v>
      </x:c>
      <x:c r="C247" s="12" t="str">
        <x:v>Detailed activity (4-digit)</x:v>
      </x:c>
      <x:c r="D247" s="14" t="n">
        <x:v>5</x:v>
      </x:c>
      <x:c r="E247" s="14" t="n">
        <x:v>0</x:v>
      </x:c>
      <x:c r="F247" s="14" t="n">
        <x:v>1</x:v>
      </x:c>
      <x:c r="G247" s="14" t="n">
        <x:v>0</x:v>
      </x:c>
      <x:c r="H247" s="14" t="n">
        <x:v>0</x:v>
      </x:c>
      <x:c r="I247" s="14" t="n">
        <x:v>0</x:v>
      </x:c>
      <x:c r="J247" s="14" t="n">
        <x:v>0</x:v>
      </x:c>
      <x:c r="K247" s="14" t="n">
        <x:v>0</x:v>
      </x:c>
      <x:c r="L247" s="14" t="n">
        <x:v>0</x:v>
      </x:c>
      <x:c r="M247" s="14" t="n">
        <x:v>0</x:v>
      </x:c>
      <x:c r="N247" s="14" t="n">
        <x:v>0</x:v>
      </x:c>
      <x:c r="O247" s="14" t="n">
        <x:v>0</x:v>
      </x:c>
      <x:c r="P247" s="14" t="n">
        <x:v>6</x:v>
      </x:c>
      <x:c r="Q247" s="60" t="n">
        <x:v>2018</x:v>
      </x:c>
      <x:c r="R247" s="12" t="str">
        <x:v>Department of Statistics - Establishments Census 2018 - Table 4</x:v>
      </x:c>
    </x:row>
    <x:row r="248">
      <x:c r="A248" s="12" t="str">
        <x:v>5920</x:v>
      </x:c>
      <x:c r="B248" s="12" t="str">
        <x:v>Sound recording and music publishing activities</x:v>
      </x:c>
      <x:c r="C248" s="12" t="str">
        <x:v>Detailed activity (4-digit)</x:v>
      </x:c>
      <x:c r="D248" s="14" t="n">
        <x:v>5</x:v>
      </x:c>
      <x:c r="E248" s="14" t="n">
        <x:v>1</x:v>
      </x:c>
      <x:c r="F248" s="14" t="n">
        <x:v>0</x:v>
      </x:c>
      <x:c r="G248" s="14" t="n">
        <x:v>0</x:v>
      </x:c>
      <x:c r="H248" s="14" t="n">
        <x:v>0</x:v>
      </x:c>
      <x:c r="I248" s="14" t="n">
        <x:v>0</x:v>
      </x:c>
      <x:c r="J248" s="14" t="n">
        <x:v>0</x:v>
      </x:c>
      <x:c r="K248" s="14" t="n">
        <x:v>0</x:v>
      </x:c>
      <x:c r="L248" s="14" t="n">
        <x:v>0</x:v>
      </x:c>
      <x:c r="M248" s="14" t="n">
        <x:v>0</x:v>
      </x:c>
      <x:c r="N248" s="14" t="n">
        <x:v>0</x:v>
      </x:c>
      <x:c r="O248" s="14" t="n">
        <x:v>0</x:v>
      </x:c>
      <x:c r="P248" s="14" t="n">
        <x:v>6</x:v>
      </x:c>
      <x:c r="Q248" s="60" t="n">
        <x:v>2018</x:v>
      </x:c>
      <x:c r="R248" s="12" t="str">
        <x:v>Department of Statistics - Establishments Census 2018 - Table 4</x:v>
      </x:c>
    </x:row>
    <x:row r="249">
      <x:c r="A249" s="12" t="str">
        <x:v>60</x:v>
      </x:c>
      <x:c r="B249" s="12" t="str">
        <x:v>Programming and broadcasting activities</x:v>
      </x:c>
      <x:c r="C249" s="12" t="str">
        <x:v>Sector (2-digit)</x:v>
      </x:c>
      <x:c r="D249" s="14" t="n">
        <x:v>22</x:v>
      </x:c>
      <x:c r="E249" s="14" t="n">
        <x:v>0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0</x:v>
      </x:c>
      <x:c r="K249" s="14" t="n">
        <x:v>0</x:v>
      </x:c>
      <x:c r="L249" s="14" t="n">
        <x:v>0</x:v>
      </x:c>
      <x:c r="M249" s="14" t="n">
        <x:v>0</x:v>
      </x:c>
      <x:c r="N249" s="14" t="n">
        <x:v>0</x:v>
      </x:c>
      <x:c r="O249" s="14" t="n">
        <x:v>0</x:v>
      </x:c>
      <x:c r="P249" s="14" t="n">
        <x:v>22</x:v>
      </x:c>
      <x:c r="Q249" s="60" t="n">
        <x:v>2018</x:v>
      </x:c>
      <x:c r="R249" s="12" t="str">
        <x:v>Department of Statistics - Establishments Census 2018 - Table 4</x:v>
      </x:c>
    </x:row>
    <x:row r="250">
      <x:c r="A250" s="12" t="str">
        <x:v>6010</x:v>
      </x:c>
      <x:c r="B250" s="12" t="str">
        <x:v>Radio broadcasting</x:v>
      </x:c>
      <x:c r="C250" s="12" t="str">
        <x:v>Detailed activity (4-digit)</x:v>
      </x:c>
      <x:c r="D250" s="14" t="n">
        <x:v>3</x:v>
      </x:c>
      <x:c r="E250" s="14" t="n">
        <x:v>0</x:v>
      </x:c>
      <x:c r="F250" s="14" t="n">
        <x:v>0</x:v>
      </x:c>
      <x:c r="G250" s="14" t="n">
        <x:v>0</x:v>
      </x:c>
      <x:c r="H250" s="14" t="n">
        <x:v>0</x:v>
      </x:c>
      <x:c r="I250" s="14" t="n">
        <x:v>0</x:v>
      </x:c>
      <x:c r="J250" s="14" t="n">
        <x:v>0</x:v>
      </x:c>
      <x:c r="K250" s="14" t="n">
        <x:v>0</x:v>
      </x:c>
      <x:c r="L250" s="14" t="n">
        <x:v>0</x:v>
      </x:c>
      <x:c r="M250" s="14" t="n">
        <x:v>0</x:v>
      </x:c>
      <x:c r="N250" s="14" t="n">
        <x:v>0</x:v>
      </x:c>
      <x:c r="O250" s="14" t="n">
        <x:v>0</x:v>
      </x:c>
      <x:c r="P250" s="14" t="n">
        <x:v>3</x:v>
      </x:c>
      <x:c r="Q250" s="60" t="n">
        <x:v>2018</x:v>
      </x:c>
      <x:c r="R250" s="12" t="str">
        <x:v>Department of Statistics - Establishments Census 2018 - Table 4</x:v>
      </x:c>
    </x:row>
    <x:row r="251">
      <x:c r="A251" s="12" t="str">
        <x:v>6020</x:v>
      </x:c>
      <x:c r="B251" s="12" t="str">
        <x:v>Television programming and broadcasting activities</x:v>
      </x:c>
      <x:c r="C251" s="12" t="str">
        <x:v>Detailed activity (4-digit)</x:v>
      </x:c>
      <x:c r="D251" s="14" t="n">
        <x:v>19</x:v>
      </x:c>
      <x:c r="E251" s="14" t="n">
        <x:v>0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0</x:v>
      </x:c>
      <x:c r="K251" s="14" t="n">
        <x:v>0</x:v>
      </x:c>
      <x:c r="L251" s="14" t="n">
        <x:v>0</x:v>
      </x:c>
      <x:c r="M251" s="14" t="n">
        <x:v>0</x:v>
      </x:c>
      <x:c r="N251" s="14" t="n">
        <x:v>0</x:v>
      </x:c>
      <x:c r="O251" s="14" t="n">
        <x:v>0</x:v>
      </x:c>
      <x:c r="P251" s="14" t="n">
        <x:v>19</x:v>
      </x:c>
      <x:c r="Q251" s="60" t="n">
        <x:v>2018</x:v>
      </x:c>
      <x:c r="R251" s="12" t="str">
        <x:v>Department of Statistics - Establishments Census 2018 - Table 4</x:v>
      </x:c>
    </x:row>
    <x:row r="252">
      <x:c r="A252" s="12" t="str">
        <x:v>61</x:v>
      </x:c>
      <x:c r="B252" s="12" t="str">
        <x:v>Telecommunications</x:v>
      </x:c>
      <x:c r="C252" s="12" t="str">
        <x:v>Sector (2-digit)</x:v>
      </x:c>
      <x:c r="D252" s="14" t="n">
        <x:v>39</x:v>
      </x:c>
      <x:c r="E252" s="14" t="n">
        <x:v>0</x:v>
      </x:c>
      <x:c r="F252" s="14" t="n">
        <x:v>0</x:v>
      </x:c>
      <x:c r="G252" s="14" t="n">
        <x:v>0</x:v>
      </x:c>
      <x:c r="H252" s="14" t="n">
        <x:v>8</x:v>
      </x:c>
      <x:c r="I252" s="14" t="n">
        <x:v>0</x:v>
      </x:c>
      <x:c r="J252" s="14" t="n">
        <x:v>0</x:v>
      </x:c>
      <x:c r="K252" s="14" t="n">
        <x:v>0</x:v>
      </x:c>
      <x:c r="L252" s="14" t="n">
        <x:v>0</x:v>
      </x:c>
      <x:c r="M252" s="14" t="n">
        <x:v>0</x:v>
      </x:c>
      <x:c r="N252" s="14" t="n">
        <x:v>2</x:v>
      </x:c>
      <x:c r="O252" s="14" t="n">
        <x:v>1</x:v>
      </x:c>
      <x:c r="P252" s="14" t="n">
        <x:v>50</x:v>
      </x:c>
      <x:c r="Q252" s="60" t="n">
        <x:v>2018</x:v>
      </x:c>
      <x:c r="R252" s="12" t="str">
        <x:v>Department of Statistics - Establishments Census 2018 - Table 4</x:v>
      </x:c>
    </x:row>
    <x:row r="253">
      <x:c r="A253" s="12" t="str">
        <x:v>6110</x:v>
      </x:c>
      <x:c r="B253" s="12" t="str">
        <x:v>Wired telecommunications activities</x:v>
      </x:c>
      <x:c r="C253" s="12" t="str">
        <x:v>Detailed activity (4-digit)</x:v>
      </x:c>
      <x:c r="D253" s="14" t="n">
        <x:v>7</x:v>
      </x:c>
      <x:c r="E253" s="14" t="n">
        <x:v>0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0</x:v>
      </x:c>
      <x:c r="K253" s="14" t="n">
        <x:v>0</x:v>
      </x:c>
      <x:c r="L253" s="14" t="n">
        <x:v>0</x:v>
      </x:c>
      <x:c r="M253" s="14" t="n">
        <x:v>0</x:v>
      </x:c>
      <x:c r="N253" s="14" t="n">
        <x:v>1</x:v>
      </x:c>
      <x:c r="O253" s="14" t="n">
        <x:v>1</x:v>
      </x:c>
      <x:c r="P253" s="14" t="n">
        <x:v>9</x:v>
      </x:c>
      <x:c r="Q253" s="60" t="n">
        <x:v>2018</x:v>
      </x:c>
      <x:c r="R253" s="12" t="str">
        <x:v>Department of Statistics - Establishments Census 2018 - Table 4</x:v>
      </x:c>
    </x:row>
    <x:row r="254">
      <x:c r="A254" s="12" t="str">
        <x:v>6120</x:v>
      </x:c>
      <x:c r="B254" s="12" t="str">
        <x:v>Wireless telecommunications activities</x:v>
      </x:c>
      <x:c r="C254" s="12" t="str">
        <x:v>Detailed activity (4-digit)</x:v>
      </x:c>
      <x:c r="D254" s="14" t="n">
        <x:v>20</x:v>
      </x:c>
      <x:c r="E254" s="14" t="n">
        <x:v>0</x:v>
      </x:c>
      <x:c r="F254" s="14" t="n">
        <x:v>0</x:v>
      </x:c>
      <x:c r="G254" s="14" t="n">
        <x:v>0</x:v>
      </x:c>
      <x:c r="H254" s="14" t="n">
        <x:v>4</x:v>
      </x:c>
      <x:c r="I254" s="14" t="n">
        <x:v>0</x:v>
      </x:c>
      <x:c r="J254" s="14" t="n">
        <x:v>0</x:v>
      </x:c>
      <x:c r="K254" s="14" t="n">
        <x:v>0</x:v>
      </x:c>
      <x:c r="L254" s="14" t="n">
        <x:v>0</x:v>
      </x:c>
      <x:c r="M254" s="14" t="n">
        <x:v>0</x:v>
      </x:c>
      <x:c r="N254" s="14" t="n">
        <x:v>1</x:v>
      </x:c>
      <x:c r="O254" s="14" t="n">
        <x:v>0</x:v>
      </x:c>
      <x:c r="P254" s="14" t="n">
        <x:v>25</x:v>
      </x:c>
      <x:c r="Q254" s="60" t="n">
        <x:v>2018</x:v>
      </x:c>
      <x:c r="R254" s="12" t="str">
        <x:v>Department of Statistics - Establishments Census 2018 - Table 4</x:v>
      </x:c>
    </x:row>
    <x:row r="255">
      <x:c r="A255" s="12" t="str">
        <x:v>6130</x:v>
      </x:c>
      <x:c r="B255" s="12" t="str">
        <x:v>Satellite telecommunications activities</x:v>
      </x:c>
      <x:c r="C255" s="12" t="str">
        <x:v>Detailed activity (4-digit)</x:v>
      </x:c>
      <x:c r="D255" s="14" t="n">
        <x:v>2</x:v>
      </x:c>
      <x:c r="E255" s="14" t="n">
        <x:v>0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0</x:v>
      </x:c>
      <x:c r="K255" s="14" t="n">
        <x:v>0</x:v>
      </x:c>
      <x:c r="L255" s="14" t="n">
        <x:v>0</x:v>
      </x:c>
      <x:c r="M255" s="14" t="n">
        <x:v>0</x:v>
      </x:c>
      <x:c r="N255" s="14" t="n">
        <x:v>0</x:v>
      </x:c>
      <x:c r="O255" s="14" t="n">
        <x:v>0</x:v>
      </x:c>
      <x:c r="P255" s="14" t="n">
        <x:v>2</x:v>
      </x:c>
      <x:c r="Q255" s="60" t="n">
        <x:v>2018</x:v>
      </x:c>
      <x:c r="R255" s="12" t="str">
        <x:v>Department of Statistics - Establishments Census 2018 - Table 4</x:v>
      </x:c>
    </x:row>
    <x:row r="256">
      <x:c r="A256" s="12" t="str">
        <x:v>6190</x:v>
      </x:c>
      <x:c r="B256" s="12" t="str">
        <x:v>Other telecommunications activities</x:v>
      </x:c>
      <x:c r="C256" s="12" t="str">
        <x:v>Detailed activity (4-digit)</x:v>
      </x:c>
      <x:c r="D256" s="14" t="n">
        <x:v>10</x:v>
      </x:c>
      <x:c r="E256" s="14" t="n">
        <x:v>0</x:v>
      </x:c>
      <x:c r="F256" s="14" t="n">
        <x:v>0</x:v>
      </x:c>
      <x:c r="G256" s="14" t="n">
        <x:v>0</x:v>
      </x:c>
      <x:c r="H256" s="14" t="n">
        <x:v>4</x:v>
      </x:c>
      <x:c r="I256" s="14" t="n">
        <x:v>0</x:v>
      </x:c>
      <x:c r="J256" s="14" t="n">
        <x:v>0</x:v>
      </x:c>
      <x:c r="K256" s="14" t="n">
        <x:v>0</x:v>
      </x:c>
      <x:c r="L256" s="14" t="n">
        <x:v>0</x:v>
      </x:c>
      <x:c r="M256" s="14" t="n">
        <x:v>0</x:v>
      </x:c>
      <x:c r="N256" s="14" t="n">
        <x:v>0</x:v>
      </x:c>
      <x:c r="O256" s="14" t="n">
        <x:v>0</x:v>
      </x:c>
      <x:c r="P256" s="14" t="n">
        <x:v>14</x:v>
      </x:c>
      <x:c r="Q256" s="60" t="n">
        <x:v>2018</x:v>
      </x:c>
      <x:c r="R256" s="12" t="str">
        <x:v>Department of Statistics - Establishments Census 2018 - Table 4</x:v>
      </x:c>
    </x:row>
    <x:row r="257">
      <x:c r="A257" s="12" t="str">
        <x:v>62</x:v>
      </x:c>
      <x:c r="B257" s="12" t="str">
        <x:v>Computer programming, consultancy and related activities</x:v>
      </x:c>
      <x:c r="C257" s="12" t="str">
        <x:v>Sector (2-digit)</x:v>
      </x:c>
      <x:c r="D257" s="14" t="n">
        <x:v>337</x:v>
      </x:c>
      <x:c r="E257" s="14" t="n">
        <x:v>1</x:v>
      </x:c>
      <x:c r="F257" s="14" t="n">
        <x:v>0</x:v>
      </x:c>
      <x:c r="G257" s="14" t="n">
        <x:v>2</x:v>
      </x:c>
      <x:c r="H257" s="14" t="n">
        <x:v>11</x:v>
      </x:c>
      <x:c r="I257" s="14" t="n">
        <x:v>1</x:v>
      </x:c>
      <x:c r="J257" s="14" t="n">
        <x:v>1</x:v>
      </x:c>
      <x:c r="K257" s="14" t="n">
        <x:v>0</x:v>
      </x:c>
      <x:c r="L257" s="14" t="n">
        <x:v>0</x:v>
      </x:c>
      <x:c r="M257" s="14" t="n">
        <x:v>0</x:v>
      </x:c>
      <x:c r="N257" s="14" t="n">
        <x:v>0</x:v>
      </x:c>
      <x:c r="O257" s="14" t="n">
        <x:v>1</x:v>
      </x:c>
      <x:c r="P257" s="14" t="n">
        <x:v>354</x:v>
      </x:c>
      <x:c r="Q257" s="60" t="n">
        <x:v>2018</x:v>
      </x:c>
      <x:c r="R257" s="12" t="str">
        <x:v>Department of Statistics - Establishments Census 2018 - Table 4</x:v>
      </x:c>
    </x:row>
    <x:row r="258">
      <x:c r="A258" s="12" t="str">
        <x:v>6201</x:v>
      </x:c>
      <x:c r="B258" s="12" t="str">
        <x:v>Computer programming activities</x:v>
      </x:c>
      <x:c r="C258" s="12" t="str">
        <x:v>Detailed activity (4-digit)</x:v>
      </x:c>
      <x:c r="D258" s="14" t="n">
        <x:v>257</x:v>
      </x:c>
      <x:c r="E258" s="14" t="n">
        <x:v>0</x:v>
      </x:c>
      <x:c r="F258" s="14" t="n">
        <x:v>0</x:v>
      </x:c>
      <x:c r="G258" s="14" t="n">
        <x:v>2</x:v>
      </x:c>
      <x:c r="H258" s="14" t="n">
        <x:v>7</x:v>
      </x:c>
      <x:c r="I258" s="14" t="n">
        <x:v>0</x:v>
      </x:c>
      <x:c r="J258" s="14" t="n">
        <x:v>0</x:v>
      </x:c>
      <x:c r="K258" s="14" t="n">
        <x:v>0</x:v>
      </x:c>
      <x:c r="L258" s="14" t="n">
        <x:v>0</x:v>
      </x:c>
      <x:c r="M258" s="14" t="n">
        <x:v>0</x:v>
      </x:c>
      <x:c r="N258" s="14" t="n">
        <x:v>0</x:v>
      </x:c>
      <x:c r="O258" s="14" t="n">
        <x:v>1</x:v>
      </x:c>
      <x:c r="P258" s="14" t="n">
        <x:v>267</x:v>
      </x:c>
      <x:c r="Q258" s="60" t="n">
        <x:v>2018</x:v>
      </x:c>
      <x:c r="R258" s="12" t="str">
        <x:v>Department of Statistics - Establishments Census 2018 - Table 4</x:v>
      </x:c>
    </x:row>
    <x:row r="259">
      <x:c r="A259" s="12" t="str">
        <x:v>6202</x:v>
      </x:c>
      <x:c r="B259" s="12" t="str">
        <x:v>Computer consultancy and computer facilities management activities</x:v>
      </x:c>
      <x:c r="C259" s="12" t="str">
        <x:v>Detailed activity (4-digit)</x:v>
      </x:c>
      <x:c r="D259" s="14" t="n">
        <x:v>27</x:v>
      </x:c>
      <x:c r="E259" s="14" t="n">
        <x:v>1</x:v>
      </x:c>
      <x:c r="F259" s="14" t="n">
        <x:v>0</x:v>
      </x:c>
      <x:c r="G259" s="14" t="n">
        <x:v>0</x:v>
      </x:c>
      <x:c r="H259" s="14" t="n">
        <x:v>2</x:v>
      </x:c>
      <x:c r="I259" s="14" t="n">
        <x:v>1</x:v>
      </x:c>
      <x:c r="J259" s="14" t="n">
        <x:v>1</x:v>
      </x:c>
      <x:c r="K259" s="14" t="n">
        <x:v>0</x:v>
      </x:c>
      <x:c r="L259" s="14" t="n">
        <x:v>0</x:v>
      </x:c>
      <x:c r="M259" s="14" t="n">
        <x:v>0</x:v>
      </x:c>
      <x:c r="N259" s="14" t="n">
        <x:v>0</x:v>
      </x:c>
      <x:c r="O259" s="14" t="n">
        <x:v>0</x:v>
      </x:c>
      <x:c r="P259" s="14" t="n">
        <x:v>32</x:v>
      </x:c>
      <x:c r="Q259" s="60" t="n">
        <x:v>2018</x:v>
      </x:c>
      <x:c r="R259" s="12" t="str">
        <x:v>Department of Statistics - Establishments Census 2018 - Table 4</x:v>
      </x:c>
    </x:row>
    <x:row r="260">
      <x:c r="A260" s="12" t="str">
        <x:v>6209</x:v>
      </x:c>
      <x:c r="B260" s="12" t="str">
        <x:v>Other information technology and computer service activities</x:v>
      </x:c>
      <x:c r="C260" s="12" t="str">
        <x:v>Detailed activity (4-digit)</x:v>
      </x:c>
      <x:c r="D260" s="14" t="n">
        <x:v>53</x:v>
      </x:c>
      <x:c r="E260" s="14" t="n">
        <x:v>0</x:v>
      </x:c>
      <x:c r="F260" s="14" t="n">
        <x:v>0</x:v>
      </x:c>
      <x:c r="G260" s="14" t="n">
        <x:v>0</x:v>
      </x:c>
      <x:c r="H260" s="14" t="n">
        <x:v>2</x:v>
      </x:c>
      <x:c r="I260" s="14" t="n">
        <x:v>0</x:v>
      </x:c>
      <x:c r="J260" s="14" t="n">
        <x:v>0</x:v>
      </x:c>
      <x:c r="K260" s="14" t="n">
        <x:v>0</x:v>
      </x:c>
      <x:c r="L260" s="14" t="n">
        <x:v>0</x:v>
      </x:c>
      <x:c r="M260" s="14" t="n">
        <x:v>0</x:v>
      </x:c>
      <x:c r="N260" s="14" t="n">
        <x:v>0</x:v>
      </x:c>
      <x:c r="O260" s="14" t="n">
        <x:v>0</x:v>
      </x:c>
      <x:c r="P260" s="14" t="n">
        <x:v>55</x:v>
      </x:c>
      <x:c r="Q260" s="60" t="n">
        <x:v>2018</x:v>
      </x:c>
      <x:c r="R260" s="12" t="str">
        <x:v>Department of Statistics - Establishments Census 2018 - Table 4</x:v>
      </x:c>
    </x:row>
    <x:row r="261">
      <x:c r="A261" s="12" t="str">
        <x:v>63</x:v>
      </x:c>
      <x:c r="B261" s="12" t="str">
        <x:v>Information service activities</x:v>
      </x:c>
      <x:c r="C261" s="12" t="str">
        <x:v>Sector (2-digit)</x:v>
      </x:c>
      <x:c r="D261" s="14" t="n">
        <x:v>14</x:v>
      </x:c>
      <x:c r="E261" s="14" t="n">
        <x:v>0</x:v>
      </x:c>
      <x:c r="F261" s="14" t="n">
        <x:v>1</x:v>
      </x:c>
      <x:c r="G261" s="14" t="n">
        <x:v>0</x:v>
      </x:c>
      <x:c r="H261" s="14" t="n">
        <x:v>2</x:v>
      </x:c>
      <x:c r="I261" s="14" t="n">
        <x:v>0</x:v>
      </x:c>
      <x:c r="J261" s="14" t="n">
        <x:v>0</x:v>
      </x:c>
      <x:c r="K261" s="14" t="n">
        <x:v>0</x:v>
      </x:c>
      <x:c r="L261" s="14" t="n">
        <x:v>0</x:v>
      </x:c>
      <x:c r="M261" s="14" t="n">
        <x:v>0</x:v>
      </x:c>
      <x:c r="N261" s="14" t="n">
        <x:v>0</x:v>
      </x:c>
      <x:c r="O261" s="14" t="n">
        <x:v>0</x:v>
      </x:c>
      <x:c r="P261" s="14" t="n">
        <x:v>17</x:v>
      </x:c>
      <x:c r="Q261" s="60" t="n">
        <x:v>2018</x:v>
      </x:c>
      <x:c r="R261" s="12" t="str">
        <x:v>Department of Statistics - Establishments Census 2018 - Table 4</x:v>
      </x:c>
    </x:row>
    <x:row r="262">
      <x:c r="A262" s="12" t="str">
        <x:v>6311</x:v>
      </x:c>
      <x:c r="B262" s="12" t="str">
        <x:v>Data processing, hosting and related activities</x:v>
      </x:c>
      <x:c r="C262" s="12" t="str">
        <x:v>Detailed activity (4-digit)</x:v>
      </x:c>
      <x:c r="D262" s="14" t="n">
        <x:v>13</x:v>
      </x:c>
      <x:c r="E262" s="14" t="n">
        <x:v>0</x:v>
      </x:c>
      <x:c r="F262" s="14" t="n">
        <x:v>1</x:v>
      </x:c>
      <x:c r="G262" s="14" t="n">
        <x:v>0</x:v>
      </x:c>
      <x:c r="H262" s="14" t="n">
        <x:v>1</x:v>
      </x:c>
      <x:c r="I262" s="14" t="n">
        <x:v>0</x:v>
      </x:c>
      <x:c r="J262" s="14" t="n">
        <x:v>0</x:v>
      </x:c>
      <x:c r="K262" s="14" t="n">
        <x:v>0</x:v>
      </x:c>
      <x:c r="L262" s="14" t="n">
        <x:v>0</x:v>
      </x:c>
      <x:c r="M262" s="14" t="n">
        <x:v>0</x:v>
      </x:c>
      <x:c r="N262" s="14" t="n">
        <x:v>0</x:v>
      </x:c>
      <x:c r="O262" s="14" t="n">
        <x:v>0</x:v>
      </x:c>
      <x:c r="P262" s="14" t="n">
        <x:v>15</x:v>
      </x:c>
      <x:c r="Q262" s="60" t="n">
        <x:v>2018</x:v>
      </x:c>
      <x:c r="R262" s="12" t="str">
        <x:v>Department of Statistics - Establishments Census 2018 - Table 4</x:v>
      </x:c>
    </x:row>
    <x:row r="263">
      <x:c r="A263" s="12" t="str">
        <x:v>6312</x:v>
      </x:c>
      <x:c r="B263" s="12" t="str">
        <x:v>Web portals</x:v>
      </x:c>
      <x:c r="C263" s="12" t="str">
        <x:v>Detailed activity (4-digit)</x:v>
      </x:c>
      <x:c r="D263" s="14" t="n">
        <x:v>0</x:v>
      </x:c>
      <x:c r="E263" s="14" t="n">
        <x:v>0</x:v>
      </x:c>
      <x:c r="F263" s="14" t="n">
        <x:v>0</x:v>
      </x:c>
      <x:c r="G263" s="14" t="n">
        <x:v>0</x:v>
      </x:c>
      <x:c r="H263" s="14" t="n">
        <x:v>1</x:v>
      </x:c>
      <x:c r="I263" s="14" t="n">
        <x:v>0</x:v>
      </x:c>
      <x:c r="J263" s="14" t="n">
        <x:v>0</x:v>
      </x:c>
      <x:c r="K263" s="14" t="n">
        <x:v>0</x:v>
      </x:c>
      <x:c r="L263" s="14" t="n">
        <x:v>0</x:v>
      </x:c>
      <x:c r="M263" s="14" t="n">
        <x:v>0</x:v>
      </x:c>
      <x:c r="N263" s="14" t="n">
        <x:v>0</x:v>
      </x:c>
      <x:c r="O263" s="14" t="n">
        <x:v>0</x:v>
      </x:c>
      <x:c r="P263" s="14" t="n">
        <x:v>1</x:v>
      </x:c>
      <x:c r="Q263" s="60" t="n">
        <x:v>2018</x:v>
      </x:c>
      <x:c r="R263" s="12" t="str">
        <x:v>Department of Statistics - Establishments Census 2018 - Table 4</x:v>
      </x:c>
    </x:row>
    <x:row r="264">
      <x:c r="A264" s="12" t="str">
        <x:v>6391</x:v>
      </x:c>
      <x:c r="B264" s="12" t="str">
        <x:v>News agency activities</x:v>
      </x:c>
      <x:c r="C264" s="12" t="str">
        <x:v>Detailed activity (4-digit)</x:v>
      </x:c>
      <x:c r="D264" s="14" t="n">
        <x:v>1</x:v>
      </x:c>
      <x:c r="E264" s="14" t="n">
        <x:v>0</x:v>
      </x:c>
      <x:c r="F264" s="14" t="n">
        <x:v>0</x:v>
      </x:c>
      <x:c r="G264" s="14" t="n">
        <x:v>0</x:v>
      </x:c>
      <x:c r="H264" s="14" t="n">
        <x:v>0</x:v>
      </x:c>
      <x:c r="I264" s="14" t="n">
        <x:v>0</x:v>
      </x:c>
      <x:c r="J264" s="14" t="n">
        <x:v>0</x:v>
      </x:c>
      <x:c r="K264" s="14" t="n">
        <x:v>0</x:v>
      </x:c>
      <x:c r="L264" s="14" t="n">
        <x:v>0</x:v>
      </x:c>
      <x:c r="M264" s="14" t="n">
        <x:v>0</x:v>
      </x:c>
      <x:c r="N264" s="14" t="n">
        <x:v>0</x:v>
      </x:c>
      <x:c r="O264" s="14" t="n">
        <x:v>0</x:v>
      </x:c>
      <x:c r="P264" s="14" t="n">
        <x:v>1</x:v>
      </x:c>
      <x:c r="Q264" s="60" t="n">
        <x:v>2018</x:v>
      </x:c>
      <x:c r="R264" s="12" t="str">
        <x:v>Department of Statistics - Establishments Census 2018 - Table 4</x:v>
      </x:c>
    </x:row>
    <x:row r="265">
      <x:c r="A265" s="12" t="str">
        <x:v>64</x:v>
      </x:c>
      <x:c r="B265" s="12" t="str">
        <x:v>Financial service activities, except insurance and pension funding</x:v>
      </x:c>
      <x:c r="C265" s="12" t="str">
        <x:v>Sector (2-digit)</x:v>
      </x:c>
      <x:c r="D265" s="14" t="n">
        <x:v>106</x:v>
      </x:c>
      <x:c r="E265" s="14" t="n">
        <x:v>2</x:v>
      </x:c>
      <x:c r="F265" s="14" t="n">
        <x:v>4</x:v>
      </x:c>
      <x:c r="G265" s="14" t="n">
        <x:v>0</x:v>
      </x:c>
      <x:c r="H265" s="14" t="n">
        <x:v>3</x:v>
      </x:c>
      <x:c r="I265" s="14" t="n">
        <x:v>1</x:v>
      </x:c>
      <x:c r="J265" s="14" t="n">
        <x:v>1</x:v>
      </x:c>
      <x:c r="K265" s="14" t="n">
        <x:v>0</x:v>
      </x:c>
      <x:c r="L265" s="14" t="n">
        <x:v>0</x:v>
      </x:c>
      <x:c r="M265" s="14" t="n">
        <x:v>0</x:v>
      </x:c>
      <x:c r="N265" s="14" t="n">
        <x:v>0</x:v>
      </x:c>
      <x:c r="O265" s="14" t="n">
        <x:v>0</x:v>
      </x:c>
      <x:c r="P265" s="14" t="n">
        <x:v>117</x:v>
      </x:c>
      <x:c r="Q265" s="60" t="n">
        <x:v>2018</x:v>
      </x:c>
      <x:c r="R265" s="12" t="str">
        <x:v>Department of Statistics - Establishments Census 2018 - Table 4</x:v>
      </x:c>
    </x:row>
    <x:row r="266">
      <x:c r="A266" s="12" t="str">
        <x:v>6419</x:v>
      </x:c>
      <x:c r="B266" s="12" t="str">
        <x:v>Other monetary intermediation</x:v>
      </x:c>
      <x:c r="C266" s="12" t="str">
        <x:v>Detailed activity (4-digit)</x:v>
      </x:c>
      <x:c r="D266" s="14" t="n">
        <x:v>31</x:v>
      </x:c>
      <x:c r="E266" s="14" t="n">
        <x:v>0</x:v>
      </x:c>
      <x:c r="F266" s="14" t="n">
        <x:v>0</x:v>
      </x:c>
      <x:c r="G266" s="14" t="n">
        <x:v>0</x:v>
      </x:c>
      <x:c r="H266" s="14" t="n">
        <x:v>0</x:v>
      </x:c>
      <x:c r="I266" s="14" t="n">
        <x:v>0</x:v>
      </x:c>
      <x:c r="J266" s="14" t="n">
        <x:v>0</x:v>
      </x:c>
      <x:c r="K266" s="14" t="n">
        <x:v>0</x:v>
      </x:c>
      <x:c r="L266" s="14" t="n">
        <x:v>0</x:v>
      </x:c>
      <x:c r="M266" s="14" t="n">
        <x:v>0</x:v>
      </x:c>
      <x:c r="N266" s="14" t="n">
        <x:v>0</x:v>
      </x:c>
      <x:c r="O266" s="14" t="n">
        <x:v>0</x:v>
      </x:c>
      <x:c r="P266" s="14" t="n">
        <x:v>31</x:v>
      </x:c>
      <x:c r="Q266" s="60" t="n">
        <x:v>2018</x:v>
      </x:c>
      <x:c r="R266" s="12" t="str">
        <x:v>Department of Statistics - Establishments Census 2018 - Table 4</x:v>
      </x:c>
    </x:row>
    <x:row r="267">
      <x:c r="A267" s="12" t="str">
        <x:v>6420</x:v>
      </x:c>
      <x:c r="B267" s="12" t="str">
        <x:v>Activities of holding companies</x:v>
      </x:c>
      <x:c r="C267" s="12" t="str">
        <x:v>Detailed activity (4-digit)</x:v>
      </x:c>
      <x:c r="D267" s="14" t="n">
        <x:v>8</x:v>
      </x:c>
      <x:c r="E267" s="14" t="n">
        <x:v>0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0</x:v>
      </x:c>
      <x:c r="K267" s="14" t="n">
        <x:v>0</x:v>
      </x:c>
      <x:c r="L267" s="14" t="n">
        <x:v>0</x:v>
      </x:c>
      <x:c r="M267" s="14" t="n">
        <x:v>0</x:v>
      </x:c>
      <x:c r="N267" s="14" t="n">
        <x:v>0</x:v>
      </x:c>
      <x:c r="O267" s="14" t="n">
        <x:v>0</x:v>
      </x:c>
      <x:c r="P267" s="14" t="n">
        <x:v>8</x:v>
      </x:c>
      <x:c r="Q267" s="60" t="n">
        <x:v>2018</x:v>
      </x:c>
      <x:c r="R267" s="12" t="str">
        <x:v>Department of Statistics - Establishments Census 2018 - Table 4</x:v>
      </x:c>
    </x:row>
    <x:row r="268">
      <x:c r="A268" s="12" t="str">
        <x:v>6491</x:v>
      </x:c>
      <x:c r="B268" s="12" t="str">
        <x:v>Financial leasing</x:v>
      </x:c>
      <x:c r="C268" s="12" t="str">
        <x:v>Detailed activity (4-digit)</x:v>
      </x:c>
      <x:c r="D268" s="14" t="n">
        <x:v>12</x:v>
      </x:c>
      <x:c r="E268" s="14" t="n">
        <x:v>0</x:v>
      </x:c>
      <x:c r="F268" s="14" t="n">
        <x:v>0</x:v>
      </x:c>
      <x:c r="G268" s="14" t="n">
        <x:v>0</x:v>
      </x:c>
      <x:c r="H268" s="14" t="n">
        <x:v>0</x:v>
      </x:c>
      <x:c r="I268" s="14" t="n">
        <x:v>0</x:v>
      </x:c>
      <x:c r="J268" s="14" t="n">
        <x:v>0</x:v>
      </x:c>
      <x:c r="K268" s="14" t="n">
        <x:v>0</x:v>
      </x:c>
      <x:c r="L268" s="14" t="n">
        <x:v>0</x:v>
      </x:c>
      <x:c r="M268" s="14" t="n">
        <x:v>0</x:v>
      </x:c>
      <x:c r="N268" s="14" t="n">
        <x:v>0</x:v>
      </x:c>
      <x:c r="O268" s="14" t="n">
        <x:v>0</x:v>
      </x:c>
      <x:c r="P268" s="14" t="n">
        <x:v>12</x:v>
      </x:c>
      <x:c r="Q268" s="60" t="n">
        <x:v>2018</x:v>
      </x:c>
      <x:c r="R268" s="12" t="str">
        <x:v>Department of Statistics - Establishments Census 2018 - Table 4</x:v>
      </x:c>
    </x:row>
    <x:row r="269">
      <x:c r="A269" s="12" t="str">
        <x:v>6492</x:v>
      </x:c>
      <x:c r="B269" s="12" t="str">
        <x:v>Other credit granting</x:v>
      </x:c>
      <x:c r="C269" s="12" t="str">
        <x:v>Detailed activity (4-digit)</x:v>
      </x:c>
      <x:c r="D269" s="14" t="n">
        <x:v>28</x:v>
      </x:c>
      <x:c r="E269" s="14" t="n">
        <x:v>2</x:v>
      </x:c>
      <x:c r="F269" s="14" t="n">
        <x:v>3</x:v>
      </x:c>
      <x:c r="G269" s="14" t="n">
        <x:v>0</x:v>
      </x:c>
      <x:c r="H269" s="14" t="n">
        <x:v>3</x:v>
      </x:c>
      <x:c r="I269" s="14" t="n">
        <x:v>1</x:v>
      </x:c>
      <x:c r="J269" s="14" t="n">
        <x:v>1</x:v>
      </x:c>
      <x:c r="K269" s="14" t="n">
        <x:v>0</x:v>
      </x:c>
      <x:c r="L269" s="14" t="n">
        <x:v>0</x:v>
      </x:c>
      <x:c r="M269" s="14" t="n">
        <x:v>0</x:v>
      </x:c>
      <x:c r="N269" s="14" t="n">
        <x:v>0</x:v>
      </x:c>
      <x:c r="O269" s="14" t="n">
        <x:v>0</x:v>
      </x:c>
      <x:c r="P269" s="14" t="n">
        <x:v>38</x:v>
      </x:c>
      <x:c r="Q269" s="60" t="n">
        <x:v>2018</x:v>
      </x:c>
      <x:c r="R269" s="12" t="str">
        <x:v>Department of Statistics - Establishments Census 2018 - Table 4</x:v>
      </x:c>
    </x:row>
    <x:row r="270">
      <x:c r="A270" s="12" t="str">
        <x:v>6499</x:v>
      </x:c>
      <x:c r="B270" s="12" t="str">
        <x:v>Other financial service activities, except insurance and pension funding activities, n.e.c.</x:v>
      </x:c>
      <x:c r="C270" s="12" t="str">
        <x:v>Detailed activity (4-digit)</x:v>
      </x:c>
      <x:c r="D270" s="14" t="n">
        <x:v>27</x:v>
      </x:c>
      <x:c r="E270" s="14" t="n">
        <x:v>0</x:v>
      </x:c>
      <x:c r="F270" s="14" t="n">
        <x:v>1</x:v>
      </x:c>
      <x:c r="G270" s="14" t="n">
        <x:v>0</x:v>
      </x:c>
      <x:c r="H270" s="14" t="n">
        <x:v>0</x:v>
      </x:c>
      <x:c r="I270" s="14" t="n">
        <x:v>0</x:v>
      </x:c>
      <x:c r="J270" s="14" t="n">
        <x:v>0</x:v>
      </x:c>
      <x:c r="K270" s="14" t="n">
        <x:v>0</x:v>
      </x:c>
      <x:c r="L270" s="14" t="n">
        <x:v>0</x:v>
      </x:c>
      <x:c r="M270" s="14" t="n">
        <x:v>0</x:v>
      </x:c>
      <x:c r="N270" s="14" t="n">
        <x:v>0</x:v>
      </x:c>
      <x:c r="O270" s="14" t="n">
        <x:v>0</x:v>
      </x:c>
      <x:c r="P270" s="14" t="n">
        <x:v>28</x:v>
      </x:c>
      <x:c r="Q270" s="60" t="n">
        <x:v>2018</x:v>
      </x:c>
      <x:c r="R270" s="12" t="str">
        <x:v>Department of Statistics - Establishments Census 2018 - Table 4</x:v>
      </x:c>
    </x:row>
    <x:row r="271">
      <x:c r="A271" s="12" t="str">
        <x:v>65</x:v>
      </x:c>
      <x:c r="B271" s="12" t="str">
        <x:v>Insurance, reinsurance and pension funding, except compulsory social security</x:v>
      </x:c>
      <x:c r="C271" s="12" t="str">
        <x:v>Sector (2-digit)</x:v>
      </x:c>
      <x:c r="D271" s="14" t="n">
        <x:v>21</x:v>
      </x:c>
      <x:c r="E271" s="14" t="n">
        <x:v>0</x:v>
      </x:c>
      <x:c r="F271" s="14" t="n">
        <x:v>2</x:v>
      </x:c>
      <x:c r="G271" s="14" t="n">
        <x:v>0</x:v>
      </x:c>
      <x:c r="H271" s="14" t="n">
        <x:v>1</x:v>
      </x:c>
      <x:c r="I271" s="14" t="n">
        <x:v>0</x:v>
      </x:c>
      <x:c r="J271" s="14" t="n">
        <x:v>0</x:v>
      </x:c>
      <x:c r="K271" s="14" t="n">
        <x:v>0</x:v>
      </x:c>
      <x:c r="L271" s="14" t="n">
        <x:v>0</x:v>
      </x:c>
      <x:c r="M271" s="14" t="n">
        <x:v>0</x:v>
      </x:c>
      <x:c r="N271" s="14" t="n">
        <x:v>0</x:v>
      </x:c>
      <x:c r="O271" s="14" t="n">
        <x:v>0</x:v>
      </x:c>
      <x:c r="P271" s="14" t="n">
        <x:v>24</x:v>
      </x:c>
      <x:c r="Q271" s="60" t="n">
        <x:v>2018</x:v>
      </x:c>
      <x:c r="R271" s="12" t="str">
        <x:v>Department of Statistics - Establishments Census 2018 - Table 4</x:v>
      </x:c>
    </x:row>
    <x:row r="272">
      <x:c r="A272" s="12" t="str">
        <x:v>6511</x:v>
      </x:c>
      <x:c r="B272" s="12" t="str">
        <x:v>Life insurance</x:v>
      </x:c>
      <x:c r="C272" s="12" t="str">
        <x:v>Detailed activity (4-digit)</x:v>
      </x:c>
      <x:c r="D272" s="14" t="n">
        <x:v>1</x:v>
      </x:c>
      <x:c r="E272" s="14" t="n">
        <x:v>0</x:v>
      </x:c>
      <x:c r="F272" s="14" t="n">
        <x:v>0</x:v>
      </x:c>
      <x:c r="G272" s="14" t="n">
        <x:v>0</x:v>
      </x:c>
      <x:c r="H272" s="14" t="n">
        <x:v>0</x:v>
      </x:c>
      <x:c r="I272" s="14" t="n">
        <x:v>0</x:v>
      </x:c>
      <x:c r="J272" s="14" t="n">
        <x:v>0</x:v>
      </x:c>
      <x:c r="K272" s="14" t="n">
        <x:v>0</x:v>
      </x:c>
      <x:c r="L272" s="14" t="n">
        <x:v>0</x:v>
      </x:c>
      <x:c r="M272" s="14" t="n">
        <x:v>0</x:v>
      </x:c>
      <x:c r="N272" s="14" t="n">
        <x:v>0</x:v>
      </x:c>
      <x:c r="O272" s="14" t="n">
        <x:v>0</x:v>
      </x:c>
      <x:c r="P272" s="14" t="n">
        <x:v>1</x:v>
      </x:c>
      <x:c r="Q272" s="60" t="n">
        <x:v>2018</x:v>
      </x:c>
      <x:c r="R272" s="12" t="str">
        <x:v>Department of Statistics - Establishments Census 2018 - Table 4</x:v>
      </x:c>
    </x:row>
    <x:row r="273">
      <x:c r="A273" s="12" t="str">
        <x:v>6512</x:v>
      </x:c>
      <x:c r="B273" s="12" t="str">
        <x:v>Non-life insurance</x:v>
      </x:c>
      <x:c r="C273" s="12" t="str">
        <x:v>Detailed activity (4-digit)</x:v>
      </x:c>
      <x:c r="D273" s="14" t="n">
        <x:v>20</x:v>
      </x:c>
      <x:c r="E273" s="14" t="n">
        <x:v>0</x:v>
      </x:c>
      <x:c r="F273" s="14" t="n">
        <x:v>2</x:v>
      </x:c>
      <x:c r="G273" s="14" t="n">
        <x:v>0</x:v>
      </x:c>
      <x:c r="H273" s="14" t="n">
        <x:v>1</x:v>
      </x:c>
      <x:c r="I273" s="14" t="n">
        <x:v>0</x:v>
      </x:c>
      <x:c r="J273" s="14" t="n">
        <x:v>0</x:v>
      </x:c>
      <x:c r="K273" s="14" t="n">
        <x:v>0</x:v>
      </x:c>
      <x:c r="L273" s="14" t="n">
        <x:v>0</x:v>
      </x:c>
      <x:c r="M273" s="14" t="n">
        <x:v>0</x:v>
      </x:c>
      <x:c r="N273" s="14" t="n">
        <x:v>0</x:v>
      </x:c>
      <x:c r="O273" s="14" t="n">
        <x:v>0</x:v>
      </x:c>
      <x:c r="P273" s="14" t="n">
        <x:v>23</x:v>
      </x:c>
      <x:c r="Q273" s="60" t="n">
        <x:v>2018</x:v>
      </x:c>
      <x:c r="R273" s="12" t="str">
        <x:v>Department of Statistics - Establishments Census 2018 - Table 4</x:v>
      </x:c>
    </x:row>
    <x:row r="274">
      <x:c r="A274" s="12" t="str">
        <x:v>66</x:v>
      </x:c>
      <x:c r="B274" s="12" t="str">
        <x:v>Activities auxiliary to financial service and insurance activities</x:v>
      </x:c>
      <x:c r="C274" s="12" t="str">
        <x:v>Sector (2-digit)</x:v>
      </x:c>
      <x:c r="D274" s="14" t="n">
        <x:v>189</x:v>
      </x:c>
      <x:c r="E274" s="14" t="n">
        <x:v>3</x:v>
      </x:c>
      <x:c r="F274" s="14" t="n">
        <x:v>17</x:v>
      </x:c>
      <x:c r="G274" s="14" t="n">
        <x:v>1</x:v>
      </x:c>
      <x:c r="H274" s="14" t="n">
        <x:v>13</x:v>
      </x:c>
      <x:c r="I274" s="14" t="n">
        <x:v>4</x:v>
      </x:c>
      <x:c r="J274" s="14" t="n">
        <x:v>1</x:v>
      </x:c>
      <x:c r="K274" s="14" t="n">
        <x:v>0</x:v>
      </x:c>
      <x:c r="L274" s="14" t="n">
        <x:v>2</x:v>
      </x:c>
      <x:c r="M274" s="14" t="n">
        <x:v>0</x:v>
      </x:c>
      <x:c r="N274" s="14" t="n">
        <x:v>3</x:v>
      </x:c>
      <x:c r="O274" s="14" t="n">
        <x:v>7</x:v>
      </x:c>
      <x:c r="P274" s="14" t="n">
        <x:v>240</x:v>
      </x:c>
      <x:c r="Q274" s="60" t="n">
        <x:v>2018</x:v>
      </x:c>
      <x:c r="R274" s="12" t="str">
        <x:v>Department of Statistics - Establishments Census 2018 - Table 4</x:v>
      </x:c>
    </x:row>
    <x:row r="275">
      <x:c r="A275" s="12" t="str">
        <x:v>6611</x:v>
      </x:c>
      <x:c r="B275" s="12" t="str">
        <x:v>Administration of financial markets</x:v>
      </x:c>
      <x:c r="C275" s="12" t="str">
        <x:v>Detailed activity (4-digit)</x:v>
      </x:c>
      <x:c r="D275" s="14" t="n">
        <x:v>4</x:v>
      </x:c>
      <x:c r="E275" s="14" t="n">
        <x:v>0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0</x:v>
      </x:c>
      <x:c r="K275" s="14" t="n">
        <x:v>0</x:v>
      </x:c>
      <x:c r="L275" s="14" t="n">
        <x:v>0</x:v>
      </x:c>
      <x:c r="M275" s="14" t="n">
        <x:v>0</x:v>
      </x:c>
      <x:c r="N275" s="14" t="n">
        <x:v>0</x:v>
      </x:c>
      <x:c r="O275" s="14" t="n">
        <x:v>0</x:v>
      </x:c>
      <x:c r="P275" s="14" t="n">
        <x:v>4</x:v>
      </x:c>
      <x:c r="Q275" s="60" t="n">
        <x:v>2018</x:v>
      </x:c>
      <x:c r="R275" s="12" t="str">
        <x:v>Department of Statistics - Establishments Census 2018 - Table 4</x:v>
      </x:c>
    </x:row>
    <x:row r="276">
      <x:c r="A276" s="12" t="str">
        <x:v>6612</x:v>
      </x:c>
      <x:c r="B276" s="12" t="str">
        <x:v>Security and commodity contracts brokerage</x:v>
      </x:c>
      <x:c r="C276" s="12" t="str">
        <x:v>Detailed activity (4-digit)</x:v>
      </x:c>
      <x:c r="D276" s="14" t="n">
        <x:v>109</x:v>
      </x:c>
      <x:c r="E276" s="14" t="n">
        <x:v>2</x:v>
      </x:c>
      <x:c r="F276" s="14" t="n">
        <x:v>11</x:v>
      </x:c>
      <x:c r="G276" s="14" t="n">
        <x:v>1</x:v>
      </x:c>
      <x:c r="H276" s="14" t="n">
        <x:v>8</x:v>
      </x:c>
      <x:c r="I276" s="14" t="n">
        <x:v>4</x:v>
      </x:c>
      <x:c r="J276" s="14" t="n">
        <x:v>1</x:v>
      </x:c>
      <x:c r="K276" s="14" t="n">
        <x:v>0</x:v>
      </x:c>
      <x:c r="L276" s="14" t="n">
        <x:v>2</x:v>
      </x:c>
      <x:c r="M276" s="14" t="n">
        <x:v>0</x:v>
      </x:c>
      <x:c r="N276" s="14" t="n">
        <x:v>3</x:v>
      </x:c>
      <x:c r="O276" s="14" t="n">
        <x:v>6</x:v>
      </x:c>
      <x:c r="P276" s="14" t="n">
        <x:v>147</x:v>
      </x:c>
      <x:c r="Q276" s="60" t="n">
        <x:v>2018</x:v>
      </x:c>
      <x:c r="R276" s="12" t="str">
        <x:v>Department of Statistics - Establishments Census 2018 - Table 4</x:v>
      </x:c>
    </x:row>
    <x:row r="277">
      <x:c r="A277" s="12" t="str">
        <x:v>6619</x:v>
      </x:c>
      <x:c r="B277" s="12" t="str">
        <x:v>Other activities auxiliary to financial service activities</x:v>
      </x:c>
      <x:c r="C277" s="12" t="str">
        <x:v>Detailed activity (4-digit)</x:v>
      </x:c>
      <x:c r="D277" s="14" t="n">
        <x:v>5</x:v>
      </x:c>
      <x:c r="E277" s="14" t="n">
        <x:v>0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0</x:v>
      </x:c>
      <x:c r="K277" s="14" t="n">
        <x:v>0</x:v>
      </x:c>
      <x:c r="L277" s="14" t="n">
        <x:v>0</x:v>
      </x:c>
      <x:c r="M277" s="14" t="n">
        <x:v>0</x:v>
      </x:c>
      <x:c r="N277" s="14" t="n">
        <x:v>0</x:v>
      </x:c>
      <x:c r="O277" s="14" t="n">
        <x:v>0</x:v>
      </x:c>
      <x:c r="P277" s="14" t="n">
        <x:v>5</x:v>
      </x:c>
      <x:c r="Q277" s="60" t="n">
        <x:v>2018</x:v>
      </x:c>
      <x:c r="R277" s="12" t="str">
        <x:v>Department of Statistics - Establishments Census 2018 - Table 4</x:v>
      </x:c>
    </x:row>
    <x:row r="278">
      <x:c r="A278" s="12" t="str">
        <x:v>6622</x:v>
      </x:c>
      <x:c r="B278" s="12" t="str">
        <x:v>Activities of insurance agents and brokers</x:v>
      </x:c>
      <x:c r="C278" s="12" t="str">
        <x:v>Detailed activity (4-digit)</x:v>
      </x:c>
      <x:c r="D278" s="14" t="n">
        <x:v>71</x:v>
      </x:c>
      <x:c r="E278" s="14" t="n">
        <x:v>1</x:v>
      </x:c>
      <x:c r="F278" s="14" t="n">
        <x:v>6</x:v>
      </x:c>
      <x:c r="G278" s="14" t="n">
        <x:v>0</x:v>
      </x:c>
      <x:c r="H278" s="14" t="n">
        <x:v>5</x:v>
      </x:c>
      <x:c r="I278" s="14" t="n">
        <x:v>0</x:v>
      </x:c>
      <x:c r="J278" s="14" t="n">
        <x:v>0</x:v>
      </x:c>
      <x:c r="K278" s="14" t="n">
        <x:v>0</x:v>
      </x:c>
      <x:c r="L278" s="14" t="n">
        <x:v>0</x:v>
      </x:c>
      <x:c r="M278" s="14" t="n">
        <x:v>0</x:v>
      </x:c>
      <x:c r="N278" s="14" t="n">
        <x:v>0</x:v>
      </x:c>
      <x:c r="O278" s="14" t="n">
        <x:v>1</x:v>
      </x:c>
      <x:c r="P278" s="14" t="n">
        <x:v>84</x:v>
      </x:c>
      <x:c r="Q278" s="60" t="n">
        <x:v>2018</x:v>
      </x:c>
      <x:c r="R278" s="12" t="str">
        <x:v>Department of Statistics - Establishments Census 2018 - Table 4</x:v>
      </x:c>
    </x:row>
    <x:row r="279">
      <x:c r="A279" s="12" t="str">
        <x:v>68</x:v>
      </x:c>
      <x:c r="B279" s="12" t="str">
        <x:v>Real estate activities</x:v>
      </x:c>
      <x:c r="C279" s="12" t="str">
        <x:v>Sector (2-digit)</x:v>
      </x:c>
      <x:c r="D279" s="14" t="n">
        <x:v>729</x:v>
      </x:c>
      <x:c r="E279" s="14" t="n">
        <x:v>64</x:v>
      </x:c>
      <x:c r="F279" s="14" t="n">
        <x:v>174</x:v>
      </x:c>
      <x:c r="G279" s="14" t="n">
        <x:v>23</x:v>
      </x:c>
      <x:c r="H279" s="14" t="n">
        <x:v>120</x:v>
      </x:c>
      <x:c r="I279" s="14" t="n">
        <x:v>21</x:v>
      </x:c>
      <x:c r="J279" s="14" t="n">
        <x:v>7</x:v>
      </x:c>
      <x:c r="K279" s="14" t="n">
        <x:v>3</x:v>
      </x:c>
      <x:c r="L279" s="14" t="n">
        <x:v>4</x:v>
      </x:c>
      <x:c r="M279" s="14" t="n">
        <x:v>0</x:v>
      </x:c>
      <x:c r="N279" s="14" t="n">
        <x:v>12</x:v>
      </x:c>
      <x:c r="O279" s="14" t="n">
        <x:v>25</x:v>
      </x:c>
      <x:c r="P279" s="14" t="n">
        <x:v>1182</x:v>
      </x:c>
      <x:c r="Q279" s="60" t="n">
        <x:v>2018</x:v>
      </x:c>
      <x:c r="R279" s="12" t="str">
        <x:v>Department of Statistics - Establishments Census 2018 - Table 4</x:v>
      </x:c>
    </x:row>
    <x:row r="280">
      <x:c r="A280" s="12" t="str">
        <x:v>6810</x:v>
      </x:c>
      <x:c r="B280" s="12" t="str">
        <x:v>Real estate activities with own or leased property</x:v>
      </x:c>
      <x:c r="C280" s="12" t="str">
        <x:v>Detailed activity (4-digit)</x:v>
      </x:c>
      <x:c r="D280" s="14" t="n">
        <x:v>444</x:v>
      </x:c>
      <x:c r="E280" s="14" t="n">
        <x:v>34</x:v>
      </x:c>
      <x:c r="F280" s="14" t="n">
        <x:v>97</x:v>
      </x:c>
      <x:c r="G280" s="14" t="n">
        <x:v>14</x:v>
      </x:c>
      <x:c r="H280" s="14" t="n">
        <x:v>58</x:v>
      </x:c>
      <x:c r="I280" s="14" t="n">
        <x:v>13</x:v>
      </x:c>
      <x:c r="J280" s="14" t="n">
        <x:v>2</x:v>
      </x:c>
      <x:c r="K280" s="14" t="n">
        <x:v>1</x:v>
      </x:c>
      <x:c r="L280" s="14" t="n">
        <x:v>3</x:v>
      </x:c>
      <x:c r="M280" s="14" t="n">
        <x:v>0</x:v>
      </x:c>
      <x:c r="N280" s="14" t="n">
        <x:v>10</x:v>
      </x:c>
      <x:c r="O280" s="14" t="n">
        <x:v>9</x:v>
      </x:c>
      <x:c r="P280" s="14" t="n">
        <x:v>685</x:v>
      </x:c>
      <x:c r="Q280" s="60" t="n">
        <x:v>2018</x:v>
      </x:c>
      <x:c r="R280" s="12" t="str">
        <x:v>Department of Statistics - Establishments Census 2018 - Table 4</x:v>
      </x:c>
    </x:row>
    <x:row r="281">
      <x:c r="A281" s="12" t="str">
        <x:v>6820</x:v>
      </x:c>
      <x:c r="B281" s="12" t="str">
        <x:v>Real estate activities on a fee or contract basis</x:v>
      </x:c>
      <x:c r="C281" s="12" t="str">
        <x:v>Detailed activity (4-digit)</x:v>
      </x:c>
      <x:c r="D281" s="14" t="n">
        <x:v>285</x:v>
      </x:c>
      <x:c r="E281" s="14" t="n">
        <x:v>30</x:v>
      </x:c>
      <x:c r="F281" s="14" t="n">
        <x:v>77</x:v>
      </x:c>
      <x:c r="G281" s="14" t="n">
        <x:v>9</x:v>
      </x:c>
      <x:c r="H281" s="14" t="n">
        <x:v>62</x:v>
      </x:c>
      <x:c r="I281" s="14" t="n">
        <x:v>8</x:v>
      </x:c>
      <x:c r="J281" s="14" t="n">
        <x:v>5</x:v>
      </x:c>
      <x:c r="K281" s="14" t="n">
        <x:v>2</x:v>
      </x:c>
      <x:c r="L281" s="14" t="n">
        <x:v>1</x:v>
      </x:c>
      <x:c r="M281" s="14" t="n">
        <x:v>0</x:v>
      </x:c>
      <x:c r="N281" s="14" t="n">
        <x:v>2</x:v>
      </x:c>
      <x:c r="O281" s="14" t="n">
        <x:v>16</x:v>
      </x:c>
      <x:c r="P281" s="14" t="n">
        <x:v>497</x:v>
      </x:c>
      <x:c r="Q281" s="60" t="n">
        <x:v>2018</x:v>
      </x:c>
      <x:c r="R281" s="12" t="str">
        <x:v>Department of Statistics - Establishments Census 2018 - Table 4</x:v>
      </x:c>
    </x:row>
    <x:row r="282">
      <x:c r="A282" s="12" t="str">
        <x:v>69</x:v>
      </x:c>
      <x:c r="B282" s="12" t="str">
        <x:v>Legal and accounting activities</x:v>
      </x:c>
      <x:c r="C282" s="12" t="str">
        <x:v>Sector (2-digit)</x:v>
      </x:c>
      <x:c r="D282" s="14" t="n">
        <x:v>2004</x:v>
      </x:c>
      <x:c r="E282" s="14" t="n">
        <x:v>106</x:v>
      </x:c>
      <x:c r="F282" s="14" t="n">
        <x:v>360</x:v>
      </x:c>
      <x:c r="G282" s="14" t="n">
        <x:v>52</x:v>
      </x:c>
      <x:c r="H282" s="14" t="n">
        <x:v>360</x:v>
      </x:c>
      <x:c r="I282" s="14" t="n">
        <x:v>114</x:v>
      </x:c>
      <x:c r="J282" s="14" t="n">
        <x:v>31</x:v>
      </x:c>
      <x:c r="K282" s="14" t="n">
        <x:v>83</x:v>
      </x:c>
      <x:c r="L282" s="14" t="n">
        <x:v>138</x:v>
      </x:c>
      <x:c r="M282" s="14" t="n">
        <x:v>12</x:v>
      </x:c>
      <x:c r="N282" s="14" t="n">
        <x:v>14</x:v>
      </x:c>
      <x:c r="O282" s="14" t="n">
        <x:v>64</x:v>
      </x:c>
      <x:c r="P282" s="14" t="n">
        <x:v>3338</x:v>
      </x:c>
      <x:c r="Q282" s="60" t="n">
        <x:v>2018</x:v>
      </x:c>
      <x:c r="R282" s="12" t="str">
        <x:v>Department of Statistics - Establishments Census 2018 - Table 4</x:v>
      </x:c>
    </x:row>
    <x:row r="283">
      <x:c r="A283" s="12" t="str">
        <x:v>6910</x:v>
      </x:c>
      <x:c r="B283" s="12" t="str">
        <x:v>Legal activities</x:v>
      </x:c>
      <x:c r="C283" s="12" t="str">
        <x:v>Detailed activity (4-digit)</x:v>
      </x:c>
      <x:c r="D283" s="14" t="n">
        <x:v>1710</x:v>
      </x:c>
      <x:c r="E283" s="14" t="n">
        <x:v>102</x:v>
      </x:c>
      <x:c r="F283" s="14" t="n">
        <x:v>345</x:v>
      </x:c>
      <x:c r="G283" s="14" t="n">
        <x:v>51</x:v>
      </x:c>
      <x:c r="H283" s="14" t="n">
        <x:v>343</x:v>
      </x:c>
      <x:c r="I283" s="14" t="n">
        <x:v>112</x:v>
      </x:c>
      <x:c r="J283" s="14" t="n">
        <x:v>31</x:v>
      </x:c>
      <x:c r="K283" s="14" t="n">
        <x:v>83</x:v>
      </x:c>
      <x:c r="L283" s="14" t="n">
        <x:v>136</x:v>
      </x:c>
      <x:c r="M283" s="14" t="n">
        <x:v>12</x:v>
      </x:c>
      <x:c r="N283" s="14" t="n">
        <x:v>14</x:v>
      </x:c>
      <x:c r="O283" s="14" t="n">
        <x:v>60</x:v>
      </x:c>
      <x:c r="P283" s="14" t="n">
        <x:v>2999</x:v>
      </x:c>
      <x:c r="Q283" s="60" t="n">
        <x:v>2018</x:v>
      </x:c>
      <x:c r="R283" s="12" t="str">
        <x:v>Department of Statistics - Establishments Census 2018 - Table 4</x:v>
      </x:c>
    </x:row>
    <x:row r="284">
      <x:c r="A284" s="12" t="str">
        <x:v>6920</x:v>
      </x:c>
      <x:c r="B284" s="12" t="str">
        <x:v>Accounting, bookkeeping and auditing activities; tax consultancy</x:v>
      </x:c>
      <x:c r="C284" s="12" t="str">
        <x:v>Detailed activity (4-digit)</x:v>
      </x:c>
      <x:c r="D284" s="14" t="n">
        <x:v>294</x:v>
      </x:c>
      <x:c r="E284" s="14" t="n">
        <x:v>4</x:v>
      </x:c>
      <x:c r="F284" s="14" t="n">
        <x:v>15</x:v>
      </x:c>
      <x:c r="G284" s="14" t="n">
        <x:v>1</x:v>
      </x:c>
      <x:c r="H284" s="14" t="n">
        <x:v>17</x:v>
      </x:c>
      <x:c r="I284" s="14" t="n">
        <x:v>2</x:v>
      </x:c>
      <x:c r="J284" s="14" t="n">
        <x:v>0</x:v>
      </x:c>
      <x:c r="K284" s="14" t="n">
        <x:v>0</x:v>
      </x:c>
      <x:c r="L284" s="14" t="n">
        <x:v>2</x:v>
      </x:c>
      <x:c r="M284" s="14" t="n">
        <x:v>0</x:v>
      </x:c>
      <x:c r="N284" s="14" t="n">
        <x:v>0</x:v>
      </x:c>
      <x:c r="O284" s="14" t="n">
        <x:v>4</x:v>
      </x:c>
      <x:c r="P284" s="14" t="n">
        <x:v>339</x:v>
      </x:c>
      <x:c r="Q284" s="60" t="n">
        <x:v>2018</x:v>
      </x:c>
      <x:c r="R284" s="12" t="str">
        <x:v>Department of Statistics - Establishments Census 2018 - Table 4</x:v>
      </x:c>
    </x:row>
    <x:row r="285">
      <x:c r="A285" s="12" t="str">
        <x:v>70</x:v>
      </x:c>
      <x:c r="B285" s="12" t="str">
        <x:v>Activities of head offices; management consultancy activities</x:v>
      </x:c>
      <x:c r="C285" s="12" t="str">
        <x:v>Sector (2-digit)</x:v>
      </x:c>
      <x:c r="D285" s="14" t="n">
        <x:v>268</x:v>
      </x:c>
      <x:c r="E285" s="14" t="n">
        <x:v>2</x:v>
      </x:c>
      <x:c r="F285" s="14" t="n">
        <x:v>5</x:v>
      </x:c>
      <x:c r="G285" s="14" t="n">
        <x:v>2</x:v>
      </x:c>
      <x:c r="H285" s="14" t="n">
        <x:v>11</x:v>
      </x:c>
      <x:c r="I285" s="14" t="n">
        <x:v>2</x:v>
      </x:c>
      <x:c r="J285" s="14" t="n">
        <x:v>0</x:v>
      </x:c>
      <x:c r="K285" s="14" t="n">
        <x:v>0</x:v>
      </x:c>
      <x:c r="L285" s="14" t="n">
        <x:v>0</x:v>
      </x:c>
      <x:c r="M285" s="14" t="n">
        <x:v>0</x:v>
      </x:c>
      <x:c r="N285" s="14" t="n">
        <x:v>0</x:v>
      </x:c>
      <x:c r="O285" s="14" t="n">
        <x:v>11</x:v>
      </x:c>
      <x:c r="P285" s="14" t="n">
        <x:v>301</x:v>
      </x:c>
      <x:c r="Q285" s="60" t="n">
        <x:v>2018</x:v>
      </x:c>
      <x:c r="R285" s="12" t="str">
        <x:v>Department of Statistics - Establishments Census 2018 - Table 4</x:v>
      </x:c>
    </x:row>
    <x:row r="286">
      <x:c r="A286" s="12" t="str">
        <x:v>7020</x:v>
      </x:c>
      <x:c r="B286" s="12" t="str">
        <x:v>Management consultancy activities</x:v>
      </x:c>
      <x:c r="C286" s="12" t="str">
        <x:v>Detailed activity (4-digit)</x:v>
      </x:c>
      <x:c r="D286" s="14" t="n">
        <x:v>268</x:v>
      </x:c>
      <x:c r="E286" s="14" t="n">
        <x:v>2</x:v>
      </x:c>
      <x:c r="F286" s="14" t="n">
        <x:v>5</x:v>
      </x:c>
      <x:c r="G286" s="14" t="n">
        <x:v>2</x:v>
      </x:c>
      <x:c r="H286" s="14" t="n">
        <x:v>11</x:v>
      </x:c>
      <x:c r="I286" s="14" t="n">
        <x:v>2</x:v>
      </x:c>
      <x:c r="J286" s="14" t="n">
        <x:v>0</x:v>
      </x:c>
      <x:c r="K286" s="14" t="n">
        <x:v>0</x:v>
      </x:c>
      <x:c r="L286" s="14" t="n">
        <x:v>0</x:v>
      </x:c>
      <x:c r="M286" s="14" t="n">
        <x:v>0</x:v>
      </x:c>
      <x:c r="N286" s="14" t="n">
        <x:v>0</x:v>
      </x:c>
      <x:c r="O286" s="14" t="n">
        <x:v>11</x:v>
      </x:c>
      <x:c r="P286" s="14" t="n">
        <x:v>301</x:v>
      </x:c>
      <x:c r="Q286" s="60" t="n">
        <x:v>2018</x:v>
      </x:c>
      <x:c r="R286" s="12" t="str">
        <x:v>Department of Statistics - Establishments Census 2018 - Table 4</x:v>
      </x:c>
    </x:row>
    <x:row r="287">
      <x:c r="A287" s="12" t="str">
        <x:v>71</x:v>
      </x:c>
      <x:c r="B287" s="12" t="str">
        <x:v>Architectural and engineering activities; technical testing and analysis</x:v>
      </x:c>
      <x:c r="C287" s="12" t="str">
        <x:v>Sector (2-digit)</x:v>
      </x:c>
      <x:c r="D287" s="14" t="n">
        <x:v>540</x:v>
      </x:c>
      <x:c r="E287" s="14" t="n">
        <x:v>32</x:v>
      </x:c>
      <x:c r="F287" s="14" t="n">
        <x:v>82</x:v>
      </x:c>
      <x:c r="G287" s="14" t="n">
        <x:v>16</x:v>
      </x:c>
      <x:c r="H287" s="14" t="n">
        <x:v>52</x:v>
      </x:c>
      <x:c r="I287" s="14" t="n">
        <x:v>13</x:v>
      </x:c>
      <x:c r="J287" s="14" t="n">
        <x:v>5</x:v>
      </x:c>
      <x:c r="K287" s="14" t="n">
        <x:v>10</x:v>
      </x:c>
      <x:c r="L287" s="14" t="n">
        <x:v>29</x:v>
      </x:c>
      <x:c r="M287" s="14" t="n">
        <x:v>7</x:v>
      </x:c>
      <x:c r="N287" s="14" t="n">
        <x:v>2</x:v>
      </x:c>
      <x:c r="O287" s="14" t="n">
        <x:v>17</x:v>
      </x:c>
      <x:c r="P287" s="14" t="n">
        <x:v>805</x:v>
      </x:c>
      <x:c r="Q287" s="60" t="n">
        <x:v>2018</x:v>
      </x:c>
      <x:c r="R287" s="12" t="str">
        <x:v>Department of Statistics - Establishments Census 2018 - Table 4</x:v>
      </x:c>
    </x:row>
    <x:row r="288">
      <x:c r="A288" s="12" t="str">
        <x:v>7110</x:v>
      </x:c>
      <x:c r="B288" s="12" t="str">
        <x:v>Architectural and engineering activities and related technical consultancy</x:v>
      </x:c>
      <x:c r="C288" s="12" t="str">
        <x:v>Detailed activity (4-digit)</x:v>
      </x:c>
      <x:c r="D288" s="14" t="n">
        <x:v>539</x:v>
      </x:c>
      <x:c r="E288" s="14" t="n">
        <x:v>32</x:v>
      </x:c>
      <x:c r="F288" s="14" t="n">
        <x:v>81</x:v>
      </x:c>
      <x:c r="G288" s="14" t="n">
        <x:v>16</x:v>
      </x:c>
      <x:c r="H288" s="14" t="n">
        <x:v>52</x:v>
      </x:c>
      <x:c r="I288" s="14" t="n">
        <x:v>13</x:v>
      </x:c>
      <x:c r="J288" s="14" t="n">
        <x:v>5</x:v>
      </x:c>
      <x:c r="K288" s="14" t="n">
        <x:v>10</x:v>
      </x:c>
      <x:c r="L288" s="14" t="n">
        <x:v>29</x:v>
      </x:c>
      <x:c r="M288" s="14" t="n">
        <x:v>7</x:v>
      </x:c>
      <x:c r="N288" s="14" t="n">
        <x:v>2</x:v>
      </x:c>
      <x:c r="O288" s="14" t="n">
        <x:v>17</x:v>
      </x:c>
      <x:c r="P288" s="14" t="n">
        <x:v>803</x:v>
      </x:c>
      <x:c r="Q288" s="60" t="n">
        <x:v>2018</x:v>
      </x:c>
      <x:c r="R288" s="12" t="str">
        <x:v>Department of Statistics - Establishments Census 2018 - Table 4</x:v>
      </x:c>
    </x:row>
    <x:row r="289">
      <x:c r="A289" s="12" t="str">
        <x:v>7120</x:v>
      </x:c>
      <x:c r="B289" s="12" t="str">
        <x:v>Technical testing and analysis</x:v>
      </x:c>
      <x:c r="C289" s="12" t="str">
        <x:v>Detailed activity (4-digit)</x:v>
      </x:c>
      <x:c r="D289" s="14" t="n">
        <x:v>1</x:v>
      </x:c>
      <x:c r="E289" s="14" t="n">
        <x:v>0</x:v>
      </x:c>
      <x:c r="F289" s="14" t="n">
        <x:v>1</x:v>
      </x:c>
      <x:c r="G289" s="14" t="n">
        <x:v>0</x:v>
      </x:c>
      <x:c r="H289" s="14" t="n">
        <x:v>0</x:v>
      </x:c>
      <x:c r="I289" s="14" t="n">
        <x:v>0</x:v>
      </x:c>
      <x:c r="J289" s="14" t="n">
        <x:v>0</x:v>
      </x:c>
      <x:c r="K289" s="14" t="n">
        <x:v>0</x:v>
      </x:c>
      <x:c r="L289" s="14" t="n">
        <x:v>0</x:v>
      </x:c>
      <x:c r="M289" s="14" t="n">
        <x:v>0</x:v>
      </x:c>
      <x:c r="N289" s="14" t="n">
        <x:v>0</x:v>
      </x:c>
      <x:c r="O289" s="14" t="n">
        <x:v>0</x:v>
      </x:c>
      <x:c r="P289" s="14" t="n">
        <x:v>2</x:v>
      </x:c>
      <x:c r="Q289" s="60" t="n">
        <x:v>2018</x:v>
      </x:c>
      <x:c r="R289" s="12" t="str">
        <x:v>Department of Statistics - Establishments Census 2018 - Table 4</x:v>
      </x:c>
    </x:row>
    <x:row r="290">
      <x:c r="A290" s="12" t="str">
        <x:v>72</x:v>
      </x:c>
      <x:c r="B290" s="12" t="str">
        <x:v>Scientific research and development</x:v>
      </x:c>
      <x:c r="C290" s="12" t="str">
        <x:v>Sector (2-digit)</x:v>
      </x:c>
      <x:c r="D290" s="14" t="n">
        <x:v>80</x:v>
      </x:c>
      <x:c r="E290" s="14" t="n">
        <x:v>0</x:v>
      </x:c>
      <x:c r="F290" s="14" t="n">
        <x:v>2</x:v>
      </x:c>
      <x:c r="G290" s="14" t="n">
        <x:v>2</x:v>
      </x:c>
      <x:c r="H290" s="14" t="n">
        <x:v>6</x:v>
      </x:c>
      <x:c r="I290" s="14" t="n">
        <x:v>1</x:v>
      </x:c>
      <x:c r="J290" s="14" t="n">
        <x:v>0</x:v>
      </x:c>
      <x:c r="K290" s="14" t="n">
        <x:v>2</x:v>
      </x:c>
      <x:c r="L290" s="14" t="n">
        <x:v>2</x:v>
      </x:c>
      <x:c r="M290" s="14" t="n">
        <x:v>1</x:v>
      </x:c>
      <x:c r="N290" s="14" t="n">
        <x:v>1</x:v>
      </x:c>
      <x:c r="O290" s="14" t="n">
        <x:v>0</x:v>
      </x:c>
      <x:c r="P290" s="14" t="n">
        <x:v>97</x:v>
      </x:c>
      <x:c r="Q290" s="60" t="n">
        <x:v>2018</x:v>
      </x:c>
      <x:c r="R290" s="12" t="str">
        <x:v>Department of Statistics - Establishments Census 2018 - Table 4</x:v>
      </x:c>
    </x:row>
    <x:row r="291">
      <x:c r="A291" s="12" t="str">
        <x:v>7210</x:v>
      </x:c>
      <x:c r="B291" s="12" t="str">
        <x:v>Research and experimental development on natural sciences and engineering</x:v>
      </x:c>
      <x:c r="C291" s="12" t="str">
        <x:v>Detailed activity (4-digit)</x:v>
      </x:c>
      <x:c r="D291" s="14" t="n">
        <x:v>18</x:v>
      </x:c>
      <x:c r="E291" s="14" t="n">
        <x:v>0</x:v>
      </x:c>
      <x:c r="F291" s="14" t="n">
        <x:v>0</x:v>
      </x:c>
      <x:c r="G291" s="14" t="n">
        <x:v>0</x:v>
      </x:c>
      <x:c r="H291" s="14" t="n">
        <x:v>0</x:v>
      </x:c>
      <x:c r="I291" s="14" t="n">
        <x:v>1</x:v>
      </x:c>
      <x:c r="J291" s="14" t="n">
        <x:v>0</x:v>
      </x:c>
      <x:c r="K291" s="14" t="n">
        <x:v>0</x:v>
      </x:c>
      <x:c r="L291" s="14" t="n">
        <x:v>1</x:v>
      </x:c>
      <x:c r="M291" s="14" t="n">
        <x:v>0</x:v>
      </x:c>
      <x:c r="N291" s="14" t="n">
        <x:v>0</x:v>
      </x:c>
      <x:c r="O291" s="14" t="n">
        <x:v>0</x:v>
      </x:c>
      <x:c r="P291" s="14" t="n">
        <x:v>20</x:v>
      </x:c>
      <x:c r="Q291" s="60" t="n">
        <x:v>2018</x:v>
      </x:c>
      <x:c r="R291" s="12" t="str">
        <x:v>Department of Statistics - Establishments Census 2018 - Table 4</x:v>
      </x:c>
    </x:row>
    <x:row r="292">
      <x:c r="A292" s="12" t="str">
        <x:v>7220</x:v>
      </x:c>
      <x:c r="B292" s="12" t="str">
        <x:v>Research and experimental development on social sciences and humanities</x:v>
      </x:c>
      <x:c r="C292" s="12" t="str">
        <x:v>Detailed activity (4-digit)</x:v>
      </x:c>
      <x:c r="D292" s="14" t="n">
        <x:v>62</x:v>
      </x:c>
      <x:c r="E292" s="14" t="n">
        <x:v>0</x:v>
      </x:c>
      <x:c r="F292" s="14" t="n">
        <x:v>2</x:v>
      </x:c>
      <x:c r="G292" s="14" t="n">
        <x:v>2</x:v>
      </x:c>
      <x:c r="H292" s="14" t="n">
        <x:v>6</x:v>
      </x:c>
      <x:c r="I292" s="14" t="n">
        <x:v>0</x:v>
      </x:c>
      <x:c r="J292" s="14" t="n">
        <x:v>0</x:v>
      </x:c>
      <x:c r="K292" s="14" t="n">
        <x:v>2</x:v>
      </x:c>
      <x:c r="L292" s="14" t="n">
        <x:v>1</x:v>
      </x:c>
      <x:c r="M292" s="14" t="n">
        <x:v>1</x:v>
      </x:c>
      <x:c r="N292" s="14" t="n">
        <x:v>1</x:v>
      </x:c>
      <x:c r="O292" s="14" t="n">
        <x:v>0</x:v>
      </x:c>
      <x:c r="P292" s="14" t="n">
        <x:v>77</x:v>
      </x:c>
      <x:c r="Q292" s="60" t="n">
        <x:v>2018</x:v>
      </x:c>
      <x:c r="R292" s="12" t="str">
        <x:v>Department of Statistics - Establishments Census 2018 - Table 4</x:v>
      </x:c>
    </x:row>
    <x:row r="293">
      <x:c r="A293" s="12" t="str">
        <x:v>73</x:v>
      </x:c>
      <x:c r="B293" s="12" t="str">
        <x:v>Advertising and market research</x:v>
      </x:c>
      <x:c r="C293" s="12" t="str">
        <x:v>Sector (2-digit)</x:v>
      </x:c>
      <x:c r="D293" s="14" t="n">
        <x:v>278</x:v>
      </x:c>
      <x:c r="E293" s="14" t="n">
        <x:v>20</x:v>
      </x:c>
      <x:c r="F293" s="14" t="n">
        <x:v>73</x:v>
      </x:c>
      <x:c r="G293" s="14" t="n">
        <x:v>18</x:v>
      </x:c>
      <x:c r="H293" s="14" t="n">
        <x:v>55</x:v>
      </x:c>
      <x:c r="I293" s="14" t="n">
        <x:v>4</x:v>
      </x:c>
      <x:c r="J293" s="14" t="n">
        <x:v>4</x:v>
      </x:c>
      <x:c r="K293" s="14" t="n">
        <x:v>3</x:v>
      </x:c>
      <x:c r="L293" s="14" t="n">
        <x:v>11</x:v>
      </x:c>
      <x:c r="M293" s="14" t="n">
        <x:v>4</x:v>
      </x:c>
      <x:c r="N293" s="14" t="n">
        <x:v>4</x:v>
      </x:c>
      <x:c r="O293" s="14" t="n">
        <x:v>10</x:v>
      </x:c>
      <x:c r="P293" s="14" t="n">
        <x:v>484</x:v>
      </x:c>
      <x:c r="Q293" s="60" t="n">
        <x:v>2018</x:v>
      </x:c>
      <x:c r="R293" s="12" t="str">
        <x:v>Department of Statistics - Establishments Census 2018 - Table 4</x:v>
      </x:c>
    </x:row>
    <x:row r="294">
      <x:c r="A294" s="12" t="str">
        <x:v>7310</x:v>
      </x:c>
      <x:c r="B294" s="12" t="str">
        <x:v>Advertising</x:v>
      </x:c>
      <x:c r="C294" s="12" t="str">
        <x:v>Detailed activity (4-digit)</x:v>
      </x:c>
      <x:c r="D294" s="14" t="n">
        <x:v>261</x:v>
      </x:c>
      <x:c r="E294" s="14" t="n">
        <x:v>18</x:v>
      </x:c>
      <x:c r="F294" s="14" t="n">
        <x:v>72</x:v>
      </x:c>
      <x:c r="G294" s="14" t="n">
        <x:v>18</x:v>
      </x:c>
      <x:c r="H294" s="14" t="n">
        <x:v>53</x:v>
      </x:c>
      <x:c r="I294" s="14" t="n">
        <x:v>4</x:v>
      </x:c>
      <x:c r="J294" s="14" t="n">
        <x:v>4</x:v>
      </x:c>
      <x:c r="K294" s="14" t="n">
        <x:v>3</x:v>
      </x:c>
      <x:c r="L294" s="14" t="n">
        <x:v>11</x:v>
      </x:c>
      <x:c r="M294" s="14" t="n">
        <x:v>4</x:v>
      </x:c>
      <x:c r="N294" s="14" t="n">
        <x:v>4</x:v>
      </x:c>
      <x:c r="O294" s="14" t="n">
        <x:v>10</x:v>
      </x:c>
      <x:c r="P294" s="14" t="n">
        <x:v>462</x:v>
      </x:c>
      <x:c r="Q294" s="60" t="n">
        <x:v>2018</x:v>
      </x:c>
      <x:c r="R294" s="12" t="str">
        <x:v>Department of Statistics - Establishments Census 2018 - Table 4</x:v>
      </x:c>
    </x:row>
    <x:row r="295">
      <x:c r="A295" s="12" t="str">
        <x:v>7320</x:v>
      </x:c>
      <x:c r="B295" s="12" t="str">
        <x:v>Market research and public opinion polling</x:v>
      </x:c>
      <x:c r="C295" s="12" t="str">
        <x:v>Detailed activity (4-digit)</x:v>
      </x:c>
      <x:c r="D295" s="14" t="n">
        <x:v>17</x:v>
      </x:c>
      <x:c r="E295" s="14" t="n">
        <x:v>2</x:v>
      </x:c>
      <x:c r="F295" s="14" t="n">
        <x:v>1</x:v>
      </x:c>
      <x:c r="G295" s="14" t="n">
        <x:v>0</x:v>
      </x:c>
      <x:c r="H295" s="14" t="n">
        <x:v>2</x:v>
      </x:c>
      <x:c r="I295" s="14" t="n">
        <x:v>0</x:v>
      </x:c>
      <x:c r="J295" s="14" t="n">
        <x:v>0</x:v>
      </x:c>
      <x:c r="K295" s="14" t="n">
        <x:v>0</x:v>
      </x:c>
      <x:c r="L295" s="14" t="n">
        <x:v>0</x:v>
      </x:c>
      <x:c r="M295" s="14" t="n">
        <x:v>0</x:v>
      </x:c>
      <x:c r="N295" s="14" t="n">
        <x:v>0</x:v>
      </x:c>
      <x:c r="O295" s="14" t="n">
        <x:v>0</x:v>
      </x:c>
      <x:c r="P295" s="14" t="n">
        <x:v>22</x:v>
      </x:c>
      <x:c r="Q295" s="60" t="n">
        <x:v>2018</x:v>
      </x:c>
      <x:c r="R295" s="12" t="str">
        <x:v>Department of Statistics - Establishments Census 2018 - Table 4</x:v>
      </x:c>
    </x:row>
    <x:row r="296">
      <x:c r="A296" s="12" t="str">
        <x:v>74</x:v>
      </x:c>
      <x:c r="B296" s="12" t="str">
        <x:v>Other professional, scientific and technical activities</x:v>
      </x:c>
      <x:c r="C296" s="12" t="str">
        <x:v>Sector (2-digit)</x:v>
      </x:c>
      <x:c r="D296" s="14" t="n">
        <x:v>214</x:v>
      </x:c>
      <x:c r="E296" s="14" t="n">
        <x:v>29</x:v>
      </x:c>
      <x:c r="F296" s="14" t="n">
        <x:v>41</x:v>
      </x:c>
      <x:c r="G296" s="14" t="n">
        <x:v>17</x:v>
      </x:c>
      <x:c r="H296" s="14" t="n">
        <x:v>64</x:v>
      </x:c>
      <x:c r="I296" s="14" t="n">
        <x:v>8</x:v>
      </x:c>
      <x:c r="J296" s="14" t="n">
        <x:v>11</x:v>
      </x:c>
      <x:c r="K296" s="14" t="n">
        <x:v>8</x:v>
      </x:c>
      <x:c r="L296" s="14" t="n">
        <x:v>17</x:v>
      </x:c>
      <x:c r="M296" s="14" t="n">
        <x:v>5</x:v>
      </x:c>
      <x:c r="N296" s="14" t="n">
        <x:v>7</x:v>
      </x:c>
      <x:c r="O296" s="14" t="n">
        <x:v>8</x:v>
      </x:c>
      <x:c r="P296" s="14" t="n">
        <x:v>429</x:v>
      </x:c>
      <x:c r="Q296" s="60" t="n">
        <x:v>2018</x:v>
      </x:c>
      <x:c r="R296" s="12" t="str">
        <x:v>Department of Statistics - Establishments Census 2018 - Table 4</x:v>
      </x:c>
    </x:row>
    <x:row r="297">
      <x:c r="A297" s="12" t="str">
        <x:v>7410</x:v>
      </x:c>
      <x:c r="B297" s="12" t="str">
        <x:v>Specialized design activities</x:v>
      </x:c>
      <x:c r="C297" s="12" t="str">
        <x:v>Detailed activity (4-digit)</x:v>
      </x:c>
      <x:c r="D297" s="14" t="n">
        <x:v>46</x:v>
      </x:c>
      <x:c r="E297" s="14" t="n">
        <x:v>0</x:v>
      </x:c>
      <x:c r="F297" s="14" t="n">
        <x:v>1</x:v>
      </x:c>
      <x:c r="G297" s="14" t="n">
        <x:v>0</x:v>
      </x:c>
      <x:c r="H297" s="14" t="n">
        <x:v>8</x:v>
      </x:c>
      <x:c r="I297" s="14" t="n">
        <x:v>0</x:v>
      </x:c>
      <x:c r="J297" s="14" t="n">
        <x:v>0</x:v>
      </x:c>
      <x:c r="K297" s="14" t="n">
        <x:v>0</x:v>
      </x:c>
      <x:c r="L297" s="14" t="n">
        <x:v>0</x:v>
      </x:c>
      <x:c r="M297" s="14" t="n">
        <x:v>1</x:v>
      </x:c>
      <x:c r="N297" s="14" t="n">
        <x:v>0</x:v>
      </x:c>
      <x:c r="O297" s="14" t="n">
        <x:v>1</x:v>
      </x:c>
      <x:c r="P297" s="14" t="n">
        <x:v>57</x:v>
      </x:c>
      <x:c r="Q297" s="60" t="n">
        <x:v>2018</x:v>
      </x:c>
      <x:c r="R297" s="12" t="str">
        <x:v>Department of Statistics - Establishments Census 2018 - Table 4</x:v>
      </x:c>
    </x:row>
    <x:row r="298">
      <x:c r="A298" s="12" t="str">
        <x:v>7420</x:v>
      </x:c>
      <x:c r="B298" s="12" t="str">
        <x:v>Photographic activities</x:v>
      </x:c>
      <x:c r="C298" s="12" t="str">
        <x:v>Detailed activity (4-digit)</x:v>
      </x:c>
      <x:c r="D298" s="14" t="n">
        <x:v>168</x:v>
      </x:c>
      <x:c r="E298" s="14" t="n">
        <x:v>29</x:v>
      </x:c>
      <x:c r="F298" s="14" t="n">
        <x:v>40</x:v>
      </x:c>
      <x:c r="G298" s="14" t="n">
        <x:v>17</x:v>
      </x:c>
      <x:c r="H298" s="14" t="n">
        <x:v>56</x:v>
      </x:c>
      <x:c r="I298" s="14" t="n">
        <x:v>8</x:v>
      </x:c>
      <x:c r="J298" s="14" t="n">
        <x:v>11</x:v>
      </x:c>
      <x:c r="K298" s="14" t="n">
        <x:v>8</x:v>
      </x:c>
      <x:c r="L298" s="14" t="n">
        <x:v>17</x:v>
      </x:c>
      <x:c r="M298" s="14" t="n">
        <x:v>4</x:v>
      </x:c>
      <x:c r="N298" s="14" t="n">
        <x:v>7</x:v>
      </x:c>
      <x:c r="O298" s="14" t="n">
        <x:v>7</x:v>
      </x:c>
      <x:c r="P298" s="14" t="n">
        <x:v>372</x:v>
      </x:c>
      <x:c r="Q298" s="60" t="n">
        <x:v>2018</x:v>
      </x:c>
      <x:c r="R298" s="12" t="str">
        <x:v>Department of Statistics - Establishments Census 2018 - Table 4</x:v>
      </x:c>
    </x:row>
    <x:row r="299">
      <x:c r="A299" s="12" t="str">
        <x:v>75</x:v>
      </x:c>
      <x:c r="B299" s="12" t="str">
        <x:v>Veterinary activities</x:v>
      </x:c>
      <x:c r="C299" s="12" t="str">
        <x:v>Sector (2-digit)</x:v>
      </x:c>
      <x:c r="D299" s="14" t="n">
        <x:v>30</x:v>
      </x:c>
      <x:c r="E299" s="14" t="n">
        <x:v>6</x:v>
      </x:c>
      <x:c r="F299" s="14" t="n">
        <x:v>2</x:v>
      </x:c>
      <x:c r="G299" s="14" t="n">
        <x:v>0</x:v>
      </x:c>
      <x:c r="H299" s="14" t="n">
        <x:v>3</x:v>
      </x:c>
      <x:c r="I299" s="14" t="n">
        <x:v>1</x:v>
      </x:c>
      <x:c r="J299" s="14" t="n">
        <x:v>2</x:v>
      </x:c>
      <x:c r="K299" s="14" t="n">
        <x:v>0</x:v>
      </x:c>
      <x:c r="L299" s="14" t="n">
        <x:v>0</x:v>
      </x:c>
      <x:c r="M299" s="14" t="n">
        <x:v>1</x:v>
      </x:c>
      <x:c r="N299" s="14" t="n">
        <x:v>1</x:v>
      </x:c>
      <x:c r="O299" s="14" t="n">
        <x:v>3</x:v>
      </x:c>
      <x:c r="P299" s="14" t="n">
        <x:v>49</x:v>
      </x:c>
      <x:c r="Q299" s="60" t="n">
        <x:v>2018</x:v>
      </x:c>
      <x:c r="R299" s="12" t="str">
        <x:v>Department of Statistics - Establishments Census 2018 - Table 4</x:v>
      </x:c>
    </x:row>
    <x:row r="300">
      <x:c r="A300" s="12" t="str">
        <x:v>7500</x:v>
      </x:c>
      <x:c r="B300" s="12" t="str">
        <x:v>Veterinary activities</x:v>
      </x:c>
      <x:c r="C300" s="12" t="str">
        <x:v>Detailed activity (4-digit)</x:v>
      </x:c>
      <x:c r="D300" s="14" t="n">
        <x:v>30</x:v>
      </x:c>
      <x:c r="E300" s="14" t="n">
        <x:v>6</x:v>
      </x:c>
      <x:c r="F300" s="14" t="n">
        <x:v>2</x:v>
      </x:c>
      <x:c r="G300" s="14" t="n">
        <x:v>0</x:v>
      </x:c>
      <x:c r="H300" s="14" t="n">
        <x:v>3</x:v>
      </x:c>
      <x:c r="I300" s="14" t="n">
        <x:v>1</x:v>
      </x:c>
      <x:c r="J300" s="14" t="n">
        <x:v>2</x:v>
      </x:c>
      <x:c r="K300" s="14" t="n">
        <x:v>0</x:v>
      </x:c>
      <x:c r="L300" s="14" t="n">
        <x:v>0</x:v>
      </x:c>
      <x:c r="M300" s="14" t="n">
        <x:v>1</x:v>
      </x:c>
      <x:c r="N300" s="14" t="n">
        <x:v>1</x:v>
      </x:c>
      <x:c r="O300" s="14" t="n">
        <x:v>3</x:v>
      </x:c>
      <x:c r="P300" s="14" t="n">
        <x:v>49</x:v>
      </x:c>
      <x:c r="Q300" s="60" t="n">
        <x:v>2018</x:v>
      </x:c>
      <x:c r="R300" s="12" t="str">
        <x:v>Department of Statistics - Establishments Census 2018 - Table 4</x:v>
      </x:c>
    </x:row>
    <x:row r="301">
      <x:c r="A301" s="12" t="str">
        <x:v>77</x:v>
      </x:c>
      <x:c r="B301" s="12" t="str">
        <x:v>Rental and leasing activities</x:v>
      </x:c>
      <x:c r="C301" s="12" t="str">
        <x:v>Sector (2-digit)</x:v>
      </x:c>
      <x:c r="D301" s="14" t="n">
        <x:v>568</x:v>
      </x:c>
      <x:c r="E301" s="14" t="n">
        <x:v>154</x:v>
      </x:c>
      <x:c r="F301" s="14" t="n">
        <x:v>231</x:v>
      </x:c>
      <x:c r="G301" s="14" t="n">
        <x:v>51</x:v>
      </x:c>
      <x:c r="H301" s="14" t="n">
        <x:v>171</x:v>
      </x:c>
      <x:c r="I301" s="14" t="n">
        <x:v>32</x:v>
      </x:c>
      <x:c r="J301" s="14" t="n">
        <x:v>28</x:v>
      </x:c>
      <x:c r="K301" s="14" t="n">
        <x:v>23</x:v>
      </x:c>
      <x:c r="L301" s="14" t="n">
        <x:v>56</x:v>
      </x:c>
      <x:c r="M301" s="14" t="n">
        <x:v>17</x:v>
      </x:c>
      <x:c r="N301" s="14" t="n">
        <x:v>16</x:v>
      </x:c>
      <x:c r="O301" s="14" t="n">
        <x:v>44</x:v>
      </x:c>
      <x:c r="P301" s="14" t="n">
        <x:v>1391</x:v>
      </x:c>
      <x:c r="Q301" s="60" t="n">
        <x:v>2018</x:v>
      </x:c>
      <x:c r="R301" s="12" t="str">
        <x:v>Department of Statistics - Establishments Census 2018 - Table 4</x:v>
      </x:c>
    </x:row>
    <x:row r="302">
      <x:c r="A302" s="12" t="str">
        <x:v>7710</x:v>
      </x:c>
      <x:c r="B302" s="12" t="str">
        <x:v>Renting and leasing of motor vehicles</x:v>
      </x:c>
      <x:c r="C302" s="12" t="str">
        <x:v>Detailed activity (4-digit)</x:v>
      </x:c>
      <x:c r="D302" s="14" t="n">
        <x:v>142</x:v>
      </x:c>
      <x:c r="E302" s="14" t="n">
        <x:v>14</x:v>
      </x:c>
      <x:c r="F302" s="14" t="n">
        <x:v>7</x:v>
      </x:c>
      <x:c r="G302" s="14" t="n">
        <x:v>1</x:v>
      </x:c>
      <x:c r="H302" s="14" t="n">
        <x:v>15</x:v>
      </x:c>
      <x:c r="I302" s="14" t="n">
        <x:v>0</x:v>
      </x:c>
      <x:c r="J302" s="14" t="n">
        <x:v>0</x:v>
      </x:c>
      <x:c r="K302" s="14" t="n">
        <x:v>1</x:v>
      </x:c>
      <x:c r="L302" s="14" t="n">
        <x:v>0</x:v>
      </x:c>
      <x:c r="M302" s="14" t="n">
        <x:v>0</x:v>
      </x:c>
      <x:c r="N302" s="14" t="n">
        <x:v>0</x:v>
      </x:c>
      <x:c r="O302" s="14" t="n">
        <x:v>7</x:v>
      </x:c>
      <x:c r="P302" s="14" t="n">
        <x:v>187</x:v>
      </x:c>
      <x:c r="Q302" s="60" t="n">
        <x:v>2018</x:v>
      </x:c>
      <x:c r="R302" s="12" t="str">
        <x:v>Department of Statistics - Establishments Census 2018 - Table 4</x:v>
      </x:c>
    </x:row>
    <x:row r="303">
      <x:c r="A303" s="12" t="str">
        <x:v>7721</x:v>
      </x:c>
      <x:c r="B303" s="12" t="str">
        <x:v>Renting and leasing of recreational and sports goods</x:v>
      </x:c>
      <x:c r="C303" s="12" t="str">
        <x:v>Detailed activity (4-digit)</x:v>
      </x:c>
      <x:c r="D303" s="14" t="n">
        <x:v>3</x:v>
      </x:c>
      <x:c r="E303" s="14" t="n">
        <x:v>1</x:v>
      </x:c>
      <x:c r="F303" s="14" t="n">
        <x:v>3</x:v>
      </x:c>
      <x:c r="G303" s="14" t="n">
        <x:v>1</x:v>
      </x:c>
      <x:c r="H303" s="14" t="n">
        <x:v>8</x:v>
      </x:c>
      <x:c r="I303" s="14" t="n">
        <x:v>0</x:v>
      </x:c>
      <x:c r="J303" s="14" t="n">
        <x:v>2</x:v>
      </x:c>
      <x:c r="K303" s="14" t="n">
        <x:v>1</x:v>
      </x:c>
      <x:c r="L303" s="14" t="n">
        <x:v>1</x:v>
      </x:c>
      <x:c r="M303" s="14" t="n">
        <x:v>0</x:v>
      </x:c>
      <x:c r="N303" s="14" t="n">
        <x:v>0</x:v>
      </x:c>
      <x:c r="O303" s="14" t="n">
        <x:v>1</x:v>
      </x:c>
      <x:c r="P303" s="14" t="n">
        <x:v>21</x:v>
      </x:c>
      <x:c r="Q303" s="60" t="n">
        <x:v>2018</x:v>
      </x:c>
      <x:c r="R303" s="12" t="str">
        <x:v>Department of Statistics - Establishments Census 2018 - Table 4</x:v>
      </x:c>
    </x:row>
    <x:row r="304">
      <x:c r="A304" s="12" t="str">
        <x:v>7722</x:v>
      </x:c>
      <x:c r="B304" s="12" t="str">
        <x:v>Renting of video tapes and disks</x:v>
      </x:c>
      <x:c r="C304" s="12" t="str">
        <x:v>Detailed activity (4-digit)</x:v>
      </x:c>
      <x:c r="D304" s="14" t="n">
        <x:v>13</x:v>
      </x:c>
      <x:c r="E304" s="14" t="n">
        <x:v>6</x:v>
      </x:c>
      <x:c r="F304" s="14" t="n">
        <x:v>3</x:v>
      </x:c>
      <x:c r="G304" s="14" t="n">
        <x:v>3</x:v>
      </x:c>
      <x:c r="H304" s="14" t="n">
        <x:v>1</x:v>
      </x:c>
      <x:c r="I304" s="14" t="n">
        <x:v>0</x:v>
      </x:c>
      <x:c r="J304" s="14" t="n">
        <x:v>0</x:v>
      </x:c>
      <x:c r="K304" s="14" t="n">
        <x:v>0</x:v>
      </x:c>
      <x:c r="L304" s="14" t="n">
        <x:v>5</x:v>
      </x:c>
      <x:c r="M304" s="14" t="n">
        <x:v>0</x:v>
      </x:c>
      <x:c r="N304" s="14" t="n">
        <x:v>0</x:v>
      </x:c>
      <x:c r="O304" s="14" t="n">
        <x:v>1</x:v>
      </x:c>
      <x:c r="P304" s="14" t="n">
        <x:v>32</x:v>
      </x:c>
      <x:c r="Q304" s="60" t="n">
        <x:v>2018</x:v>
      </x:c>
      <x:c r="R304" s="12" t="str">
        <x:v>Department of Statistics - Establishments Census 2018 - Table 4</x:v>
      </x:c>
    </x:row>
    <x:row r="305">
      <x:c r="A305" s="12" t="str">
        <x:v>7729</x:v>
      </x:c>
      <x:c r="B305" s="12" t="str">
        <x:v>Renting and leasing of other personal and household goods</x:v>
      </x:c>
      <x:c r="C305" s="12" t="str">
        <x:v>Detailed activity (4-digit)</x:v>
      </x:c>
      <x:c r="D305" s="14" t="n">
        <x:v>302</x:v>
      </x:c>
      <x:c r="E305" s="14" t="n">
        <x:v>101</x:v>
      </x:c>
      <x:c r="F305" s="14" t="n">
        <x:v>155</x:v>
      </x:c>
      <x:c r="G305" s="14" t="n">
        <x:v>39</x:v>
      </x:c>
      <x:c r="H305" s="14" t="n">
        <x:v>116</x:v>
      </x:c>
      <x:c r="I305" s="14" t="n">
        <x:v>26</x:v>
      </x:c>
      <x:c r="J305" s="14" t="n">
        <x:v>21</x:v>
      </x:c>
      <x:c r="K305" s="14" t="n">
        <x:v>17</x:v>
      </x:c>
      <x:c r="L305" s="14" t="n">
        <x:v>42</x:v>
      </x:c>
      <x:c r="M305" s="14" t="n">
        <x:v>12</x:v>
      </x:c>
      <x:c r="N305" s="14" t="n">
        <x:v>15</x:v>
      </x:c>
      <x:c r="O305" s="14" t="n">
        <x:v>23</x:v>
      </x:c>
      <x:c r="P305" s="14" t="n">
        <x:v>869</x:v>
      </x:c>
      <x:c r="Q305" s="60" t="n">
        <x:v>2018</x:v>
      </x:c>
      <x:c r="R305" s="12" t="str">
        <x:v>Department of Statistics - Establishments Census 2018 - Table 4</x:v>
      </x:c>
    </x:row>
    <x:row r="306">
      <x:c r="A306" s="12" t="str">
        <x:v>7730</x:v>
      </x:c>
      <x:c r="B306" s="12" t="str">
        <x:v>Renting and leasing of other machinery, equipment and tangible goods</x:v>
      </x:c>
      <x:c r="C306" s="12" t="str">
        <x:v>Detailed activity (4-digit)</x:v>
      </x:c>
      <x:c r="D306" s="14" t="n">
        <x:v>102</x:v>
      </x:c>
      <x:c r="E306" s="14" t="n">
        <x:v>32</x:v>
      </x:c>
      <x:c r="F306" s="14" t="n">
        <x:v>63</x:v>
      </x:c>
      <x:c r="G306" s="14" t="n">
        <x:v>7</x:v>
      </x:c>
      <x:c r="H306" s="14" t="n">
        <x:v>31</x:v>
      </x:c>
      <x:c r="I306" s="14" t="n">
        <x:v>6</x:v>
      </x:c>
      <x:c r="J306" s="14" t="n">
        <x:v>5</x:v>
      </x:c>
      <x:c r="K306" s="14" t="n">
        <x:v>4</x:v>
      </x:c>
      <x:c r="L306" s="14" t="n">
        <x:v>8</x:v>
      </x:c>
      <x:c r="M306" s="14" t="n">
        <x:v>5</x:v>
      </x:c>
      <x:c r="N306" s="14" t="n">
        <x:v>1</x:v>
      </x:c>
      <x:c r="O306" s="14" t="n">
        <x:v>12</x:v>
      </x:c>
      <x:c r="P306" s="14" t="n">
        <x:v>276</x:v>
      </x:c>
      <x:c r="Q306" s="60" t="n">
        <x:v>2018</x:v>
      </x:c>
      <x:c r="R306" s="12" t="str">
        <x:v>Department of Statistics - Establishments Census 2018 - Table 4</x:v>
      </x:c>
    </x:row>
    <x:row r="307">
      <x:c r="A307" s="12" t="str">
        <x:v>7740</x:v>
      </x:c>
      <x:c r="B307" s="12" t="str">
        <x:v>Leasing of intellectual property and similar products, except copyrighted works</x:v>
      </x:c>
      <x:c r="C307" s="12" t="str">
        <x:v>Detailed activity (4-digit)</x:v>
      </x:c>
      <x:c r="D307" s="14" t="n">
        <x:v>6</x:v>
      </x:c>
      <x:c r="E307" s="14" t="n">
        <x:v>0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0</x:v>
      </x:c>
      <x:c r="K307" s="14" t="n">
        <x:v>0</x:v>
      </x:c>
      <x:c r="L307" s="14" t="n">
        <x:v>0</x:v>
      </x:c>
      <x:c r="M307" s="14" t="n">
        <x:v>0</x:v>
      </x:c>
      <x:c r="N307" s="14" t="n">
        <x:v>0</x:v>
      </x:c>
      <x:c r="O307" s="14" t="n">
        <x:v>0</x:v>
      </x:c>
      <x:c r="P307" s="14" t="n">
        <x:v>6</x:v>
      </x:c>
      <x:c r="Q307" s="60" t="n">
        <x:v>2018</x:v>
      </x:c>
      <x:c r="R307" s="12" t="str">
        <x:v>Department of Statistics - Establishments Census 2018 - Table 4</x:v>
      </x:c>
    </x:row>
    <x:row r="308">
      <x:c r="A308" s="12" t="str">
        <x:v>78</x:v>
      </x:c>
      <x:c r="B308" s="12" t="str">
        <x:v>Employment activities</x:v>
      </x:c>
      <x:c r="C308" s="12" t="str">
        <x:v>Sector (2-digit)</x:v>
      </x:c>
      <x:c r="D308" s="14" t="n">
        <x:v>177</x:v>
      </x:c>
      <x:c r="E308" s="14" t="n">
        <x:v>0</x:v>
      </x:c>
      <x:c r="F308" s="14" t="n">
        <x:v>0</x:v>
      </x:c>
      <x:c r="G308" s="14" t="n">
        <x:v>0</x:v>
      </x:c>
      <x:c r="H308" s="14" t="n">
        <x:v>7</x:v>
      </x:c>
      <x:c r="I308" s="14" t="n">
        <x:v>0</x:v>
      </x:c>
      <x:c r="J308" s="14" t="n">
        <x:v>0</x:v>
      </x:c>
      <x:c r="K308" s="14" t="n">
        <x:v>0</x:v>
      </x:c>
      <x:c r="L308" s="14" t="n">
        <x:v>0</x:v>
      </x:c>
      <x:c r="M308" s="14" t="n">
        <x:v>0</x:v>
      </x:c>
      <x:c r="N308" s="14" t="n">
        <x:v>1</x:v>
      </x:c>
      <x:c r="O308" s="14" t="n">
        <x:v>10</x:v>
      </x:c>
      <x:c r="P308" s="14" t="n">
        <x:v>195</x:v>
      </x:c>
      <x:c r="Q308" s="60" t="n">
        <x:v>2018</x:v>
      </x:c>
      <x:c r="R308" s="12" t="str">
        <x:v>Department of Statistics - Establishments Census 2018 - Table 4</x:v>
      </x:c>
    </x:row>
    <x:row r="309">
      <x:c r="A309" s="12" t="str">
        <x:v>7810</x:v>
      </x:c>
      <x:c r="B309" s="12" t="str">
        <x:v>Activities of employment placement agencies</x:v>
      </x:c>
      <x:c r="C309" s="12" t="str">
        <x:v>Detailed activity (4-digit)</x:v>
      </x:c>
      <x:c r="D309" s="14" t="n">
        <x:v>107</x:v>
      </x:c>
      <x:c r="E309" s="14" t="n">
        <x:v>0</x:v>
      </x:c>
      <x:c r="F309" s="14" t="n">
        <x:v>0</x:v>
      </x:c>
      <x:c r="G309" s="14" t="n">
        <x:v>0</x:v>
      </x:c>
      <x:c r="H309" s="14" t="n">
        <x:v>5</x:v>
      </x:c>
      <x:c r="I309" s="14" t="n">
        <x:v>0</x:v>
      </x:c>
      <x:c r="J309" s="14" t="n">
        <x:v>0</x:v>
      </x:c>
      <x:c r="K309" s="14" t="n">
        <x:v>0</x:v>
      </x:c>
      <x:c r="L309" s="14" t="n">
        <x:v>0</x:v>
      </x:c>
      <x:c r="M309" s="14" t="n">
        <x:v>0</x:v>
      </x:c>
      <x:c r="N309" s="14" t="n">
        <x:v>0</x:v>
      </x:c>
      <x:c r="O309" s="14" t="n">
        <x:v>9</x:v>
      </x:c>
      <x:c r="P309" s="14" t="n">
        <x:v>121</x:v>
      </x:c>
      <x:c r="Q309" s="60" t="n">
        <x:v>2018</x:v>
      </x:c>
      <x:c r="R309" s="12" t="str">
        <x:v>Department of Statistics - Establishments Census 2018 - Table 4</x:v>
      </x:c>
    </x:row>
    <x:row r="310">
      <x:c r="A310" s="12" t="str">
        <x:v>7820</x:v>
      </x:c>
      <x:c r="B310" s="12" t="str">
        <x:v>Temporary employment agency activities</x:v>
      </x:c>
      <x:c r="C310" s="12" t="str">
        <x:v>Detailed activity (4-digit)</x:v>
      </x:c>
      <x:c r="D310" s="14" t="n">
        <x:v>66</x:v>
      </x:c>
      <x:c r="E310" s="14" t="n">
        <x:v>0</x:v>
      </x:c>
      <x:c r="F310" s="14" t="n">
        <x:v>0</x:v>
      </x:c>
      <x:c r="G310" s="14" t="n">
        <x:v>0</x:v>
      </x:c>
      <x:c r="H310" s="14" t="n">
        <x:v>1</x:v>
      </x:c>
      <x:c r="I310" s="14" t="n">
        <x:v>0</x:v>
      </x:c>
      <x:c r="J310" s="14" t="n">
        <x:v>0</x:v>
      </x:c>
      <x:c r="K310" s="14" t="n">
        <x:v>0</x:v>
      </x:c>
      <x:c r="L310" s="14" t="n">
        <x:v>0</x:v>
      </x:c>
      <x:c r="M310" s="14" t="n">
        <x:v>0</x:v>
      </x:c>
      <x:c r="N310" s="14" t="n">
        <x:v>0</x:v>
      </x:c>
      <x:c r="O310" s="14" t="n">
        <x:v>1</x:v>
      </x:c>
      <x:c r="P310" s="14" t="n">
        <x:v>68</x:v>
      </x:c>
      <x:c r="Q310" s="60" t="n">
        <x:v>2018</x:v>
      </x:c>
      <x:c r="R310" s="12" t="str">
        <x:v>Department of Statistics - Establishments Census 2018 - Table 4</x:v>
      </x:c>
    </x:row>
    <x:row r="311">
      <x:c r="A311" s="12" t="str">
        <x:v>7830</x:v>
      </x:c>
      <x:c r="B311" s="12" t="str">
        <x:v>Other human resources provision</x:v>
      </x:c>
      <x:c r="C311" s="12" t="str">
        <x:v>Detailed activity (4-digit)</x:v>
      </x:c>
      <x:c r="D311" s="14" t="n">
        <x:v>4</x:v>
      </x:c>
      <x:c r="E311" s="14" t="n">
        <x:v>0</x:v>
      </x:c>
      <x:c r="F311" s="14" t="n">
        <x:v>0</x:v>
      </x:c>
      <x:c r="G311" s="14" t="n">
        <x:v>0</x:v>
      </x:c>
      <x:c r="H311" s="14" t="n">
        <x:v>1</x:v>
      </x:c>
      <x:c r="I311" s="14" t="n">
        <x:v>0</x:v>
      </x:c>
      <x:c r="J311" s="14" t="n">
        <x:v>0</x:v>
      </x:c>
      <x:c r="K311" s="14" t="n">
        <x:v>0</x:v>
      </x:c>
      <x:c r="L311" s="14" t="n">
        <x:v>0</x:v>
      </x:c>
      <x:c r="M311" s="14" t="n">
        <x:v>0</x:v>
      </x:c>
      <x:c r="N311" s="14" t="n">
        <x:v>1</x:v>
      </x:c>
      <x:c r="O311" s="14" t="n">
        <x:v>0</x:v>
      </x:c>
      <x:c r="P311" s="14" t="n">
        <x:v>6</x:v>
      </x:c>
      <x:c r="Q311" s="60" t="n">
        <x:v>2018</x:v>
      </x:c>
      <x:c r="R311" s="12" t="str">
        <x:v>Department of Statistics - Establishments Census 2018 - Table 4</x:v>
      </x:c>
    </x:row>
    <x:row r="312">
      <x:c r="A312" s="12" t="str">
        <x:v>79</x:v>
      </x:c>
      <x:c r="B312" s="12" t="str">
        <x:v>Travel agency, tour operator, reservation service and related activities</x:v>
      </x:c>
      <x:c r="C312" s="12" t="str">
        <x:v>Sector (2-digit)</x:v>
      </x:c>
      <x:c r="D312" s="14" t="n">
        <x:v>461</x:v>
      </x:c>
      <x:c r="E312" s="14" t="n">
        <x:v>13</x:v>
      </x:c>
      <x:c r="F312" s="14" t="n">
        <x:v>40</x:v>
      </x:c>
      <x:c r="G312" s="14" t="n">
        <x:v>3</x:v>
      </x:c>
      <x:c r="H312" s="14" t="n">
        <x:v>51</x:v>
      </x:c>
      <x:c r="I312" s="14" t="n">
        <x:v>2</x:v>
      </x:c>
      <x:c r="J312" s="14" t="n">
        <x:v>3</x:v>
      </x:c>
      <x:c r="K312" s="14" t="n">
        <x:v>3</x:v>
      </x:c>
      <x:c r="L312" s="14" t="n">
        <x:v>6</x:v>
      </x:c>
      <x:c r="M312" s="14" t="n">
        <x:v>4</x:v>
      </x:c>
      <x:c r="N312" s="14" t="n">
        <x:v>11</x:v>
      </x:c>
      <x:c r="O312" s="14" t="n">
        <x:v>27</x:v>
      </x:c>
      <x:c r="P312" s="14" t="n">
        <x:v>624</x:v>
      </x:c>
      <x:c r="Q312" s="60" t="n">
        <x:v>2018</x:v>
      </x:c>
      <x:c r="R312" s="12" t="str">
        <x:v>Department of Statistics - Establishments Census 2018 - Table 4</x:v>
      </x:c>
    </x:row>
    <x:row r="313">
      <x:c r="A313" s="12" t="str">
        <x:v>7911</x:v>
      </x:c>
      <x:c r="B313" s="12" t="str">
        <x:v>Travel agency activities</x:v>
      </x:c>
      <x:c r="C313" s="12" t="str">
        <x:v>Detailed activity (4-digit)</x:v>
      </x:c>
      <x:c r="D313" s="14" t="n">
        <x:v>392</x:v>
      </x:c>
      <x:c r="E313" s="14" t="n">
        <x:v>11</x:v>
      </x:c>
      <x:c r="F313" s="14" t="n">
        <x:v>38</x:v>
      </x:c>
      <x:c r="G313" s="14" t="n">
        <x:v>3</x:v>
      </x:c>
      <x:c r="H313" s="14" t="n">
        <x:v>45</x:v>
      </x:c>
      <x:c r="I313" s="14" t="n">
        <x:v>2</x:v>
      </x:c>
      <x:c r="J313" s="14" t="n">
        <x:v>3</x:v>
      </x:c>
      <x:c r="K313" s="14" t="n">
        <x:v>3</x:v>
      </x:c>
      <x:c r="L313" s="14" t="n">
        <x:v>4</x:v>
      </x:c>
      <x:c r="M313" s="14" t="n">
        <x:v>4</x:v>
      </x:c>
      <x:c r="N313" s="14" t="n">
        <x:v>11</x:v>
      </x:c>
      <x:c r="O313" s="14" t="n">
        <x:v>22</x:v>
      </x:c>
      <x:c r="P313" s="14" t="n">
        <x:v>538</x:v>
      </x:c>
      <x:c r="Q313" s="60" t="n">
        <x:v>2018</x:v>
      </x:c>
      <x:c r="R313" s="12" t="str">
        <x:v>Department of Statistics - Establishments Census 2018 - Table 4</x:v>
      </x:c>
    </x:row>
    <x:row r="314">
      <x:c r="A314" s="12" t="str">
        <x:v>7912</x:v>
      </x:c>
      <x:c r="B314" s="12" t="str">
        <x:v>Tour operator activities</x:v>
      </x:c>
      <x:c r="C314" s="12" t="str">
        <x:v>Detailed activity (4-digit)</x:v>
      </x:c>
      <x:c r="D314" s="14" t="n">
        <x:v>69</x:v>
      </x:c>
      <x:c r="E314" s="14" t="n">
        <x:v>2</x:v>
      </x:c>
      <x:c r="F314" s="14" t="n">
        <x:v>2</x:v>
      </x:c>
      <x:c r="G314" s="14" t="n">
        <x:v>0</x:v>
      </x:c>
      <x:c r="H314" s="14" t="n">
        <x:v>6</x:v>
      </x:c>
      <x:c r="I314" s="14" t="n">
        <x:v>0</x:v>
      </x:c>
      <x:c r="J314" s="14" t="n">
        <x:v>0</x:v>
      </x:c>
      <x:c r="K314" s="14" t="n">
        <x:v>0</x:v>
      </x:c>
      <x:c r="L314" s="14" t="n">
        <x:v>2</x:v>
      </x:c>
      <x:c r="M314" s="14" t="n">
        <x:v>0</x:v>
      </x:c>
      <x:c r="N314" s="14" t="n">
        <x:v>0</x:v>
      </x:c>
      <x:c r="O314" s="14" t="n">
        <x:v>4</x:v>
      </x:c>
      <x:c r="P314" s="14" t="n">
        <x:v>85</x:v>
      </x:c>
      <x:c r="Q314" s="60" t="n">
        <x:v>2018</x:v>
      </x:c>
      <x:c r="R314" s="12" t="str">
        <x:v>Department of Statistics - Establishments Census 2018 - Table 4</x:v>
      </x:c>
    </x:row>
    <x:row r="315">
      <x:c r="A315" s="12" t="str">
        <x:v>7990</x:v>
      </x:c>
      <x:c r="B315" s="12" t="str">
        <x:v>Other reservation service and related activities</x:v>
      </x:c>
      <x:c r="C315" s="12" t="str">
        <x:v>Detailed activity (4-digit)</x:v>
      </x:c>
      <x:c r="D315" s="14" t="n">
        <x:v>0</x:v>
      </x:c>
      <x:c r="E315" s="14" t="n">
        <x:v>0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0</x:v>
      </x:c>
      <x:c r="K315" s="14" t="n">
        <x:v>0</x:v>
      </x:c>
      <x:c r="L315" s="14" t="n">
        <x:v>0</x:v>
      </x:c>
      <x:c r="M315" s="14" t="n">
        <x:v>0</x:v>
      </x:c>
      <x:c r="N315" s="14" t="n">
        <x:v>0</x:v>
      </x:c>
      <x:c r="O315" s="14" t="n">
        <x:v>1</x:v>
      </x:c>
      <x:c r="P315" s="14" t="n">
        <x:v>1</x:v>
      </x:c>
      <x:c r="Q315" s="60" t="n">
        <x:v>2018</x:v>
      </x:c>
      <x:c r="R315" s="12" t="str">
        <x:v>Department of Statistics - Establishments Census 2018 - Table 4</x:v>
      </x:c>
    </x:row>
    <x:row r="316">
      <x:c r="A316" s="12" t="str">
        <x:v>80</x:v>
      </x:c>
      <x:c r="B316" s="12" t="str">
        <x:v>Security and investigation activities</x:v>
      </x:c>
      <x:c r="C316" s="12" t="str">
        <x:v>Sector (2-digit)</x:v>
      </x:c>
      <x:c r="D316" s="14" t="n">
        <x:v>41</x:v>
      </x:c>
      <x:c r="E316" s="14" t="n">
        <x:v>0</x:v>
      </x:c>
      <x:c r="F316" s="14" t="n">
        <x:v>0</x:v>
      </x:c>
      <x:c r="G316" s="14" t="n">
        <x:v>1</x:v>
      </x:c>
      <x:c r="H316" s="14" t="n">
        <x:v>2</x:v>
      </x:c>
      <x:c r="I316" s="14" t="n">
        <x:v>1</x:v>
      </x:c>
      <x:c r="J316" s="14" t="n">
        <x:v>0</x:v>
      </x:c>
      <x:c r="K316" s="14" t="n">
        <x:v>0</x:v>
      </x:c>
      <x:c r="L316" s="14" t="n">
        <x:v>0</x:v>
      </x:c>
      <x:c r="M316" s="14" t="n">
        <x:v>0</x:v>
      </x:c>
      <x:c r="N316" s="14" t="n">
        <x:v>1</x:v>
      </x:c>
      <x:c r="O316" s="14" t="n">
        <x:v>2</x:v>
      </x:c>
      <x:c r="P316" s="14" t="n">
        <x:v>48</x:v>
      </x:c>
      <x:c r="Q316" s="60" t="n">
        <x:v>2018</x:v>
      </x:c>
      <x:c r="R316" s="12" t="str">
        <x:v>Department of Statistics - Establishments Census 2018 - Table 4</x:v>
      </x:c>
    </x:row>
    <x:row r="317">
      <x:c r="A317" s="12" t="str">
        <x:v>8010</x:v>
      </x:c>
      <x:c r="B317" s="12" t="str">
        <x:v>Private security activities</x:v>
      </x:c>
      <x:c r="C317" s="12" t="str">
        <x:v>Detailed activity (4-digit)</x:v>
      </x:c>
      <x:c r="D317" s="14" t="n">
        <x:v>36</x:v>
      </x:c>
      <x:c r="E317" s="14" t="n">
        <x:v>0</x:v>
      </x:c>
      <x:c r="F317" s="14" t="n">
        <x:v>0</x:v>
      </x:c>
      <x:c r="G317" s="14" t="n">
        <x:v>1</x:v>
      </x:c>
      <x:c r="H317" s="14" t="n">
        <x:v>1</x:v>
      </x:c>
      <x:c r="I317" s="14" t="n">
        <x:v>1</x:v>
      </x:c>
      <x:c r="J317" s="14" t="n">
        <x:v>0</x:v>
      </x:c>
      <x:c r="K317" s="14" t="n">
        <x:v>0</x:v>
      </x:c>
      <x:c r="L317" s="14" t="n">
        <x:v>0</x:v>
      </x:c>
      <x:c r="M317" s="14" t="n">
        <x:v>0</x:v>
      </x:c>
      <x:c r="N317" s="14" t="n">
        <x:v>1</x:v>
      </x:c>
      <x:c r="O317" s="14" t="n">
        <x:v>1</x:v>
      </x:c>
      <x:c r="P317" s="14" t="n">
        <x:v>41</x:v>
      </x:c>
      <x:c r="Q317" s="60" t="n">
        <x:v>2018</x:v>
      </x:c>
      <x:c r="R317" s="12" t="str">
        <x:v>Department of Statistics - Establishments Census 2018 - Table 4</x:v>
      </x:c>
    </x:row>
    <x:row r="318">
      <x:c r="A318" s="12" t="str">
        <x:v>8020</x:v>
      </x:c>
      <x:c r="B318" s="12" t="str">
        <x:v>Security systems service activities</x:v>
      </x:c>
      <x:c r="C318" s="12" t="str">
        <x:v>Detailed activity (4-digit)</x:v>
      </x:c>
      <x:c r="D318" s="14" t="n">
        <x:v>5</x:v>
      </x:c>
      <x:c r="E318" s="14" t="n">
        <x:v>0</x:v>
      </x:c>
      <x:c r="F318" s="14" t="n">
        <x:v>0</x:v>
      </x:c>
      <x:c r="G318" s="14" t="n">
        <x:v>0</x:v>
      </x:c>
      <x:c r="H318" s="14" t="n">
        <x:v>1</x:v>
      </x:c>
      <x:c r="I318" s="14" t="n">
        <x:v>0</x:v>
      </x:c>
      <x:c r="J318" s="14" t="n">
        <x:v>0</x:v>
      </x:c>
      <x:c r="K318" s="14" t="n">
        <x:v>0</x:v>
      </x:c>
      <x:c r="L318" s="14" t="n">
        <x:v>0</x:v>
      </x:c>
      <x:c r="M318" s="14" t="n">
        <x:v>0</x:v>
      </x:c>
      <x:c r="N318" s="14" t="n">
        <x:v>0</x:v>
      </x:c>
      <x:c r="O318" s="14" t="n">
        <x:v>1</x:v>
      </x:c>
      <x:c r="P318" s="14" t="n">
        <x:v>7</x:v>
      </x:c>
      <x:c r="Q318" s="60" t="n">
        <x:v>2018</x:v>
      </x:c>
      <x:c r="R318" s="12" t="str">
        <x:v>Department of Statistics - Establishments Census 2018 - Table 4</x:v>
      </x:c>
    </x:row>
    <x:row r="319">
      <x:c r="A319" s="12" t="str">
        <x:v>81</x:v>
      </x:c>
      <x:c r="B319" s="12" t="str">
        <x:v>Services to buildings and landscape activities</x:v>
      </x:c>
      <x:c r="C319" s="12" t="str">
        <x:v>Sector (2-digit)</x:v>
      </x:c>
      <x:c r="D319" s="14" t="n">
        <x:v>58</x:v>
      </x:c>
      <x:c r="E319" s="14" t="n">
        <x:v>0</x:v>
      </x:c>
      <x:c r="F319" s="14" t="n">
        <x:v>1</x:v>
      </x:c>
      <x:c r="G319" s="14" t="n">
        <x:v>0</x:v>
      </x:c>
      <x:c r="H319" s="14" t="n">
        <x:v>3</x:v>
      </x:c>
      <x:c r="I319" s="14" t="n">
        <x:v>0</x:v>
      </x:c>
      <x:c r="J319" s="14" t="n">
        <x:v>1</x:v>
      </x:c>
      <x:c r="K319" s="14" t="n">
        <x:v>1</x:v>
      </x:c>
      <x:c r="L319" s="14" t="n">
        <x:v>1</x:v>
      </x:c>
      <x:c r="M319" s="14" t="n">
        <x:v>0</x:v>
      </x:c>
      <x:c r="N319" s="14" t="n">
        <x:v>0</x:v>
      </x:c>
      <x:c r="O319" s="14" t="n">
        <x:v>3</x:v>
      </x:c>
      <x:c r="P319" s="14" t="n">
        <x:v>68</x:v>
      </x:c>
      <x:c r="Q319" s="60" t="n">
        <x:v>2018</x:v>
      </x:c>
      <x:c r="R319" s="12" t="str">
        <x:v>Department of Statistics - Establishments Census 2018 - Table 4</x:v>
      </x:c>
    </x:row>
    <x:row r="320">
      <x:c r="A320" s="12" t="str">
        <x:v>8121</x:v>
      </x:c>
      <x:c r="B320" s="12" t="str">
        <x:v>General cleaning of buildings</x:v>
      </x:c>
      <x:c r="C320" s="12" t="str">
        <x:v>Detailed activity (4-digit)</x:v>
      </x:c>
      <x:c r="D320" s="14" t="n">
        <x:v>48</x:v>
      </x:c>
      <x:c r="E320" s="14" t="n">
        <x:v>0</x:v>
      </x:c>
      <x:c r="F320" s="14" t="n">
        <x:v>1</x:v>
      </x:c>
      <x:c r="G320" s="14" t="n">
        <x:v>0</x:v>
      </x:c>
      <x:c r="H320" s="14" t="n">
        <x:v>3</x:v>
      </x:c>
      <x:c r="I320" s="14" t="n">
        <x:v>0</x:v>
      </x:c>
      <x:c r="J320" s="14" t="n">
        <x:v>1</x:v>
      </x:c>
      <x:c r="K320" s="14" t="n">
        <x:v>1</x:v>
      </x:c>
      <x:c r="L320" s="14" t="n">
        <x:v>0</x:v>
      </x:c>
      <x:c r="M320" s="14" t="n">
        <x:v>0</x:v>
      </x:c>
      <x:c r="N320" s="14" t="n">
        <x:v>0</x:v>
      </x:c>
      <x:c r="O320" s="14" t="n">
        <x:v>2</x:v>
      </x:c>
      <x:c r="P320" s="14" t="n">
        <x:v>56</x:v>
      </x:c>
      <x:c r="Q320" s="60" t="n">
        <x:v>2018</x:v>
      </x:c>
      <x:c r="R320" s="12" t="str">
        <x:v>Department of Statistics - Establishments Census 2018 - Table 4</x:v>
      </x:c>
    </x:row>
    <x:row r="321">
      <x:c r="A321" s="12" t="str">
        <x:v>8129</x:v>
      </x:c>
      <x:c r="B321" s="12" t="str">
        <x:v>Other building and industrial cleaning activities</x:v>
      </x:c>
      <x:c r="C321" s="12" t="str">
        <x:v>Detailed activity (4-digit)</x:v>
      </x:c>
      <x:c r="D321" s="14" t="n">
        <x:v>4</x:v>
      </x:c>
      <x:c r="E321" s="14" t="n">
        <x:v>0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0</x:v>
      </x:c>
      <x:c r="K321" s="14" t="n">
        <x:v>0</x:v>
      </x:c>
      <x:c r="L321" s="14" t="n">
        <x:v>1</x:v>
      </x:c>
      <x:c r="M321" s="14" t="n">
        <x:v>0</x:v>
      </x:c>
      <x:c r="N321" s="14" t="n">
        <x:v>0</x:v>
      </x:c>
      <x:c r="O321" s="14" t="n">
        <x:v>0</x:v>
      </x:c>
      <x:c r="P321" s="14" t="n">
        <x:v>5</x:v>
      </x:c>
      <x:c r="Q321" s="60" t="n">
        <x:v>2018</x:v>
      </x:c>
      <x:c r="R321" s="12" t="str">
        <x:v>Department of Statistics - Establishments Census 2018 - Table 4</x:v>
      </x:c>
    </x:row>
    <x:row r="322">
      <x:c r="A322" s="12" t="str">
        <x:v>8130</x:v>
      </x:c>
      <x:c r="B322" s="12" t="str">
        <x:v>Landscape care and maintenance service activities</x:v>
      </x:c>
      <x:c r="C322" s="12" t="str">
        <x:v>Detailed activity (4-digit)</x:v>
      </x:c>
      <x:c r="D322" s="14" t="n">
        <x:v>6</x:v>
      </x:c>
      <x:c r="E322" s="14" t="n">
        <x:v>0</x:v>
      </x:c>
      <x:c r="F322" s="14" t="n">
        <x:v>0</x:v>
      </x:c>
      <x:c r="G322" s="14" t="n">
        <x:v>0</x:v>
      </x:c>
      <x:c r="H322" s="14" t="n">
        <x:v>0</x:v>
      </x:c>
      <x:c r="I322" s="14" t="n">
        <x:v>0</x:v>
      </x:c>
      <x:c r="J322" s="14" t="n">
        <x:v>0</x:v>
      </x:c>
      <x:c r="K322" s="14" t="n">
        <x:v>0</x:v>
      </x:c>
      <x:c r="L322" s="14" t="n">
        <x:v>0</x:v>
      </x:c>
      <x:c r="M322" s="14" t="n">
        <x:v>0</x:v>
      </x:c>
      <x:c r="N322" s="14" t="n">
        <x:v>0</x:v>
      </x:c>
      <x:c r="O322" s="14" t="n">
        <x:v>1</x:v>
      </x:c>
      <x:c r="P322" s="14" t="n">
        <x:v>7</x:v>
      </x:c>
      <x:c r="Q322" s="60" t="n">
        <x:v>2018</x:v>
      </x:c>
      <x:c r="R322" s="12" t="str">
        <x:v>Department of Statistics - Establishments Census 2018 - Table 4</x:v>
      </x:c>
    </x:row>
    <x:row r="323">
      <x:c r="A323" s="12" t="str">
        <x:v>82</x:v>
      </x:c>
      <x:c r="B323" s="12" t="str">
        <x:v>Office administrative, office support and other business support activities</x:v>
      </x:c>
      <x:c r="C323" s="12" t="str">
        <x:v>Sector (2-digit)</x:v>
      </x:c>
      <x:c r="D323" s="14" t="n">
        <x:v>170</x:v>
      </x:c>
      <x:c r="E323" s="14" t="n">
        <x:v>23</x:v>
      </x:c>
      <x:c r="F323" s="14" t="n">
        <x:v>44</x:v>
      </x:c>
      <x:c r="G323" s="14" t="n">
        <x:v>3</x:v>
      </x:c>
      <x:c r="H323" s="14" t="n">
        <x:v>49</x:v>
      </x:c>
      <x:c r="I323" s="14" t="n">
        <x:v>8</x:v>
      </x:c>
      <x:c r="J323" s="14" t="n">
        <x:v>8</x:v>
      </x:c>
      <x:c r="K323" s="14" t="n">
        <x:v>3</x:v>
      </x:c>
      <x:c r="L323" s="14" t="n">
        <x:v>7</x:v>
      </x:c>
      <x:c r="M323" s="14" t="n">
        <x:v>0</x:v>
      </x:c>
      <x:c r="N323" s="14" t="n">
        <x:v>1</x:v>
      </x:c>
      <x:c r="O323" s="14" t="n">
        <x:v>1</x:v>
      </x:c>
      <x:c r="P323" s="14" t="n">
        <x:v>317</x:v>
      </x:c>
      <x:c r="Q323" s="60" t="n">
        <x:v>2018</x:v>
      </x:c>
      <x:c r="R323" s="12" t="str">
        <x:v>Department of Statistics - Establishments Census 2018 - Table 4</x:v>
      </x:c>
    </x:row>
    <x:row r="324">
      <x:c r="A324" s="12" t="str">
        <x:v>8219</x:v>
      </x:c>
      <x:c r="B324" s="12" t="str">
        <x:v>Photocopying, document preparation and other specialized office support activities</x:v>
      </x:c>
      <x:c r="C324" s="12" t="str">
        <x:v>Detailed activity (4-digit)</x:v>
      </x:c>
      <x:c r="D324" s="14" t="n">
        <x:v>68</x:v>
      </x:c>
      <x:c r="E324" s="14" t="n">
        <x:v>14</x:v>
      </x:c>
      <x:c r="F324" s="14" t="n">
        <x:v>28</x:v>
      </x:c>
      <x:c r="G324" s="14" t="n">
        <x:v>3</x:v>
      </x:c>
      <x:c r="H324" s="14" t="n">
        <x:v>36</x:v>
      </x:c>
      <x:c r="I324" s="14" t="n">
        <x:v>5</x:v>
      </x:c>
      <x:c r="J324" s="14" t="n">
        <x:v>6</x:v>
      </x:c>
      <x:c r="K324" s="14" t="n">
        <x:v>2</x:v>
      </x:c>
      <x:c r="L324" s="14" t="n">
        <x:v>7</x:v>
      </x:c>
      <x:c r="M324" s="14" t="n">
        <x:v>0</x:v>
      </x:c>
      <x:c r="N324" s="14" t="n">
        <x:v>1</x:v>
      </x:c>
      <x:c r="O324" s="14" t="n">
        <x:v>0</x:v>
      </x:c>
      <x:c r="P324" s="14" t="n">
        <x:v>170</x:v>
      </x:c>
      <x:c r="Q324" s="60" t="n">
        <x:v>2018</x:v>
      </x:c>
      <x:c r="R324" s="12" t="str">
        <x:v>Department of Statistics - Establishments Census 2018 - Table 4</x:v>
      </x:c>
    </x:row>
    <x:row r="325">
      <x:c r="A325" s="12" t="str">
        <x:v>8230</x:v>
      </x:c>
      <x:c r="B325" s="12" t="str">
        <x:v>Organization of conventions and trade shows</x:v>
      </x:c>
      <x:c r="C325" s="12" t="str">
        <x:v>Detailed activity (4-digit)</x:v>
      </x:c>
      <x:c r="D325" s="14" t="n">
        <x:v>31</x:v>
      </x:c>
      <x:c r="E325" s="14" t="n">
        <x:v>0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0</x:v>
      </x:c>
      <x:c r="K325" s="14" t="n">
        <x:v>0</x:v>
      </x:c>
      <x:c r="L325" s="14" t="n">
        <x:v>0</x:v>
      </x:c>
      <x:c r="M325" s="14" t="n">
        <x:v>0</x:v>
      </x:c>
      <x:c r="N325" s="14" t="n">
        <x:v>0</x:v>
      </x:c>
      <x:c r="O325" s="14" t="n">
        <x:v>0</x:v>
      </x:c>
      <x:c r="P325" s="14" t="n">
        <x:v>31</x:v>
      </x:c>
      <x:c r="Q325" s="60" t="n">
        <x:v>2018</x:v>
      </x:c>
      <x:c r="R325" s="12" t="str">
        <x:v>Department of Statistics - Establishments Census 2018 - Table 4</x:v>
      </x:c>
    </x:row>
    <x:row r="326">
      <x:c r="A326" s="12" t="str">
        <x:v>8291</x:v>
      </x:c>
      <x:c r="B326" s="12" t="str">
        <x:v>Activities of collection agencies and credit bureaus</x:v>
      </x:c>
      <x:c r="C326" s="12" t="str">
        <x:v>Detailed activity (4-digit)</x:v>
      </x:c>
      <x:c r="D326" s="14" t="n">
        <x:v>8</x:v>
      </x:c>
      <x:c r="E326" s="14" t="n">
        <x:v>0</x:v>
      </x:c>
      <x:c r="F326" s="14" t="n">
        <x:v>2</x:v>
      </x:c>
      <x:c r="G326" s="14" t="n">
        <x:v>0</x:v>
      </x:c>
      <x:c r="H326" s="14" t="n">
        <x:v>0</x:v>
      </x:c>
      <x:c r="I326" s="14" t="n">
        <x:v>1</x:v>
      </x:c>
      <x:c r="J326" s="14" t="n">
        <x:v>0</x:v>
      </x:c>
      <x:c r="K326" s="14" t="n">
        <x:v>0</x:v>
      </x:c>
      <x:c r="L326" s="14" t="n">
        <x:v>0</x:v>
      </x:c>
      <x:c r="M326" s="14" t="n">
        <x:v>0</x:v>
      </x:c>
      <x:c r="N326" s="14" t="n">
        <x:v>0</x:v>
      </x:c>
      <x:c r="O326" s="14" t="n">
        <x:v>0</x:v>
      </x:c>
      <x:c r="P326" s="14" t="n">
        <x:v>11</x:v>
      </x:c>
      <x:c r="Q326" s="60" t="n">
        <x:v>2018</x:v>
      </x:c>
      <x:c r="R326" s="12" t="str">
        <x:v>Department of Statistics - Establishments Census 2018 - Table 4</x:v>
      </x:c>
    </x:row>
    <x:row r="327">
      <x:c r="A327" s="12" t="str">
        <x:v>8292</x:v>
      </x:c>
      <x:c r="B327" s="12" t="str">
        <x:v>Packaging activities</x:v>
      </x:c>
      <x:c r="C327" s="12" t="str">
        <x:v>Detailed activity (4-digit)</x:v>
      </x:c>
      <x:c r="D327" s="14" t="n">
        <x:v>34</x:v>
      </x:c>
      <x:c r="E327" s="14" t="n">
        <x:v>1</x:v>
      </x:c>
      <x:c r="F327" s="14" t="n">
        <x:v>8</x:v>
      </x:c>
      <x:c r="G327" s="14" t="n">
        <x:v>0</x:v>
      </x:c>
      <x:c r="H327" s="14" t="n">
        <x:v>1</x:v>
      </x:c>
      <x:c r="I327" s="14" t="n">
        <x:v>1</x:v>
      </x:c>
      <x:c r="J327" s="14" t="n">
        <x:v>0</x:v>
      </x:c>
      <x:c r="K327" s="14" t="n">
        <x:v>1</x:v>
      </x:c>
      <x:c r="L327" s="14" t="n">
        <x:v>0</x:v>
      </x:c>
      <x:c r="M327" s="14" t="n">
        <x:v>0</x:v>
      </x:c>
      <x:c r="N327" s="14" t="n">
        <x:v>0</x:v>
      </x:c>
      <x:c r="O327" s="14" t="n">
        <x:v>1</x:v>
      </x:c>
      <x:c r="P327" s="14" t="n">
        <x:v>47</x:v>
      </x:c>
      <x:c r="Q327" s="60" t="n">
        <x:v>2018</x:v>
      </x:c>
      <x:c r="R327" s="12" t="str">
        <x:v>Department of Statistics - Establishments Census 2018 - Table 4</x:v>
      </x:c>
    </x:row>
    <x:row r="328">
      <x:c r="A328" s="12" t="str">
        <x:v>8299</x:v>
      </x:c>
      <x:c r="B328" s="12" t="str">
        <x:v>Other business support service activities n.e.c.</x:v>
      </x:c>
      <x:c r="C328" s="12" t="str">
        <x:v>Detailed activity (4-digit)</x:v>
      </x:c>
      <x:c r="D328" s="14" t="n">
        <x:v>29</x:v>
      </x:c>
      <x:c r="E328" s="14" t="n">
        <x:v>8</x:v>
      </x:c>
      <x:c r="F328" s="14" t="n">
        <x:v>6</x:v>
      </x:c>
      <x:c r="G328" s="14" t="n">
        <x:v>0</x:v>
      </x:c>
      <x:c r="H328" s="14" t="n">
        <x:v>12</x:v>
      </x:c>
      <x:c r="I328" s="14" t="n">
        <x:v>1</x:v>
      </x:c>
      <x:c r="J328" s="14" t="n">
        <x:v>2</x:v>
      </x:c>
      <x:c r="K328" s="14" t="n">
        <x:v>0</x:v>
      </x:c>
      <x:c r="L328" s="14" t="n">
        <x:v>0</x:v>
      </x:c>
      <x:c r="M328" s="14" t="n">
        <x:v>0</x:v>
      </x:c>
      <x:c r="N328" s="14" t="n">
        <x:v>0</x:v>
      </x:c>
      <x:c r="O328" s="14" t="n">
        <x:v>0</x:v>
      </x:c>
      <x:c r="P328" s="14" t="n">
        <x:v>58</x:v>
      </x:c>
      <x:c r="Q328" s="60" t="n">
        <x:v>2018</x:v>
      </x:c>
      <x:c r="R328" s="12" t="str">
        <x:v>Department of Statistics - Establishments Census 2018 - Table 4</x:v>
      </x:c>
    </x:row>
    <x:row r="329">
      <x:c r="A329" s="12" t="str">
        <x:v>85</x:v>
      </x:c>
      <x:c r="B329" s="12" t="str">
        <x:v>Education</x:v>
      </x:c>
      <x:c r="C329" s="12" t="str">
        <x:v>Sector (2-digit)</x:v>
      </x:c>
      <x:c r="D329" s="14" t="n">
        <x:v>1775</x:v>
      </x:c>
      <x:c r="E329" s="14" t="n">
        <x:v>209</x:v>
      </x:c>
      <x:c r="F329" s="14" t="n">
        <x:v>437</x:v>
      </x:c>
      <x:c r="G329" s="14" t="n">
        <x:v>75</x:v>
      </x:c>
      <x:c r="H329" s="14" t="n">
        <x:v>581</x:v>
      </x:c>
      <x:c r="I329" s="14" t="n">
        <x:v>85</x:v>
      </x:c>
      <x:c r="J329" s="14" t="n">
        <x:v>52</x:v>
      </x:c>
      <x:c r="K329" s="14" t="n">
        <x:v>65</x:v>
      </x:c>
      <x:c r="L329" s="14" t="n">
        <x:v>113</x:v>
      </x:c>
      <x:c r="M329" s="14" t="n">
        <x:v>20</x:v>
      </x:c>
      <x:c r="N329" s="14" t="n">
        <x:v>41</x:v>
      </x:c>
      <x:c r="O329" s="14" t="n">
        <x:v>53</x:v>
      </x:c>
      <x:c r="P329" s="14" t="n">
        <x:v>3506</x:v>
      </x:c>
      <x:c r="Q329" s="60" t="n">
        <x:v>2018</x:v>
      </x:c>
      <x:c r="R329" s="12" t="str">
        <x:v>Department of Statistics - Establishments Census 2018 - Table 4</x:v>
      </x:c>
    </x:row>
    <x:row r="330">
      <x:c r="A330" s="12" t="str">
        <x:v>8510</x:v>
      </x:c>
      <x:c r="B330" s="12" t="str">
        <x:v>Pre-primary and primary education</x:v>
      </x:c>
      <x:c r="C330" s="12" t="str">
        <x:v>Detailed activity (4-digit)</x:v>
      </x:c>
      <x:c r="D330" s="14" t="n">
        <x:v>1031</x:v>
      </x:c>
      <x:c r="E330" s="14" t="n">
        <x:v>142</x:v>
      </x:c>
      <x:c r="F330" s="14" t="n">
        <x:v>303</x:v>
      </x:c>
      <x:c r="G330" s="14" t="n">
        <x:v>44</x:v>
      </x:c>
      <x:c r="H330" s="14" t="n">
        <x:v>396</x:v>
      </x:c>
      <x:c r="I330" s="14" t="n">
        <x:v>61</x:v>
      </x:c>
      <x:c r="J330" s="14" t="n">
        <x:v>41</x:v>
      </x:c>
      <x:c r="K330" s="14" t="n">
        <x:v>45</x:v>
      </x:c>
      <x:c r="L330" s="14" t="n">
        <x:v>72</x:v>
      </x:c>
      <x:c r="M330" s="14" t="n">
        <x:v>13</x:v>
      </x:c>
      <x:c r="N330" s="14" t="n">
        <x:v>27</x:v>
      </x:c>
      <x:c r="O330" s="14" t="n">
        <x:v>30</x:v>
      </x:c>
      <x:c r="P330" s="14" t="n">
        <x:v>2205</x:v>
      </x:c>
      <x:c r="Q330" s="60" t="n">
        <x:v>2018</x:v>
      </x:c>
      <x:c r="R330" s="12" t="str">
        <x:v>Department of Statistics - Establishments Census 2018 - Table 4</x:v>
      </x:c>
    </x:row>
    <x:row r="331">
      <x:c r="A331" s="12" t="str">
        <x:v>8521</x:v>
      </x:c>
      <x:c r="B331" s="12" t="str">
        <x:v>General secondary education</x:v>
      </x:c>
      <x:c r="C331" s="12" t="str">
        <x:v>Detailed activity (4-digit)</x:v>
      </x:c>
      <x:c r="D331" s="14" t="n">
        <x:v>110</x:v>
      </x:c>
      <x:c r="E331" s="14" t="n">
        <x:v>15</x:v>
      </x:c>
      <x:c r="F331" s="14" t="n">
        <x:v>12</x:v>
      </x:c>
      <x:c r="G331" s="14" t="n">
        <x:v>4</x:v>
      </x:c>
      <x:c r="H331" s="14" t="n">
        <x:v>11</x:v>
      </x:c>
      <x:c r="I331" s="14" t="n">
        <x:v>2</x:v>
      </x:c>
      <x:c r="J331" s="14" t="n">
        <x:v>0</x:v>
      </x:c>
      <x:c r="K331" s="14" t="n">
        <x:v>1</x:v>
      </x:c>
      <x:c r="L331" s="14" t="n">
        <x:v>5</x:v>
      </x:c>
      <x:c r="M331" s="14" t="n">
        <x:v>0</x:v>
      </x:c>
      <x:c r="N331" s="14" t="n">
        <x:v>0</x:v>
      </x:c>
      <x:c r="O331" s="14" t="n">
        <x:v>1</x:v>
      </x:c>
      <x:c r="P331" s="14" t="n">
        <x:v>161</x:v>
      </x:c>
      <x:c r="Q331" s="60" t="n">
        <x:v>2018</x:v>
      </x:c>
      <x:c r="R331" s="12" t="str">
        <x:v>Department of Statistics - Establishments Census 2018 - Table 4</x:v>
      </x:c>
    </x:row>
    <x:row r="332">
      <x:c r="A332" s="12" t="str">
        <x:v>8522</x:v>
      </x:c>
      <x:c r="B332" s="12" t="str">
        <x:v>Technical and vocational secondary education</x:v>
      </x:c>
      <x:c r="C332" s="12" t="str">
        <x:v>Detailed activity (4-digit)</x:v>
      </x:c>
      <x:c r="D332" s="14" t="n">
        <x:v>26</x:v>
      </x:c>
      <x:c r="E332" s="14" t="n">
        <x:v>2</x:v>
      </x:c>
      <x:c r="F332" s="14" t="n">
        <x:v>8</x:v>
      </x:c>
      <x:c r="G332" s="14" t="n">
        <x:v>0</x:v>
      </x:c>
      <x:c r="H332" s="14" t="n">
        <x:v>6</x:v>
      </x:c>
      <x:c r="I332" s="14" t="n">
        <x:v>3</x:v>
      </x:c>
      <x:c r="J332" s="14" t="n">
        <x:v>0</x:v>
      </x:c>
      <x:c r="K332" s="14" t="n">
        <x:v>1</x:v>
      </x:c>
      <x:c r="L332" s="14" t="n">
        <x:v>0</x:v>
      </x:c>
      <x:c r="M332" s="14" t="n">
        <x:v>0</x:v>
      </x:c>
      <x:c r="N332" s="14" t="n">
        <x:v>2</x:v>
      </x:c>
      <x:c r="O332" s="14" t="n">
        <x:v>1</x:v>
      </x:c>
      <x:c r="P332" s="14" t="n">
        <x:v>49</x:v>
      </x:c>
      <x:c r="Q332" s="60" t="n">
        <x:v>2018</x:v>
      </x:c>
      <x:c r="R332" s="12" t="str">
        <x:v>Department of Statistics - Establishments Census 2018 - Table 4</x:v>
      </x:c>
    </x:row>
    <x:row r="333">
      <x:c r="A333" s="12" t="str">
        <x:v>8530</x:v>
      </x:c>
      <x:c r="B333" s="12" t="str">
        <x:v>Higher education</x:v>
      </x:c>
      <x:c r="C333" s="12" t="str">
        <x:v>Detailed activity (4-digit)</x:v>
      </x:c>
      <x:c r="D333" s="14" t="n">
        <x:v>28</x:v>
      </x:c>
      <x:c r="E333" s="14" t="n">
        <x:v>1</x:v>
      </x:c>
      <x:c r="F333" s="14" t="n">
        <x:v>6</x:v>
      </x:c>
      <x:c r="G333" s="14" t="n">
        <x:v>1</x:v>
      </x:c>
      <x:c r="H333" s="14" t="n">
        <x:v>6</x:v>
      </x:c>
      <x:c r="I333" s="14" t="n">
        <x:v>1</x:v>
      </x:c>
      <x:c r="J333" s="14" t="n">
        <x:v>3</x:v>
      </x:c>
      <x:c r="K333" s="14" t="n">
        <x:v>1</x:v>
      </x:c>
      <x:c r="L333" s="14" t="n">
        <x:v>0</x:v>
      </x:c>
      <x:c r="M333" s="14" t="n">
        <x:v>0</x:v>
      </x:c>
      <x:c r="N333" s="14" t="n">
        <x:v>0</x:v>
      </x:c>
      <x:c r="O333" s="14" t="n">
        <x:v>0</x:v>
      </x:c>
      <x:c r="P333" s="14" t="n">
        <x:v>47</x:v>
      </x:c>
      <x:c r="Q333" s="60" t="n">
        <x:v>2018</x:v>
      </x:c>
      <x:c r="R333" s="12" t="str">
        <x:v>Department of Statistics - Establishments Census 2018 - Table 4</x:v>
      </x:c>
    </x:row>
    <x:row r="334">
      <x:c r="A334" s="12" t="str">
        <x:v>8541</x:v>
      </x:c>
      <x:c r="B334" s="12" t="str">
        <x:v>Sports and recreation education</x:v>
      </x:c>
      <x:c r="C334" s="12" t="str">
        <x:v>Detailed activity (4-digit)</x:v>
      </x:c>
      <x:c r="D334" s="14" t="n">
        <x:v>2</x:v>
      </x:c>
      <x:c r="E334" s="14" t="n">
        <x:v>1</x:v>
      </x:c>
      <x:c r="F334" s="14" t="n">
        <x:v>0</x:v>
      </x:c>
      <x:c r="G334" s="14" t="n">
        <x:v>0</x:v>
      </x:c>
      <x:c r="H334" s="14" t="n">
        <x:v>0</x:v>
      </x:c>
      <x:c r="I334" s="14" t="n">
        <x:v>0</x:v>
      </x:c>
      <x:c r="J334" s="14" t="n">
        <x:v>0</x:v>
      </x:c>
      <x:c r="K334" s="14" t="n">
        <x:v>0</x:v>
      </x:c>
      <x:c r="L334" s="14" t="n">
        <x:v>0</x:v>
      </x:c>
      <x:c r="M334" s="14" t="n">
        <x:v>0</x:v>
      </x:c>
      <x:c r="N334" s="14" t="n">
        <x:v>0</x:v>
      </x:c>
      <x:c r="O334" s="14" t="n">
        <x:v>0</x:v>
      </x:c>
      <x:c r="P334" s="14" t="n">
        <x:v>3</x:v>
      </x:c>
      <x:c r="Q334" s="60" t="n">
        <x:v>2018</x:v>
      </x:c>
      <x:c r="R334" s="12" t="str">
        <x:v>Department of Statistics - Establishments Census 2018 - Table 4</x:v>
      </x:c>
    </x:row>
    <x:row r="335">
      <x:c r="A335" s="12" t="str">
        <x:v>8542</x:v>
      </x:c>
      <x:c r="B335" s="12" t="str">
        <x:v>Cultural education</x:v>
      </x:c>
      <x:c r="C335" s="12" t="str">
        <x:v>Detailed activity (4-digit)</x:v>
      </x:c>
      <x:c r="D335" s="14" t="n">
        <x:v>572</x:v>
      </x:c>
      <x:c r="E335" s="14" t="n">
        <x:v>46</x:v>
      </x:c>
      <x:c r="F335" s="14" t="n">
        <x:v>106</x:v>
      </x:c>
      <x:c r="G335" s="14" t="n">
        <x:v>26</x:v>
      </x:c>
      <x:c r="H335" s="14" t="n">
        <x:v>162</x:v>
      </x:c>
      <x:c r="I335" s="14" t="n">
        <x:v>18</x:v>
      </x:c>
      <x:c r="J335" s="14" t="n">
        <x:v>8</x:v>
      </x:c>
      <x:c r="K335" s="14" t="n">
        <x:v>17</x:v>
      </x:c>
      <x:c r="L335" s="14" t="n">
        <x:v>35</x:v>
      </x:c>
      <x:c r="M335" s="14" t="n">
        <x:v>7</x:v>
      </x:c>
      <x:c r="N335" s="14" t="n">
        <x:v>12</x:v>
      </x:c>
      <x:c r="O335" s="14" t="n">
        <x:v>21</x:v>
      </x:c>
      <x:c r="P335" s="14" t="n">
        <x:v>1030</x:v>
      </x:c>
      <x:c r="Q335" s="60" t="n">
        <x:v>2018</x:v>
      </x:c>
      <x:c r="R335" s="12" t="str">
        <x:v>Department of Statistics - Establishments Census 2018 - Table 4</x:v>
      </x:c>
    </x:row>
    <x:row r="336">
      <x:c r="A336" s="12" t="str">
        <x:v>8549</x:v>
      </x:c>
      <x:c r="B336" s="12" t="str">
        <x:v>Other education n.e.c.</x:v>
      </x:c>
      <x:c r="C336" s="12" t="str">
        <x:v>Detailed activity (4-digit)</x:v>
      </x:c>
      <x:c r="D336" s="14" t="n">
        <x:v>2</x:v>
      </x:c>
      <x:c r="E336" s="14" t="n">
        <x:v>2</x:v>
      </x:c>
      <x:c r="F336" s="14" t="n">
        <x:v>1</x:v>
      </x:c>
      <x:c r="G336" s="14" t="n">
        <x:v>0</x:v>
      </x:c>
      <x:c r="H336" s="14" t="n">
        <x:v>0</x:v>
      </x:c>
      <x:c r="I336" s="14" t="n">
        <x:v>0</x:v>
      </x:c>
      <x:c r="J336" s="14" t="n">
        <x:v>0</x:v>
      </x:c>
      <x:c r="K336" s="14" t="n">
        <x:v>0</x:v>
      </x:c>
      <x:c r="L336" s="14" t="n">
        <x:v>0</x:v>
      </x:c>
      <x:c r="M336" s="14" t="n">
        <x:v>0</x:v>
      </x:c>
      <x:c r="N336" s="14" t="n">
        <x:v>0</x:v>
      </x:c>
      <x:c r="O336" s="14" t="n">
        <x:v>0</x:v>
      </x:c>
      <x:c r="P336" s="14" t="n">
        <x:v>5</x:v>
      </x:c>
      <x:c r="Q336" s="60" t="n">
        <x:v>2018</x:v>
      </x:c>
      <x:c r="R336" s="12" t="str">
        <x:v>Department of Statistics - Establishments Census 2018 - Table 4</x:v>
      </x:c>
    </x:row>
    <x:row r="337">
      <x:c r="A337" s="12" t="str">
        <x:v>8550</x:v>
      </x:c>
      <x:c r="B337" s="12" t="str">
        <x:v>Educational support activities</x:v>
      </x:c>
      <x:c r="C337" s="12" t="str">
        <x:v>Detailed activity (4-digit)</x:v>
      </x:c>
      <x:c r="D337" s="14" t="n">
        <x:v>4</x:v>
      </x:c>
      <x:c r="E337" s="14" t="n">
        <x:v>0</x:v>
      </x:c>
      <x:c r="F337" s="14" t="n">
        <x:v>1</x:v>
      </x:c>
      <x:c r="G337" s="14" t="n">
        <x:v>0</x:v>
      </x:c>
      <x:c r="H337" s="14" t="n">
        <x:v>0</x:v>
      </x:c>
      <x:c r="I337" s="14" t="n">
        <x:v>0</x:v>
      </x:c>
      <x:c r="J337" s="14" t="n">
        <x:v>0</x:v>
      </x:c>
      <x:c r="K337" s="14" t="n">
        <x:v>0</x:v>
      </x:c>
      <x:c r="L337" s="14" t="n">
        <x:v>1</x:v>
      </x:c>
      <x:c r="M337" s="14" t="n">
        <x:v>0</x:v>
      </x:c>
      <x:c r="N337" s="14" t="n">
        <x:v>0</x:v>
      </x:c>
      <x:c r="O337" s="14" t="n">
        <x:v>0</x:v>
      </x:c>
      <x:c r="P337" s="14" t="n">
        <x:v>6</x:v>
      </x:c>
      <x:c r="Q337" s="60" t="n">
        <x:v>2018</x:v>
      </x:c>
      <x:c r="R337" s="12" t="str">
        <x:v>Department of Statistics - Establishments Census 2018 - Table 4</x:v>
      </x:c>
    </x:row>
    <x:row r="338">
      <x:c r="A338" s="12" t="str">
        <x:v>86</x:v>
      </x:c>
      <x:c r="B338" s="12" t="str">
        <x:v>Human health activities</x:v>
      </x:c>
      <x:c r="C338" s="12" t="str">
        <x:v>Sector (2-digit)</x:v>
      </x:c>
      <x:c r="D338" s="14" t="n">
        <x:v>3538</x:v>
      </x:c>
      <x:c r="E338" s="14" t="n">
        <x:v>187</x:v>
      </x:c>
      <x:c r="F338" s="14" t="n">
        <x:v>545</x:v>
      </x:c>
      <x:c r="G338" s="14" t="n">
        <x:v>99</x:v>
      </x:c>
      <x:c r="H338" s="14" t="n">
        <x:v>558</x:v>
      </x:c>
      <x:c r="I338" s="14" t="n">
        <x:v>84</x:v>
      </x:c>
      <x:c r="J338" s="14" t="n">
        <x:v>43</x:v>
      </x:c>
      <x:c r="K338" s="14" t="n">
        <x:v>46</x:v>
      </x:c>
      <x:c r="L338" s="14" t="n">
        <x:v>117</x:v>
      </x:c>
      <x:c r="M338" s="14" t="n">
        <x:v>24</x:v>
      </x:c>
      <x:c r="N338" s="14" t="n">
        <x:v>33</x:v>
      </x:c>
      <x:c r="O338" s="14" t="n">
        <x:v>98</x:v>
      </x:c>
      <x:c r="P338" s="14" t="n">
        <x:v>5372</x:v>
      </x:c>
      <x:c r="Q338" s="60" t="n">
        <x:v>2018</x:v>
      </x:c>
      <x:c r="R338" s="12" t="str">
        <x:v>Department of Statistics - Establishments Census 2018 - Table 4</x:v>
      </x:c>
    </x:row>
    <x:row r="339">
      <x:c r="A339" s="12" t="str">
        <x:v>8610</x:v>
      </x:c>
      <x:c r="B339" s="12" t="str">
        <x:v>Hospital activities</x:v>
      </x:c>
      <x:c r="C339" s="12" t="str">
        <x:v>Detailed activity (4-digit)</x:v>
      </x:c>
      <x:c r="D339" s="14" t="n">
        <x:v>37</x:v>
      </x:c>
      <x:c r="E339" s="14" t="n">
        <x:v>1</x:v>
      </x:c>
      <x:c r="F339" s="14" t="n">
        <x:v>5</x:v>
      </x:c>
      <x:c r="G339" s="14" t="n">
        <x:v>2</x:v>
      </x:c>
      <x:c r="H339" s="14" t="n">
        <x:v>5</x:v>
      </x:c>
      <x:c r="I339" s="14" t="n">
        <x:v>1</x:v>
      </x:c>
      <x:c r="J339" s="14" t="n">
        <x:v>0</x:v>
      </x:c>
      <x:c r="K339" s="14" t="n">
        <x:v>0</x:v>
      </x:c>
      <x:c r="L339" s="14" t="n">
        <x:v>2</x:v>
      </x:c>
      <x:c r="M339" s="14" t="n">
        <x:v>0</x:v>
      </x:c>
      <x:c r="N339" s="14" t="n">
        <x:v>0</x:v>
      </x:c>
      <x:c r="O339" s="14" t="n">
        <x:v>1</x:v>
      </x:c>
      <x:c r="P339" s="14" t="n">
        <x:v>54</x:v>
      </x:c>
      <x:c r="Q339" s="60" t="n">
        <x:v>2018</x:v>
      </x:c>
      <x:c r="R339" s="12" t="str">
        <x:v>Department of Statistics - Establishments Census 2018 - Table 4</x:v>
      </x:c>
    </x:row>
    <x:row r="340">
      <x:c r="A340" s="12" t="str">
        <x:v>8620</x:v>
      </x:c>
      <x:c r="B340" s="12" t="str">
        <x:v>Medical and dental practice activities</x:v>
      </x:c>
      <x:c r="C340" s="12" t="str">
        <x:v>Detailed activity (4-digit)</x:v>
      </x:c>
      <x:c r="D340" s="14" t="n">
        <x:v>3130</x:v>
      </x:c>
      <x:c r="E340" s="14" t="n">
        <x:v>169</x:v>
      </x:c>
      <x:c r="F340" s="14" t="n">
        <x:v>480</x:v>
      </x:c>
      <x:c r="G340" s="14" t="n">
        <x:v>85</x:v>
      </x:c>
      <x:c r="H340" s="14" t="n">
        <x:v>501</x:v>
      </x:c>
      <x:c r="I340" s="14" t="n">
        <x:v>76</x:v>
      </x:c>
      <x:c r="J340" s="14" t="n">
        <x:v>41</x:v>
      </x:c>
      <x:c r="K340" s="14" t="n">
        <x:v>45</x:v>
      </x:c>
      <x:c r="L340" s="14" t="n">
        <x:v>102</x:v>
      </x:c>
      <x:c r="M340" s="14" t="n">
        <x:v>20</x:v>
      </x:c>
      <x:c r="N340" s="14" t="n">
        <x:v>27</x:v>
      </x:c>
      <x:c r="O340" s="14" t="n">
        <x:v>80</x:v>
      </x:c>
      <x:c r="P340" s="14" t="n">
        <x:v>4756</x:v>
      </x:c>
      <x:c r="Q340" s="60" t="n">
        <x:v>2018</x:v>
      </x:c>
      <x:c r="R340" s="12" t="str">
        <x:v>Department of Statistics - Establishments Census 2018 - Table 4</x:v>
      </x:c>
    </x:row>
    <x:row r="341">
      <x:c r="A341" s="12" t="str">
        <x:v>8690</x:v>
      </x:c>
      <x:c r="B341" s="12" t="str">
        <x:v>Other human health activities</x:v>
      </x:c>
      <x:c r="C341" s="12" t="str">
        <x:v>Detailed activity (4-digit)</x:v>
      </x:c>
      <x:c r="D341" s="14" t="n">
        <x:v>371</x:v>
      </x:c>
      <x:c r="E341" s="14" t="n">
        <x:v>17</x:v>
      </x:c>
      <x:c r="F341" s="14" t="n">
        <x:v>60</x:v>
      </x:c>
      <x:c r="G341" s="14" t="n">
        <x:v>12</x:v>
      </x:c>
      <x:c r="H341" s="14" t="n">
        <x:v>52</x:v>
      </x:c>
      <x:c r="I341" s="14" t="n">
        <x:v>7</x:v>
      </x:c>
      <x:c r="J341" s="14" t="n">
        <x:v>2</x:v>
      </x:c>
      <x:c r="K341" s="14" t="n">
        <x:v>1</x:v>
      </x:c>
      <x:c r="L341" s="14" t="n">
        <x:v>13</x:v>
      </x:c>
      <x:c r="M341" s="14" t="n">
        <x:v>4</x:v>
      </x:c>
      <x:c r="N341" s="14" t="n">
        <x:v>6</x:v>
      </x:c>
      <x:c r="O341" s="14" t="n">
        <x:v>17</x:v>
      </x:c>
      <x:c r="P341" s="14" t="n">
        <x:v>562</x:v>
      </x:c>
      <x:c r="Q341" s="60" t="n">
        <x:v>2018</x:v>
      </x:c>
      <x:c r="R341" s="12" t="str">
        <x:v>Department of Statistics - Establishments Census 2018 - Table 4</x:v>
      </x:c>
    </x:row>
    <x:row r="342">
      <x:c r="A342" s="12" t="str">
        <x:v>87</x:v>
      </x:c>
      <x:c r="B342" s="12" t="str">
        <x:v>Residential care activities</x:v>
      </x:c>
      <x:c r="C342" s="12" t="str">
        <x:v>Sector (2-digit)</x:v>
      </x:c>
      <x:c r="D342" s="14" t="n">
        <x:v>63</x:v>
      </x:c>
      <x:c r="E342" s="14" t="n">
        <x:v>6</x:v>
      </x:c>
      <x:c r="F342" s="14" t="n">
        <x:v>17</x:v>
      </x:c>
      <x:c r="G342" s="14" t="n">
        <x:v>1</x:v>
      </x:c>
      <x:c r="H342" s="14" t="n">
        <x:v>15</x:v>
      </x:c>
      <x:c r="I342" s="14" t="n">
        <x:v>4</x:v>
      </x:c>
      <x:c r="J342" s="14" t="n">
        <x:v>3</x:v>
      </x:c>
      <x:c r="K342" s="14" t="n">
        <x:v>7</x:v>
      </x:c>
      <x:c r="L342" s="14" t="n">
        <x:v>7</x:v>
      </x:c>
      <x:c r="M342" s="14" t="n">
        <x:v>0</x:v>
      </x:c>
      <x:c r="N342" s="14" t="n">
        <x:v>3</x:v>
      </x:c>
      <x:c r="O342" s="14" t="n">
        <x:v>2</x:v>
      </x:c>
      <x:c r="P342" s="14" t="n">
        <x:v>128</x:v>
      </x:c>
      <x:c r="Q342" s="60" t="n">
        <x:v>2018</x:v>
      </x:c>
      <x:c r="R342" s="12" t="str">
        <x:v>Department of Statistics - Establishments Census 2018 - Table 4</x:v>
      </x:c>
    </x:row>
    <x:row r="343">
      <x:c r="A343" s="12" t="str">
        <x:v>8710</x:v>
      </x:c>
      <x:c r="B343" s="12" t="str">
        <x:v>Residential nursing care facilities</x:v>
      </x:c>
      <x:c r="C343" s="12" t="str">
        <x:v>Detailed activity (4-digit)</x:v>
      </x:c>
      <x:c r="D343" s="14" t="n">
        <x:v>9</x:v>
      </x:c>
      <x:c r="E343" s="14" t="n">
        <x:v>1</x:v>
      </x:c>
      <x:c r="F343" s="14" t="n">
        <x:v>2</x:v>
      </x:c>
      <x:c r="G343" s="14" t="n">
        <x:v>0</x:v>
      </x:c>
      <x:c r="H343" s="14" t="n">
        <x:v>0</x:v>
      </x:c>
      <x:c r="I343" s="14" t="n">
        <x:v>0</x:v>
      </x:c>
      <x:c r="J343" s="14" t="n">
        <x:v>0</x:v>
      </x:c>
      <x:c r="K343" s="14" t="n">
        <x:v>0</x:v>
      </x:c>
      <x:c r="L343" s="14" t="n">
        <x:v>0</x:v>
      </x:c>
      <x:c r="M343" s="14" t="n">
        <x:v>0</x:v>
      </x:c>
      <x:c r="N343" s="14" t="n">
        <x:v>0</x:v>
      </x:c>
      <x:c r="O343" s="14" t="n">
        <x:v>0</x:v>
      </x:c>
      <x:c r="P343" s="14" t="n">
        <x:v>12</x:v>
      </x:c>
      <x:c r="Q343" s="60" t="n">
        <x:v>2018</x:v>
      </x:c>
      <x:c r="R343" s="12" t="str">
        <x:v>Department of Statistics - Establishments Census 2018 - Table 4</x:v>
      </x:c>
    </x:row>
    <x:row r="344">
      <x:c r="A344" s="12" t="str">
        <x:v>8720</x:v>
      </x:c>
      <x:c r="B344" s="12" t="str">
        <x:v>Residential care activities for mental retardation, mental health and substance abuse</x:v>
      </x:c>
      <x:c r="C344" s="12" t="str">
        <x:v>Detailed activity (4-digit)</x:v>
      </x:c>
      <x:c r="D344" s="14" t="n">
        <x:v>36</x:v>
      </x:c>
      <x:c r="E344" s="14" t="n">
        <x:v>1</x:v>
      </x:c>
      <x:c r="F344" s="14" t="n">
        <x:v>8</x:v>
      </x:c>
      <x:c r="G344" s="14" t="n">
        <x:v>1</x:v>
      </x:c>
      <x:c r="H344" s="14" t="n">
        <x:v>7</x:v>
      </x:c>
      <x:c r="I344" s="14" t="n">
        <x:v>2</x:v>
      </x:c>
      <x:c r="J344" s="14" t="n">
        <x:v>1</x:v>
      </x:c>
      <x:c r="K344" s="14" t="n">
        <x:v>6</x:v>
      </x:c>
      <x:c r="L344" s="14" t="n">
        <x:v>5</x:v>
      </x:c>
      <x:c r="M344" s="14" t="n">
        <x:v>0</x:v>
      </x:c>
      <x:c r="N344" s="14" t="n">
        <x:v>0</x:v>
      </x:c>
      <x:c r="O344" s="14" t="n">
        <x:v>2</x:v>
      </x:c>
      <x:c r="P344" s="14" t="n">
        <x:v>69</x:v>
      </x:c>
      <x:c r="Q344" s="60" t="n">
        <x:v>2018</x:v>
      </x:c>
      <x:c r="R344" s="12" t="str">
        <x:v>Department of Statistics - Establishments Census 2018 - Table 4</x:v>
      </x:c>
    </x:row>
    <x:row r="345">
      <x:c r="A345" s="12" t="str">
        <x:v>8730</x:v>
      </x:c>
      <x:c r="B345" s="12" t="str">
        <x:v>Residential care activities for the elderly and disabled</x:v>
      </x:c>
      <x:c r="C345" s="12" t="str">
        <x:v>Detailed activity (4-digit)</x:v>
      </x:c>
      <x:c r="D345" s="14" t="n">
        <x:v>7</x:v>
      </x:c>
      <x:c r="E345" s="14" t="n">
        <x:v>3</x:v>
      </x:c>
      <x:c r="F345" s="14" t="n">
        <x:v>6</x:v>
      </x:c>
      <x:c r="G345" s="14" t="n">
        <x:v>0</x:v>
      </x:c>
      <x:c r="H345" s="14" t="n">
        <x:v>5</x:v>
      </x:c>
      <x:c r="I345" s="14" t="n">
        <x:v>1</x:v>
      </x:c>
      <x:c r="J345" s="14" t="n">
        <x:v>0</x:v>
      </x:c>
      <x:c r="K345" s="14" t="n">
        <x:v>1</x:v>
      </x:c>
      <x:c r="L345" s="14" t="n">
        <x:v>1</x:v>
      </x:c>
      <x:c r="M345" s="14" t="n">
        <x:v>0</x:v>
      </x:c>
      <x:c r="N345" s="14" t="n">
        <x:v>1</x:v>
      </x:c>
      <x:c r="O345" s="14" t="n">
        <x:v>0</x:v>
      </x:c>
      <x:c r="P345" s="14" t="n">
        <x:v>25</x:v>
      </x:c>
      <x:c r="Q345" s="60" t="n">
        <x:v>2018</x:v>
      </x:c>
      <x:c r="R345" s="12" t="str">
        <x:v>Department of Statistics - Establishments Census 2018 - Table 4</x:v>
      </x:c>
    </x:row>
    <x:row r="346">
      <x:c r="A346" s="12" t="str">
        <x:v>8790</x:v>
      </x:c>
      <x:c r="B346" s="12" t="str">
        <x:v>Other residential care activities</x:v>
      </x:c>
      <x:c r="C346" s="12" t="str">
        <x:v>Detailed activity (4-digit)</x:v>
      </x:c>
      <x:c r="D346" s="14" t="n">
        <x:v>11</x:v>
      </x:c>
      <x:c r="E346" s="14" t="n">
        <x:v>1</x:v>
      </x:c>
      <x:c r="F346" s="14" t="n">
        <x:v>1</x:v>
      </x:c>
      <x:c r="G346" s="14" t="n">
        <x:v>0</x:v>
      </x:c>
      <x:c r="H346" s="14" t="n">
        <x:v>3</x:v>
      </x:c>
      <x:c r="I346" s="14" t="n">
        <x:v>1</x:v>
      </x:c>
      <x:c r="J346" s="14" t="n">
        <x:v>2</x:v>
      </x:c>
      <x:c r="K346" s="14" t="n">
        <x:v>0</x:v>
      </x:c>
      <x:c r="L346" s="14" t="n">
        <x:v>1</x:v>
      </x:c>
      <x:c r="M346" s="14" t="n">
        <x:v>0</x:v>
      </x:c>
      <x:c r="N346" s="14" t="n">
        <x:v>2</x:v>
      </x:c>
      <x:c r="O346" s="14" t="n">
        <x:v>0</x:v>
      </x:c>
      <x:c r="P346" s="14" t="n">
        <x:v>22</x:v>
      </x:c>
      <x:c r="Q346" s="60" t="n">
        <x:v>2018</x:v>
      </x:c>
      <x:c r="R346" s="12" t="str">
        <x:v>Department of Statistics - Establishments Census 2018 - Table 4</x:v>
      </x:c>
    </x:row>
    <x:row r="347">
      <x:c r="A347" s="12" t="str">
        <x:v>88</x:v>
      </x:c>
      <x:c r="B347" s="12" t="str">
        <x:v>Social work activities without accommodation</x:v>
      </x:c>
      <x:c r="C347" s="12" t="str">
        <x:v>Sector (2-digit)</x:v>
      </x:c>
      <x:c r="D347" s="14" t="n">
        <x:v>328</x:v>
      </x:c>
      <x:c r="E347" s="14" t="n">
        <x:v>77</x:v>
      </x:c>
      <x:c r="F347" s="14" t="n">
        <x:v>149</x:v>
      </x:c>
      <x:c r="G347" s="14" t="n">
        <x:v>22</x:v>
      </x:c>
      <x:c r="H347" s="14" t="n">
        <x:v>165</x:v>
      </x:c>
      <x:c r="I347" s="14" t="n">
        <x:v>37</x:v>
      </x:c>
      <x:c r="J347" s="14" t="n">
        <x:v>19</x:v>
      </x:c>
      <x:c r="K347" s="14" t="n">
        <x:v>33</x:v>
      </x:c>
      <x:c r="L347" s="14" t="n">
        <x:v>116</x:v>
      </x:c>
      <x:c r="M347" s="14" t="n">
        <x:v>13</x:v>
      </x:c>
      <x:c r="N347" s="14" t="n">
        <x:v>57</x:v>
      </x:c>
      <x:c r="O347" s="14" t="n">
        <x:v>36</x:v>
      </x:c>
      <x:c r="P347" s="14" t="n">
        <x:v>1052</x:v>
      </x:c>
      <x:c r="Q347" s="60" t="n">
        <x:v>2018</x:v>
      </x:c>
      <x:c r="R347" s="12" t="str">
        <x:v>Department of Statistics - Establishments Census 2018 - Table 4</x:v>
      </x:c>
    </x:row>
    <x:row r="348">
      <x:c r="A348" s="12" t="str">
        <x:v>8810</x:v>
      </x:c>
      <x:c r="B348" s="12" t="str">
        <x:v>Social work activities without accommodation for the elderly and disabled</x:v>
      </x:c>
      <x:c r="C348" s="12" t="str">
        <x:v>Detailed activity (4-digit)</x:v>
      </x:c>
      <x:c r="D348" s="14" t="n">
        <x:v>323</x:v>
      </x:c>
      <x:c r="E348" s="14" t="n">
        <x:v>76</x:v>
      </x:c>
      <x:c r="F348" s="14" t="n">
        <x:v>146</x:v>
      </x:c>
      <x:c r="G348" s="14" t="n">
        <x:v>21</x:v>
      </x:c>
      <x:c r="H348" s="14" t="n">
        <x:v>162</x:v>
      </x:c>
      <x:c r="I348" s="14" t="n">
        <x:v>37</x:v>
      </x:c>
      <x:c r="J348" s="14" t="n">
        <x:v>16</x:v>
      </x:c>
      <x:c r="K348" s="14" t="n">
        <x:v>32</x:v>
      </x:c>
      <x:c r="L348" s="14" t="n">
        <x:v>114</x:v>
      </x:c>
      <x:c r="M348" s="14" t="n">
        <x:v>13</x:v>
      </x:c>
      <x:c r="N348" s="14" t="n">
        <x:v>56</x:v>
      </x:c>
      <x:c r="O348" s="14" t="n">
        <x:v>36</x:v>
      </x:c>
      <x:c r="P348" s="14" t="n">
        <x:v>1032</x:v>
      </x:c>
      <x:c r="Q348" s="60" t="n">
        <x:v>2018</x:v>
      </x:c>
      <x:c r="R348" s="12" t="str">
        <x:v>Department of Statistics - Establishments Census 2018 - Table 4</x:v>
      </x:c>
    </x:row>
    <x:row r="349">
      <x:c r="A349" s="12" t="str">
        <x:v>8890</x:v>
      </x:c>
      <x:c r="B349" s="12" t="str">
        <x:v>Other social work activities without accommodation</x:v>
      </x:c>
      <x:c r="C349" s="12" t="str">
        <x:v>Detailed activity (4-digit)</x:v>
      </x:c>
      <x:c r="D349" s="14" t="n">
        <x:v>5</x:v>
      </x:c>
      <x:c r="E349" s="14" t="n">
        <x:v>1</x:v>
      </x:c>
      <x:c r="F349" s="14" t="n">
        <x:v>3</x:v>
      </x:c>
      <x:c r="G349" s="14" t="n">
        <x:v>1</x:v>
      </x:c>
      <x:c r="H349" s="14" t="n">
        <x:v>3</x:v>
      </x:c>
      <x:c r="I349" s="14" t="n">
        <x:v>0</x:v>
      </x:c>
      <x:c r="J349" s="14" t="n">
        <x:v>3</x:v>
      </x:c>
      <x:c r="K349" s="14" t="n">
        <x:v>1</x:v>
      </x:c>
      <x:c r="L349" s="14" t="n">
        <x:v>2</x:v>
      </x:c>
      <x:c r="M349" s="14" t="n">
        <x:v>0</x:v>
      </x:c>
      <x:c r="N349" s="14" t="n">
        <x:v>1</x:v>
      </x:c>
      <x:c r="O349" s="14" t="n">
        <x:v>0</x:v>
      </x:c>
      <x:c r="P349" s="14" t="n">
        <x:v>20</x:v>
      </x:c>
      <x:c r="Q349" s="60" t="n">
        <x:v>2018</x:v>
      </x:c>
      <x:c r="R349" s="12" t="str">
        <x:v>Department of Statistics - Establishments Census 2018 - Table 4</x:v>
      </x:c>
    </x:row>
    <x:row r="350">
      <x:c r="A350" s="12" t="str">
        <x:v>90</x:v>
      </x:c>
      <x:c r="B350" s="12" t="str">
        <x:v>Creative, arts and entertainment activities</x:v>
      </x:c>
      <x:c r="C350" s="12" t="str">
        <x:v>Sector (2-digit)</x:v>
      </x:c>
      <x:c r="D350" s="14" t="n">
        <x:v>10</x:v>
      </x:c>
      <x:c r="E350" s="14" t="n">
        <x:v>2</x:v>
      </x:c>
      <x:c r="F350" s="14" t="n">
        <x:v>2</x:v>
      </x:c>
      <x:c r="G350" s="14" t="n">
        <x:v>0</x:v>
      </x:c>
      <x:c r="H350" s="14" t="n">
        <x:v>1</x:v>
      </x:c>
      <x:c r="I350" s="14" t="n">
        <x:v>0</x:v>
      </x:c>
      <x:c r="J350" s="14" t="n">
        <x:v>0</x:v>
      </x:c>
      <x:c r="K350" s="14" t="n">
        <x:v>0</x:v>
      </x:c>
      <x:c r="L350" s="14" t="n">
        <x:v>0</x:v>
      </x:c>
      <x:c r="M350" s="14" t="n">
        <x:v>0</x:v>
      </x:c>
      <x:c r="N350" s="14" t="n">
        <x:v>0</x:v>
      </x:c>
      <x:c r="O350" s="14" t="n">
        <x:v>1</x:v>
      </x:c>
      <x:c r="P350" s="14" t="n">
        <x:v>16</x:v>
      </x:c>
      <x:c r="Q350" s="60" t="n">
        <x:v>2018</x:v>
      </x:c>
      <x:c r="R350" s="12" t="str">
        <x:v>Department of Statistics - Establishments Census 2018 - Table 4</x:v>
      </x:c>
    </x:row>
    <x:row r="351">
      <x:c r="A351" s="12" t="str">
        <x:v>9000</x:v>
      </x:c>
      <x:c r="B351" s="12" t="str">
        <x:v>Creative, arts and entertainment activities</x:v>
      </x:c>
      <x:c r="C351" s="12" t="str">
        <x:v>Detailed activity (4-digit)</x:v>
      </x:c>
      <x:c r="D351" s="14" t="n">
        <x:v>10</x:v>
      </x:c>
      <x:c r="E351" s="14" t="n">
        <x:v>2</x:v>
      </x:c>
      <x:c r="F351" s="14" t="n">
        <x:v>2</x:v>
      </x:c>
      <x:c r="G351" s="14" t="n">
        <x:v>0</x:v>
      </x:c>
      <x:c r="H351" s="14" t="n">
        <x:v>1</x:v>
      </x:c>
      <x:c r="I351" s="14" t="n">
        <x:v>0</x:v>
      </x:c>
      <x:c r="J351" s="14" t="n">
        <x:v>0</x:v>
      </x:c>
      <x:c r="K351" s="14" t="n">
        <x:v>0</x:v>
      </x:c>
      <x:c r="L351" s="14" t="n">
        <x:v>0</x:v>
      </x:c>
      <x:c r="M351" s="14" t="n">
        <x:v>0</x:v>
      </x:c>
      <x:c r="N351" s="14" t="n">
        <x:v>0</x:v>
      </x:c>
      <x:c r="O351" s="14" t="n">
        <x:v>1</x:v>
      </x:c>
      <x:c r="P351" s="14" t="n">
        <x:v>16</x:v>
      </x:c>
      <x:c r="Q351" s="60" t="n">
        <x:v>2018</x:v>
      </x:c>
      <x:c r="R351" s="12" t="str">
        <x:v>Department of Statistics - Establishments Census 2018 - Table 4</x:v>
      </x:c>
    </x:row>
    <x:row r="352">
      <x:c r="A352" s="12" t="str">
        <x:v>91</x:v>
      </x:c>
      <x:c r="B352" s="12" t="str">
        <x:v>Libraries, archives, museums and other cultural activities</x:v>
      </x:c>
      <x:c r="C352" s="12" t="str">
        <x:v>Sector (2-digit)</x:v>
      </x:c>
      <x:c r="D352" s="14" t="n">
        <x:v>12</x:v>
      </x:c>
      <x:c r="E352" s="14" t="n">
        <x:v>1</x:v>
      </x:c>
      <x:c r="F352" s="14" t="n">
        <x:v>2</x:v>
      </x:c>
      <x:c r="G352" s="14" t="n">
        <x:v>0</x:v>
      </x:c>
      <x:c r="H352" s="14" t="n">
        <x:v>2</x:v>
      </x:c>
      <x:c r="I352" s="14" t="n">
        <x:v>0</x:v>
      </x:c>
      <x:c r="J352" s="14" t="n">
        <x:v>0</x:v>
      </x:c>
      <x:c r="K352" s="14" t="n">
        <x:v>0</x:v>
      </x:c>
      <x:c r="L352" s="14" t="n">
        <x:v>4</x:v>
      </x:c>
      <x:c r="M352" s="14" t="n">
        <x:v>1</x:v>
      </x:c>
      <x:c r="N352" s="14" t="n">
        <x:v>3</x:v>
      </x:c>
      <x:c r="O352" s="14" t="n">
        <x:v>0</x:v>
      </x:c>
      <x:c r="P352" s="14" t="n">
        <x:v>25</x:v>
      </x:c>
      <x:c r="Q352" s="60" t="n">
        <x:v>2018</x:v>
      </x:c>
      <x:c r="R352" s="12" t="str">
        <x:v>Department of Statistics - Establishments Census 2018 - Table 4</x:v>
      </x:c>
    </x:row>
    <x:row r="353">
      <x:c r="A353" s="12" t="str">
        <x:v>9101</x:v>
      </x:c>
      <x:c r="B353" s="12" t="str">
        <x:v>Library and archives activities</x:v>
      </x:c>
      <x:c r="C353" s="12" t="str">
        <x:v>Detailed activity (4-digit)</x:v>
      </x:c>
      <x:c r="D353" s="14" t="n">
        <x:v>4</x:v>
      </x:c>
      <x:c r="E353" s="14" t="n">
        <x:v>0</x:v>
      </x:c>
      <x:c r="F353" s="14" t="n">
        <x:v>1</x:v>
      </x:c>
      <x:c r="G353" s="14" t="n">
        <x:v>0</x:v>
      </x:c>
      <x:c r="H353" s="14" t="n">
        <x:v>0</x:v>
      </x:c>
      <x:c r="I353" s="14" t="n">
        <x:v>0</x:v>
      </x:c>
      <x:c r="J353" s="14" t="n">
        <x:v>0</x:v>
      </x:c>
      <x:c r="K353" s="14" t="n">
        <x:v>0</x:v>
      </x:c>
      <x:c r="L353" s="14" t="n">
        <x:v>0</x:v>
      </x:c>
      <x:c r="M353" s="14" t="n">
        <x:v>0</x:v>
      </x:c>
      <x:c r="N353" s="14" t="n">
        <x:v>0</x:v>
      </x:c>
      <x:c r="O353" s="14" t="n">
        <x:v>0</x:v>
      </x:c>
      <x:c r="P353" s="14" t="n">
        <x:v>5</x:v>
      </x:c>
      <x:c r="Q353" s="60" t="n">
        <x:v>2018</x:v>
      </x:c>
      <x:c r="R353" s="12" t="str">
        <x:v>Department of Statistics - Establishments Census 2018 - Table 4</x:v>
      </x:c>
    </x:row>
    <x:row r="354">
      <x:c r="A354" s="12" t="str">
        <x:v>9102</x:v>
      </x:c>
      <x:c r="B354" s="12" t="str">
        <x:v>Museums activities and operation of historical sites and buildings</x:v>
      </x:c>
      <x:c r="C354" s="12" t="str">
        <x:v>Detailed activity (4-digit)</x:v>
      </x:c>
      <x:c r="D354" s="14" t="n">
        <x:v>4</x:v>
      </x:c>
      <x:c r="E354" s="14" t="n">
        <x:v>0</x:v>
      </x:c>
      <x:c r="F354" s="14" t="n">
        <x:v>0</x:v>
      </x:c>
      <x:c r="G354" s="14" t="n">
        <x:v>0</x:v>
      </x:c>
      <x:c r="H354" s="14" t="n">
        <x:v>0</x:v>
      </x:c>
      <x:c r="I354" s="14" t="n">
        <x:v>0</x:v>
      </x:c>
      <x:c r="J354" s="14" t="n">
        <x:v>0</x:v>
      </x:c>
      <x:c r="K354" s="14" t="n">
        <x:v>0</x:v>
      </x:c>
      <x:c r="L354" s="14" t="n">
        <x:v>2</x:v>
      </x:c>
      <x:c r="M354" s="14" t="n">
        <x:v>0</x:v>
      </x:c>
      <x:c r="N354" s="14" t="n">
        <x:v>1</x:v>
      </x:c>
      <x:c r="O354" s="14" t="n">
        <x:v>0</x:v>
      </x:c>
      <x:c r="P354" s="14" t="n">
        <x:v>7</x:v>
      </x:c>
      <x:c r="Q354" s="60" t="n">
        <x:v>2018</x:v>
      </x:c>
      <x:c r="R354" s="12" t="str">
        <x:v>Department of Statistics - Establishments Census 2018 - Table 4</x:v>
      </x:c>
    </x:row>
    <x:row r="355">
      <x:c r="A355" s="12" t="str">
        <x:v>9103</x:v>
      </x:c>
      <x:c r="B355" s="12" t="str">
        <x:v>Botanical and zoological gardens and nature reserves activities</x:v>
      </x:c>
      <x:c r="C355" s="12" t="str">
        <x:v>Detailed activity (4-digit)</x:v>
      </x:c>
      <x:c r="D355" s="14" t="n">
        <x:v>4</x:v>
      </x:c>
      <x:c r="E355" s="14" t="n">
        <x:v>1</x:v>
      </x:c>
      <x:c r="F355" s="14" t="n">
        <x:v>1</x:v>
      </x:c>
      <x:c r="G355" s="14" t="n">
        <x:v>0</x:v>
      </x:c>
      <x:c r="H355" s="14" t="n">
        <x:v>2</x:v>
      </x:c>
      <x:c r="I355" s="14" t="n">
        <x:v>0</x:v>
      </x:c>
      <x:c r="J355" s="14" t="n">
        <x:v>0</x:v>
      </x:c>
      <x:c r="K355" s="14" t="n">
        <x:v>0</x:v>
      </x:c>
      <x:c r="L355" s="14" t="n">
        <x:v>2</x:v>
      </x:c>
      <x:c r="M355" s="14" t="n">
        <x:v>1</x:v>
      </x:c>
      <x:c r="N355" s="14" t="n">
        <x:v>2</x:v>
      </x:c>
      <x:c r="O355" s="14" t="n">
        <x:v>0</x:v>
      </x:c>
      <x:c r="P355" s="14" t="n">
        <x:v>13</x:v>
      </x:c>
      <x:c r="Q355" s="60" t="n">
        <x:v>2018</x:v>
      </x:c>
      <x:c r="R355" s="12" t="str">
        <x:v>Department of Statistics - Establishments Census 2018 - Table 4</x:v>
      </x:c>
    </x:row>
    <x:row r="356">
      <x:c r="A356" s="12" t="str">
        <x:v>93</x:v>
      </x:c>
      <x:c r="B356" s="12" t="str">
        <x:v>Sports activities and amusement and recreation activities</x:v>
      </x:c>
      <x:c r="C356" s="12" t="str">
        <x:v>Sector (2-digit)</x:v>
      </x:c>
      <x:c r="D356" s="14" t="n">
        <x:v>819</x:v>
      </x:c>
      <x:c r="E356" s="14" t="n">
        <x:v>134</x:v>
      </x:c>
      <x:c r="F356" s="14" t="n">
        <x:v>302</x:v>
      </x:c>
      <x:c r="G356" s="14" t="n">
        <x:v>59</x:v>
      </x:c>
      <x:c r="H356" s="14" t="n">
        <x:v>248</x:v>
      </x:c>
      <x:c r="I356" s="14" t="n">
        <x:v>46</x:v>
      </x:c>
      <x:c r="J356" s="14" t="n">
        <x:v>44</x:v>
      </x:c>
      <x:c r="K356" s="14" t="n">
        <x:v>50</x:v>
      </x:c>
      <x:c r="L356" s="14" t="n">
        <x:v>99</x:v>
      </x:c>
      <x:c r="M356" s="14" t="n">
        <x:v>31</x:v>
      </x:c>
      <x:c r="N356" s="14" t="n">
        <x:v>50</x:v>
      </x:c>
      <x:c r="O356" s="14" t="n">
        <x:v>54</x:v>
      </x:c>
      <x:c r="P356" s="14" t="n">
        <x:v>1936</x:v>
      </x:c>
      <x:c r="Q356" s="60" t="n">
        <x:v>2018</x:v>
      </x:c>
      <x:c r="R356" s="12" t="str">
        <x:v>Department of Statistics - Establishments Census 2018 - Table 4</x:v>
      </x:c>
    </x:row>
    <x:row r="357">
      <x:c r="A357" s="12" t="str">
        <x:v>9311</x:v>
      </x:c>
      <x:c r="B357" s="12" t="str">
        <x:v>Operation of sports facilities</x:v>
      </x:c>
      <x:c r="C357" s="12" t="str">
        <x:v>Detailed activity (4-digit)</x:v>
      </x:c>
      <x:c r="D357" s="14" t="n">
        <x:v>76</x:v>
      </x:c>
      <x:c r="E357" s="14" t="n">
        <x:v>15</x:v>
      </x:c>
      <x:c r="F357" s="14" t="n">
        <x:v>28</x:v>
      </x:c>
      <x:c r="G357" s="14" t="n">
        <x:v>5</x:v>
      </x:c>
      <x:c r="H357" s="14" t="n">
        <x:v>34</x:v>
      </x:c>
      <x:c r="I357" s="14" t="n">
        <x:v>7</x:v>
      </x:c>
      <x:c r="J357" s="14" t="n">
        <x:v>2</x:v>
      </x:c>
      <x:c r="K357" s="14" t="n">
        <x:v>6</x:v>
      </x:c>
      <x:c r="L357" s="14" t="n">
        <x:v>10</x:v>
      </x:c>
      <x:c r="M357" s="14" t="n">
        <x:v>3</x:v>
      </x:c>
      <x:c r="N357" s="14" t="n">
        <x:v>3</x:v>
      </x:c>
      <x:c r="O357" s="14" t="n">
        <x:v>10</x:v>
      </x:c>
      <x:c r="P357" s="14" t="n">
        <x:v>199</x:v>
      </x:c>
      <x:c r="Q357" s="60" t="n">
        <x:v>2018</x:v>
      </x:c>
      <x:c r="R357" s="12" t="str">
        <x:v>Department of Statistics - Establishments Census 2018 - Table 4</x:v>
      </x:c>
    </x:row>
    <x:row r="358">
      <x:c r="A358" s="12" t="str">
        <x:v>9312</x:v>
      </x:c>
      <x:c r="B358" s="12" t="str">
        <x:v>Activities of sports clubs</x:v>
      </x:c>
      <x:c r="C358" s="12" t="str">
        <x:v>Detailed activity (4-digit)</x:v>
      </x:c>
      <x:c r="D358" s="14" t="n">
        <x:v>311</x:v>
      </x:c>
      <x:c r="E358" s="14" t="n">
        <x:v>46</x:v>
      </x:c>
      <x:c r="F358" s="14" t="n">
        <x:v>101</x:v>
      </x:c>
      <x:c r="G358" s="14" t="n">
        <x:v>15</x:v>
      </x:c>
      <x:c r="H358" s="14" t="n">
        <x:v>95</x:v>
      </x:c>
      <x:c r="I358" s="14" t="n">
        <x:v>10</x:v>
      </x:c>
      <x:c r="J358" s="14" t="n">
        <x:v>14</x:v>
      </x:c>
      <x:c r="K358" s="14" t="n">
        <x:v>17</x:v>
      </x:c>
      <x:c r="L358" s="14" t="n">
        <x:v>33</x:v>
      </x:c>
      <x:c r="M358" s="14" t="n">
        <x:v>6</x:v>
      </x:c>
      <x:c r="N358" s="14" t="n">
        <x:v>14</x:v>
      </x:c>
      <x:c r="O358" s="14" t="n">
        <x:v>26</x:v>
      </x:c>
      <x:c r="P358" s="14" t="n">
        <x:v>688</x:v>
      </x:c>
      <x:c r="Q358" s="60" t="n">
        <x:v>2018</x:v>
      </x:c>
      <x:c r="R358" s="12" t="str">
        <x:v>Department of Statistics - Establishments Census 2018 - Table 4</x:v>
      </x:c>
    </x:row>
    <x:row r="359">
      <x:c r="A359" s="12" t="str">
        <x:v>9319</x:v>
      </x:c>
      <x:c r="B359" s="12" t="str">
        <x:v>Other sports activities</x:v>
      </x:c>
      <x:c r="C359" s="12" t="str">
        <x:v>Detailed activity (4-digit)</x:v>
      </x:c>
      <x:c r="D359" s="14" t="n">
        <x:v>2</x:v>
      </x:c>
      <x:c r="E359" s="14" t="n">
        <x:v>0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0</x:v>
      </x:c>
      <x:c r="K359" s="14" t="n">
        <x:v>0</x:v>
      </x:c>
      <x:c r="L359" s="14" t="n">
        <x:v>0</x:v>
      </x:c>
      <x:c r="M359" s="14" t="n">
        <x:v>0</x:v>
      </x:c>
      <x:c r="N359" s="14" t="n">
        <x:v>0</x:v>
      </x:c>
      <x:c r="O359" s="14" t="n">
        <x:v>0</x:v>
      </x:c>
      <x:c r="P359" s="14" t="n">
        <x:v>2</x:v>
      </x:c>
      <x:c r="Q359" s="60" t="n">
        <x:v>2018</x:v>
      </x:c>
      <x:c r="R359" s="12" t="str">
        <x:v>Department of Statistics - Establishments Census 2018 - Table 4</x:v>
      </x:c>
    </x:row>
    <x:row r="360">
      <x:c r="A360" s="12" t="str">
        <x:v>9321</x:v>
      </x:c>
      <x:c r="B360" s="12" t="str">
        <x:v>Activities of amusement parks and theme parks</x:v>
      </x:c>
      <x:c r="C360" s="12" t="str">
        <x:v>Detailed activity (4-digit)</x:v>
      </x:c>
      <x:c r="D360" s="14" t="n">
        <x:v>12</x:v>
      </x:c>
      <x:c r="E360" s="14" t="n">
        <x:v>4</x:v>
      </x:c>
      <x:c r="F360" s="14" t="n">
        <x:v>3</x:v>
      </x:c>
      <x:c r="G360" s="14" t="n">
        <x:v>1</x:v>
      </x:c>
      <x:c r="H360" s="14" t="n">
        <x:v>2</x:v>
      </x:c>
      <x:c r="I360" s="14" t="n">
        <x:v>0</x:v>
      </x:c>
      <x:c r="J360" s="14" t="n">
        <x:v>0</x:v>
      </x:c>
      <x:c r="K360" s="14" t="n">
        <x:v>0</x:v>
      </x:c>
      <x:c r="L360" s="14" t="n">
        <x:v>1</x:v>
      </x:c>
      <x:c r="M360" s="14" t="n">
        <x:v>0</x:v>
      </x:c>
      <x:c r="N360" s="14" t="n">
        <x:v>1</x:v>
      </x:c>
      <x:c r="O360" s="14" t="n">
        <x:v>1</x:v>
      </x:c>
      <x:c r="P360" s="14" t="n">
        <x:v>25</x:v>
      </x:c>
      <x:c r="Q360" s="60" t="n">
        <x:v>2018</x:v>
      </x:c>
      <x:c r="R360" s="12" t="str">
        <x:v>Department of Statistics - Establishments Census 2018 - Table 4</x:v>
      </x:c>
    </x:row>
    <x:row r="361">
      <x:c r="A361" s="12" t="str">
        <x:v>9329</x:v>
      </x:c>
      <x:c r="B361" s="12" t="str">
        <x:v>Other amusement and recreation activities n.e.c.</x:v>
      </x:c>
      <x:c r="C361" s="12" t="str">
        <x:v>Detailed activity (4-digit)</x:v>
      </x:c>
      <x:c r="D361" s="14" t="n">
        <x:v>418</x:v>
      </x:c>
      <x:c r="E361" s="14" t="n">
        <x:v>69</x:v>
      </x:c>
      <x:c r="F361" s="14" t="n">
        <x:v>170</x:v>
      </x:c>
      <x:c r="G361" s="14" t="n">
        <x:v>38</x:v>
      </x:c>
      <x:c r="H361" s="14" t="n">
        <x:v>117</x:v>
      </x:c>
      <x:c r="I361" s="14" t="n">
        <x:v>29</x:v>
      </x:c>
      <x:c r="J361" s="14" t="n">
        <x:v>28</x:v>
      </x:c>
      <x:c r="K361" s="14" t="n">
        <x:v>27</x:v>
      </x:c>
      <x:c r="L361" s="14" t="n">
        <x:v>55</x:v>
      </x:c>
      <x:c r="M361" s="14" t="n">
        <x:v>22</x:v>
      </x:c>
      <x:c r="N361" s="14" t="n">
        <x:v>32</x:v>
      </x:c>
      <x:c r="O361" s="14" t="n">
        <x:v>17</x:v>
      </x:c>
      <x:c r="P361" s="14" t="n">
        <x:v>1022</x:v>
      </x:c>
      <x:c r="Q361" s="60" t="n">
        <x:v>2018</x:v>
      </x:c>
      <x:c r="R361" s="12" t="str">
        <x:v>Department of Statistics - Establishments Census 2018 - Table 4</x:v>
      </x:c>
    </x:row>
    <x:row r="362">
      <x:c r="A362" s="12" t="str">
        <x:v>94</x:v>
      </x:c>
      <x:c r="B362" s="12" t="str">
        <x:v>Activities of membership organizations</x:v>
      </x:c>
      <x:c r="C362" s="12" t="str">
        <x:v>Sector (2-digit)</x:v>
      </x:c>
      <x:c r="D362" s="14" t="n">
        <x:v>169</x:v>
      </x:c>
      <x:c r="E362" s="14" t="n">
        <x:v>28</x:v>
      </x:c>
      <x:c r="F362" s="14" t="n">
        <x:v>38</x:v>
      </x:c>
      <x:c r="G362" s="14" t="n">
        <x:v>12</x:v>
      </x:c>
      <x:c r="H362" s="14" t="n">
        <x:v>35</x:v>
      </x:c>
      <x:c r="I362" s="14" t="n">
        <x:v>10</x:v>
      </x:c>
      <x:c r="J362" s="14" t="n">
        <x:v>6</x:v>
      </x:c>
      <x:c r="K362" s="14" t="n">
        <x:v>9</x:v>
      </x:c>
      <x:c r="L362" s="14" t="n">
        <x:v>25</x:v>
      </x:c>
      <x:c r="M362" s="14" t="n">
        <x:v>5</x:v>
      </x:c>
      <x:c r="N362" s="14" t="n">
        <x:v>7</x:v>
      </x:c>
      <x:c r="O362" s="14" t="n">
        <x:v>13</x:v>
      </x:c>
      <x:c r="P362" s="14" t="n">
        <x:v>357</x:v>
      </x:c>
      <x:c r="Q362" s="60" t="n">
        <x:v>2018</x:v>
      </x:c>
      <x:c r="R362" s="12" t="str">
        <x:v>Department of Statistics - Establishments Census 2018 - Table 4</x:v>
      </x:c>
    </x:row>
    <x:row r="363">
      <x:c r="A363" s="12" t="str">
        <x:v>9411</x:v>
      </x:c>
      <x:c r="B363" s="12" t="str">
        <x:v>Activities of business and employers membership organizations</x:v>
      </x:c>
      <x:c r="C363" s="12" t="str">
        <x:v>Detailed activity (4-digit)</x:v>
      </x:c>
      <x:c r="D363" s="14" t="n">
        <x:v>9</x:v>
      </x:c>
      <x:c r="E363" s="14" t="n">
        <x:v>0</x:v>
      </x:c>
      <x:c r="F363" s="14" t="n">
        <x:v>0</x:v>
      </x:c>
      <x:c r="G363" s="14" t="n">
        <x:v>0</x:v>
      </x:c>
      <x:c r="H363" s="14" t="n">
        <x:v>3</x:v>
      </x:c>
      <x:c r="I363" s="14" t="n">
        <x:v>0</x:v>
      </x:c>
      <x:c r="J363" s="14" t="n">
        <x:v>2</x:v>
      </x:c>
      <x:c r="K363" s="14" t="n">
        <x:v>1</x:v>
      </x:c>
      <x:c r="L363" s="14" t="n">
        <x:v>4</x:v>
      </x:c>
      <x:c r="M363" s="14" t="n">
        <x:v>1</x:v>
      </x:c>
      <x:c r="N363" s="14" t="n">
        <x:v>2</x:v>
      </x:c>
      <x:c r="O363" s="14" t="n">
        <x:v>1</x:v>
      </x:c>
      <x:c r="P363" s="14" t="n">
        <x:v>23</x:v>
      </x:c>
      <x:c r="Q363" s="60" t="n">
        <x:v>2018</x:v>
      </x:c>
      <x:c r="R363" s="12" t="str">
        <x:v>Department of Statistics - Establishments Census 2018 - Table 4</x:v>
      </x:c>
    </x:row>
    <x:row r="364">
      <x:c r="A364" s="12" t="str">
        <x:v>9412</x:v>
      </x:c>
      <x:c r="B364" s="12" t="str">
        <x:v>Activities of professional membership organizations</x:v>
      </x:c>
      <x:c r="C364" s="12" t="str">
        <x:v>Detailed activity (4-digit)</x:v>
      </x:c>
      <x:c r="D364" s="14" t="n">
        <x:v>3</x:v>
      </x:c>
      <x:c r="E364" s="14" t="n">
        <x:v>0</x:v>
      </x:c>
      <x:c r="F364" s="14" t="n">
        <x:v>0</x:v>
      </x:c>
      <x:c r="G364" s="14" t="n">
        <x:v>2</x:v>
      </x:c>
      <x:c r="H364" s="14" t="n">
        <x:v>0</x:v>
      </x:c>
      <x:c r="I364" s="14" t="n">
        <x:v>0</x:v>
      </x:c>
      <x:c r="J364" s="14" t="n">
        <x:v>0</x:v>
      </x:c>
      <x:c r="K364" s="14" t="n">
        <x:v>1</x:v>
      </x:c>
      <x:c r="L364" s="14" t="n">
        <x:v>0</x:v>
      </x:c>
      <x:c r="M364" s="14" t="n">
        <x:v>0</x:v>
      </x:c>
      <x:c r="N364" s="14" t="n">
        <x:v>1</x:v>
      </x:c>
      <x:c r="O364" s="14" t="n">
        <x:v>0</x:v>
      </x:c>
      <x:c r="P364" s="14" t="n">
        <x:v>7</x:v>
      </x:c>
      <x:c r="Q364" s="60" t="n">
        <x:v>2018</x:v>
      </x:c>
      <x:c r="R364" s="12" t="str">
        <x:v>Department of Statistics - Establishments Census 2018 - Table 4</x:v>
      </x:c>
    </x:row>
    <x:row r="365">
      <x:c r="A365" s="12" t="str">
        <x:v>9420</x:v>
      </x:c>
      <x:c r="B365" s="12" t="str">
        <x:v>Activities of trade unions</x:v>
      </x:c>
      <x:c r="C365" s="12" t="str">
        <x:v>Detailed activity (4-digit)</x:v>
      </x:c>
      <x:c r="D365" s="14" t="n">
        <x:v>27</x:v>
      </x:c>
      <x:c r="E365" s="14" t="n">
        <x:v>1</x:v>
      </x:c>
      <x:c r="F365" s="14" t="n">
        <x:v>1</x:v>
      </x:c>
      <x:c r="G365" s="14" t="n">
        <x:v>0</x:v>
      </x:c>
      <x:c r="H365" s="14" t="n">
        <x:v>0</x:v>
      </x:c>
      <x:c r="I365" s="14" t="n">
        <x:v>0</x:v>
      </x:c>
      <x:c r="J365" s="14" t="n">
        <x:v>0</x:v>
      </x:c>
      <x:c r="K365" s="14" t="n">
        <x:v>0</x:v>
      </x:c>
      <x:c r="L365" s="14" t="n">
        <x:v>1</x:v>
      </x:c>
      <x:c r="M365" s="14" t="n">
        <x:v>0</x:v>
      </x:c>
      <x:c r="N365" s="14" t="n">
        <x:v>0</x:v>
      </x:c>
      <x:c r="O365" s="14" t="n">
        <x:v>2</x:v>
      </x:c>
      <x:c r="P365" s="14" t="n">
        <x:v>32</x:v>
      </x:c>
      <x:c r="Q365" s="60" t="n">
        <x:v>2018</x:v>
      </x:c>
      <x:c r="R365" s="12" t="str">
        <x:v>Department of Statistics - Establishments Census 2018 - Table 4</x:v>
      </x:c>
    </x:row>
    <x:row r="366">
      <x:c r="A366" s="12" t="str">
        <x:v>9491</x:v>
      </x:c>
      <x:c r="B366" s="12" t="str">
        <x:v>Activities of religious organizations</x:v>
      </x:c>
      <x:c r="C366" s="12" t="str">
        <x:v>Detailed activity (4-digit)</x:v>
      </x:c>
      <x:c r="D366" s="14" t="n">
        <x:v>84</x:v>
      </x:c>
      <x:c r="E366" s="14" t="n">
        <x:v>21</x:v>
      </x:c>
      <x:c r="F366" s="14" t="n">
        <x:v>36</x:v>
      </x:c>
      <x:c r="G366" s="14" t="n">
        <x:v>9</x:v>
      </x:c>
      <x:c r="H366" s="14" t="n">
        <x:v>32</x:v>
      </x:c>
      <x:c r="I366" s="14" t="n">
        <x:v>10</x:v>
      </x:c>
      <x:c r="J366" s="14" t="n">
        <x:v>3</x:v>
      </x:c>
      <x:c r="K366" s="14" t="n">
        <x:v>5</x:v>
      </x:c>
      <x:c r="L366" s="14" t="n">
        <x:v>19</x:v>
      </x:c>
      <x:c r="M366" s="14" t="n">
        <x:v>4</x:v>
      </x:c>
      <x:c r="N366" s="14" t="n">
        <x:v>3</x:v>
      </x:c>
      <x:c r="O366" s="14" t="n">
        <x:v>7</x:v>
      </x:c>
      <x:c r="P366" s="14" t="n">
        <x:v>233</x:v>
      </x:c>
      <x:c r="Q366" s="60" t="n">
        <x:v>2018</x:v>
      </x:c>
      <x:c r="R366" s="12" t="str">
        <x:v>Department of Statistics - Establishments Census 2018 - Table 4</x:v>
      </x:c>
    </x:row>
    <x:row r="367">
      <x:c r="A367" s="12" t="str">
        <x:v>9492</x:v>
      </x:c>
      <x:c r="B367" s="12" t="str">
        <x:v>Activities of political organizations</x:v>
      </x:c>
      <x:c r="C367" s="12" t="str">
        <x:v>Detailed activity (4-digit)</x:v>
      </x:c>
      <x:c r="D367" s="14" t="n">
        <x:v>23</x:v>
      </x:c>
      <x:c r="E367" s="14" t="n">
        <x:v>6</x:v>
      </x:c>
      <x:c r="F367" s="14" t="n">
        <x:v>1</x:v>
      </x:c>
      <x:c r="G367" s="14" t="n">
        <x:v>0</x:v>
      </x:c>
      <x:c r="H367" s="14" t="n">
        <x:v>0</x:v>
      </x:c>
      <x:c r="I367" s="14" t="n">
        <x:v>0</x:v>
      </x:c>
      <x:c r="J367" s="14" t="n">
        <x:v>0</x:v>
      </x:c>
      <x:c r="K367" s="14" t="n">
        <x:v>1</x:v>
      </x:c>
      <x:c r="L367" s="14" t="n">
        <x:v>0</x:v>
      </x:c>
      <x:c r="M367" s="14" t="n">
        <x:v>0</x:v>
      </x:c>
      <x:c r="N367" s="14" t="n">
        <x:v>0</x:v>
      </x:c>
      <x:c r="O367" s="14" t="n">
        <x:v>1</x:v>
      </x:c>
      <x:c r="P367" s="14" t="n">
        <x:v>32</x:v>
      </x:c>
      <x:c r="Q367" s="60" t="n">
        <x:v>2018</x:v>
      </x:c>
      <x:c r="R367" s="12" t="str">
        <x:v>Department of Statistics - Establishments Census 2018 - Table 4</x:v>
      </x:c>
    </x:row>
    <x:row r="368">
      <x:c r="A368" s="12" t="str">
        <x:v>9499</x:v>
      </x:c>
      <x:c r="B368" s="12" t="str">
        <x:v>Activities of other membership organizations n.e.c.</x:v>
      </x:c>
      <x:c r="C368" s="12" t="str">
        <x:v>Detailed activity (4-digit)</x:v>
      </x:c>
      <x:c r="D368" s="14" t="n">
        <x:v>23</x:v>
      </x:c>
      <x:c r="E368" s="14" t="n">
        <x:v>0</x:v>
      </x:c>
      <x:c r="F368" s="14" t="n">
        <x:v>0</x:v>
      </x:c>
      <x:c r="G368" s="14" t="n">
        <x:v>1</x:v>
      </x:c>
      <x:c r="H368" s="14" t="n">
        <x:v>0</x:v>
      </x:c>
      <x:c r="I368" s="14" t="n">
        <x:v>0</x:v>
      </x:c>
      <x:c r="J368" s="14" t="n">
        <x:v>1</x:v>
      </x:c>
      <x:c r="K368" s="14" t="n">
        <x:v>1</x:v>
      </x:c>
      <x:c r="L368" s="14" t="n">
        <x:v>1</x:v>
      </x:c>
      <x:c r="M368" s="14" t="n">
        <x:v>0</x:v>
      </x:c>
      <x:c r="N368" s="14" t="n">
        <x:v>1</x:v>
      </x:c>
      <x:c r="O368" s="14" t="n">
        <x:v>2</x:v>
      </x:c>
      <x:c r="P368" s="14" t="n">
        <x:v>30</x:v>
      </x:c>
      <x:c r="Q368" s="60" t="n">
        <x:v>2018</x:v>
      </x:c>
      <x:c r="R368" s="12" t="str">
        <x:v>Department of Statistics - Establishments Census 2018 - Table 4</x:v>
      </x:c>
    </x:row>
    <x:row r="369">
      <x:c r="A369" s="12" t="str">
        <x:v>95</x:v>
      </x:c>
      <x:c r="B369" s="12" t="str">
        <x:v>Repair of computers and personal and household goods</x:v>
      </x:c>
      <x:c r="C369" s="12" t="str">
        <x:v>Sector (2-digit)</x:v>
      </x:c>
      <x:c r="D369" s="14" t="n">
        <x:v>896</x:v>
      </x:c>
      <x:c r="E369" s="14" t="n">
        <x:v>220</x:v>
      </x:c>
      <x:c r="F369" s="14" t="n">
        <x:v>506</x:v>
      </x:c>
      <x:c r="G369" s="14" t="n">
        <x:v>50</x:v>
      </x:c>
      <x:c r="H369" s="14" t="n">
        <x:v>455</x:v>
      </x:c>
      <x:c r="I369" s="14" t="n">
        <x:v>87</x:v>
      </x:c>
      <x:c r="J369" s="14" t="n">
        <x:v>58</x:v>
      </x:c>
      <x:c r="K369" s="14" t="n">
        <x:v>52</x:v>
      </x:c>
      <x:c r="L369" s="14" t="n">
        <x:v>86</x:v>
      </x:c>
      <x:c r="M369" s="14" t="n">
        <x:v>22</x:v>
      </x:c>
      <x:c r="N369" s="14" t="n">
        <x:v>38</x:v>
      </x:c>
      <x:c r="O369" s="14" t="n">
        <x:v>65</x:v>
      </x:c>
      <x:c r="P369" s="14" t="n">
        <x:v>2535</x:v>
      </x:c>
      <x:c r="Q369" s="60" t="n">
        <x:v>2018</x:v>
      </x:c>
      <x:c r="R369" s="12" t="str">
        <x:v>Department of Statistics - Establishments Census 2018 - Table 4</x:v>
      </x:c>
    </x:row>
    <x:row r="370">
      <x:c r="A370" s="12" t="str">
        <x:v>9511</x:v>
      </x:c>
      <x:c r="B370" s="12" t="str">
        <x:v>Repair of computers and peripheral equipment</x:v>
      </x:c>
      <x:c r="C370" s="12" t="str">
        <x:v>Detailed activity (4-digit)</x:v>
      </x:c>
      <x:c r="D370" s="14" t="n">
        <x:v>102</x:v>
      </x:c>
      <x:c r="E370" s="14" t="n">
        <x:v>19</x:v>
      </x:c>
      <x:c r="F370" s="14" t="n">
        <x:v>51</x:v>
      </x:c>
      <x:c r="G370" s="14" t="n">
        <x:v>1</x:v>
      </x:c>
      <x:c r="H370" s="14" t="n">
        <x:v>43</x:v>
      </x:c>
      <x:c r="I370" s="14" t="n">
        <x:v>8</x:v>
      </x:c>
      <x:c r="J370" s="14" t="n">
        <x:v>7</x:v>
      </x:c>
      <x:c r="K370" s="14" t="n">
        <x:v>5</x:v>
      </x:c>
      <x:c r="L370" s="14" t="n">
        <x:v>7</x:v>
      </x:c>
      <x:c r="M370" s="14" t="n">
        <x:v>6</x:v>
      </x:c>
      <x:c r="N370" s="14" t="n">
        <x:v>3</x:v>
      </x:c>
      <x:c r="O370" s="14" t="n">
        <x:v>10</x:v>
      </x:c>
      <x:c r="P370" s="14" t="n">
        <x:v>262</x:v>
      </x:c>
      <x:c r="Q370" s="60" t="n">
        <x:v>2018</x:v>
      </x:c>
      <x:c r="R370" s="12" t="str">
        <x:v>Department of Statistics - Establishments Census 2018 - Table 4</x:v>
      </x:c>
    </x:row>
    <x:row r="371">
      <x:c r="A371" s="12" t="str">
        <x:v>9512</x:v>
      </x:c>
      <x:c r="B371" s="12" t="str">
        <x:v>Repair of communication equipment</x:v>
      </x:c>
      <x:c r="C371" s="12" t="str">
        <x:v>Detailed activity (4-digit)</x:v>
      </x:c>
      <x:c r="D371" s="14" t="n">
        <x:v>149</x:v>
      </x:c>
      <x:c r="E371" s="14" t="n">
        <x:v>34</x:v>
      </x:c>
      <x:c r="F371" s="14" t="n">
        <x:v>79</x:v>
      </x:c>
      <x:c r="G371" s="14" t="n">
        <x:v>11</x:v>
      </x:c>
      <x:c r="H371" s="14" t="n">
        <x:v>87</x:v>
      </x:c>
      <x:c r="I371" s="14" t="n">
        <x:v>15</x:v>
      </x:c>
      <x:c r="J371" s="14" t="n">
        <x:v>6</x:v>
      </x:c>
      <x:c r="K371" s="14" t="n">
        <x:v>15</x:v>
      </x:c>
      <x:c r="L371" s="14" t="n">
        <x:v>13</x:v>
      </x:c>
      <x:c r="M371" s="14" t="n">
        <x:v>1</x:v>
      </x:c>
      <x:c r="N371" s="14" t="n">
        <x:v>4</x:v>
      </x:c>
      <x:c r="O371" s="14" t="n">
        <x:v>12</x:v>
      </x:c>
      <x:c r="P371" s="14" t="n">
        <x:v>426</x:v>
      </x:c>
      <x:c r="Q371" s="60" t="n">
        <x:v>2018</x:v>
      </x:c>
      <x:c r="R371" s="12" t="str">
        <x:v>Department of Statistics - Establishments Census 2018 - Table 4</x:v>
      </x:c>
    </x:row>
    <x:row r="372">
      <x:c r="A372" s="12" t="str">
        <x:v>9521</x:v>
      </x:c>
      <x:c r="B372" s="12" t="str">
        <x:v>Repair of consumer electronics</x:v>
      </x:c>
      <x:c r="C372" s="12" t="str">
        <x:v>Detailed activity (4-digit)</x:v>
      </x:c>
      <x:c r="D372" s="14" t="n">
        <x:v>35</x:v>
      </x:c>
      <x:c r="E372" s="14" t="n">
        <x:v>16</x:v>
      </x:c>
      <x:c r="F372" s="14" t="n">
        <x:v>26</x:v>
      </x:c>
      <x:c r="G372" s="14" t="n">
        <x:v>4</x:v>
      </x:c>
      <x:c r="H372" s="14" t="n">
        <x:v>15</x:v>
      </x:c>
      <x:c r="I372" s="14" t="n">
        <x:v>1</x:v>
      </x:c>
      <x:c r="J372" s="14" t="n">
        <x:v>1</x:v>
      </x:c>
      <x:c r="K372" s="14" t="n">
        <x:v>3</x:v>
      </x:c>
      <x:c r="L372" s="14" t="n">
        <x:v>5</x:v>
      </x:c>
      <x:c r="M372" s="14" t="n">
        <x:v>0</x:v>
      </x:c>
      <x:c r="N372" s="14" t="n">
        <x:v>2</x:v>
      </x:c>
      <x:c r="O372" s="14" t="n">
        <x:v>4</x:v>
      </x:c>
      <x:c r="P372" s="14" t="n">
        <x:v>112</x:v>
      </x:c>
      <x:c r="Q372" s="60" t="n">
        <x:v>2018</x:v>
      </x:c>
      <x:c r="R372" s="12" t="str">
        <x:v>Department of Statistics - Establishments Census 2018 - Table 4</x:v>
      </x:c>
    </x:row>
    <x:row r="373">
      <x:c r="A373" s="12" t="str">
        <x:v>9522</x:v>
      </x:c>
      <x:c r="B373" s="12" t="str">
        <x:v>Repair of household appliances and home and garden equipment</x:v>
      </x:c>
      <x:c r="C373" s="12" t="str">
        <x:v>Detailed activity (4-digit)</x:v>
      </x:c>
      <x:c r="D373" s="14" t="n">
        <x:v>446</x:v>
      </x:c>
      <x:c r="E373" s="14" t="n">
        <x:v>106</x:v>
      </x:c>
      <x:c r="F373" s="14" t="n">
        <x:v>265</x:v>
      </x:c>
      <x:c r="G373" s="14" t="n">
        <x:v>26</x:v>
      </x:c>
      <x:c r="H373" s="14" t="n">
        <x:v>226</x:v>
      </x:c>
      <x:c r="I373" s="14" t="n">
        <x:v>44</x:v>
      </x:c>
      <x:c r="J373" s="14" t="n">
        <x:v>35</x:v>
      </x:c>
      <x:c r="K373" s="14" t="n">
        <x:v>21</x:v>
      </x:c>
      <x:c r="L373" s="14" t="n">
        <x:v>49</x:v>
      </x:c>
      <x:c r="M373" s="14" t="n">
        <x:v>7</x:v>
      </x:c>
      <x:c r="N373" s="14" t="n">
        <x:v>17</x:v>
      </x:c>
      <x:c r="O373" s="14" t="n">
        <x:v>27</x:v>
      </x:c>
      <x:c r="P373" s="14" t="n">
        <x:v>1269</x:v>
      </x:c>
      <x:c r="Q373" s="60" t="n">
        <x:v>2018</x:v>
      </x:c>
      <x:c r="R373" s="12" t="str">
        <x:v>Department of Statistics - Establishments Census 2018 - Table 4</x:v>
      </x:c>
    </x:row>
    <x:row r="374">
      <x:c r="A374" s="12" t="str">
        <x:v>9523</x:v>
      </x:c>
      <x:c r="B374" s="12" t="str">
        <x:v>Repair of footwear and leather goods</x:v>
      </x:c>
      <x:c r="C374" s="12" t="str">
        <x:v>Detailed activity (4-digit)</x:v>
      </x:c>
      <x:c r="D374" s="14" t="n">
        <x:v>53</x:v>
      </x:c>
      <x:c r="E374" s="14" t="n">
        <x:v>15</x:v>
      </x:c>
      <x:c r="F374" s="14" t="n">
        <x:v>25</x:v>
      </x:c>
      <x:c r="G374" s="14" t="n">
        <x:v>3</x:v>
      </x:c>
      <x:c r="H374" s="14" t="n">
        <x:v>34</x:v>
      </x:c>
      <x:c r="I374" s="14" t="n">
        <x:v>3</x:v>
      </x:c>
      <x:c r="J374" s="14" t="n">
        <x:v>4</x:v>
      </x:c>
      <x:c r="K374" s="14" t="n">
        <x:v>3</x:v>
      </x:c>
      <x:c r="L374" s="14" t="n">
        <x:v>6</x:v>
      </x:c>
      <x:c r="M374" s="14" t="n">
        <x:v>5</x:v>
      </x:c>
      <x:c r="N374" s="14" t="n">
        <x:v>4</x:v>
      </x:c>
      <x:c r="O374" s="14" t="n">
        <x:v>4</x:v>
      </x:c>
      <x:c r="P374" s="14" t="n">
        <x:v>159</x:v>
      </x:c>
      <x:c r="Q374" s="60" t="n">
        <x:v>2018</x:v>
      </x:c>
      <x:c r="R374" s="12" t="str">
        <x:v>Department of Statistics - Establishments Census 2018 - Table 4</x:v>
      </x:c>
    </x:row>
    <x:row r="375">
      <x:c r="A375" s="12" t="str">
        <x:v>9524</x:v>
      </x:c>
      <x:c r="B375" s="12" t="str">
        <x:v>Repair of furniture and home furnishings</x:v>
      </x:c>
      <x:c r="C375" s="12" t="str">
        <x:v>Detailed activity (4-digit)</x:v>
      </x:c>
      <x:c r="D375" s="14" t="n">
        <x:v>3</x:v>
      </x:c>
      <x:c r="E375" s="14" t="n">
        <x:v>0</x:v>
      </x:c>
      <x:c r="F375" s="14" t="n">
        <x:v>2</x:v>
      </x:c>
      <x:c r="G375" s="14" t="n">
        <x:v>0</x:v>
      </x:c>
      <x:c r="H375" s="14" t="n">
        <x:v>1</x:v>
      </x:c>
      <x:c r="I375" s="14" t="n">
        <x:v>0</x:v>
      </x:c>
      <x:c r="J375" s="14" t="n">
        <x:v>0</x:v>
      </x:c>
      <x:c r="K375" s="14" t="n">
        <x:v>0</x:v>
      </x:c>
      <x:c r="L375" s="14" t="n">
        <x:v>0</x:v>
      </x:c>
      <x:c r="M375" s="14" t="n">
        <x:v>0</x:v>
      </x:c>
      <x:c r="N375" s="14" t="n">
        <x:v>0</x:v>
      </x:c>
      <x:c r="O375" s="14" t="n">
        <x:v>0</x:v>
      </x:c>
      <x:c r="P375" s="14" t="n">
        <x:v>6</x:v>
      </x:c>
      <x:c r="Q375" s="60" t="n">
        <x:v>2018</x:v>
      </x:c>
      <x:c r="R375" s="12" t="str">
        <x:v>Department of Statistics - Establishments Census 2018 - Table 4</x:v>
      </x:c>
    </x:row>
    <x:row r="376">
      <x:c r="A376" s="12" t="str">
        <x:v>9529</x:v>
      </x:c>
      <x:c r="B376" s="12" t="str">
        <x:v>Repair of other personal and household goods</x:v>
      </x:c>
      <x:c r="C376" s="12" t="str">
        <x:v>Detailed activity (4-digit)</x:v>
      </x:c>
      <x:c r="D376" s="14" t="n">
        <x:v>108</x:v>
      </x:c>
      <x:c r="E376" s="14" t="n">
        <x:v>30</x:v>
      </x:c>
      <x:c r="F376" s="14" t="n">
        <x:v>58</x:v>
      </x:c>
      <x:c r="G376" s="14" t="n">
        <x:v>5</x:v>
      </x:c>
      <x:c r="H376" s="14" t="n">
        <x:v>49</x:v>
      </x:c>
      <x:c r="I376" s="14" t="n">
        <x:v>16</x:v>
      </x:c>
      <x:c r="J376" s="14" t="n">
        <x:v>5</x:v>
      </x:c>
      <x:c r="K376" s="14" t="n">
        <x:v>5</x:v>
      </x:c>
      <x:c r="L376" s="14" t="n">
        <x:v>6</x:v>
      </x:c>
      <x:c r="M376" s="14" t="n">
        <x:v>3</x:v>
      </x:c>
      <x:c r="N376" s="14" t="n">
        <x:v>8</x:v>
      </x:c>
      <x:c r="O376" s="14" t="n">
        <x:v>8</x:v>
      </x:c>
      <x:c r="P376" s="14" t="n">
        <x:v>301</x:v>
      </x:c>
      <x:c r="Q376" s="60" t="n">
        <x:v>2018</x:v>
      </x:c>
      <x:c r="R376" s="12" t="str">
        <x:v>Department of Statistics - Establishments Census 2018 - Table 4</x:v>
      </x:c>
    </x:row>
    <x:row r="377">
      <x:c r="A377" s="12" t="str">
        <x:v>96</x:v>
      </x:c>
      <x:c r="B377" s="12" t="str">
        <x:v>Other personal service activities</x:v>
      </x:c>
      <x:c r="C377" s="12" t="str">
        <x:v>Sector (2-digit)</x:v>
      </x:c>
      <x:c r="D377" s="14" t="n">
        <x:v>4826</x:v>
      </x:c>
      <x:c r="E377" s="14" t="n">
        <x:v>865</x:v>
      </x:c>
      <x:c r="F377" s="14" t="n">
        <x:v>1755</x:v>
      </x:c>
      <x:c r="G377" s="14" t="n">
        <x:v>268</x:v>
      </x:c>
      <x:c r="H377" s="14" t="n">
        <x:v>1477</x:v>
      </x:c>
      <x:c r="I377" s="14" t="n">
        <x:v>324</x:v>
      </x:c>
      <x:c r="J377" s="14" t="n">
        <x:v>218</x:v>
      </x:c>
      <x:c r="K377" s="14" t="n">
        <x:v>191</x:v>
      </x:c>
      <x:c r="L377" s="14" t="n">
        <x:v>417</x:v>
      </x:c>
      <x:c r="M377" s="14" t="n">
        <x:v>121</x:v>
      </x:c>
      <x:c r="N377" s="14" t="n">
        <x:v>158</x:v>
      </x:c>
      <x:c r="O377" s="14" t="n">
        <x:v>211</x:v>
      </x:c>
      <x:c r="P377" s="14" t="n">
        <x:v>10831</x:v>
      </x:c>
      <x:c r="Q377" s="60" t="n">
        <x:v>2018</x:v>
      </x:c>
      <x:c r="R377" s="12" t="str">
        <x:v>Department of Statistics - Establishments Census 2018 - Table 4</x:v>
      </x:c>
    </x:row>
    <x:row r="378">
      <x:c r="A378" s="12" t="str">
        <x:v>9601</x:v>
      </x:c>
      <x:c r="B378" s="12" t="str">
        <x:v>Washing and (dry-) cleaning of textile and fur products</x:v>
      </x:c>
      <x:c r="C378" s="12" t="str">
        <x:v>Detailed activity (4-digit)</x:v>
      </x:c>
      <x:c r="D378" s="14" t="n">
        <x:v>727</x:v>
      </x:c>
      <x:c r="E378" s="14" t="n">
        <x:v>89</x:v>
      </x:c>
      <x:c r="F378" s="14" t="n">
        <x:v>157</x:v>
      </x:c>
      <x:c r="G378" s="14" t="n">
        <x:v>44</x:v>
      </x:c>
      <x:c r="H378" s="14" t="n">
        <x:v>172</x:v>
      </x:c>
      <x:c r="I378" s="14" t="n">
        <x:v>39</x:v>
      </x:c>
      <x:c r="J378" s="14" t="n">
        <x:v>12</x:v>
      </x:c>
      <x:c r="K378" s="14" t="n">
        <x:v>14</x:v>
      </x:c>
      <x:c r="L378" s="14" t="n">
        <x:v>56</x:v>
      </x:c>
      <x:c r="M378" s="14" t="n">
        <x:v>10</x:v>
      </x:c>
      <x:c r="N378" s="14" t="n">
        <x:v>23</x:v>
      </x:c>
      <x:c r="O378" s="14" t="n">
        <x:v>33</x:v>
      </x:c>
      <x:c r="P378" s="14" t="n">
        <x:v>1376</x:v>
      </x:c>
      <x:c r="Q378" s="60" t="n">
        <x:v>2018</x:v>
      </x:c>
      <x:c r="R378" s="12" t="str">
        <x:v>Department of Statistics - Establishments Census 2018 - Table 4</x:v>
      </x:c>
    </x:row>
    <x:row r="379">
      <x:c r="A379" s="12" t="str">
        <x:v>9602</x:v>
      </x:c>
      <x:c r="B379" s="12" t="str">
        <x:v>Hairdressing and other beauty treatment</x:v>
      </x:c>
      <x:c r="C379" s="12" t="str">
        <x:v>Detailed activity (4-digit)</x:v>
      </x:c>
      <x:c r="D379" s="14" t="n">
        <x:v>4065</x:v>
      </x:c>
      <x:c r="E379" s="14" t="n">
        <x:v>771</x:v>
      </x:c>
      <x:c r="F379" s="14" t="n">
        <x:v>1593</x:v>
      </x:c>
      <x:c r="G379" s="14" t="n">
        <x:v>220</x:v>
      </x:c>
      <x:c r="H379" s="14" t="n">
        <x:v>1297</x:v>
      </x:c>
      <x:c r="I379" s="14" t="n">
        <x:v>285</x:v>
      </x:c>
      <x:c r="J379" s="14" t="n">
        <x:v>205</x:v>
      </x:c>
      <x:c r="K379" s="14" t="n">
        <x:v>176</x:v>
      </x:c>
      <x:c r="L379" s="14" t="n">
        <x:v>360</x:v>
      </x:c>
      <x:c r="M379" s="14" t="n">
        <x:v>111</x:v>
      </x:c>
      <x:c r="N379" s="14" t="n">
        <x:v>131</x:v>
      </x:c>
      <x:c r="O379" s="14" t="n">
        <x:v>174</x:v>
      </x:c>
      <x:c r="P379" s="14" t="n">
        <x:v>9388</x:v>
      </x:c>
      <x:c r="Q379" s="60" t="n">
        <x:v>2018</x:v>
      </x:c>
      <x:c r="R379" s="12" t="str">
        <x:v>Department of Statistics - Establishments Census 2018 - Table 4</x:v>
      </x:c>
    </x:row>
    <x:row r="380">
      <x:c r="A380" s="12" t="str">
        <x:v>9603</x:v>
      </x:c>
      <x:c r="B380" s="12" t="str">
        <x:v>Funeral and related activities</x:v>
      </x:c>
      <x:c r="C380" s="12" t="str">
        <x:v>Detailed activity (4-digit)</x:v>
      </x:c>
      <x:c r="D380" s="14" t="n">
        <x:v>8</x:v>
      </x:c>
      <x:c r="E380" s="14" t="n">
        <x:v>2</x:v>
      </x:c>
      <x:c r="F380" s="14" t="n">
        <x:v>2</x:v>
      </x:c>
      <x:c r="G380" s="14" t="n">
        <x:v>1</x:v>
      </x:c>
      <x:c r="H380" s="14" t="n">
        <x:v>3</x:v>
      </x:c>
      <x:c r="I380" s="14" t="n">
        <x:v>0</x:v>
      </x:c>
      <x:c r="J380" s="14" t="n">
        <x:v>0</x:v>
      </x:c>
      <x:c r="K380" s="14" t="n">
        <x:v>1</x:v>
      </x:c>
      <x:c r="L380" s="14" t="n">
        <x:v>0</x:v>
      </x:c>
      <x:c r="M380" s="14" t="n">
        <x:v>0</x:v>
      </x:c>
      <x:c r="N380" s="14" t="n">
        <x:v>0</x:v>
      </x:c>
      <x:c r="O380" s="14" t="n">
        <x:v>0</x:v>
      </x:c>
      <x:c r="P380" s="14" t="n">
        <x:v>17</x:v>
      </x:c>
      <x:c r="Q380" s="60" t="n">
        <x:v>2018</x:v>
      </x:c>
      <x:c r="R380" s="12" t="str">
        <x:v>Department of Statistics - Establishments Census 2018 - Table 4</x:v>
      </x:c>
    </x:row>
    <x:row r="381">
      <x:c r="A381" s="12" t="str">
        <x:v>9609</x:v>
      </x:c>
      <x:c r="B381" s="12" t="str">
        <x:v>Other personal service activities n.e.c.</x:v>
      </x:c>
      <x:c r="C381" s="12" t="str">
        <x:v>Detailed activity (4-digit)</x:v>
      </x:c>
      <x:c r="D381" s="14" t="n">
        <x:v>26</x:v>
      </x:c>
      <x:c r="E381" s="14" t="n">
        <x:v>3</x:v>
      </x:c>
      <x:c r="F381" s="14" t="n">
        <x:v>3</x:v>
      </x:c>
      <x:c r="G381" s="14" t="n">
        <x:v>3</x:v>
      </x:c>
      <x:c r="H381" s="14" t="n">
        <x:v>5</x:v>
      </x:c>
      <x:c r="I381" s="14" t="n">
        <x:v>0</x:v>
      </x:c>
      <x:c r="J381" s="14" t="n">
        <x:v>1</x:v>
      </x:c>
      <x:c r="K381" s="14" t="n">
        <x:v>0</x:v>
      </x:c>
      <x:c r="L381" s="14" t="n">
        <x:v>1</x:v>
      </x:c>
      <x:c r="M381" s="14" t="n">
        <x:v>0</x:v>
      </x:c>
      <x:c r="N381" s="14" t="n">
        <x:v>4</x:v>
      </x:c>
      <x:c r="O381" s="14" t="n">
        <x:v>4</x:v>
      </x:c>
      <x:c r="P381" s="14" t="n">
        <x:v>50</x:v>
      </x:c>
      <x:c r="Q381" s="60" t="n">
        <x:v>2018</x:v>
      </x:c>
      <x:c r="R381" s="12" t="str">
        <x:v>Department of Statistics - Establishments Census 2018 - Table 4</x:v>
      </x:c>
    </x:row>
    <x:row r="382">
      <x:c r="A382" s="12" t="str">
        <x:v>99</x:v>
      </x:c>
      <x:c r="B382" s="12" t="str">
        <x:v>Activities of extraterritorial organizations and bodies</x:v>
      </x:c>
      <x:c r="C382" s="12" t="str">
        <x:v>Sector (2-digit)</x:v>
      </x:c>
      <x:c r="D382" s="14" t="n">
        <x:v>14</x:v>
      </x:c>
      <x:c r="E382" s="14" t="n">
        <x:v>0</x:v>
      </x:c>
      <x:c r="F382" s="14" t="n">
        <x:v>0</x:v>
      </x:c>
      <x:c r="G382" s="14" t="n">
        <x:v>0</x:v>
      </x:c>
      <x:c r="H382" s="14" t="n">
        <x:v>0</x:v>
      </x:c>
      <x:c r="I382" s="14" t="n">
        <x:v>0</x:v>
      </x:c>
      <x:c r="J382" s="14" t="n">
        <x:v>1</x:v>
      </x:c>
      <x:c r="K382" s="14" t="n">
        <x:v>0</x:v>
      </x:c>
      <x:c r="L382" s="14" t="n">
        <x:v>0</x:v>
      </x:c>
      <x:c r="M382" s="14" t="n">
        <x:v>0</x:v>
      </x:c>
      <x:c r="N382" s="14" t="n">
        <x:v>0</x:v>
      </x:c>
      <x:c r="O382" s="14" t="n">
        <x:v>0</x:v>
      </x:c>
      <x:c r="P382" s="14" t="n">
        <x:v>15</x:v>
      </x:c>
      <x:c r="Q382" s="60" t="n">
        <x:v>2018</x:v>
      </x:c>
      <x:c r="R382" s="12" t="str">
        <x:v>Department of Statistics - Establishments Census 2018 - Table 4</x:v>
      </x:c>
    </x:row>
    <x:row r="383">
      <x:c r="A383" s="12" t="str">
        <x:v>9900</x:v>
      </x:c>
      <x:c r="B383" s="12" t="str">
        <x:v>Activities of extraterritorial organizations and bodies</x:v>
      </x:c>
      <x:c r="C383" s="12" t="str">
        <x:v>Detailed activity (4-digit)</x:v>
      </x:c>
      <x:c r="D383" s="14" t="n">
        <x:v>14</x:v>
      </x:c>
      <x:c r="E383" s="14" t="n">
        <x:v>0</x:v>
      </x:c>
      <x:c r="F383" s="14" t="n">
        <x:v>0</x:v>
      </x:c>
      <x:c r="G383" s="14" t="n">
        <x:v>0</x:v>
      </x:c>
      <x:c r="H383" s="14" t="n">
        <x:v>0</x:v>
      </x:c>
      <x:c r="I383" s="14" t="n">
        <x:v>0</x:v>
      </x:c>
      <x:c r="J383" s="14" t="n">
        <x:v>1</x:v>
      </x:c>
      <x:c r="K383" s="14" t="n">
        <x:v>0</x:v>
      </x:c>
      <x:c r="L383" s="14" t="n">
        <x:v>0</x:v>
      </x:c>
      <x:c r="M383" s="14" t="n">
        <x:v>0</x:v>
      </x:c>
      <x:c r="N383" s="14" t="n">
        <x:v>0</x:v>
      </x:c>
      <x:c r="O383" s="14" t="n">
        <x:v>0</x:v>
      </x:c>
      <x:c r="P383" s="14" t="n">
        <x:v>15</x:v>
      </x:c>
      <x:c r="Q383" s="60" t="n">
        <x:v>2018</x:v>
      </x:c>
      <x:c r="R383" s="12" t="str">
        <x:v>Department of Statistics - Establishments Census 2018 - Table 4</x:v>
      </x:c>
    </x:row>
  </x:sheetData>
  <x:pageMargins left="0.7" right="0.7" top="0.75" bottom="0.75" header="0.3" footer="0.3"/>
  <x:tableParts count="1">
    <x:tablePart xmlns:r="http://schemas.openxmlformats.org/officeDocument/2006/relationships" r:id="R16ca7d31d8144d5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14" hidden="0" customWidth="1"/>
    <x:col min="4" max="4" width="23" hidden="0" customWidth="1"/>
    <x:col min="5" max="5" width="18" hidden="0" customWidth="1"/>
    <x:col min="6" max="6" width="24" hidden="0" customWidth="1"/>
    <x:col min="7" max="7" width="22" hidden="0" customWidth="1"/>
    <x:col min="8" max="8" width="18" hidden="0" customWidth="1"/>
    <x:col min="9" max="9" width="24" hidden="0" customWidth="1"/>
    <x:col min="10" max="10" width="40" hidden="0" customWidth="1"/>
    <x:col min="11" max="11" width="55" hidden="0" customWidth="1"/>
  </x:cols>
  <x:sheetData>
    <x:row r="1">
      <x:c r="A1" s="65" t="str">
        <x:v>ISIC Code</x:v>
      </x:c>
      <x:c r="B1" s="65" t="str">
        <x:v>Economic Activity</x:v>
      </x:c>
      <x:c r="C1" s="65" t="str">
        <x:v>Governorate</x:v>
      </x:c>
      <x:c r="D1" s="65" t="str">
        <x:v>Active Similar Establishments 2018</x:v>
      </x:c>
      <x:c r="E1" s="65" t="str">
        <x:v>Population 2025</x:v>
      </x:c>
      <x:c r="F1" s="65" t="str">
        <x:v>Historical Businesses per 10k</x:v>
      </x:c>
      <x:c r="G1" s="65" t="str">
        <x:v>Population Density 2025</x:v>
      </x:c>
      <x:c r="H1" s="65" t="str">
        <x:v>Urban Share 2025</x:v>
      </x:c>
      <x:c r="I1" s="65" t="str">
        <x:v>H1 Registration Growth 2023→2024</x:v>
      </x:c>
      <x:c r="J1" s="65" t="str">
        <x:v>Model Role</x:v>
      </x:c>
      <x:c r="K1" s="65" t="str">
        <x:v>Important Limitation</x:v>
      </x:c>
    </x:row>
    <x:row r="2">
      <x:c r="A2" s="12" t="str">
        <x:v>0620</x:v>
      </x:c>
      <x:c r="B2" s="12" t="str">
        <x:v>Extraction of natural gas</x:v>
      </x:c>
      <x:c r="C2" s="12" t="str">
        <x:v>عمان</x:v>
      </x:c>
      <x:c r="D2" s="14" t="n">
        <x:v>2</x:v>
      </x:c>
      <x:c r="E2" s="14" t="n">
        <x:f>VLOOKUP(C2,'Governorate Master'!$A$2:$Q$13,3,FALSE)</x:f>
        <x:v>5004600</x:v>
      </x:c>
      <x:c r="F2" s="66" t="n">
        <x:f>IF(E2=0,0,D2/E2*10000)</x:f>
        <x:v>0.003996323382488111</x:v>
      </x:c>
      <x:c r="G2" s="67" t="n">
        <x:f>VLOOKUP(C2,'Governorate Master'!$A$2:$Q$13,7,FALSE)</x:f>
        <x:v>660.3</x:v>
      </x:c>
      <x:c r="H2" s="20" t="n">
        <x:f>VLOOKUP(C2,'Governorate Master'!$A$2:$Q$13,6,FALSE)</x:f>
        <x:v>0.9721656076409703</x:v>
      </x:c>
      <x:c r="I2" s="20" t="n">
        <x:f>VLOOKUP(C2,'Governorate Master'!$A$2:$Q$13,15,FALSE)</x:f>
        <x:v>0.06367041198501873</x:v>
      </x:c>
      <x:c r="J2" s="12" t="str">
        <x:v>Location model input - competition/saturation context</x:v>
      </x:c>
      <x:c r="K2" s="12" t="str">
        <x:v>Business count is from 2018 while population/context indicators are newer; use as a historical proxy, not a current market count.</x:v>
      </x:c>
    </x:row>
    <x:row r="3">
      <x:c r="A3" s="12" t="str">
        <x:v>0620</x:v>
      </x:c>
      <x:c r="B3" s="12" t="str">
        <x:v>Extraction of natural gas</x:v>
      </x:c>
      <x:c r="C3" s="12" t="str">
        <x:v>البلقاء</x:v>
      </x:c>
      <x:c r="D3" s="14" t="n">
        <x:v>0</x:v>
      </x:c>
      <x:c r="E3" s="14" t="n">
        <x:f>VLOOKUP(C3,'Governorate Master'!$A$2:$Q$13,3,FALSE)</x:f>
        <x:v>614000</x:v>
      </x:c>
      <x:c r="F3" s="66" t="n">
        <x:f>IF(E3=0,0,D3/E3*10000)</x:f>
        <x:v>0</x:v>
      </x:c>
      <x:c r="G3" s="67" t="n">
        <x:f>VLOOKUP(C3,'Governorate Master'!$A$2:$Q$13,7,FALSE)</x:f>
        <x:v>548</x:v>
      </x:c>
      <x:c r="H3" s="20" t="n">
        <x:f>VLOOKUP(C3,'Governorate Master'!$A$2:$Q$13,6,FALSE)</x:f>
        <x:v>0.8210097719869707</x:v>
      </x:c>
      <x:c r="I3" s="20" t="n">
        <x:f>VLOOKUP(C3,'Governorate Master'!$A$2:$Q$13,15,FALSE)</x:f>
        <x:v>0.10794044665012408</x:v>
      </x:c>
      <x:c r="J3" s="12" t="str">
        <x:v>Location model input - competition/saturation context</x:v>
      </x:c>
      <x:c r="K3" s="12" t="str">
        <x:v>Business count is from 2018 while population/context indicators are newer; use as a historical proxy, not a current market count.</x:v>
      </x:c>
    </x:row>
    <x:row r="4">
      <x:c r="A4" s="12" t="str">
        <x:v>0620</x:v>
      </x:c>
      <x:c r="B4" s="12" t="str">
        <x:v>Extraction of natural gas</x:v>
      </x:c>
      <x:c r="C4" s="12" t="str">
        <x:v>الزرقاء</x:v>
      </x:c>
      <x:c r="D4" s="14" t="n">
        <x:v>0</x:v>
      </x:c>
      <x:c r="E4" s="14" t="n">
        <x:f>VLOOKUP(C4,'Governorate Master'!$A$2:$Q$13,3,FALSE)</x:f>
        <x:v>1704500</x:v>
      </x:c>
      <x:c r="F4" s="66" t="n">
        <x:f>IF(E4=0,0,D4/E4*10000)</x:f>
        <x:v>0</x:v>
      </x:c>
      <x:c r="G4" s="67" t="n">
        <x:f>VLOOKUP(C4,'Governorate Master'!$A$2:$Q$13,7,FALSE)</x:f>
        <x:v>358</x:v>
      </x:c>
      <x:c r="H4" s="20" t="n">
        <x:f>VLOOKUP(C4,'Governorate Master'!$A$2:$Q$13,6,FALSE)</x:f>
        <x:v>0.9636256966852449</x:v>
      </x:c>
      <x:c r="I4" s="20" t="n">
        <x:f>VLOOKUP(C4,'Governorate Master'!$A$2:$Q$13,15,FALSE)</x:f>
        <x:v>-0.06808762581409118</x:v>
      </x:c>
      <x:c r="J4" s="12" t="str">
        <x:v>Location model input - competition/saturation context</x:v>
      </x:c>
      <x:c r="K4" s="12" t="str">
        <x:v>Business count is from 2018 while population/context indicators are newer; use as a historical proxy, not a current market count.</x:v>
      </x:c>
    </x:row>
    <x:row r="5">
      <x:c r="A5" s="12" t="str">
        <x:v>0620</x:v>
      </x:c>
      <x:c r="B5" s="12" t="str">
        <x:v>Extraction of natural gas</x:v>
      </x:c>
      <x:c r="C5" s="12" t="str">
        <x:v>مادبا</x:v>
      </x:c>
      <x:c r="D5" s="14" t="n">
        <x:v>0</x:v>
      </x:c>
      <x:c r="E5" s="14" t="n">
        <x:f>VLOOKUP(C5,'Governorate Master'!$A$2:$Q$13,3,FALSE)</x:f>
        <x:v>236200</x:v>
      </x:c>
      <x:c r="F5" s="66" t="n">
        <x:f>IF(E5=0,0,D5/E5*10000)</x:f>
        <x:v>0</x:v>
      </x:c>
      <x:c r="G5" s="67" t="n">
        <x:f>VLOOKUP(C5,'Governorate Master'!$A$2:$Q$13,7,FALSE)</x:f>
        <x:v>251.4</x:v>
      </x:c>
      <x:c r="H5" s="20" t="n">
        <x:f>VLOOKUP(C5,'Governorate Master'!$A$2:$Q$13,6,FALSE)</x:f>
        <x:v>0.7823878069432684</x:v>
      </x:c>
      <x:c r="I5" s="20" t="n">
        <x:f>VLOOKUP(C5,'Governorate Master'!$A$2:$Q$13,15,FALSE)</x:f>
        <x:v>-0.18823529411764706</x:v>
      </x:c>
      <x:c r="J5" s="12" t="str">
        <x:v>Location model input - competition/saturation context</x:v>
      </x:c>
      <x:c r="K5" s="12" t="str">
        <x:v>Business count is from 2018 while population/context indicators are newer; use as a historical proxy, not a current market count.</x:v>
      </x:c>
    </x:row>
    <x:row r="6">
      <x:c r="A6" s="12" t="str">
        <x:v>0620</x:v>
      </x:c>
      <x:c r="B6" s="12" t="str">
        <x:v>Extraction of natural gas</x:v>
      </x:c>
      <x:c r="C6" s="12" t="str">
        <x:v>إربد</x:v>
      </x:c>
      <x:c r="D6" s="14" t="n">
        <x:v>0</x:v>
      </x:c>
      <x:c r="E6" s="14" t="n">
        <x:f>VLOOKUP(C6,'Governorate Master'!$A$2:$Q$13,3,FALSE)</x:f>
        <x:v>2210500</x:v>
      </x:c>
      <x:c r="F6" s="66" t="n">
        <x:f>IF(E6=0,0,D6/E6*10000)</x:f>
        <x:v>0</x:v>
      </x:c>
      <x:c r="G6" s="67" t="n">
        <x:f>VLOOKUP(C6,'Governorate Master'!$A$2:$Q$13,7,FALSE)</x:f>
        <x:v>1406.4</x:v>
      </x:c>
      <x:c r="H6" s="20" t="n">
        <x:f>VLOOKUP(C6,'Governorate Master'!$A$2:$Q$13,6,FALSE)</x:f>
        <x:v>0.9235014702555983</x:v>
      </x:c>
      <x:c r="I6" s="20" t="n">
        <x:f>VLOOKUP(C6,'Governorate Master'!$A$2:$Q$13,15,FALSE)</x:f>
        <x:v>0.07086922474549726</x:v>
      </x:c>
      <x:c r="J6" s="12" t="str">
        <x:v>Location model input - competition/saturation context</x:v>
      </x:c>
      <x:c r="K6" s="12" t="str">
        <x:v>Business count is from 2018 while population/context indicators are newer; use as a historical proxy, not a current market count.</x:v>
      </x:c>
    </x:row>
    <x:row r="7">
      <x:c r="A7" s="12" t="str">
        <x:v>0620</x:v>
      </x:c>
      <x:c r="B7" s="12" t="str">
        <x:v>Extraction of natural gas</x:v>
      </x:c>
      <x:c r="C7" s="12" t="str">
        <x:v>المفرق</x:v>
      </x:c>
      <x:c r="D7" s="14" t="n">
        <x:v>0</x:v>
      </x:c>
      <x:c r="E7" s="14" t="n">
        <x:f>VLOOKUP(C7,'Governorate Master'!$A$2:$Q$13,3,FALSE)</x:f>
        <x:v>686800</x:v>
      </x:c>
      <x:c r="F7" s="66" t="n">
        <x:f>IF(E7=0,0,D7/E7*10000)</x:f>
        <x:v>0</x:v>
      </x:c>
      <x:c r="G7" s="67" t="n">
        <x:f>VLOOKUP(C7,'Governorate Master'!$A$2:$Q$13,7,FALSE)</x:f>
        <x:v>25.9</x:v>
      </x:c>
      <x:c r="H7" s="20" t="n">
        <x:f>VLOOKUP(C7,'Governorate Master'!$A$2:$Q$13,6,FALSE)</x:f>
        <x:v>0.6965637740244612</x:v>
      </x:c>
      <x:c r="I7" s="20" t="n">
        <x:f>VLOOKUP(C7,'Governorate Master'!$A$2:$Q$13,15,FALSE)</x:f>
        <x:v>-0.016638935108153077</x:v>
      </x:c>
      <x:c r="J7" s="12" t="str">
        <x:v>Location model input - competition/saturation context</x:v>
      </x:c>
      <x:c r="K7" s="12" t="str">
        <x:v>Business count is from 2018 while population/context indicators are newer; use as a historical proxy, not a current market count.</x:v>
      </x:c>
    </x:row>
    <x:row r="8">
      <x:c r="A8" s="12" t="str">
        <x:v>0620</x:v>
      </x:c>
      <x:c r="B8" s="12" t="str">
        <x:v>Extraction of natural gas</x:v>
      </x:c>
      <x:c r="C8" s="12" t="str">
        <x:v>جرش</x:v>
      </x:c>
      <x:c r="D8" s="14" t="n">
        <x:v>0</x:v>
      </x:c>
      <x:c r="E8" s="14" t="n">
        <x:f>VLOOKUP(C8,'Governorate Master'!$A$2:$Q$13,3,FALSE)</x:f>
        <x:v>296000</x:v>
      </x:c>
      <x:c r="F8" s="66" t="n">
        <x:f>IF(E8=0,0,D8/E8*10000)</x:f>
        <x:v>0</x:v>
      </x:c>
      <x:c r="G8" s="67" t="n">
        <x:f>VLOOKUP(C8,'Governorate Master'!$A$2:$Q$13,7,FALSE)</x:f>
        <x:v>722.3</x:v>
      </x:c>
      <x:c r="H8" s="20" t="n">
        <x:f>VLOOKUP(C8,'Governorate Master'!$A$2:$Q$13,6,FALSE)</x:f>
        <x:v>0.7695945945945946</x:v>
      </x:c>
      <x:c r="I8" s="20" t="n">
        <x:f>VLOOKUP(C8,'Governorate Master'!$A$2:$Q$13,15,FALSE)</x:f>
        <x:v>-0.06527415143603134</x:v>
      </x:c>
      <x:c r="J8" s="12" t="str">
        <x:v>Location model input - competition/saturation context</x:v>
      </x:c>
      <x:c r="K8" s="12" t="str">
        <x:v>Business count is from 2018 while population/context indicators are newer; use as a historical proxy, not a current market count.</x:v>
      </x:c>
    </x:row>
    <x:row r="9">
      <x:c r="A9" s="12" t="str">
        <x:v>0620</x:v>
      </x:c>
      <x:c r="B9" s="12" t="str">
        <x:v>Extraction of natural gas</x:v>
      </x:c>
      <x:c r="C9" s="12" t="str">
        <x:v>عجلون</x:v>
      </x:c>
      <x:c r="D9" s="14" t="n">
        <x:v>0</x:v>
      </x:c>
      <x:c r="E9" s="14" t="n">
        <x:f>VLOOKUP(C9,'Governorate Master'!$A$2:$Q$13,3,FALSE)</x:f>
        <x:v>219900</x:v>
      </x:c>
      <x:c r="F9" s="66" t="n">
        <x:f>IF(E9=0,0,D9/E9*10000)</x:f>
        <x:v>0</x:v>
      </x:c>
      <x:c r="G9" s="67" t="n">
        <x:f>VLOOKUP(C9,'Governorate Master'!$A$2:$Q$13,7,FALSE)</x:f>
        <x:v>524</x:v>
      </x:c>
      <x:c r="H9" s="20" t="n">
        <x:f>VLOOKUP(C9,'Governorate Master'!$A$2:$Q$13,6,FALSE)</x:f>
        <x:v>0.8390177353342428</x:v>
      </x:c>
      <x:c r="I9" s="20" t="n">
        <x:f>VLOOKUP(C9,'Governorate Master'!$A$2:$Q$13,15,FALSE)</x:f>
        <x:v>0.03614457831325301</x:v>
      </x:c>
      <x:c r="J9" s="12" t="str">
        <x:v>Location model input - competition/saturation context</x:v>
      </x:c>
      <x:c r="K9" s="12" t="str">
        <x:v>Business count is from 2018 while population/context indicators are newer; use as a historical proxy, not a current market count.</x:v>
      </x:c>
    </x:row>
    <x:row r="10">
      <x:c r="A10" s="12" t="str">
        <x:v>0620</x:v>
      </x:c>
      <x:c r="B10" s="12" t="str">
        <x:v>Extraction of natural gas</x:v>
      </x:c>
      <x:c r="C10" s="12" t="str">
        <x:v>الكرك</x:v>
      </x:c>
      <x:c r="D10" s="14" t="n">
        <x:v>0</x:v>
      </x:c>
      <x:c r="E10" s="14" t="n">
        <x:f>VLOOKUP(C10,'Governorate Master'!$A$2:$Q$13,3,FALSE)</x:f>
        <x:v>395400</x:v>
      </x:c>
      <x:c r="F10" s="66" t="n">
        <x:f>IF(E10=0,0,D10/E10*10000)</x:f>
        <x:v>0</x:v>
      </x:c>
      <x:c r="G10" s="67" t="n">
        <x:f>VLOOKUP(C10,'Governorate Master'!$A$2:$Q$13,7,FALSE)</x:f>
        <x:v>113.1</x:v>
      </x:c>
      <x:c r="H10" s="20" t="n">
        <x:f>VLOOKUP(C10,'Governorate Master'!$A$2:$Q$13,6,FALSE)</x:f>
        <x:v>0.5912999494183105</x:v>
      </x:c>
      <x:c r="I10" s="20" t="n">
        <x:f>VLOOKUP(C10,'Governorate Master'!$A$2:$Q$13,15,FALSE)</x:f>
        <x:v>0.08710801393728224</x:v>
      </x:c>
      <x:c r="J10" s="12" t="str">
        <x:v>Location model input - competition/saturation context</x:v>
      </x:c>
      <x:c r="K10" s="12" t="str">
        <x:v>Business count is from 2018 while population/context indicators are newer; use as a historical proxy, not a current market count.</x:v>
      </x:c>
    </x:row>
    <x:row r="11">
      <x:c r="A11" s="12" t="str">
        <x:v>0620</x:v>
      </x:c>
      <x:c r="B11" s="12" t="str">
        <x:v>Extraction of natural gas</x:v>
      </x:c>
      <x:c r="C11" s="12" t="str">
        <x:v>الطفيلة</x:v>
      </x:c>
      <x:c r="D11" s="14" t="n">
        <x:v>0</x:v>
      </x:c>
      <x:c r="E11" s="14" t="n">
        <x:f>VLOOKUP(C11,'Governorate Master'!$A$2:$Q$13,3,FALSE)</x:f>
        <x:v>120300</x:v>
      </x:c>
      <x:c r="F11" s="66" t="n">
        <x:f>IF(E11=0,0,D11/E11*10000)</x:f>
        <x:v>0</x:v>
      </x:c>
      <x:c r="G11" s="67" t="n">
        <x:f>VLOOKUP(C11,'Governorate Master'!$A$2:$Q$13,7,FALSE)</x:f>
        <x:v>54.4</x:v>
      </x:c>
      <x:c r="H11" s="20" t="n">
        <x:f>VLOOKUP(C11,'Governorate Master'!$A$2:$Q$13,6,FALSE)</x:f>
        <x:v>0.7797173732335827</x:v>
      </x:c>
      <x:c r="I11" s="20" t="n">
        <x:f>VLOOKUP(C11,'Governorate Master'!$A$2:$Q$13,15,FALSE)</x:f>
        <x:v>0.18452380952380953</x:v>
      </x:c>
      <x:c r="J11" s="12" t="str">
        <x:v>Location model input - competition/saturation context</x:v>
      </x:c>
      <x:c r="K11" s="12" t="str">
        <x:v>Business count is from 2018 while population/context indicators are newer; use as a historical proxy, not a current market count.</x:v>
      </x:c>
    </x:row>
    <x:row r="12">
      <x:c r="A12" s="12" t="str">
        <x:v>0620</x:v>
      </x:c>
      <x:c r="B12" s="12" t="str">
        <x:v>Extraction of natural gas</x:v>
      </x:c>
      <x:c r="C12" s="12" t="str">
        <x:v>معان</x:v>
      </x:c>
      <x:c r="D12" s="14" t="n">
        <x:v>0</x:v>
      </x:c>
      <x:c r="E12" s="14" t="n">
        <x:f>VLOOKUP(C12,'Governorate Master'!$A$2:$Q$13,3,FALSE)</x:f>
        <x:v>197900</x:v>
      </x:c>
      <x:c r="F12" s="66" t="n">
        <x:f>IF(E12=0,0,D12/E12*10000)</x:f>
        <x:v>0</x:v>
      </x:c>
      <x:c r="G12" s="67" t="n">
        <x:f>VLOOKUP(C12,'Governorate Master'!$A$2:$Q$13,7,FALSE)</x:f>
        <x:v>6</x:v>
      </x:c>
      <x:c r="H12" s="20" t="n">
        <x:f>VLOOKUP(C12,'Governorate Master'!$A$2:$Q$13,6,FALSE)</x:f>
        <x:v>0.5406771096513391</x:v>
      </x:c>
      <x:c r="I12" s="20" t="n">
        <x:f>VLOOKUP(C12,'Governorate Master'!$A$2:$Q$13,15,FALSE)</x:f>
        <x:v>0.026845637583892617</x:v>
      </x:c>
      <x:c r="J12" s="12" t="str">
        <x:v>Location model input - competition/saturation context</x:v>
      </x:c>
      <x:c r="K12" s="12" t="str">
        <x:v>Business count is from 2018 while population/context indicators are newer; use as a historical proxy, not a current market count.</x:v>
      </x:c>
    </x:row>
    <x:row r="13">
      <x:c r="A13" s="12" t="str">
        <x:v>0620</x:v>
      </x:c>
      <x:c r="B13" s="12" t="str">
        <x:v>Extraction of natural gas</x:v>
      </x:c>
      <x:c r="C13" s="12" t="str">
        <x:v>العقبة</x:v>
      </x:c>
      <x:c r="D13" s="14" t="n">
        <x:v>0</x:v>
      </x:c>
      <x:c r="E13" s="14" t="n">
        <x:f>VLOOKUP(C13,'Governorate Master'!$A$2:$Q$13,3,FALSE)</x:f>
        <x:v>250900</x:v>
      </x:c>
      <x:c r="F13" s="66" t="n">
        <x:f>IF(E13=0,0,D13/E13*10000)</x:f>
        <x:v>0</x:v>
      </x:c>
      <x:c r="G13" s="67" t="n">
        <x:f>VLOOKUP(C13,'Governorate Master'!$A$2:$Q$13,7,FALSE)</x:f>
        <x:v>36.3</x:v>
      </x:c>
      <x:c r="H13" s="20" t="n">
        <x:f>VLOOKUP(C13,'Governorate Master'!$A$2:$Q$13,6,FALSE)</x:f>
        <x:v>0.882024711040255</x:v>
      </x:c>
      <x:c r="I13" s="20" t="n">
        <x:f>VLOOKUP(C13,'Governorate Master'!$A$2:$Q$13,15,FALSE)</x:f>
        <x:v>-0.09</x:v>
      </x:c>
      <x:c r="J13" s="12" t="str">
        <x:v>Location model input - competition/saturation context</x:v>
      </x:c>
      <x:c r="K13" s="12" t="str">
        <x:v>Business count is from 2018 while population/context indicators are newer; use as a historical proxy, not a current market count.</x:v>
      </x:c>
    </x:row>
    <x:row r="14">
      <x:c r="A14" s="12" t="str">
        <x:v>0810</x:v>
      </x:c>
      <x:c r="B14" s="12" t="str">
        <x:v>Quarrying of stone, sand and clay</x:v>
      </x:c>
      <x:c r="C14" s="12" t="str">
        <x:v>عمان</x:v>
      </x:c>
      <x:c r="D14" s="14" t="n">
        <x:v>36</x:v>
      </x:c>
      <x:c r="E14" s="14" t="n">
        <x:f>VLOOKUP(C14,'Governorate Master'!$A$2:$Q$13,3,FALSE)</x:f>
        <x:v>5004600</x:v>
      </x:c>
      <x:c r="F14" s="66" t="n">
        <x:f>IF(E14=0,0,D14/E14*10000)</x:f>
        <x:v>0.071933820884786</x:v>
      </x:c>
      <x:c r="G14" s="67" t="n">
        <x:f>VLOOKUP(C14,'Governorate Master'!$A$2:$Q$13,7,FALSE)</x:f>
        <x:v>660.3</x:v>
      </x:c>
      <x:c r="H14" s="20" t="n">
        <x:f>VLOOKUP(C14,'Governorate Master'!$A$2:$Q$13,6,FALSE)</x:f>
        <x:v>0.9721656076409703</x:v>
      </x:c>
      <x:c r="I14" s="20" t="n">
        <x:f>VLOOKUP(C14,'Governorate Master'!$A$2:$Q$13,15,FALSE)</x:f>
        <x:v>0.06367041198501873</x:v>
      </x:c>
      <x:c r="J14" s="12" t="str">
        <x:v>Location model input - competition/saturation context</x:v>
      </x:c>
      <x:c r="K14" s="12" t="str">
        <x:v>Business count is from 2018 while population/context indicators are newer; use as a historical proxy, not a current market count.</x:v>
      </x:c>
    </x:row>
    <x:row r="15">
      <x:c r="A15" s="12" t="str">
        <x:v>0810</x:v>
      </x:c>
      <x:c r="B15" s="12" t="str">
        <x:v>Quarrying of stone, sand and clay</x:v>
      </x:c>
      <x:c r="C15" s="12" t="str">
        <x:v>البلقاء</x:v>
      </x:c>
      <x:c r="D15" s="14" t="n">
        <x:v>4</x:v>
      </x:c>
      <x:c r="E15" s="14" t="n">
        <x:f>VLOOKUP(C15,'Governorate Master'!$A$2:$Q$13,3,FALSE)</x:f>
        <x:v>614000</x:v>
      </x:c>
      <x:c r="F15" s="66" t="n">
        <x:f>IF(E15=0,0,D15/E15*10000)</x:f>
        <x:v>0.06514657980456026</x:v>
      </x:c>
      <x:c r="G15" s="67" t="n">
        <x:f>VLOOKUP(C15,'Governorate Master'!$A$2:$Q$13,7,FALSE)</x:f>
        <x:v>548</x:v>
      </x:c>
      <x:c r="H15" s="20" t="n">
        <x:f>VLOOKUP(C15,'Governorate Master'!$A$2:$Q$13,6,FALSE)</x:f>
        <x:v>0.8210097719869707</x:v>
      </x:c>
      <x:c r="I15" s="20" t="n">
        <x:f>VLOOKUP(C15,'Governorate Master'!$A$2:$Q$13,15,FALSE)</x:f>
        <x:v>0.10794044665012408</x:v>
      </x:c>
      <x:c r="J15" s="12" t="str">
        <x:v>Location model input - competition/saturation context</x:v>
      </x:c>
      <x:c r="K15" s="12" t="str">
        <x:v>Business count is from 2018 while population/context indicators are newer; use as a historical proxy, not a current market count.</x:v>
      </x:c>
    </x:row>
    <x:row r="16">
      <x:c r="A16" s="12" t="str">
        <x:v>0810</x:v>
      </x:c>
      <x:c r="B16" s="12" t="str">
        <x:v>Quarrying of stone, sand and clay</x:v>
      </x:c>
      <x:c r="C16" s="12" t="str">
        <x:v>الزرقاء</x:v>
      </x:c>
      <x:c r="D16" s="14" t="n">
        <x:v>11</x:v>
      </x:c>
      <x:c r="E16" s="14" t="n">
        <x:f>VLOOKUP(C16,'Governorate Master'!$A$2:$Q$13,3,FALSE)</x:f>
        <x:v>1704500</x:v>
      </x:c>
      <x:c r="F16" s="66" t="n">
        <x:f>IF(E16=0,0,D16/E16*10000)</x:f>
        <x:v>0.06453505426811382</x:v>
      </x:c>
      <x:c r="G16" s="67" t="n">
        <x:f>VLOOKUP(C16,'Governorate Master'!$A$2:$Q$13,7,FALSE)</x:f>
        <x:v>358</x:v>
      </x:c>
      <x:c r="H16" s="20" t="n">
        <x:f>VLOOKUP(C16,'Governorate Master'!$A$2:$Q$13,6,FALSE)</x:f>
        <x:v>0.9636256966852449</x:v>
      </x:c>
      <x:c r="I16" s="20" t="n">
        <x:f>VLOOKUP(C16,'Governorate Master'!$A$2:$Q$13,15,FALSE)</x:f>
        <x:v>-0.06808762581409118</x:v>
      </x:c>
      <x:c r="J16" s="12" t="str">
        <x:v>Location model input - competition/saturation context</x:v>
      </x:c>
      <x:c r="K16" s="12" t="str">
        <x:v>Business count is from 2018 while population/context indicators are newer; use as a historical proxy, not a current market count.</x:v>
      </x:c>
    </x:row>
    <x:row r="17">
      <x:c r="A17" s="12" t="str">
        <x:v>0810</x:v>
      </x:c>
      <x:c r="B17" s="12" t="str">
        <x:v>Quarrying of stone, sand and clay</x:v>
      </x:c>
      <x:c r="C17" s="12" t="str">
        <x:v>مادبا</x:v>
      </x:c>
      <x:c r="D17" s="14" t="n">
        <x:v>0</x:v>
      </x:c>
      <x:c r="E17" s="14" t="n">
        <x:f>VLOOKUP(C17,'Governorate Master'!$A$2:$Q$13,3,FALSE)</x:f>
        <x:v>236200</x:v>
      </x:c>
      <x:c r="F17" s="66" t="n">
        <x:f>IF(E17=0,0,D17/E17*10000)</x:f>
        <x:v>0</x:v>
      </x:c>
      <x:c r="G17" s="67" t="n">
        <x:f>VLOOKUP(C17,'Governorate Master'!$A$2:$Q$13,7,FALSE)</x:f>
        <x:v>251.4</x:v>
      </x:c>
      <x:c r="H17" s="20" t="n">
        <x:f>VLOOKUP(C17,'Governorate Master'!$A$2:$Q$13,6,FALSE)</x:f>
        <x:v>0.7823878069432684</x:v>
      </x:c>
      <x:c r="I17" s="20" t="n">
        <x:f>VLOOKUP(C17,'Governorate Master'!$A$2:$Q$13,15,FALSE)</x:f>
        <x:v>-0.18823529411764706</x:v>
      </x:c>
      <x:c r="J17" s="12" t="str">
        <x:v>Location model input - competition/saturation context</x:v>
      </x:c>
      <x:c r="K17" s="12" t="str">
        <x:v>Business count is from 2018 while population/context indicators are newer; use as a historical proxy, not a current market count.</x:v>
      </x:c>
    </x:row>
    <x:row r="18">
      <x:c r="A18" s="12" t="str">
        <x:v>0810</x:v>
      </x:c>
      <x:c r="B18" s="12" t="str">
        <x:v>Quarrying of stone, sand and clay</x:v>
      </x:c>
      <x:c r="C18" s="12" t="str">
        <x:v>إربد</x:v>
      </x:c>
      <x:c r="D18" s="14" t="n">
        <x:v>10</x:v>
      </x:c>
      <x:c r="E18" s="14" t="n">
        <x:f>VLOOKUP(C18,'Governorate Master'!$A$2:$Q$13,3,FALSE)</x:f>
        <x:v>2210500</x:v>
      </x:c>
      <x:c r="F18" s="66" t="n">
        <x:f>IF(E18=0,0,D18/E18*10000)</x:f>
        <x:v>0.045238633793259445</x:v>
      </x:c>
      <x:c r="G18" s="67" t="n">
        <x:f>VLOOKUP(C18,'Governorate Master'!$A$2:$Q$13,7,FALSE)</x:f>
        <x:v>1406.4</x:v>
      </x:c>
      <x:c r="H18" s="20" t="n">
        <x:f>VLOOKUP(C18,'Governorate Master'!$A$2:$Q$13,6,FALSE)</x:f>
        <x:v>0.9235014702555983</x:v>
      </x:c>
      <x:c r="I18" s="20" t="n">
        <x:f>VLOOKUP(C18,'Governorate Master'!$A$2:$Q$13,15,FALSE)</x:f>
        <x:v>0.07086922474549726</x:v>
      </x:c>
      <x:c r="J18" s="12" t="str">
        <x:v>Location model input - competition/saturation context</x:v>
      </x:c>
      <x:c r="K18" s="12" t="str">
        <x:v>Business count is from 2018 while population/context indicators are newer; use as a historical proxy, not a current market count.</x:v>
      </x:c>
    </x:row>
    <x:row r="19">
      <x:c r="A19" s="12" t="str">
        <x:v>0810</x:v>
      </x:c>
      <x:c r="B19" s="12" t="str">
        <x:v>Quarrying of stone, sand and clay</x:v>
      </x:c>
      <x:c r="C19" s="12" t="str">
        <x:v>المفرق</x:v>
      </x:c>
      <x:c r="D19" s="14" t="n">
        <x:v>18</x:v>
      </x:c>
      <x:c r="E19" s="14" t="n">
        <x:f>VLOOKUP(C19,'Governorate Master'!$A$2:$Q$13,3,FALSE)</x:f>
        <x:v>686800</x:v>
      </x:c>
      <x:c r="F19" s="66" t="n">
        <x:f>IF(E19=0,0,D19/E19*10000)</x:f>
        <x:v>0.262085032032615</x:v>
      </x:c>
      <x:c r="G19" s="67" t="n">
        <x:f>VLOOKUP(C19,'Governorate Master'!$A$2:$Q$13,7,FALSE)</x:f>
        <x:v>25.9</x:v>
      </x:c>
      <x:c r="H19" s="20" t="n">
        <x:f>VLOOKUP(C19,'Governorate Master'!$A$2:$Q$13,6,FALSE)</x:f>
        <x:v>0.6965637740244612</x:v>
      </x:c>
      <x:c r="I19" s="20" t="n">
        <x:f>VLOOKUP(C19,'Governorate Master'!$A$2:$Q$13,15,FALSE)</x:f>
        <x:v>-0.016638935108153077</x:v>
      </x:c>
      <x:c r="J19" s="12" t="str">
        <x:v>Location model input - competition/saturation context</x:v>
      </x:c>
      <x:c r="K19" s="12" t="str">
        <x:v>Business count is from 2018 while population/context indicators are newer; use as a historical proxy, not a current market count.</x:v>
      </x:c>
    </x:row>
    <x:row r="20">
      <x:c r="A20" s="12" t="str">
        <x:v>0810</x:v>
      </x:c>
      <x:c r="B20" s="12" t="str">
        <x:v>Quarrying of stone, sand and clay</x:v>
      </x:c>
      <x:c r="C20" s="12" t="str">
        <x:v>جرش</x:v>
      </x:c>
      <x:c r="D20" s="14" t="n">
        <x:v>0</x:v>
      </x:c>
      <x:c r="E20" s="14" t="n">
        <x:f>VLOOKUP(C20,'Governorate Master'!$A$2:$Q$13,3,FALSE)</x:f>
        <x:v>296000</x:v>
      </x:c>
      <x:c r="F20" s="66" t="n">
        <x:f>IF(E20=0,0,D20/E20*10000)</x:f>
        <x:v>0</x:v>
      </x:c>
      <x:c r="G20" s="67" t="n">
        <x:f>VLOOKUP(C20,'Governorate Master'!$A$2:$Q$13,7,FALSE)</x:f>
        <x:v>722.3</x:v>
      </x:c>
      <x:c r="H20" s="20" t="n">
        <x:f>VLOOKUP(C20,'Governorate Master'!$A$2:$Q$13,6,FALSE)</x:f>
        <x:v>0.7695945945945946</x:v>
      </x:c>
      <x:c r="I20" s="20" t="n">
        <x:f>VLOOKUP(C20,'Governorate Master'!$A$2:$Q$13,15,FALSE)</x:f>
        <x:v>-0.06527415143603134</x:v>
      </x:c>
      <x:c r="J20" s="12" t="str">
        <x:v>Location model input - competition/saturation context</x:v>
      </x:c>
      <x:c r="K20" s="12" t="str">
        <x:v>Business count is from 2018 while population/context indicators are newer; use as a historical proxy, not a current market count.</x:v>
      </x:c>
    </x:row>
    <x:row r="21">
      <x:c r="A21" s="12" t="str">
        <x:v>0810</x:v>
      </x:c>
      <x:c r="B21" s="12" t="str">
        <x:v>Quarrying of stone, sand and clay</x:v>
      </x:c>
      <x:c r="C21" s="12" t="str">
        <x:v>عجلون</x:v>
      </x:c>
      <x:c r="D21" s="14" t="n">
        <x:v>1</x:v>
      </x:c>
      <x:c r="E21" s="14" t="n">
        <x:f>VLOOKUP(C21,'Governorate Master'!$A$2:$Q$13,3,FALSE)</x:f>
        <x:v>219900</x:v>
      </x:c>
      <x:c r="F21" s="66" t="n">
        <x:f>IF(E21=0,0,D21/E21*10000)</x:f>
        <x:v>0.04547521600727603</x:v>
      </x:c>
      <x:c r="G21" s="67" t="n">
        <x:f>VLOOKUP(C21,'Governorate Master'!$A$2:$Q$13,7,FALSE)</x:f>
        <x:v>524</x:v>
      </x:c>
      <x:c r="H21" s="20" t="n">
        <x:f>VLOOKUP(C21,'Governorate Master'!$A$2:$Q$13,6,FALSE)</x:f>
        <x:v>0.8390177353342428</x:v>
      </x:c>
      <x:c r="I21" s="20" t="n">
        <x:f>VLOOKUP(C21,'Governorate Master'!$A$2:$Q$13,15,FALSE)</x:f>
        <x:v>0.03614457831325301</x:v>
      </x:c>
      <x:c r="J21" s="12" t="str">
        <x:v>Location model input - competition/saturation context</x:v>
      </x:c>
      <x:c r="K21" s="12" t="str">
        <x:v>Business count is from 2018 while population/context indicators are newer; use as a historical proxy, not a current market count.</x:v>
      </x:c>
    </x:row>
    <x:row r="22">
      <x:c r="A22" s="12" t="str">
        <x:v>0810</x:v>
      </x:c>
      <x:c r="B22" s="12" t="str">
        <x:v>Quarrying of stone, sand and clay</x:v>
      </x:c>
      <x:c r="C22" s="12" t="str">
        <x:v>الكرك</x:v>
      </x:c>
      <x:c r="D22" s="14" t="n">
        <x:v>0</x:v>
      </x:c>
      <x:c r="E22" s="14" t="n">
        <x:f>VLOOKUP(C22,'Governorate Master'!$A$2:$Q$13,3,FALSE)</x:f>
        <x:v>395400</x:v>
      </x:c>
      <x:c r="F22" s="66" t="n">
        <x:f>IF(E22=0,0,D22/E22*10000)</x:f>
        <x:v>0</x:v>
      </x:c>
      <x:c r="G22" s="67" t="n">
        <x:f>VLOOKUP(C22,'Governorate Master'!$A$2:$Q$13,7,FALSE)</x:f>
        <x:v>113.1</x:v>
      </x:c>
      <x:c r="H22" s="20" t="n">
        <x:f>VLOOKUP(C22,'Governorate Master'!$A$2:$Q$13,6,FALSE)</x:f>
        <x:v>0.5912999494183105</x:v>
      </x:c>
      <x:c r="I22" s="20" t="n">
        <x:f>VLOOKUP(C22,'Governorate Master'!$A$2:$Q$13,15,FALSE)</x:f>
        <x:v>0.08710801393728224</x:v>
      </x:c>
      <x:c r="J22" s="12" t="str">
        <x:v>Location model input - competition/saturation context</x:v>
      </x:c>
      <x:c r="K22" s="12" t="str">
        <x:v>Business count is from 2018 while population/context indicators are newer; use as a historical proxy, not a current market count.</x:v>
      </x:c>
    </x:row>
    <x:row r="23">
      <x:c r="A23" s="12" t="str">
        <x:v>0810</x:v>
      </x:c>
      <x:c r="B23" s="12" t="str">
        <x:v>Quarrying of stone, sand and clay</x:v>
      </x:c>
      <x:c r="C23" s="12" t="str">
        <x:v>الطفيلة</x:v>
      </x:c>
      <x:c r="D23" s="14" t="n">
        <x:v>0</x:v>
      </x:c>
      <x:c r="E23" s="14" t="n">
        <x:f>VLOOKUP(C23,'Governorate Master'!$A$2:$Q$13,3,FALSE)</x:f>
        <x:v>120300</x:v>
      </x:c>
      <x:c r="F23" s="66" t="n">
        <x:f>IF(E23=0,0,D23/E23*10000)</x:f>
        <x:v>0</x:v>
      </x:c>
      <x:c r="G23" s="67" t="n">
        <x:f>VLOOKUP(C23,'Governorate Master'!$A$2:$Q$13,7,FALSE)</x:f>
        <x:v>54.4</x:v>
      </x:c>
      <x:c r="H23" s="20" t="n">
        <x:f>VLOOKUP(C23,'Governorate Master'!$A$2:$Q$13,6,FALSE)</x:f>
        <x:v>0.7797173732335827</x:v>
      </x:c>
      <x:c r="I23" s="20" t="n">
        <x:f>VLOOKUP(C23,'Governorate Master'!$A$2:$Q$13,15,FALSE)</x:f>
        <x:v>0.18452380952380953</x:v>
      </x:c>
      <x:c r="J23" s="12" t="str">
        <x:v>Location model input - competition/saturation context</x:v>
      </x:c>
      <x:c r="K23" s="12" t="str">
        <x:v>Business count is from 2018 while population/context indicators are newer; use as a historical proxy, not a current market count.</x:v>
      </x:c>
    </x:row>
    <x:row r="24">
      <x:c r="A24" s="12" t="str">
        <x:v>0810</x:v>
      </x:c>
      <x:c r="B24" s="12" t="str">
        <x:v>Quarrying of stone, sand and clay</x:v>
      </x:c>
      <x:c r="C24" s="12" t="str">
        <x:v>معان</x:v>
      </x:c>
      <x:c r="D24" s="14" t="n">
        <x:v>0</x:v>
      </x:c>
      <x:c r="E24" s="14" t="n">
        <x:f>VLOOKUP(C24,'Governorate Master'!$A$2:$Q$13,3,FALSE)</x:f>
        <x:v>197900</x:v>
      </x:c>
      <x:c r="F24" s="66" t="n">
        <x:f>IF(E24=0,0,D24/E24*10000)</x:f>
        <x:v>0</x:v>
      </x:c>
      <x:c r="G24" s="67" t="n">
        <x:f>VLOOKUP(C24,'Governorate Master'!$A$2:$Q$13,7,FALSE)</x:f>
        <x:v>6</x:v>
      </x:c>
      <x:c r="H24" s="20" t="n">
        <x:f>VLOOKUP(C24,'Governorate Master'!$A$2:$Q$13,6,FALSE)</x:f>
        <x:v>0.5406771096513391</x:v>
      </x:c>
      <x:c r="I24" s="20" t="n">
        <x:f>VLOOKUP(C24,'Governorate Master'!$A$2:$Q$13,15,FALSE)</x:f>
        <x:v>0.026845637583892617</x:v>
      </x:c>
      <x:c r="J24" s="12" t="str">
        <x:v>Location model input - competition/saturation context</x:v>
      </x:c>
      <x:c r="K24" s="12" t="str">
        <x:v>Business count is from 2018 while population/context indicators are newer; use as a historical proxy, not a current market count.</x:v>
      </x:c>
    </x:row>
    <x:row r="25">
      <x:c r="A25" s="12" t="str">
        <x:v>0810</x:v>
      </x:c>
      <x:c r="B25" s="12" t="str">
        <x:v>Quarrying of stone, sand and clay</x:v>
      </x:c>
      <x:c r="C25" s="12" t="str">
        <x:v>العقبة</x:v>
      </x:c>
      <x:c r="D25" s="14" t="n">
        <x:v>3</x:v>
      </x:c>
      <x:c r="E25" s="14" t="n">
        <x:f>VLOOKUP(C25,'Governorate Master'!$A$2:$Q$13,3,FALSE)</x:f>
        <x:v>250900</x:v>
      </x:c>
      <x:c r="F25" s="66" t="n">
        <x:f>IF(E25=0,0,D25/E25*10000)</x:f>
        <x:v>0.11956954962136308</x:v>
      </x:c>
      <x:c r="G25" s="67" t="n">
        <x:f>VLOOKUP(C25,'Governorate Master'!$A$2:$Q$13,7,FALSE)</x:f>
        <x:v>36.3</x:v>
      </x:c>
      <x:c r="H25" s="20" t="n">
        <x:f>VLOOKUP(C25,'Governorate Master'!$A$2:$Q$13,6,FALSE)</x:f>
        <x:v>0.882024711040255</x:v>
      </x:c>
      <x:c r="I25" s="20" t="n">
        <x:f>VLOOKUP(C25,'Governorate Master'!$A$2:$Q$13,15,FALSE)</x:f>
        <x:v>-0.09</x:v>
      </x:c>
      <x:c r="J25" s="12" t="str">
        <x:v>Location model input - competition/saturation context</x:v>
      </x:c>
      <x:c r="K25" s="12" t="str">
        <x:v>Business count is from 2018 while population/context indicators are newer; use as a historical proxy, not a current market count.</x:v>
      </x:c>
    </x:row>
    <x:row r="26">
      <x:c r="A26" s="12" t="str">
        <x:v>0891</x:v>
      </x:c>
      <x:c r="B26" s="12" t="str">
        <x:v>Mining of chemical and fertilizer minerals</x:v>
      </x:c>
      <x:c r="C26" s="12" t="str">
        <x:v>عمان</x:v>
      </x:c>
      <x:c r="D26" s="14" t="n">
        <x:v>11</x:v>
      </x:c>
      <x:c r="E26" s="14" t="n">
        <x:f>VLOOKUP(C26,'Governorate Master'!$A$2:$Q$13,3,FALSE)</x:f>
        <x:v>5004600</x:v>
      </x:c>
      <x:c r="F26" s="66" t="n">
        <x:f>IF(E26=0,0,D26/E26*10000)</x:f>
        <x:v>0.02197977860368461</x:v>
      </x:c>
      <x:c r="G26" s="67" t="n">
        <x:f>VLOOKUP(C26,'Governorate Master'!$A$2:$Q$13,7,FALSE)</x:f>
        <x:v>660.3</x:v>
      </x:c>
      <x:c r="H26" s="20" t="n">
        <x:f>VLOOKUP(C26,'Governorate Master'!$A$2:$Q$13,6,FALSE)</x:f>
        <x:v>0.9721656076409703</x:v>
      </x:c>
      <x:c r="I26" s="20" t="n">
        <x:f>VLOOKUP(C26,'Governorate Master'!$A$2:$Q$13,15,FALSE)</x:f>
        <x:v>0.06367041198501873</x:v>
      </x:c>
      <x:c r="J26" s="12" t="str">
        <x:v>Location model input - competition/saturation context</x:v>
      </x:c>
      <x:c r="K26" s="12" t="str">
        <x:v>Business count is from 2018 while population/context indicators are newer; use as a historical proxy, not a current market count.</x:v>
      </x:c>
    </x:row>
    <x:row r="27">
      <x:c r="A27" s="12" t="str">
        <x:v>0891</x:v>
      </x:c>
      <x:c r="B27" s="12" t="str">
        <x:v>Mining of chemical and fertilizer minerals</x:v>
      </x:c>
      <x:c r="C27" s="12" t="str">
        <x:v>البلقاء</x:v>
      </x:c>
      <x:c r="D27" s="14" t="n">
        <x:v>0</x:v>
      </x:c>
      <x:c r="E27" s="14" t="n">
        <x:f>VLOOKUP(C27,'Governorate Master'!$A$2:$Q$13,3,FALSE)</x:f>
        <x:v>614000</x:v>
      </x:c>
      <x:c r="F27" s="66" t="n">
        <x:f>IF(E27=0,0,D27/E27*10000)</x:f>
        <x:v>0</x:v>
      </x:c>
      <x:c r="G27" s="67" t="n">
        <x:f>VLOOKUP(C27,'Governorate Master'!$A$2:$Q$13,7,FALSE)</x:f>
        <x:v>548</x:v>
      </x:c>
      <x:c r="H27" s="20" t="n">
        <x:f>VLOOKUP(C27,'Governorate Master'!$A$2:$Q$13,6,FALSE)</x:f>
        <x:v>0.8210097719869707</x:v>
      </x:c>
      <x:c r="I27" s="20" t="n">
        <x:f>VLOOKUP(C27,'Governorate Master'!$A$2:$Q$13,15,FALSE)</x:f>
        <x:v>0.10794044665012408</x:v>
      </x:c>
      <x:c r="J27" s="12" t="str">
        <x:v>Location model input - competition/saturation context</x:v>
      </x:c>
      <x:c r="K27" s="12" t="str">
        <x:v>Business count is from 2018 while population/context indicators are newer; use as a historical proxy, not a current market count.</x:v>
      </x:c>
    </x:row>
    <x:row r="28">
      <x:c r="A28" s="12" t="str">
        <x:v>0891</x:v>
      </x:c>
      <x:c r="B28" s="12" t="str">
        <x:v>Mining of chemical and fertilizer minerals</x:v>
      </x:c>
      <x:c r="C28" s="12" t="str">
        <x:v>الزرقاء</x:v>
      </x:c>
      <x:c r="D28" s="14" t="n">
        <x:v>0</x:v>
      </x:c>
      <x:c r="E28" s="14" t="n">
        <x:f>VLOOKUP(C28,'Governorate Master'!$A$2:$Q$13,3,FALSE)</x:f>
        <x:v>1704500</x:v>
      </x:c>
      <x:c r="F28" s="66" t="n">
        <x:f>IF(E28=0,0,D28/E28*10000)</x:f>
        <x:v>0</x:v>
      </x:c>
      <x:c r="G28" s="67" t="n">
        <x:f>VLOOKUP(C28,'Governorate Master'!$A$2:$Q$13,7,FALSE)</x:f>
        <x:v>358</x:v>
      </x:c>
      <x:c r="H28" s="20" t="n">
        <x:f>VLOOKUP(C28,'Governorate Master'!$A$2:$Q$13,6,FALSE)</x:f>
        <x:v>0.9636256966852449</x:v>
      </x:c>
      <x:c r="I28" s="20" t="n">
        <x:f>VLOOKUP(C28,'Governorate Master'!$A$2:$Q$13,15,FALSE)</x:f>
        <x:v>-0.06808762581409118</x:v>
      </x:c>
      <x:c r="J28" s="12" t="str">
        <x:v>Location model input - competition/saturation context</x:v>
      </x:c>
      <x:c r="K28" s="12" t="str">
        <x:v>Business count is from 2018 while population/context indicators are newer; use as a historical proxy, not a current market count.</x:v>
      </x:c>
    </x:row>
    <x:row r="29">
      <x:c r="A29" s="12" t="str">
        <x:v>0891</x:v>
      </x:c>
      <x:c r="B29" s="12" t="str">
        <x:v>Mining of chemical and fertilizer minerals</x:v>
      </x:c>
      <x:c r="C29" s="12" t="str">
        <x:v>مادبا</x:v>
      </x:c>
      <x:c r="D29" s="14" t="n">
        <x:v>0</x:v>
      </x:c>
      <x:c r="E29" s="14" t="n">
        <x:f>VLOOKUP(C29,'Governorate Master'!$A$2:$Q$13,3,FALSE)</x:f>
        <x:v>236200</x:v>
      </x:c>
      <x:c r="F29" s="66" t="n">
        <x:f>IF(E29=0,0,D29/E29*10000)</x:f>
        <x:v>0</x:v>
      </x:c>
      <x:c r="G29" s="67" t="n">
        <x:f>VLOOKUP(C29,'Governorate Master'!$A$2:$Q$13,7,FALSE)</x:f>
        <x:v>251.4</x:v>
      </x:c>
      <x:c r="H29" s="20" t="n">
        <x:f>VLOOKUP(C29,'Governorate Master'!$A$2:$Q$13,6,FALSE)</x:f>
        <x:v>0.7823878069432684</x:v>
      </x:c>
      <x:c r="I29" s="20" t="n">
        <x:f>VLOOKUP(C29,'Governorate Master'!$A$2:$Q$13,15,FALSE)</x:f>
        <x:v>-0.18823529411764706</x:v>
      </x:c>
      <x:c r="J29" s="12" t="str">
        <x:v>Location model input - competition/saturation context</x:v>
      </x:c>
      <x:c r="K29" s="12" t="str">
        <x:v>Business count is from 2018 while population/context indicators are newer; use as a historical proxy, not a current market count.</x:v>
      </x:c>
    </x:row>
    <x:row r="30">
      <x:c r="A30" s="12" t="str">
        <x:v>0891</x:v>
      </x:c>
      <x:c r="B30" s="12" t="str">
        <x:v>Mining of chemical and fertilizer minerals</x:v>
      </x:c>
      <x:c r="C30" s="12" t="str">
        <x:v>إربد</x:v>
      </x:c>
      <x:c r="D30" s="14" t="n">
        <x:v>0</x:v>
      </x:c>
      <x:c r="E30" s="14" t="n">
        <x:f>VLOOKUP(C30,'Governorate Master'!$A$2:$Q$13,3,FALSE)</x:f>
        <x:v>2210500</x:v>
      </x:c>
      <x:c r="F30" s="66" t="n">
        <x:f>IF(E30=0,0,D30/E30*10000)</x:f>
        <x:v>0</x:v>
      </x:c>
      <x:c r="G30" s="67" t="n">
        <x:f>VLOOKUP(C30,'Governorate Master'!$A$2:$Q$13,7,FALSE)</x:f>
        <x:v>1406.4</x:v>
      </x:c>
      <x:c r="H30" s="20" t="n">
        <x:f>VLOOKUP(C30,'Governorate Master'!$A$2:$Q$13,6,FALSE)</x:f>
        <x:v>0.9235014702555983</x:v>
      </x:c>
      <x:c r="I30" s="20" t="n">
        <x:f>VLOOKUP(C30,'Governorate Master'!$A$2:$Q$13,15,FALSE)</x:f>
        <x:v>0.07086922474549726</x:v>
      </x:c>
      <x:c r="J30" s="12" t="str">
        <x:v>Location model input - competition/saturation context</x:v>
      </x:c>
      <x:c r="K30" s="12" t="str">
        <x:v>Business count is from 2018 while population/context indicators are newer; use as a historical proxy, not a current market count.</x:v>
      </x:c>
    </x:row>
    <x:row r="31">
      <x:c r="A31" s="12" t="str">
        <x:v>0891</x:v>
      </x:c>
      <x:c r="B31" s="12" t="str">
        <x:v>Mining of chemical and fertilizer minerals</x:v>
      </x:c>
      <x:c r="C31" s="12" t="str">
        <x:v>المفرق</x:v>
      </x:c>
      <x:c r="D31" s="14" t="n">
        <x:v>0</x:v>
      </x:c>
      <x:c r="E31" s="14" t="n">
        <x:f>VLOOKUP(C31,'Governorate Master'!$A$2:$Q$13,3,FALSE)</x:f>
        <x:v>686800</x:v>
      </x:c>
      <x:c r="F31" s="66" t="n">
        <x:f>IF(E31=0,0,D31/E31*10000)</x:f>
        <x:v>0</x:v>
      </x:c>
      <x:c r="G31" s="67" t="n">
        <x:f>VLOOKUP(C31,'Governorate Master'!$A$2:$Q$13,7,FALSE)</x:f>
        <x:v>25.9</x:v>
      </x:c>
      <x:c r="H31" s="20" t="n">
        <x:f>VLOOKUP(C31,'Governorate Master'!$A$2:$Q$13,6,FALSE)</x:f>
        <x:v>0.6965637740244612</x:v>
      </x:c>
      <x:c r="I31" s="20" t="n">
        <x:f>VLOOKUP(C31,'Governorate Master'!$A$2:$Q$13,15,FALSE)</x:f>
        <x:v>-0.016638935108153077</x:v>
      </x:c>
      <x:c r="J31" s="12" t="str">
        <x:v>Location model input - competition/saturation context</x:v>
      </x:c>
      <x:c r="K31" s="12" t="str">
        <x:v>Business count is from 2018 while population/context indicators are newer; use as a historical proxy, not a current market count.</x:v>
      </x:c>
    </x:row>
    <x:row r="32">
      <x:c r="A32" s="12" t="str">
        <x:v>0891</x:v>
      </x:c>
      <x:c r="B32" s="12" t="str">
        <x:v>Mining of chemical and fertilizer minerals</x:v>
      </x:c>
      <x:c r="C32" s="12" t="str">
        <x:v>جرش</x:v>
      </x:c>
      <x:c r="D32" s="14" t="n">
        <x:v>0</x:v>
      </x:c>
      <x:c r="E32" s="14" t="n">
        <x:f>VLOOKUP(C32,'Governorate Master'!$A$2:$Q$13,3,FALSE)</x:f>
        <x:v>296000</x:v>
      </x:c>
      <x:c r="F32" s="66" t="n">
        <x:f>IF(E32=0,0,D32/E32*10000)</x:f>
        <x:v>0</x:v>
      </x:c>
      <x:c r="G32" s="67" t="n">
        <x:f>VLOOKUP(C32,'Governorate Master'!$A$2:$Q$13,7,FALSE)</x:f>
        <x:v>722.3</x:v>
      </x:c>
      <x:c r="H32" s="20" t="n">
        <x:f>VLOOKUP(C32,'Governorate Master'!$A$2:$Q$13,6,FALSE)</x:f>
        <x:v>0.7695945945945946</x:v>
      </x:c>
      <x:c r="I32" s="20" t="n">
        <x:f>VLOOKUP(C32,'Governorate Master'!$A$2:$Q$13,15,FALSE)</x:f>
        <x:v>-0.06527415143603134</x:v>
      </x:c>
      <x:c r="J32" s="12" t="str">
        <x:v>Location model input - competition/saturation context</x:v>
      </x:c>
      <x:c r="K32" s="12" t="str">
        <x:v>Business count is from 2018 while population/context indicators are newer; use as a historical proxy, not a current market count.</x:v>
      </x:c>
    </x:row>
    <x:row r="33">
      <x:c r="A33" s="12" t="str">
        <x:v>0891</x:v>
      </x:c>
      <x:c r="B33" s="12" t="str">
        <x:v>Mining of chemical and fertilizer minerals</x:v>
      </x:c>
      <x:c r="C33" s="12" t="str">
        <x:v>عجلون</x:v>
      </x:c>
      <x:c r="D33" s="14" t="n">
        <x:v>0</x:v>
      </x:c>
      <x:c r="E33" s="14" t="n">
        <x:f>VLOOKUP(C33,'Governorate Master'!$A$2:$Q$13,3,FALSE)</x:f>
        <x:v>219900</x:v>
      </x:c>
      <x:c r="F33" s="66" t="n">
        <x:f>IF(E33=0,0,D33/E33*10000)</x:f>
        <x:v>0</x:v>
      </x:c>
      <x:c r="G33" s="67" t="n">
        <x:f>VLOOKUP(C33,'Governorate Master'!$A$2:$Q$13,7,FALSE)</x:f>
        <x:v>524</x:v>
      </x:c>
      <x:c r="H33" s="20" t="n">
        <x:f>VLOOKUP(C33,'Governorate Master'!$A$2:$Q$13,6,FALSE)</x:f>
        <x:v>0.8390177353342428</x:v>
      </x:c>
      <x:c r="I33" s="20" t="n">
        <x:f>VLOOKUP(C33,'Governorate Master'!$A$2:$Q$13,15,FALSE)</x:f>
        <x:v>0.03614457831325301</x:v>
      </x:c>
      <x:c r="J33" s="12" t="str">
        <x:v>Location model input - competition/saturation context</x:v>
      </x:c>
      <x:c r="K33" s="12" t="str">
        <x:v>Business count is from 2018 while population/context indicators are newer; use as a historical proxy, not a current market count.</x:v>
      </x:c>
    </x:row>
    <x:row r="34">
      <x:c r="A34" s="12" t="str">
        <x:v>0891</x:v>
      </x:c>
      <x:c r="B34" s="12" t="str">
        <x:v>Mining of chemical and fertilizer minerals</x:v>
      </x:c>
      <x:c r="C34" s="12" t="str">
        <x:v>الكرك</x:v>
      </x:c>
      <x:c r="D34" s="14" t="n">
        <x:v>0</x:v>
      </x:c>
      <x:c r="E34" s="14" t="n">
        <x:f>VLOOKUP(C34,'Governorate Master'!$A$2:$Q$13,3,FALSE)</x:f>
        <x:v>395400</x:v>
      </x:c>
      <x:c r="F34" s="66" t="n">
        <x:f>IF(E34=0,0,D34/E34*10000)</x:f>
        <x:v>0</x:v>
      </x:c>
      <x:c r="G34" s="67" t="n">
        <x:f>VLOOKUP(C34,'Governorate Master'!$A$2:$Q$13,7,FALSE)</x:f>
        <x:v>113.1</x:v>
      </x:c>
      <x:c r="H34" s="20" t="n">
        <x:f>VLOOKUP(C34,'Governorate Master'!$A$2:$Q$13,6,FALSE)</x:f>
        <x:v>0.5912999494183105</x:v>
      </x:c>
      <x:c r="I34" s="20" t="n">
        <x:f>VLOOKUP(C34,'Governorate Master'!$A$2:$Q$13,15,FALSE)</x:f>
        <x:v>0.08710801393728224</x:v>
      </x:c>
      <x:c r="J34" s="12" t="str">
        <x:v>Location model input - competition/saturation context</x:v>
      </x:c>
      <x:c r="K34" s="12" t="str">
        <x:v>Business count is from 2018 while population/context indicators are newer; use as a historical proxy, not a current market count.</x:v>
      </x:c>
    </x:row>
    <x:row r="35">
      <x:c r="A35" s="12" t="str">
        <x:v>0891</x:v>
      </x:c>
      <x:c r="B35" s="12" t="str">
        <x:v>Mining of chemical and fertilizer minerals</x:v>
      </x:c>
      <x:c r="C35" s="12" t="str">
        <x:v>الطفيلة</x:v>
      </x:c>
      <x:c r="D35" s="14" t="n">
        <x:v>0</x:v>
      </x:c>
      <x:c r="E35" s="14" t="n">
        <x:f>VLOOKUP(C35,'Governorate Master'!$A$2:$Q$13,3,FALSE)</x:f>
        <x:v>120300</x:v>
      </x:c>
      <x:c r="F35" s="66" t="n">
        <x:f>IF(E35=0,0,D35/E35*10000)</x:f>
        <x:v>0</x:v>
      </x:c>
      <x:c r="G35" s="67" t="n">
        <x:f>VLOOKUP(C35,'Governorate Master'!$A$2:$Q$13,7,FALSE)</x:f>
        <x:v>54.4</x:v>
      </x:c>
      <x:c r="H35" s="20" t="n">
        <x:f>VLOOKUP(C35,'Governorate Master'!$A$2:$Q$13,6,FALSE)</x:f>
        <x:v>0.7797173732335827</x:v>
      </x:c>
      <x:c r="I35" s="20" t="n">
        <x:f>VLOOKUP(C35,'Governorate Master'!$A$2:$Q$13,15,FALSE)</x:f>
        <x:v>0.18452380952380953</x:v>
      </x:c>
      <x:c r="J35" s="12" t="str">
        <x:v>Location model input - competition/saturation context</x:v>
      </x:c>
      <x:c r="K35" s="12" t="str">
        <x:v>Business count is from 2018 while population/context indicators are newer; use as a historical proxy, not a current market count.</x:v>
      </x:c>
    </x:row>
    <x:row r="36">
      <x:c r="A36" s="12" t="str">
        <x:v>0891</x:v>
      </x:c>
      <x:c r="B36" s="12" t="str">
        <x:v>Mining of chemical and fertilizer minerals</x:v>
      </x:c>
      <x:c r="C36" s="12" t="str">
        <x:v>معان</x:v>
      </x:c>
      <x:c r="D36" s="14" t="n">
        <x:v>3</x:v>
      </x:c>
      <x:c r="E36" s="14" t="n">
        <x:f>VLOOKUP(C36,'Governorate Master'!$A$2:$Q$13,3,FALSE)</x:f>
        <x:v>197900</x:v>
      </x:c>
      <x:c r="F36" s="66" t="n">
        <x:f>IF(E36=0,0,D36/E36*10000)</x:f>
        <x:v>0.15159171298635674</x:v>
      </x:c>
      <x:c r="G36" s="67" t="n">
        <x:f>VLOOKUP(C36,'Governorate Master'!$A$2:$Q$13,7,FALSE)</x:f>
        <x:v>6</x:v>
      </x:c>
      <x:c r="H36" s="20" t="n">
        <x:f>VLOOKUP(C36,'Governorate Master'!$A$2:$Q$13,6,FALSE)</x:f>
        <x:v>0.5406771096513391</x:v>
      </x:c>
      <x:c r="I36" s="20" t="n">
        <x:f>VLOOKUP(C36,'Governorate Master'!$A$2:$Q$13,15,FALSE)</x:f>
        <x:v>0.026845637583892617</x:v>
      </x:c>
      <x:c r="J36" s="12" t="str">
        <x:v>Location model input - competition/saturation context</x:v>
      </x:c>
      <x:c r="K36" s="12" t="str">
        <x:v>Business count is from 2018 while population/context indicators are newer; use as a historical proxy, not a current market count.</x:v>
      </x:c>
    </x:row>
    <x:row r="37">
      <x:c r="A37" s="12" t="str">
        <x:v>0891</x:v>
      </x:c>
      <x:c r="B37" s="12" t="str">
        <x:v>Mining of chemical and fertilizer minerals</x:v>
      </x:c>
      <x:c r="C37" s="12" t="str">
        <x:v>العقبة</x:v>
      </x:c>
      <x:c r="D37" s="14" t="n">
        <x:v>0</x:v>
      </x:c>
      <x:c r="E37" s="14" t="n">
        <x:f>VLOOKUP(C37,'Governorate Master'!$A$2:$Q$13,3,FALSE)</x:f>
        <x:v>250900</x:v>
      </x:c>
      <x:c r="F37" s="66" t="n">
        <x:f>IF(E37=0,0,D37/E37*10000)</x:f>
        <x:v>0</x:v>
      </x:c>
      <x:c r="G37" s="67" t="n">
        <x:f>VLOOKUP(C37,'Governorate Master'!$A$2:$Q$13,7,FALSE)</x:f>
        <x:v>36.3</x:v>
      </x:c>
      <x:c r="H37" s="20" t="n">
        <x:f>VLOOKUP(C37,'Governorate Master'!$A$2:$Q$13,6,FALSE)</x:f>
        <x:v>0.882024711040255</x:v>
      </x:c>
      <x:c r="I37" s="20" t="n">
        <x:f>VLOOKUP(C37,'Governorate Master'!$A$2:$Q$13,15,FALSE)</x:f>
        <x:v>-0.09</x:v>
      </x:c>
      <x:c r="J37" s="12" t="str">
        <x:v>Location model input - competition/saturation context</x:v>
      </x:c>
      <x:c r="K37" s="12" t="str">
        <x:v>Business count is from 2018 while population/context indicators are newer; use as a historical proxy, not a current market count.</x:v>
      </x:c>
    </x:row>
    <x:row r="38">
      <x:c r="A38" s="12" t="str">
        <x:v>0893</x:v>
      </x:c>
      <x:c r="B38" s="12" t="str">
        <x:v>Extraction of salt</x:v>
      </x:c>
      <x:c r="C38" s="12" t="str">
        <x:v>عمان</x:v>
      </x:c>
      <x:c r="D38" s="14" t="n">
        <x:v>1</x:v>
      </x:c>
      <x:c r="E38" s="14" t="n">
        <x:f>VLOOKUP(C38,'Governorate Master'!$A$2:$Q$13,3,FALSE)</x:f>
        <x:v>5004600</x:v>
      </x:c>
      <x:c r="F38" s="66" t="n">
        <x:f>IF(E38=0,0,D38/E38*10000)</x:f>
        <x:v>0.0019981616912440555</x:v>
      </x:c>
      <x:c r="G38" s="67" t="n">
        <x:f>VLOOKUP(C38,'Governorate Master'!$A$2:$Q$13,7,FALSE)</x:f>
        <x:v>660.3</x:v>
      </x:c>
      <x:c r="H38" s="20" t="n">
        <x:f>VLOOKUP(C38,'Governorate Master'!$A$2:$Q$13,6,FALSE)</x:f>
        <x:v>0.9721656076409703</x:v>
      </x:c>
      <x:c r="I38" s="20" t="n">
        <x:f>VLOOKUP(C38,'Governorate Master'!$A$2:$Q$13,15,FALSE)</x:f>
        <x:v>0.06367041198501873</x:v>
      </x:c>
      <x:c r="J38" s="12" t="str">
        <x:v>Location model input - competition/saturation context</x:v>
      </x:c>
      <x:c r="K38" s="12" t="str">
        <x:v>Business count is from 2018 while population/context indicators are newer; use as a historical proxy, not a current market count.</x:v>
      </x:c>
    </x:row>
    <x:row r="39">
      <x:c r="A39" s="12" t="str">
        <x:v>0893</x:v>
      </x:c>
      <x:c r="B39" s="12" t="str">
        <x:v>Extraction of salt</x:v>
      </x:c>
      <x:c r="C39" s="12" t="str">
        <x:v>البلقاء</x:v>
      </x:c>
      <x:c r="D39" s="14" t="n">
        <x:v>0</x:v>
      </x:c>
      <x:c r="E39" s="14" t="n">
        <x:f>VLOOKUP(C39,'Governorate Master'!$A$2:$Q$13,3,FALSE)</x:f>
        <x:v>614000</x:v>
      </x:c>
      <x:c r="F39" s="66" t="n">
        <x:f>IF(E39=0,0,D39/E39*10000)</x:f>
        <x:v>0</x:v>
      </x:c>
      <x:c r="G39" s="67" t="n">
        <x:f>VLOOKUP(C39,'Governorate Master'!$A$2:$Q$13,7,FALSE)</x:f>
        <x:v>548</x:v>
      </x:c>
      <x:c r="H39" s="20" t="n">
        <x:f>VLOOKUP(C39,'Governorate Master'!$A$2:$Q$13,6,FALSE)</x:f>
        <x:v>0.8210097719869707</x:v>
      </x:c>
      <x:c r="I39" s="20" t="n">
        <x:f>VLOOKUP(C39,'Governorate Master'!$A$2:$Q$13,15,FALSE)</x:f>
        <x:v>0.10794044665012408</x:v>
      </x:c>
      <x:c r="J39" s="12" t="str">
        <x:v>Location model input - competition/saturation context</x:v>
      </x:c>
      <x:c r="K39" s="12" t="str">
        <x:v>Business count is from 2018 while population/context indicators are newer; use as a historical proxy, not a current market count.</x:v>
      </x:c>
    </x:row>
    <x:row r="40">
      <x:c r="A40" s="12" t="str">
        <x:v>0893</x:v>
      </x:c>
      <x:c r="B40" s="12" t="str">
        <x:v>Extraction of salt</x:v>
      </x:c>
      <x:c r="C40" s="12" t="str">
        <x:v>الزرقاء</x:v>
      </x:c>
      <x:c r="D40" s="14" t="n">
        <x:v>0</x:v>
      </x:c>
      <x:c r="E40" s="14" t="n">
        <x:f>VLOOKUP(C40,'Governorate Master'!$A$2:$Q$13,3,FALSE)</x:f>
        <x:v>1704500</x:v>
      </x:c>
      <x:c r="F40" s="66" t="n">
        <x:f>IF(E40=0,0,D40/E40*10000)</x:f>
        <x:v>0</x:v>
      </x:c>
      <x:c r="G40" s="67" t="n">
        <x:f>VLOOKUP(C40,'Governorate Master'!$A$2:$Q$13,7,FALSE)</x:f>
        <x:v>358</x:v>
      </x:c>
      <x:c r="H40" s="20" t="n">
        <x:f>VLOOKUP(C40,'Governorate Master'!$A$2:$Q$13,6,FALSE)</x:f>
        <x:v>0.9636256966852449</x:v>
      </x:c>
      <x:c r="I40" s="20" t="n">
        <x:f>VLOOKUP(C40,'Governorate Master'!$A$2:$Q$13,15,FALSE)</x:f>
        <x:v>-0.06808762581409118</x:v>
      </x:c>
      <x:c r="J40" s="12" t="str">
        <x:v>Location model input - competition/saturation context</x:v>
      </x:c>
      <x:c r="K40" s="12" t="str">
        <x:v>Business count is from 2018 while population/context indicators are newer; use as a historical proxy, not a current market count.</x:v>
      </x:c>
    </x:row>
    <x:row r="41">
      <x:c r="A41" s="12" t="str">
        <x:v>0893</x:v>
      </x:c>
      <x:c r="B41" s="12" t="str">
        <x:v>Extraction of salt</x:v>
      </x:c>
      <x:c r="C41" s="12" t="str">
        <x:v>مادبا</x:v>
      </x:c>
      <x:c r="D41" s="14" t="n">
        <x:v>0</x:v>
      </x:c>
      <x:c r="E41" s="14" t="n">
        <x:f>VLOOKUP(C41,'Governorate Master'!$A$2:$Q$13,3,FALSE)</x:f>
        <x:v>236200</x:v>
      </x:c>
      <x:c r="F41" s="66" t="n">
        <x:f>IF(E41=0,0,D41/E41*10000)</x:f>
        <x:v>0</x:v>
      </x:c>
      <x:c r="G41" s="67" t="n">
        <x:f>VLOOKUP(C41,'Governorate Master'!$A$2:$Q$13,7,FALSE)</x:f>
        <x:v>251.4</x:v>
      </x:c>
      <x:c r="H41" s="20" t="n">
        <x:f>VLOOKUP(C41,'Governorate Master'!$A$2:$Q$13,6,FALSE)</x:f>
        <x:v>0.7823878069432684</x:v>
      </x:c>
      <x:c r="I41" s="20" t="n">
        <x:f>VLOOKUP(C41,'Governorate Master'!$A$2:$Q$13,15,FALSE)</x:f>
        <x:v>-0.18823529411764706</x:v>
      </x:c>
      <x:c r="J41" s="12" t="str">
        <x:v>Location model input - competition/saturation context</x:v>
      </x:c>
      <x:c r="K41" s="12" t="str">
        <x:v>Business count is from 2018 while population/context indicators are newer; use as a historical proxy, not a current market count.</x:v>
      </x:c>
    </x:row>
    <x:row r="42">
      <x:c r="A42" s="12" t="str">
        <x:v>0893</x:v>
      </x:c>
      <x:c r="B42" s="12" t="str">
        <x:v>Extraction of salt</x:v>
      </x:c>
      <x:c r="C42" s="12" t="str">
        <x:v>إربد</x:v>
      </x:c>
      <x:c r="D42" s="14" t="n">
        <x:v>0</x:v>
      </x:c>
      <x:c r="E42" s="14" t="n">
        <x:f>VLOOKUP(C42,'Governorate Master'!$A$2:$Q$13,3,FALSE)</x:f>
        <x:v>2210500</x:v>
      </x:c>
      <x:c r="F42" s="66" t="n">
        <x:f>IF(E42=0,0,D42/E42*10000)</x:f>
        <x:v>0</x:v>
      </x:c>
      <x:c r="G42" s="67" t="n">
        <x:f>VLOOKUP(C42,'Governorate Master'!$A$2:$Q$13,7,FALSE)</x:f>
        <x:v>1406.4</x:v>
      </x:c>
      <x:c r="H42" s="20" t="n">
        <x:f>VLOOKUP(C42,'Governorate Master'!$A$2:$Q$13,6,FALSE)</x:f>
        <x:v>0.9235014702555983</x:v>
      </x:c>
      <x:c r="I42" s="20" t="n">
        <x:f>VLOOKUP(C42,'Governorate Master'!$A$2:$Q$13,15,FALSE)</x:f>
        <x:v>0.07086922474549726</x:v>
      </x:c>
      <x:c r="J42" s="12" t="str">
        <x:v>Location model input - competition/saturation context</x:v>
      </x:c>
      <x:c r="K42" s="12" t="str">
        <x:v>Business count is from 2018 while population/context indicators are newer; use as a historical proxy, not a current market count.</x:v>
      </x:c>
    </x:row>
    <x:row r="43">
      <x:c r="A43" s="12" t="str">
        <x:v>0893</x:v>
      </x:c>
      <x:c r="B43" s="12" t="str">
        <x:v>Extraction of salt</x:v>
      </x:c>
      <x:c r="C43" s="12" t="str">
        <x:v>المفرق</x:v>
      </x:c>
      <x:c r="D43" s="14" t="n">
        <x:v>0</x:v>
      </x:c>
      <x:c r="E43" s="14" t="n">
        <x:f>VLOOKUP(C43,'Governorate Master'!$A$2:$Q$13,3,FALSE)</x:f>
        <x:v>686800</x:v>
      </x:c>
      <x:c r="F43" s="66" t="n">
        <x:f>IF(E43=0,0,D43/E43*10000)</x:f>
        <x:v>0</x:v>
      </x:c>
      <x:c r="G43" s="67" t="n">
        <x:f>VLOOKUP(C43,'Governorate Master'!$A$2:$Q$13,7,FALSE)</x:f>
        <x:v>25.9</x:v>
      </x:c>
      <x:c r="H43" s="20" t="n">
        <x:f>VLOOKUP(C43,'Governorate Master'!$A$2:$Q$13,6,FALSE)</x:f>
        <x:v>0.6965637740244612</x:v>
      </x:c>
      <x:c r="I43" s="20" t="n">
        <x:f>VLOOKUP(C43,'Governorate Master'!$A$2:$Q$13,15,FALSE)</x:f>
        <x:v>-0.016638935108153077</x:v>
      </x:c>
      <x:c r="J43" s="12" t="str">
        <x:v>Location model input - competition/saturation context</x:v>
      </x:c>
      <x:c r="K43" s="12" t="str">
        <x:v>Business count is from 2018 while population/context indicators are newer; use as a historical proxy, not a current market count.</x:v>
      </x:c>
    </x:row>
    <x:row r="44">
      <x:c r="A44" s="12" t="str">
        <x:v>0893</x:v>
      </x:c>
      <x:c r="B44" s="12" t="str">
        <x:v>Extraction of salt</x:v>
      </x:c>
      <x:c r="C44" s="12" t="str">
        <x:v>جرش</x:v>
      </x:c>
      <x:c r="D44" s="14" t="n">
        <x:v>0</x:v>
      </x:c>
      <x:c r="E44" s="14" t="n">
        <x:f>VLOOKUP(C44,'Governorate Master'!$A$2:$Q$13,3,FALSE)</x:f>
        <x:v>296000</x:v>
      </x:c>
      <x:c r="F44" s="66" t="n">
        <x:f>IF(E44=0,0,D44/E44*10000)</x:f>
        <x:v>0</x:v>
      </x:c>
      <x:c r="G44" s="67" t="n">
        <x:f>VLOOKUP(C44,'Governorate Master'!$A$2:$Q$13,7,FALSE)</x:f>
        <x:v>722.3</x:v>
      </x:c>
      <x:c r="H44" s="20" t="n">
        <x:f>VLOOKUP(C44,'Governorate Master'!$A$2:$Q$13,6,FALSE)</x:f>
        <x:v>0.7695945945945946</x:v>
      </x:c>
      <x:c r="I44" s="20" t="n">
        <x:f>VLOOKUP(C44,'Governorate Master'!$A$2:$Q$13,15,FALSE)</x:f>
        <x:v>-0.06527415143603134</x:v>
      </x:c>
      <x:c r="J44" s="12" t="str">
        <x:v>Location model input - competition/saturation context</x:v>
      </x:c>
      <x:c r="K44" s="12" t="str">
        <x:v>Business count is from 2018 while population/context indicators are newer; use as a historical proxy, not a current market count.</x:v>
      </x:c>
    </x:row>
    <x:row r="45">
      <x:c r="A45" s="12" t="str">
        <x:v>0893</x:v>
      </x:c>
      <x:c r="B45" s="12" t="str">
        <x:v>Extraction of salt</x:v>
      </x:c>
      <x:c r="C45" s="12" t="str">
        <x:v>عجلون</x:v>
      </x:c>
      <x:c r="D45" s="14" t="n">
        <x:v>0</x:v>
      </x:c>
      <x:c r="E45" s="14" t="n">
        <x:f>VLOOKUP(C45,'Governorate Master'!$A$2:$Q$13,3,FALSE)</x:f>
        <x:v>219900</x:v>
      </x:c>
      <x:c r="F45" s="66" t="n">
        <x:f>IF(E45=0,0,D45/E45*10000)</x:f>
        <x:v>0</x:v>
      </x:c>
      <x:c r="G45" s="67" t="n">
        <x:f>VLOOKUP(C45,'Governorate Master'!$A$2:$Q$13,7,FALSE)</x:f>
        <x:v>524</x:v>
      </x:c>
      <x:c r="H45" s="20" t="n">
        <x:f>VLOOKUP(C45,'Governorate Master'!$A$2:$Q$13,6,FALSE)</x:f>
        <x:v>0.8390177353342428</x:v>
      </x:c>
      <x:c r="I45" s="20" t="n">
        <x:f>VLOOKUP(C45,'Governorate Master'!$A$2:$Q$13,15,FALSE)</x:f>
        <x:v>0.03614457831325301</x:v>
      </x:c>
      <x:c r="J45" s="12" t="str">
        <x:v>Location model input - competition/saturation context</x:v>
      </x:c>
      <x:c r="K45" s="12" t="str">
        <x:v>Business count is from 2018 while population/context indicators are newer; use as a historical proxy, not a current market count.</x:v>
      </x:c>
    </x:row>
    <x:row r="46">
      <x:c r="A46" s="12" t="str">
        <x:v>0893</x:v>
      </x:c>
      <x:c r="B46" s="12" t="str">
        <x:v>Extraction of salt</x:v>
      </x:c>
      <x:c r="C46" s="12" t="str">
        <x:v>الكرك</x:v>
      </x:c>
      <x:c r="D46" s="14" t="n">
        <x:v>0</x:v>
      </x:c>
      <x:c r="E46" s="14" t="n">
        <x:f>VLOOKUP(C46,'Governorate Master'!$A$2:$Q$13,3,FALSE)</x:f>
        <x:v>395400</x:v>
      </x:c>
      <x:c r="F46" s="66" t="n">
        <x:f>IF(E46=0,0,D46/E46*10000)</x:f>
        <x:v>0</x:v>
      </x:c>
      <x:c r="G46" s="67" t="n">
        <x:f>VLOOKUP(C46,'Governorate Master'!$A$2:$Q$13,7,FALSE)</x:f>
        <x:v>113.1</x:v>
      </x:c>
      <x:c r="H46" s="20" t="n">
        <x:f>VLOOKUP(C46,'Governorate Master'!$A$2:$Q$13,6,FALSE)</x:f>
        <x:v>0.5912999494183105</x:v>
      </x:c>
      <x:c r="I46" s="20" t="n">
        <x:f>VLOOKUP(C46,'Governorate Master'!$A$2:$Q$13,15,FALSE)</x:f>
        <x:v>0.08710801393728224</x:v>
      </x:c>
      <x:c r="J46" s="12" t="str">
        <x:v>Location model input - competition/saturation context</x:v>
      </x:c>
      <x:c r="K46" s="12" t="str">
        <x:v>Business count is from 2018 while population/context indicators are newer; use as a historical proxy, not a current market count.</x:v>
      </x:c>
    </x:row>
    <x:row r="47">
      <x:c r="A47" s="12" t="str">
        <x:v>0893</x:v>
      </x:c>
      <x:c r="B47" s="12" t="str">
        <x:v>Extraction of salt</x:v>
      </x:c>
      <x:c r="C47" s="12" t="str">
        <x:v>الطفيلة</x:v>
      </x:c>
      <x:c r="D47" s="14" t="n">
        <x:v>0</x:v>
      </x:c>
      <x:c r="E47" s="14" t="n">
        <x:f>VLOOKUP(C47,'Governorate Master'!$A$2:$Q$13,3,FALSE)</x:f>
        <x:v>120300</x:v>
      </x:c>
      <x:c r="F47" s="66" t="n">
        <x:f>IF(E47=0,0,D47/E47*10000)</x:f>
        <x:v>0</x:v>
      </x:c>
      <x:c r="G47" s="67" t="n">
        <x:f>VLOOKUP(C47,'Governorate Master'!$A$2:$Q$13,7,FALSE)</x:f>
        <x:v>54.4</x:v>
      </x:c>
      <x:c r="H47" s="20" t="n">
        <x:f>VLOOKUP(C47,'Governorate Master'!$A$2:$Q$13,6,FALSE)</x:f>
        <x:v>0.7797173732335827</x:v>
      </x:c>
      <x:c r="I47" s="20" t="n">
        <x:f>VLOOKUP(C47,'Governorate Master'!$A$2:$Q$13,15,FALSE)</x:f>
        <x:v>0.18452380952380953</x:v>
      </x:c>
      <x:c r="J47" s="12" t="str">
        <x:v>Location model input - competition/saturation context</x:v>
      </x:c>
      <x:c r="K47" s="12" t="str">
        <x:v>Business count is from 2018 while population/context indicators are newer; use as a historical proxy, not a current market count.</x:v>
      </x:c>
    </x:row>
    <x:row r="48">
      <x:c r="A48" s="12" t="str">
        <x:v>0893</x:v>
      </x:c>
      <x:c r="B48" s="12" t="str">
        <x:v>Extraction of salt</x:v>
      </x:c>
      <x:c r="C48" s="12" t="str">
        <x:v>معان</x:v>
      </x:c>
      <x:c r="D48" s="14" t="n">
        <x:v>0</x:v>
      </x:c>
      <x:c r="E48" s="14" t="n">
        <x:f>VLOOKUP(C48,'Governorate Master'!$A$2:$Q$13,3,FALSE)</x:f>
        <x:v>197900</x:v>
      </x:c>
      <x:c r="F48" s="66" t="n">
        <x:f>IF(E48=0,0,D48/E48*10000)</x:f>
        <x:v>0</x:v>
      </x:c>
      <x:c r="G48" s="67" t="n">
        <x:f>VLOOKUP(C48,'Governorate Master'!$A$2:$Q$13,7,FALSE)</x:f>
        <x:v>6</x:v>
      </x:c>
      <x:c r="H48" s="20" t="n">
        <x:f>VLOOKUP(C48,'Governorate Master'!$A$2:$Q$13,6,FALSE)</x:f>
        <x:v>0.5406771096513391</x:v>
      </x:c>
      <x:c r="I48" s="20" t="n">
        <x:f>VLOOKUP(C48,'Governorate Master'!$A$2:$Q$13,15,FALSE)</x:f>
        <x:v>0.026845637583892617</x:v>
      </x:c>
      <x:c r="J48" s="12" t="str">
        <x:v>Location model input - competition/saturation context</x:v>
      </x:c>
      <x:c r="K48" s="12" t="str">
        <x:v>Business count is from 2018 while population/context indicators are newer; use as a historical proxy, not a current market count.</x:v>
      </x:c>
    </x:row>
    <x:row r="49">
      <x:c r="A49" s="12" t="str">
        <x:v>0893</x:v>
      </x:c>
      <x:c r="B49" s="12" t="str">
        <x:v>Extraction of salt</x:v>
      </x:c>
      <x:c r="C49" s="12" t="str">
        <x:v>العقبة</x:v>
      </x:c>
      <x:c r="D49" s="14" t="n">
        <x:v>0</x:v>
      </x:c>
      <x:c r="E49" s="14" t="n">
        <x:f>VLOOKUP(C49,'Governorate Master'!$A$2:$Q$13,3,FALSE)</x:f>
        <x:v>250900</x:v>
      </x:c>
      <x:c r="F49" s="66" t="n">
        <x:f>IF(E49=0,0,D49/E49*10000)</x:f>
        <x:v>0</x:v>
      </x:c>
      <x:c r="G49" s="67" t="n">
        <x:f>VLOOKUP(C49,'Governorate Master'!$A$2:$Q$13,7,FALSE)</x:f>
        <x:v>36.3</x:v>
      </x:c>
      <x:c r="H49" s="20" t="n">
        <x:f>VLOOKUP(C49,'Governorate Master'!$A$2:$Q$13,6,FALSE)</x:f>
        <x:v>0.882024711040255</x:v>
      </x:c>
      <x:c r="I49" s="20" t="n">
        <x:f>VLOOKUP(C49,'Governorate Master'!$A$2:$Q$13,15,FALSE)</x:f>
        <x:v>-0.09</x:v>
      </x:c>
      <x:c r="J49" s="12" t="str">
        <x:v>Location model input - competition/saturation context</x:v>
      </x:c>
      <x:c r="K49" s="12" t="str">
        <x:v>Business count is from 2018 while population/context indicators are newer; use as a historical proxy, not a current market count.</x:v>
      </x:c>
    </x:row>
    <x:row r="50">
      <x:c r="A50" s="12" t="str">
        <x:v>0899</x:v>
      </x:c>
      <x:c r="B50" s="12" t="str">
        <x:v>Other mining and quarrying n.e.c.</x:v>
      </x:c>
      <x:c r="C50" s="12" t="str">
        <x:v>عمان</x:v>
      </x:c>
      <x:c r="D50" s="14" t="n">
        <x:v>5</x:v>
      </x:c>
      <x:c r="E50" s="14" t="n">
        <x:f>VLOOKUP(C50,'Governorate Master'!$A$2:$Q$13,3,FALSE)</x:f>
        <x:v>5004600</x:v>
      </x:c>
      <x:c r="F50" s="66" t="n">
        <x:f>IF(E50=0,0,D50/E50*10000)</x:f>
        <x:v>0.009990808456220277</x:v>
      </x:c>
      <x:c r="G50" s="67" t="n">
        <x:f>VLOOKUP(C50,'Governorate Master'!$A$2:$Q$13,7,FALSE)</x:f>
        <x:v>660.3</x:v>
      </x:c>
      <x:c r="H50" s="20" t="n">
        <x:f>VLOOKUP(C50,'Governorate Master'!$A$2:$Q$13,6,FALSE)</x:f>
        <x:v>0.9721656076409703</x:v>
      </x:c>
      <x:c r="I50" s="20" t="n">
        <x:f>VLOOKUP(C50,'Governorate Master'!$A$2:$Q$13,15,FALSE)</x:f>
        <x:v>0.06367041198501873</x:v>
      </x:c>
      <x:c r="J50" s="12" t="str">
        <x:v>Location model input - competition/saturation context</x:v>
      </x:c>
      <x:c r="K50" s="12" t="str">
        <x:v>Business count is from 2018 while population/context indicators are newer; use as a historical proxy, not a current market count.</x:v>
      </x:c>
    </x:row>
    <x:row r="51">
      <x:c r="A51" s="12" t="str">
        <x:v>0899</x:v>
      </x:c>
      <x:c r="B51" s="12" t="str">
        <x:v>Other mining and quarrying n.e.c.</x:v>
      </x:c>
      <x:c r="C51" s="12" t="str">
        <x:v>البلقاء</x:v>
      </x:c>
      <x:c r="D51" s="14" t="n">
        <x:v>0</x:v>
      </x:c>
      <x:c r="E51" s="14" t="n">
        <x:f>VLOOKUP(C51,'Governorate Master'!$A$2:$Q$13,3,FALSE)</x:f>
        <x:v>614000</x:v>
      </x:c>
      <x:c r="F51" s="66" t="n">
        <x:f>IF(E51=0,0,D51/E51*10000)</x:f>
        <x:v>0</x:v>
      </x:c>
      <x:c r="G51" s="67" t="n">
        <x:f>VLOOKUP(C51,'Governorate Master'!$A$2:$Q$13,7,FALSE)</x:f>
        <x:v>548</x:v>
      </x:c>
      <x:c r="H51" s="20" t="n">
        <x:f>VLOOKUP(C51,'Governorate Master'!$A$2:$Q$13,6,FALSE)</x:f>
        <x:v>0.8210097719869707</x:v>
      </x:c>
      <x:c r="I51" s="20" t="n">
        <x:f>VLOOKUP(C51,'Governorate Master'!$A$2:$Q$13,15,FALSE)</x:f>
        <x:v>0.10794044665012408</x:v>
      </x:c>
      <x:c r="J51" s="12" t="str">
        <x:v>Location model input - competition/saturation context</x:v>
      </x:c>
      <x:c r="K51" s="12" t="str">
        <x:v>Business count is from 2018 while population/context indicators are newer; use as a historical proxy, not a current market count.</x:v>
      </x:c>
    </x:row>
    <x:row r="52">
      <x:c r="A52" s="12" t="str">
        <x:v>0899</x:v>
      </x:c>
      <x:c r="B52" s="12" t="str">
        <x:v>Other mining and quarrying n.e.c.</x:v>
      </x:c>
      <x:c r="C52" s="12" t="str">
        <x:v>الزرقاء</x:v>
      </x:c>
      <x:c r="D52" s="14" t="n">
        <x:v>0</x:v>
      </x:c>
      <x:c r="E52" s="14" t="n">
        <x:f>VLOOKUP(C52,'Governorate Master'!$A$2:$Q$13,3,FALSE)</x:f>
        <x:v>1704500</x:v>
      </x:c>
      <x:c r="F52" s="66" t="n">
        <x:f>IF(E52=0,0,D52/E52*10000)</x:f>
        <x:v>0</x:v>
      </x:c>
      <x:c r="G52" s="67" t="n">
        <x:f>VLOOKUP(C52,'Governorate Master'!$A$2:$Q$13,7,FALSE)</x:f>
        <x:v>358</x:v>
      </x:c>
      <x:c r="H52" s="20" t="n">
        <x:f>VLOOKUP(C52,'Governorate Master'!$A$2:$Q$13,6,FALSE)</x:f>
        <x:v>0.9636256966852449</x:v>
      </x:c>
      <x:c r="I52" s="20" t="n">
        <x:f>VLOOKUP(C52,'Governorate Master'!$A$2:$Q$13,15,FALSE)</x:f>
        <x:v>-0.06808762581409118</x:v>
      </x:c>
      <x:c r="J52" s="12" t="str">
        <x:v>Location model input - competition/saturation context</x:v>
      </x:c>
      <x:c r="K52" s="12" t="str">
        <x:v>Business count is from 2018 while population/context indicators are newer; use as a historical proxy, not a current market count.</x:v>
      </x:c>
    </x:row>
    <x:row r="53">
      <x:c r="A53" s="12" t="str">
        <x:v>0899</x:v>
      </x:c>
      <x:c r="B53" s="12" t="str">
        <x:v>Other mining and quarrying n.e.c.</x:v>
      </x:c>
      <x:c r="C53" s="12" t="str">
        <x:v>مادبا</x:v>
      </x:c>
      <x:c r="D53" s="14" t="n">
        <x:v>0</x:v>
      </x:c>
      <x:c r="E53" s="14" t="n">
        <x:f>VLOOKUP(C53,'Governorate Master'!$A$2:$Q$13,3,FALSE)</x:f>
        <x:v>236200</x:v>
      </x:c>
      <x:c r="F53" s="66" t="n">
        <x:f>IF(E53=0,0,D53/E53*10000)</x:f>
        <x:v>0</x:v>
      </x:c>
      <x:c r="G53" s="67" t="n">
        <x:f>VLOOKUP(C53,'Governorate Master'!$A$2:$Q$13,7,FALSE)</x:f>
        <x:v>251.4</x:v>
      </x:c>
      <x:c r="H53" s="20" t="n">
        <x:f>VLOOKUP(C53,'Governorate Master'!$A$2:$Q$13,6,FALSE)</x:f>
        <x:v>0.7823878069432684</x:v>
      </x:c>
      <x:c r="I53" s="20" t="n">
        <x:f>VLOOKUP(C53,'Governorate Master'!$A$2:$Q$13,15,FALSE)</x:f>
        <x:v>-0.18823529411764706</x:v>
      </x:c>
      <x:c r="J53" s="12" t="str">
        <x:v>Location model input - competition/saturation context</x:v>
      </x:c>
      <x:c r="K53" s="12" t="str">
        <x:v>Business count is from 2018 while population/context indicators are newer; use as a historical proxy, not a current market count.</x:v>
      </x:c>
    </x:row>
    <x:row r="54">
      <x:c r="A54" s="12" t="str">
        <x:v>0899</x:v>
      </x:c>
      <x:c r="B54" s="12" t="str">
        <x:v>Other mining and quarrying n.e.c.</x:v>
      </x:c>
      <x:c r="C54" s="12" t="str">
        <x:v>إربد</x:v>
      </x:c>
      <x:c r="D54" s="14" t="n">
        <x:v>0</x:v>
      </x:c>
      <x:c r="E54" s="14" t="n">
        <x:f>VLOOKUP(C54,'Governorate Master'!$A$2:$Q$13,3,FALSE)</x:f>
        <x:v>2210500</x:v>
      </x:c>
      <x:c r="F54" s="66" t="n">
        <x:f>IF(E54=0,0,D54/E54*10000)</x:f>
        <x:v>0</x:v>
      </x:c>
      <x:c r="G54" s="67" t="n">
        <x:f>VLOOKUP(C54,'Governorate Master'!$A$2:$Q$13,7,FALSE)</x:f>
        <x:v>1406.4</x:v>
      </x:c>
      <x:c r="H54" s="20" t="n">
        <x:f>VLOOKUP(C54,'Governorate Master'!$A$2:$Q$13,6,FALSE)</x:f>
        <x:v>0.9235014702555983</x:v>
      </x:c>
      <x:c r="I54" s="20" t="n">
        <x:f>VLOOKUP(C54,'Governorate Master'!$A$2:$Q$13,15,FALSE)</x:f>
        <x:v>0.07086922474549726</x:v>
      </x:c>
      <x:c r="J54" s="12" t="str">
        <x:v>Location model input - competition/saturation context</x:v>
      </x:c>
      <x:c r="K54" s="12" t="str">
        <x:v>Business count is from 2018 while population/context indicators are newer; use as a historical proxy, not a current market count.</x:v>
      </x:c>
    </x:row>
    <x:row r="55">
      <x:c r="A55" s="12" t="str">
        <x:v>0899</x:v>
      </x:c>
      <x:c r="B55" s="12" t="str">
        <x:v>Other mining and quarrying n.e.c.</x:v>
      </x:c>
      <x:c r="C55" s="12" t="str">
        <x:v>المفرق</x:v>
      </x:c>
      <x:c r="D55" s="14" t="n">
        <x:v>0</x:v>
      </x:c>
      <x:c r="E55" s="14" t="n">
        <x:f>VLOOKUP(C55,'Governorate Master'!$A$2:$Q$13,3,FALSE)</x:f>
        <x:v>686800</x:v>
      </x:c>
      <x:c r="F55" s="66" t="n">
        <x:f>IF(E55=0,0,D55/E55*10000)</x:f>
        <x:v>0</x:v>
      </x:c>
      <x:c r="G55" s="67" t="n">
        <x:f>VLOOKUP(C55,'Governorate Master'!$A$2:$Q$13,7,FALSE)</x:f>
        <x:v>25.9</x:v>
      </x:c>
      <x:c r="H55" s="20" t="n">
        <x:f>VLOOKUP(C55,'Governorate Master'!$A$2:$Q$13,6,FALSE)</x:f>
        <x:v>0.6965637740244612</x:v>
      </x:c>
      <x:c r="I55" s="20" t="n">
        <x:f>VLOOKUP(C55,'Governorate Master'!$A$2:$Q$13,15,FALSE)</x:f>
        <x:v>-0.016638935108153077</x:v>
      </x:c>
      <x:c r="J55" s="12" t="str">
        <x:v>Location model input - competition/saturation context</x:v>
      </x:c>
      <x:c r="K55" s="12" t="str">
        <x:v>Business count is from 2018 while population/context indicators are newer; use as a historical proxy, not a current market count.</x:v>
      </x:c>
    </x:row>
    <x:row r="56">
      <x:c r="A56" s="12" t="str">
        <x:v>0899</x:v>
      </x:c>
      <x:c r="B56" s="12" t="str">
        <x:v>Other mining and quarrying n.e.c.</x:v>
      </x:c>
      <x:c r="C56" s="12" t="str">
        <x:v>جرش</x:v>
      </x:c>
      <x:c r="D56" s="14" t="n">
        <x:v>0</x:v>
      </x:c>
      <x:c r="E56" s="14" t="n">
        <x:f>VLOOKUP(C56,'Governorate Master'!$A$2:$Q$13,3,FALSE)</x:f>
        <x:v>296000</x:v>
      </x:c>
      <x:c r="F56" s="66" t="n">
        <x:f>IF(E56=0,0,D56/E56*10000)</x:f>
        <x:v>0</x:v>
      </x:c>
      <x:c r="G56" s="67" t="n">
        <x:f>VLOOKUP(C56,'Governorate Master'!$A$2:$Q$13,7,FALSE)</x:f>
        <x:v>722.3</x:v>
      </x:c>
      <x:c r="H56" s="20" t="n">
        <x:f>VLOOKUP(C56,'Governorate Master'!$A$2:$Q$13,6,FALSE)</x:f>
        <x:v>0.7695945945945946</x:v>
      </x:c>
      <x:c r="I56" s="20" t="n">
        <x:f>VLOOKUP(C56,'Governorate Master'!$A$2:$Q$13,15,FALSE)</x:f>
        <x:v>-0.06527415143603134</x:v>
      </x:c>
      <x:c r="J56" s="12" t="str">
        <x:v>Location model input - competition/saturation context</x:v>
      </x:c>
      <x:c r="K56" s="12" t="str">
        <x:v>Business count is from 2018 while population/context indicators are newer; use as a historical proxy, not a current market count.</x:v>
      </x:c>
    </x:row>
    <x:row r="57">
      <x:c r="A57" s="12" t="str">
        <x:v>0899</x:v>
      </x:c>
      <x:c r="B57" s="12" t="str">
        <x:v>Other mining and quarrying n.e.c.</x:v>
      </x:c>
      <x:c r="C57" s="12" t="str">
        <x:v>عجلون</x:v>
      </x:c>
      <x:c r="D57" s="14" t="n">
        <x:v>0</x:v>
      </x:c>
      <x:c r="E57" s="14" t="n">
        <x:f>VLOOKUP(C57,'Governorate Master'!$A$2:$Q$13,3,FALSE)</x:f>
        <x:v>219900</x:v>
      </x:c>
      <x:c r="F57" s="66" t="n">
        <x:f>IF(E57=0,0,D57/E57*10000)</x:f>
        <x:v>0</x:v>
      </x:c>
      <x:c r="G57" s="67" t="n">
        <x:f>VLOOKUP(C57,'Governorate Master'!$A$2:$Q$13,7,FALSE)</x:f>
        <x:v>524</x:v>
      </x:c>
      <x:c r="H57" s="20" t="n">
        <x:f>VLOOKUP(C57,'Governorate Master'!$A$2:$Q$13,6,FALSE)</x:f>
        <x:v>0.8390177353342428</x:v>
      </x:c>
      <x:c r="I57" s="20" t="n">
        <x:f>VLOOKUP(C57,'Governorate Master'!$A$2:$Q$13,15,FALSE)</x:f>
        <x:v>0.03614457831325301</x:v>
      </x:c>
      <x:c r="J57" s="12" t="str">
        <x:v>Location model input - competition/saturation context</x:v>
      </x:c>
      <x:c r="K57" s="12" t="str">
        <x:v>Business count is from 2018 while population/context indicators are newer; use as a historical proxy, not a current market count.</x:v>
      </x:c>
    </x:row>
    <x:row r="58">
      <x:c r="A58" s="12" t="str">
        <x:v>0899</x:v>
      </x:c>
      <x:c r="B58" s="12" t="str">
        <x:v>Other mining and quarrying n.e.c.</x:v>
      </x:c>
      <x:c r="C58" s="12" t="str">
        <x:v>الكرك</x:v>
      </x:c>
      <x:c r="D58" s="14" t="n">
        <x:v>0</x:v>
      </x:c>
      <x:c r="E58" s="14" t="n">
        <x:f>VLOOKUP(C58,'Governorate Master'!$A$2:$Q$13,3,FALSE)</x:f>
        <x:v>395400</x:v>
      </x:c>
      <x:c r="F58" s="66" t="n">
        <x:f>IF(E58=0,0,D58/E58*10000)</x:f>
        <x:v>0</x:v>
      </x:c>
      <x:c r="G58" s="67" t="n">
        <x:f>VLOOKUP(C58,'Governorate Master'!$A$2:$Q$13,7,FALSE)</x:f>
        <x:v>113.1</x:v>
      </x:c>
      <x:c r="H58" s="20" t="n">
        <x:f>VLOOKUP(C58,'Governorate Master'!$A$2:$Q$13,6,FALSE)</x:f>
        <x:v>0.5912999494183105</x:v>
      </x:c>
      <x:c r="I58" s="20" t="n">
        <x:f>VLOOKUP(C58,'Governorate Master'!$A$2:$Q$13,15,FALSE)</x:f>
        <x:v>0.08710801393728224</x:v>
      </x:c>
      <x:c r="J58" s="12" t="str">
        <x:v>Location model input - competition/saturation context</x:v>
      </x:c>
      <x:c r="K58" s="12" t="str">
        <x:v>Business count is from 2018 while population/context indicators are newer; use as a historical proxy, not a current market count.</x:v>
      </x:c>
    </x:row>
    <x:row r="59">
      <x:c r="A59" s="12" t="str">
        <x:v>0899</x:v>
      </x:c>
      <x:c r="B59" s="12" t="str">
        <x:v>Other mining and quarrying n.e.c.</x:v>
      </x:c>
      <x:c r="C59" s="12" t="str">
        <x:v>الطفيلة</x:v>
      </x:c>
      <x:c r="D59" s="14" t="n">
        <x:v>0</x:v>
      </x:c>
      <x:c r="E59" s="14" t="n">
        <x:f>VLOOKUP(C59,'Governorate Master'!$A$2:$Q$13,3,FALSE)</x:f>
        <x:v>120300</x:v>
      </x:c>
      <x:c r="F59" s="66" t="n">
        <x:f>IF(E59=0,0,D59/E59*10000)</x:f>
        <x:v>0</x:v>
      </x:c>
      <x:c r="G59" s="67" t="n">
        <x:f>VLOOKUP(C59,'Governorate Master'!$A$2:$Q$13,7,FALSE)</x:f>
        <x:v>54.4</x:v>
      </x:c>
      <x:c r="H59" s="20" t="n">
        <x:f>VLOOKUP(C59,'Governorate Master'!$A$2:$Q$13,6,FALSE)</x:f>
        <x:v>0.7797173732335827</x:v>
      </x:c>
      <x:c r="I59" s="20" t="n">
        <x:f>VLOOKUP(C59,'Governorate Master'!$A$2:$Q$13,15,FALSE)</x:f>
        <x:v>0.18452380952380953</x:v>
      </x:c>
      <x:c r="J59" s="12" t="str">
        <x:v>Location model input - competition/saturation context</x:v>
      </x:c>
      <x:c r="K59" s="12" t="str">
        <x:v>Business count is from 2018 while population/context indicators are newer; use as a historical proxy, not a current market count.</x:v>
      </x:c>
    </x:row>
    <x:row r="60">
      <x:c r="A60" s="12" t="str">
        <x:v>0899</x:v>
      </x:c>
      <x:c r="B60" s="12" t="str">
        <x:v>Other mining and quarrying n.e.c.</x:v>
      </x:c>
      <x:c r="C60" s="12" t="str">
        <x:v>معان</x:v>
      </x:c>
      <x:c r="D60" s="14" t="n">
        <x:v>0</x:v>
      </x:c>
      <x:c r="E60" s="14" t="n">
        <x:f>VLOOKUP(C60,'Governorate Master'!$A$2:$Q$13,3,FALSE)</x:f>
        <x:v>197900</x:v>
      </x:c>
      <x:c r="F60" s="66" t="n">
        <x:f>IF(E60=0,0,D60/E60*10000)</x:f>
        <x:v>0</x:v>
      </x:c>
      <x:c r="G60" s="67" t="n">
        <x:f>VLOOKUP(C60,'Governorate Master'!$A$2:$Q$13,7,FALSE)</x:f>
        <x:v>6</x:v>
      </x:c>
      <x:c r="H60" s="20" t="n">
        <x:f>VLOOKUP(C60,'Governorate Master'!$A$2:$Q$13,6,FALSE)</x:f>
        <x:v>0.5406771096513391</x:v>
      </x:c>
      <x:c r="I60" s="20" t="n">
        <x:f>VLOOKUP(C60,'Governorate Master'!$A$2:$Q$13,15,FALSE)</x:f>
        <x:v>0.026845637583892617</x:v>
      </x:c>
      <x:c r="J60" s="12" t="str">
        <x:v>Location model input - competition/saturation context</x:v>
      </x:c>
      <x:c r="K60" s="12" t="str">
        <x:v>Business count is from 2018 while population/context indicators are newer; use as a historical proxy, not a current market count.</x:v>
      </x:c>
    </x:row>
    <x:row r="61">
      <x:c r="A61" s="12" t="str">
        <x:v>0899</x:v>
      </x:c>
      <x:c r="B61" s="12" t="str">
        <x:v>Other mining and quarrying n.e.c.</x:v>
      </x:c>
      <x:c r="C61" s="12" t="str">
        <x:v>العقبة</x:v>
      </x:c>
      <x:c r="D61" s="14" t="n">
        <x:v>0</x:v>
      </x:c>
      <x:c r="E61" s="14" t="n">
        <x:f>VLOOKUP(C61,'Governorate Master'!$A$2:$Q$13,3,FALSE)</x:f>
        <x:v>250900</x:v>
      </x:c>
      <x:c r="F61" s="66" t="n">
        <x:f>IF(E61=0,0,D61/E61*10000)</x:f>
        <x:v>0</x:v>
      </x:c>
      <x:c r="G61" s="67" t="n">
        <x:f>VLOOKUP(C61,'Governorate Master'!$A$2:$Q$13,7,FALSE)</x:f>
        <x:v>36.3</x:v>
      </x:c>
      <x:c r="H61" s="20" t="n">
        <x:f>VLOOKUP(C61,'Governorate Master'!$A$2:$Q$13,6,FALSE)</x:f>
        <x:v>0.882024711040255</x:v>
      </x:c>
      <x:c r="I61" s="20" t="n">
        <x:f>VLOOKUP(C61,'Governorate Master'!$A$2:$Q$13,15,FALSE)</x:f>
        <x:v>-0.09</x:v>
      </x:c>
      <x:c r="J61" s="12" t="str">
        <x:v>Location model input - competition/saturation context</x:v>
      </x:c>
      <x:c r="K61" s="12" t="str">
        <x:v>Business count is from 2018 while population/context indicators are newer; use as a historical proxy, not a current market count.</x:v>
      </x:c>
    </x:row>
    <x:row r="62">
      <x:c r="A62" s="12" t="str">
        <x:v>0910</x:v>
      </x:c>
      <x:c r="B62" s="12" t="str">
        <x:v>Support activities for petroleum and natural gas extraction</x:v>
      </x:c>
      <x:c r="C62" s="12" t="str">
        <x:v>عمان</x:v>
      </x:c>
      <x:c r="D62" s="14" t="n">
        <x:v>1</x:v>
      </x:c>
      <x:c r="E62" s="14" t="n">
        <x:f>VLOOKUP(C62,'Governorate Master'!$A$2:$Q$13,3,FALSE)</x:f>
        <x:v>5004600</x:v>
      </x:c>
      <x:c r="F62" s="66" t="n">
        <x:f>IF(E62=0,0,D62/E62*10000)</x:f>
        <x:v>0.0019981616912440555</x:v>
      </x:c>
      <x:c r="G62" s="67" t="n">
        <x:f>VLOOKUP(C62,'Governorate Master'!$A$2:$Q$13,7,FALSE)</x:f>
        <x:v>660.3</x:v>
      </x:c>
      <x:c r="H62" s="20" t="n">
        <x:f>VLOOKUP(C62,'Governorate Master'!$A$2:$Q$13,6,FALSE)</x:f>
        <x:v>0.9721656076409703</x:v>
      </x:c>
      <x:c r="I62" s="20" t="n">
        <x:f>VLOOKUP(C62,'Governorate Master'!$A$2:$Q$13,15,FALSE)</x:f>
        <x:v>0.06367041198501873</x:v>
      </x:c>
      <x:c r="J62" s="12" t="str">
        <x:v>Location model input - competition/saturation context</x:v>
      </x:c>
      <x:c r="K62" s="12" t="str">
        <x:v>Business count is from 2018 while population/context indicators are newer; use as a historical proxy, not a current market count.</x:v>
      </x:c>
    </x:row>
    <x:row r="63">
      <x:c r="A63" s="12" t="str">
        <x:v>0910</x:v>
      </x:c>
      <x:c r="B63" s="12" t="str">
        <x:v>Support activities for petroleum and natural gas extraction</x:v>
      </x:c>
      <x:c r="C63" s="12" t="str">
        <x:v>البلقاء</x:v>
      </x:c>
      <x:c r="D63" s="14" t="n">
        <x:v>0</x:v>
      </x:c>
      <x:c r="E63" s="14" t="n">
        <x:f>VLOOKUP(C63,'Governorate Master'!$A$2:$Q$13,3,FALSE)</x:f>
        <x:v>614000</x:v>
      </x:c>
      <x:c r="F63" s="66" t="n">
        <x:f>IF(E63=0,0,D63/E63*10000)</x:f>
        <x:v>0</x:v>
      </x:c>
      <x:c r="G63" s="67" t="n">
        <x:f>VLOOKUP(C63,'Governorate Master'!$A$2:$Q$13,7,FALSE)</x:f>
        <x:v>548</x:v>
      </x:c>
      <x:c r="H63" s="20" t="n">
        <x:f>VLOOKUP(C63,'Governorate Master'!$A$2:$Q$13,6,FALSE)</x:f>
        <x:v>0.8210097719869707</x:v>
      </x:c>
      <x:c r="I63" s="20" t="n">
        <x:f>VLOOKUP(C63,'Governorate Master'!$A$2:$Q$13,15,FALSE)</x:f>
        <x:v>0.10794044665012408</x:v>
      </x:c>
      <x:c r="J63" s="12" t="str">
        <x:v>Location model input - competition/saturation context</x:v>
      </x:c>
      <x:c r="K63" s="12" t="str">
        <x:v>Business count is from 2018 while population/context indicators are newer; use as a historical proxy, not a current market count.</x:v>
      </x:c>
    </x:row>
    <x:row r="64">
      <x:c r="A64" s="12" t="str">
        <x:v>0910</x:v>
      </x:c>
      <x:c r="B64" s="12" t="str">
        <x:v>Support activities for petroleum and natural gas extraction</x:v>
      </x:c>
      <x:c r="C64" s="12" t="str">
        <x:v>الزرقاء</x:v>
      </x:c>
      <x:c r="D64" s="14" t="n">
        <x:v>0</x:v>
      </x:c>
      <x:c r="E64" s="14" t="n">
        <x:f>VLOOKUP(C64,'Governorate Master'!$A$2:$Q$13,3,FALSE)</x:f>
        <x:v>1704500</x:v>
      </x:c>
      <x:c r="F64" s="66" t="n">
        <x:f>IF(E64=0,0,D64/E64*10000)</x:f>
        <x:v>0</x:v>
      </x:c>
      <x:c r="G64" s="67" t="n">
        <x:f>VLOOKUP(C64,'Governorate Master'!$A$2:$Q$13,7,FALSE)</x:f>
        <x:v>358</x:v>
      </x:c>
      <x:c r="H64" s="20" t="n">
        <x:f>VLOOKUP(C64,'Governorate Master'!$A$2:$Q$13,6,FALSE)</x:f>
        <x:v>0.9636256966852449</x:v>
      </x:c>
      <x:c r="I64" s="20" t="n">
        <x:f>VLOOKUP(C64,'Governorate Master'!$A$2:$Q$13,15,FALSE)</x:f>
        <x:v>-0.06808762581409118</x:v>
      </x:c>
      <x:c r="J64" s="12" t="str">
        <x:v>Location model input - competition/saturation context</x:v>
      </x:c>
      <x:c r="K64" s="12" t="str">
        <x:v>Business count is from 2018 while population/context indicators are newer; use as a historical proxy, not a current market count.</x:v>
      </x:c>
    </x:row>
    <x:row r="65">
      <x:c r="A65" s="12" t="str">
        <x:v>0910</x:v>
      </x:c>
      <x:c r="B65" s="12" t="str">
        <x:v>Support activities for petroleum and natural gas extraction</x:v>
      </x:c>
      <x:c r="C65" s="12" t="str">
        <x:v>مادبا</x:v>
      </x:c>
      <x:c r="D65" s="14" t="n">
        <x:v>0</x:v>
      </x:c>
      <x:c r="E65" s="14" t="n">
        <x:f>VLOOKUP(C65,'Governorate Master'!$A$2:$Q$13,3,FALSE)</x:f>
        <x:v>236200</x:v>
      </x:c>
      <x:c r="F65" s="66" t="n">
        <x:f>IF(E65=0,0,D65/E65*10000)</x:f>
        <x:v>0</x:v>
      </x:c>
      <x:c r="G65" s="67" t="n">
        <x:f>VLOOKUP(C65,'Governorate Master'!$A$2:$Q$13,7,FALSE)</x:f>
        <x:v>251.4</x:v>
      </x:c>
      <x:c r="H65" s="20" t="n">
        <x:f>VLOOKUP(C65,'Governorate Master'!$A$2:$Q$13,6,FALSE)</x:f>
        <x:v>0.7823878069432684</x:v>
      </x:c>
      <x:c r="I65" s="20" t="n">
        <x:f>VLOOKUP(C65,'Governorate Master'!$A$2:$Q$13,15,FALSE)</x:f>
        <x:v>-0.18823529411764706</x:v>
      </x:c>
      <x:c r="J65" s="12" t="str">
        <x:v>Location model input - competition/saturation context</x:v>
      </x:c>
      <x:c r="K65" s="12" t="str">
        <x:v>Business count is from 2018 while population/context indicators are newer; use as a historical proxy, not a current market count.</x:v>
      </x:c>
    </x:row>
    <x:row r="66">
      <x:c r="A66" s="12" t="str">
        <x:v>0910</x:v>
      </x:c>
      <x:c r="B66" s="12" t="str">
        <x:v>Support activities for petroleum and natural gas extraction</x:v>
      </x:c>
      <x:c r="C66" s="12" t="str">
        <x:v>إربد</x:v>
      </x:c>
      <x:c r="D66" s="14" t="n">
        <x:v>0</x:v>
      </x:c>
      <x:c r="E66" s="14" t="n">
        <x:f>VLOOKUP(C66,'Governorate Master'!$A$2:$Q$13,3,FALSE)</x:f>
        <x:v>2210500</x:v>
      </x:c>
      <x:c r="F66" s="66" t="n">
        <x:f>IF(E66=0,0,D66/E66*10000)</x:f>
        <x:v>0</x:v>
      </x:c>
      <x:c r="G66" s="67" t="n">
        <x:f>VLOOKUP(C66,'Governorate Master'!$A$2:$Q$13,7,FALSE)</x:f>
        <x:v>1406.4</x:v>
      </x:c>
      <x:c r="H66" s="20" t="n">
        <x:f>VLOOKUP(C66,'Governorate Master'!$A$2:$Q$13,6,FALSE)</x:f>
        <x:v>0.9235014702555983</x:v>
      </x:c>
      <x:c r="I66" s="20" t="n">
        <x:f>VLOOKUP(C66,'Governorate Master'!$A$2:$Q$13,15,FALSE)</x:f>
        <x:v>0.07086922474549726</x:v>
      </x:c>
      <x:c r="J66" s="12" t="str">
        <x:v>Location model input - competition/saturation context</x:v>
      </x:c>
      <x:c r="K66" s="12" t="str">
        <x:v>Business count is from 2018 while population/context indicators are newer; use as a historical proxy, not a current market count.</x:v>
      </x:c>
    </x:row>
    <x:row r="67">
      <x:c r="A67" s="12" t="str">
        <x:v>0910</x:v>
      </x:c>
      <x:c r="B67" s="12" t="str">
        <x:v>Support activities for petroleum and natural gas extraction</x:v>
      </x:c>
      <x:c r="C67" s="12" t="str">
        <x:v>المفرق</x:v>
      </x:c>
      <x:c r="D67" s="14" t="n">
        <x:v>0</x:v>
      </x:c>
      <x:c r="E67" s="14" t="n">
        <x:f>VLOOKUP(C67,'Governorate Master'!$A$2:$Q$13,3,FALSE)</x:f>
        <x:v>686800</x:v>
      </x:c>
      <x:c r="F67" s="66" t="n">
        <x:f>IF(E67=0,0,D67/E67*10000)</x:f>
        <x:v>0</x:v>
      </x:c>
      <x:c r="G67" s="67" t="n">
        <x:f>VLOOKUP(C67,'Governorate Master'!$A$2:$Q$13,7,FALSE)</x:f>
        <x:v>25.9</x:v>
      </x:c>
      <x:c r="H67" s="20" t="n">
        <x:f>VLOOKUP(C67,'Governorate Master'!$A$2:$Q$13,6,FALSE)</x:f>
        <x:v>0.6965637740244612</x:v>
      </x:c>
      <x:c r="I67" s="20" t="n">
        <x:f>VLOOKUP(C67,'Governorate Master'!$A$2:$Q$13,15,FALSE)</x:f>
        <x:v>-0.016638935108153077</x:v>
      </x:c>
      <x:c r="J67" s="12" t="str">
        <x:v>Location model input - competition/saturation context</x:v>
      </x:c>
      <x:c r="K67" s="12" t="str">
        <x:v>Business count is from 2018 while population/context indicators are newer; use as a historical proxy, not a current market count.</x:v>
      </x:c>
    </x:row>
    <x:row r="68">
      <x:c r="A68" s="12" t="str">
        <x:v>0910</x:v>
      </x:c>
      <x:c r="B68" s="12" t="str">
        <x:v>Support activities for petroleum and natural gas extraction</x:v>
      </x:c>
      <x:c r="C68" s="12" t="str">
        <x:v>جرش</x:v>
      </x:c>
      <x:c r="D68" s="14" t="n">
        <x:v>0</x:v>
      </x:c>
      <x:c r="E68" s="14" t="n">
        <x:f>VLOOKUP(C68,'Governorate Master'!$A$2:$Q$13,3,FALSE)</x:f>
        <x:v>296000</x:v>
      </x:c>
      <x:c r="F68" s="66" t="n">
        <x:f>IF(E68=0,0,D68/E68*10000)</x:f>
        <x:v>0</x:v>
      </x:c>
      <x:c r="G68" s="67" t="n">
        <x:f>VLOOKUP(C68,'Governorate Master'!$A$2:$Q$13,7,FALSE)</x:f>
        <x:v>722.3</x:v>
      </x:c>
      <x:c r="H68" s="20" t="n">
        <x:f>VLOOKUP(C68,'Governorate Master'!$A$2:$Q$13,6,FALSE)</x:f>
        <x:v>0.7695945945945946</x:v>
      </x:c>
      <x:c r="I68" s="20" t="n">
        <x:f>VLOOKUP(C68,'Governorate Master'!$A$2:$Q$13,15,FALSE)</x:f>
        <x:v>-0.06527415143603134</x:v>
      </x:c>
      <x:c r="J68" s="12" t="str">
        <x:v>Location model input - competition/saturation context</x:v>
      </x:c>
      <x:c r="K68" s="12" t="str">
        <x:v>Business count is from 2018 while population/context indicators are newer; use as a historical proxy, not a current market count.</x:v>
      </x:c>
    </x:row>
    <x:row r="69">
      <x:c r="A69" s="12" t="str">
        <x:v>0910</x:v>
      </x:c>
      <x:c r="B69" s="12" t="str">
        <x:v>Support activities for petroleum and natural gas extraction</x:v>
      </x:c>
      <x:c r="C69" s="12" t="str">
        <x:v>عجلون</x:v>
      </x:c>
      <x:c r="D69" s="14" t="n">
        <x:v>0</x:v>
      </x:c>
      <x:c r="E69" s="14" t="n">
        <x:f>VLOOKUP(C69,'Governorate Master'!$A$2:$Q$13,3,FALSE)</x:f>
        <x:v>219900</x:v>
      </x:c>
      <x:c r="F69" s="66" t="n">
        <x:f>IF(E69=0,0,D69/E69*10000)</x:f>
        <x:v>0</x:v>
      </x:c>
      <x:c r="G69" s="67" t="n">
        <x:f>VLOOKUP(C69,'Governorate Master'!$A$2:$Q$13,7,FALSE)</x:f>
        <x:v>524</x:v>
      </x:c>
      <x:c r="H69" s="20" t="n">
        <x:f>VLOOKUP(C69,'Governorate Master'!$A$2:$Q$13,6,FALSE)</x:f>
        <x:v>0.8390177353342428</x:v>
      </x:c>
      <x:c r="I69" s="20" t="n">
        <x:f>VLOOKUP(C69,'Governorate Master'!$A$2:$Q$13,15,FALSE)</x:f>
        <x:v>0.03614457831325301</x:v>
      </x:c>
      <x:c r="J69" s="12" t="str">
        <x:v>Location model input - competition/saturation context</x:v>
      </x:c>
      <x:c r="K69" s="12" t="str">
        <x:v>Business count is from 2018 while population/context indicators are newer; use as a historical proxy, not a current market count.</x:v>
      </x:c>
    </x:row>
    <x:row r="70">
      <x:c r="A70" s="12" t="str">
        <x:v>0910</x:v>
      </x:c>
      <x:c r="B70" s="12" t="str">
        <x:v>Support activities for petroleum and natural gas extraction</x:v>
      </x:c>
      <x:c r="C70" s="12" t="str">
        <x:v>الكرك</x:v>
      </x:c>
      <x:c r="D70" s="14" t="n">
        <x:v>0</x:v>
      </x:c>
      <x:c r="E70" s="14" t="n">
        <x:f>VLOOKUP(C70,'Governorate Master'!$A$2:$Q$13,3,FALSE)</x:f>
        <x:v>395400</x:v>
      </x:c>
      <x:c r="F70" s="66" t="n">
        <x:f>IF(E70=0,0,D70/E70*10000)</x:f>
        <x:v>0</x:v>
      </x:c>
      <x:c r="G70" s="67" t="n">
        <x:f>VLOOKUP(C70,'Governorate Master'!$A$2:$Q$13,7,FALSE)</x:f>
        <x:v>113.1</x:v>
      </x:c>
      <x:c r="H70" s="20" t="n">
        <x:f>VLOOKUP(C70,'Governorate Master'!$A$2:$Q$13,6,FALSE)</x:f>
        <x:v>0.5912999494183105</x:v>
      </x:c>
      <x:c r="I70" s="20" t="n">
        <x:f>VLOOKUP(C70,'Governorate Master'!$A$2:$Q$13,15,FALSE)</x:f>
        <x:v>0.08710801393728224</x:v>
      </x:c>
      <x:c r="J70" s="12" t="str">
        <x:v>Location model input - competition/saturation context</x:v>
      </x:c>
      <x:c r="K70" s="12" t="str">
        <x:v>Business count is from 2018 while population/context indicators are newer; use as a historical proxy, not a current market count.</x:v>
      </x:c>
    </x:row>
    <x:row r="71">
      <x:c r="A71" s="12" t="str">
        <x:v>0910</x:v>
      </x:c>
      <x:c r="B71" s="12" t="str">
        <x:v>Support activities for petroleum and natural gas extraction</x:v>
      </x:c>
      <x:c r="C71" s="12" t="str">
        <x:v>الطفيلة</x:v>
      </x:c>
      <x:c r="D71" s="14" t="n">
        <x:v>0</x:v>
      </x:c>
      <x:c r="E71" s="14" t="n">
        <x:f>VLOOKUP(C71,'Governorate Master'!$A$2:$Q$13,3,FALSE)</x:f>
        <x:v>120300</x:v>
      </x:c>
      <x:c r="F71" s="66" t="n">
        <x:f>IF(E71=0,0,D71/E71*10000)</x:f>
        <x:v>0</x:v>
      </x:c>
      <x:c r="G71" s="67" t="n">
        <x:f>VLOOKUP(C71,'Governorate Master'!$A$2:$Q$13,7,FALSE)</x:f>
        <x:v>54.4</x:v>
      </x:c>
      <x:c r="H71" s="20" t="n">
        <x:f>VLOOKUP(C71,'Governorate Master'!$A$2:$Q$13,6,FALSE)</x:f>
        <x:v>0.7797173732335827</x:v>
      </x:c>
      <x:c r="I71" s="20" t="n">
        <x:f>VLOOKUP(C71,'Governorate Master'!$A$2:$Q$13,15,FALSE)</x:f>
        <x:v>0.18452380952380953</x:v>
      </x:c>
      <x:c r="J71" s="12" t="str">
        <x:v>Location model input - competition/saturation context</x:v>
      </x:c>
      <x:c r="K71" s="12" t="str">
        <x:v>Business count is from 2018 while population/context indicators are newer; use as a historical proxy, not a current market count.</x:v>
      </x:c>
    </x:row>
    <x:row r="72">
      <x:c r="A72" s="12" t="str">
        <x:v>0910</x:v>
      </x:c>
      <x:c r="B72" s="12" t="str">
        <x:v>Support activities for petroleum and natural gas extraction</x:v>
      </x:c>
      <x:c r="C72" s="12" t="str">
        <x:v>معان</x:v>
      </x:c>
      <x:c r="D72" s="14" t="n">
        <x:v>0</x:v>
      </x:c>
      <x:c r="E72" s="14" t="n">
        <x:f>VLOOKUP(C72,'Governorate Master'!$A$2:$Q$13,3,FALSE)</x:f>
        <x:v>197900</x:v>
      </x:c>
      <x:c r="F72" s="66" t="n">
        <x:f>IF(E72=0,0,D72/E72*10000)</x:f>
        <x:v>0</x:v>
      </x:c>
      <x:c r="G72" s="67" t="n">
        <x:f>VLOOKUP(C72,'Governorate Master'!$A$2:$Q$13,7,FALSE)</x:f>
        <x:v>6</x:v>
      </x:c>
      <x:c r="H72" s="20" t="n">
        <x:f>VLOOKUP(C72,'Governorate Master'!$A$2:$Q$13,6,FALSE)</x:f>
        <x:v>0.5406771096513391</x:v>
      </x:c>
      <x:c r="I72" s="20" t="n">
        <x:f>VLOOKUP(C72,'Governorate Master'!$A$2:$Q$13,15,FALSE)</x:f>
        <x:v>0.026845637583892617</x:v>
      </x:c>
      <x:c r="J72" s="12" t="str">
        <x:v>Location model input - competition/saturation context</x:v>
      </x:c>
      <x:c r="K72" s="12" t="str">
        <x:v>Business count is from 2018 while population/context indicators are newer; use as a historical proxy, not a current market count.</x:v>
      </x:c>
    </x:row>
    <x:row r="73">
      <x:c r="A73" s="12" t="str">
        <x:v>0910</x:v>
      </x:c>
      <x:c r="B73" s="12" t="str">
        <x:v>Support activities for petroleum and natural gas extraction</x:v>
      </x:c>
      <x:c r="C73" s="12" t="str">
        <x:v>العقبة</x:v>
      </x:c>
      <x:c r="D73" s="14" t="n">
        <x:v>0</x:v>
      </x:c>
      <x:c r="E73" s="14" t="n">
        <x:f>VLOOKUP(C73,'Governorate Master'!$A$2:$Q$13,3,FALSE)</x:f>
        <x:v>250900</x:v>
      </x:c>
      <x:c r="F73" s="66" t="n">
        <x:f>IF(E73=0,0,D73/E73*10000)</x:f>
        <x:v>0</x:v>
      </x:c>
      <x:c r="G73" s="67" t="n">
        <x:f>VLOOKUP(C73,'Governorate Master'!$A$2:$Q$13,7,FALSE)</x:f>
        <x:v>36.3</x:v>
      </x:c>
      <x:c r="H73" s="20" t="n">
        <x:f>VLOOKUP(C73,'Governorate Master'!$A$2:$Q$13,6,FALSE)</x:f>
        <x:v>0.882024711040255</x:v>
      </x:c>
      <x:c r="I73" s="20" t="n">
        <x:f>VLOOKUP(C73,'Governorate Master'!$A$2:$Q$13,15,FALSE)</x:f>
        <x:v>-0.09</x:v>
      </x:c>
      <x:c r="J73" s="12" t="str">
        <x:v>Location model input - competition/saturation context</x:v>
      </x:c>
      <x:c r="K73" s="12" t="str">
        <x:v>Business count is from 2018 while population/context indicators are newer; use as a historical proxy, not a current market count.</x:v>
      </x:c>
    </x:row>
    <x:row r="74">
      <x:c r="A74" s="12" t="str">
        <x:v>1010</x:v>
      </x:c>
      <x:c r="B74" s="12" t="str">
        <x:v>Processing and preserving of meat</x:v>
      </x:c>
      <x:c r="C74" s="12" t="str">
        <x:v>عمان</x:v>
      </x:c>
      <x:c r="D74" s="14" t="n">
        <x:v>12</x:v>
      </x:c>
      <x:c r="E74" s="14" t="n">
        <x:f>VLOOKUP(C74,'Governorate Master'!$A$2:$Q$13,3,FALSE)</x:f>
        <x:v>5004600</x:v>
      </x:c>
      <x:c r="F74" s="66" t="n">
        <x:f>IF(E74=0,0,D74/E74*10000)</x:f>
        <x:v>0.023977940294928664</x:v>
      </x:c>
      <x:c r="G74" s="67" t="n">
        <x:f>VLOOKUP(C74,'Governorate Master'!$A$2:$Q$13,7,FALSE)</x:f>
        <x:v>660.3</x:v>
      </x:c>
      <x:c r="H74" s="20" t="n">
        <x:f>VLOOKUP(C74,'Governorate Master'!$A$2:$Q$13,6,FALSE)</x:f>
        <x:v>0.9721656076409703</x:v>
      </x:c>
      <x:c r="I74" s="20" t="n">
        <x:f>VLOOKUP(C74,'Governorate Master'!$A$2:$Q$13,15,FALSE)</x:f>
        <x:v>0.06367041198501873</x:v>
      </x:c>
      <x:c r="J74" s="12" t="str">
        <x:v>Location model input - competition/saturation context</x:v>
      </x:c>
      <x:c r="K74" s="12" t="str">
        <x:v>Business count is from 2018 while population/context indicators are newer; use as a historical proxy, not a current market count.</x:v>
      </x:c>
    </x:row>
    <x:row r="75">
      <x:c r="A75" s="12" t="str">
        <x:v>1010</x:v>
      </x:c>
      <x:c r="B75" s="12" t="str">
        <x:v>Processing and preserving of meat</x:v>
      </x:c>
      <x:c r="C75" s="12" t="str">
        <x:v>البلقاء</x:v>
      </x:c>
      <x:c r="D75" s="14" t="n">
        <x:v>0</x:v>
      </x:c>
      <x:c r="E75" s="14" t="n">
        <x:f>VLOOKUP(C75,'Governorate Master'!$A$2:$Q$13,3,FALSE)</x:f>
        <x:v>614000</x:v>
      </x:c>
      <x:c r="F75" s="66" t="n">
        <x:f>IF(E75=0,0,D75/E75*10000)</x:f>
        <x:v>0</x:v>
      </x:c>
      <x:c r="G75" s="67" t="n">
        <x:f>VLOOKUP(C75,'Governorate Master'!$A$2:$Q$13,7,FALSE)</x:f>
        <x:v>548</x:v>
      </x:c>
      <x:c r="H75" s="20" t="n">
        <x:f>VLOOKUP(C75,'Governorate Master'!$A$2:$Q$13,6,FALSE)</x:f>
        <x:v>0.8210097719869707</x:v>
      </x:c>
      <x:c r="I75" s="20" t="n">
        <x:f>VLOOKUP(C75,'Governorate Master'!$A$2:$Q$13,15,FALSE)</x:f>
        <x:v>0.10794044665012408</x:v>
      </x:c>
      <x:c r="J75" s="12" t="str">
        <x:v>Location model input - competition/saturation context</x:v>
      </x:c>
      <x:c r="K75" s="12" t="str">
        <x:v>Business count is from 2018 while population/context indicators are newer; use as a historical proxy, not a current market count.</x:v>
      </x:c>
    </x:row>
    <x:row r="76">
      <x:c r="A76" s="12" t="str">
        <x:v>1010</x:v>
      </x:c>
      <x:c r="B76" s="12" t="str">
        <x:v>Processing and preserving of meat</x:v>
      </x:c>
      <x:c r="C76" s="12" t="str">
        <x:v>الزرقاء</x:v>
      </x:c>
      <x:c r="D76" s="14" t="n">
        <x:v>2</x:v>
      </x:c>
      <x:c r="E76" s="14" t="n">
        <x:f>VLOOKUP(C76,'Governorate Master'!$A$2:$Q$13,3,FALSE)</x:f>
        <x:v>1704500</x:v>
      </x:c>
      <x:c r="F76" s="66" t="n">
        <x:f>IF(E76=0,0,D76/E76*10000)</x:f>
        <x:v>0.011733646230566148</x:v>
      </x:c>
      <x:c r="G76" s="67" t="n">
        <x:f>VLOOKUP(C76,'Governorate Master'!$A$2:$Q$13,7,FALSE)</x:f>
        <x:v>358</x:v>
      </x:c>
      <x:c r="H76" s="20" t="n">
        <x:f>VLOOKUP(C76,'Governorate Master'!$A$2:$Q$13,6,FALSE)</x:f>
        <x:v>0.9636256966852449</x:v>
      </x:c>
      <x:c r="I76" s="20" t="n">
        <x:f>VLOOKUP(C76,'Governorate Master'!$A$2:$Q$13,15,FALSE)</x:f>
        <x:v>-0.06808762581409118</x:v>
      </x:c>
      <x:c r="J76" s="12" t="str">
        <x:v>Location model input - competition/saturation context</x:v>
      </x:c>
      <x:c r="K76" s="12" t="str">
        <x:v>Business count is from 2018 while population/context indicators are newer; use as a historical proxy, not a current market count.</x:v>
      </x:c>
    </x:row>
    <x:row r="77">
      <x:c r="A77" s="12" t="str">
        <x:v>1010</x:v>
      </x:c>
      <x:c r="B77" s="12" t="str">
        <x:v>Processing and preserving of meat</x:v>
      </x:c>
      <x:c r="C77" s="12" t="str">
        <x:v>مادبا</x:v>
      </x:c>
      <x:c r="D77" s="14" t="n">
        <x:v>0</x:v>
      </x:c>
      <x:c r="E77" s="14" t="n">
        <x:f>VLOOKUP(C77,'Governorate Master'!$A$2:$Q$13,3,FALSE)</x:f>
        <x:v>236200</x:v>
      </x:c>
      <x:c r="F77" s="66" t="n">
        <x:f>IF(E77=0,0,D77/E77*10000)</x:f>
        <x:v>0</x:v>
      </x:c>
      <x:c r="G77" s="67" t="n">
        <x:f>VLOOKUP(C77,'Governorate Master'!$A$2:$Q$13,7,FALSE)</x:f>
        <x:v>251.4</x:v>
      </x:c>
      <x:c r="H77" s="20" t="n">
        <x:f>VLOOKUP(C77,'Governorate Master'!$A$2:$Q$13,6,FALSE)</x:f>
        <x:v>0.7823878069432684</x:v>
      </x:c>
      <x:c r="I77" s="20" t="n">
        <x:f>VLOOKUP(C77,'Governorate Master'!$A$2:$Q$13,15,FALSE)</x:f>
        <x:v>-0.18823529411764706</x:v>
      </x:c>
      <x:c r="J77" s="12" t="str">
        <x:v>Location model input - competition/saturation context</x:v>
      </x:c>
      <x:c r="K77" s="12" t="str">
        <x:v>Business count is from 2018 while population/context indicators are newer; use as a historical proxy, not a current market count.</x:v>
      </x:c>
    </x:row>
    <x:row r="78">
      <x:c r="A78" s="12" t="str">
        <x:v>1010</x:v>
      </x:c>
      <x:c r="B78" s="12" t="str">
        <x:v>Processing and preserving of meat</x:v>
      </x:c>
      <x:c r="C78" s="12" t="str">
        <x:v>إربد</x:v>
      </x:c>
      <x:c r="D78" s="14" t="n">
        <x:v>0</x:v>
      </x:c>
      <x:c r="E78" s="14" t="n">
        <x:f>VLOOKUP(C78,'Governorate Master'!$A$2:$Q$13,3,FALSE)</x:f>
        <x:v>2210500</x:v>
      </x:c>
      <x:c r="F78" s="66" t="n">
        <x:f>IF(E78=0,0,D78/E78*10000)</x:f>
        <x:v>0</x:v>
      </x:c>
      <x:c r="G78" s="67" t="n">
        <x:f>VLOOKUP(C78,'Governorate Master'!$A$2:$Q$13,7,FALSE)</x:f>
        <x:v>1406.4</x:v>
      </x:c>
      <x:c r="H78" s="20" t="n">
        <x:f>VLOOKUP(C78,'Governorate Master'!$A$2:$Q$13,6,FALSE)</x:f>
        <x:v>0.9235014702555983</x:v>
      </x:c>
      <x:c r="I78" s="20" t="n">
        <x:f>VLOOKUP(C78,'Governorate Master'!$A$2:$Q$13,15,FALSE)</x:f>
        <x:v>0.07086922474549726</x:v>
      </x:c>
      <x:c r="J78" s="12" t="str">
        <x:v>Location model input - competition/saturation context</x:v>
      </x:c>
      <x:c r="K78" s="12" t="str">
        <x:v>Business count is from 2018 while population/context indicators are newer; use as a historical proxy, not a current market count.</x:v>
      </x:c>
    </x:row>
    <x:row r="79">
      <x:c r="A79" s="12" t="str">
        <x:v>1010</x:v>
      </x:c>
      <x:c r="B79" s="12" t="str">
        <x:v>Processing and preserving of meat</x:v>
      </x:c>
      <x:c r="C79" s="12" t="str">
        <x:v>المفرق</x:v>
      </x:c>
      <x:c r="D79" s="14" t="n">
        <x:v>0</x:v>
      </x:c>
      <x:c r="E79" s="14" t="n">
        <x:f>VLOOKUP(C79,'Governorate Master'!$A$2:$Q$13,3,FALSE)</x:f>
        <x:v>686800</x:v>
      </x:c>
      <x:c r="F79" s="66" t="n">
        <x:f>IF(E79=0,0,D79/E79*10000)</x:f>
        <x:v>0</x:v>
      </x:c>
      <x:c r="G79" s="67" t="n">
        <x:f>VLOOKUP(C79,'Governorate Master'!$A$2:$Q$13,7,FALSE)</x:f>
        <x:v>25.9</x:v>
      </x:c>
      <x:c r="H79" s="20" t="n">
        <x:f>VLOOKUP(C79,'Governorate Master'!$A$2:$Q$13,6,FALSE)</x:f>
        <x:v>0.6965637740244612</x:v>
      </x:c>
      <x:c r="I79" s="20" t="n">
        <x:f>VLOOKUP(C79,'Governorate Master'!$A$2:$Q$13,15,FALSE)</x:f>
        <x:v>-0.016638935108153077</x:v>
      </x:c>
      <x:c r="J79" s="12" t="str">
        <x:v>Location model input - competition/saturation context</x:v>
      </x:c>
      <x:c r="K79" s="12" t="str">
        <x:v>Business count is from 2018 while population/context indicators are newer; use as a historical proxy, not a current market count.</x:v>
      </x:c>
    </x:row>
    <x:row r="80">
      <x:c r="A80" s="12" t="str">
        <x:v>1010</x:v>
      </x:c>
      <x:c r="B80" s="12" t="str">
        <x:v>Processing and preserving of meat</x:v>
      </x:c>
      <x:c r="C80" s="12" t="str">
        <x:v>جرش</x:v>
      </x:c>
      <x:c r="D80" s="14" t="n">
        <x:v>0</x:v>
      </x:c>
      <x:c r="E80" s="14" t="n">
        <x:f>VLOOKUP(C80,'Governorate Master'!$A$2:$Q$13,3,FALSE)</x:f>
        <x:v>296000</x:v>
      </x:c>
      <x:c r="F80" s="66" t="n">
        <x:f>IF(E80=0,0,D80/E80*10000)</x:f>
        <x:v>0</x:v>
      </x:c>
      <x:c r="G80" s="67" t="n">
        <x:f>VLOOKUP(C80,'Governorate Master'!$A$2:$Q$13,7,FALSE)</x:f>
        <x:v>722.3</x:v>
      </x:c>
      <x:c r="H80" s="20" t="n">
        <x:f>VLOOKUP(C80,'Governorate Master'!$A$2:$Q$13,6,FALSE)</x:f>
        <x:v>0.7695945945945946</x:v>
      </x:c>
      <x:c r="I80" s="20" t="n">
        <x:f>VLOOKUP(C80,'Governorate Master'!$A$2:$Q$13,15,FALSE)</x:f>
        <x:v>-0.06527415143603134</x:v>
      </x:c>
      <x:c r="J80" s="12" t="str">
        <x:v>Location model input - competition/saturation context</x:v>
      </x:c>
      <x:c r="K80" s="12" t="str">
        <x:v>Business count is from 2018 while population/context indicators are newer; use as a historical proxy, not a current market count.</x:v>
      </x:c>
    </x:row>
    <x:row r="81">
      <x:c r="A81" s="12" t="str">
        <x:v>1010</x:v>
      </x:c>
      <x:c r="B81" s="12" t="str">
        <x:v>Processing and preserving of meat</x:v>
      </x:c>
      <x:c r="C81" s="12" t="str">
        <x:v>عجلون</x:v>
      </x:c>
      <x:c r="D81" s="14" t="n">
        <x:v>0</x:v>
      </x:c>
      <x:c r="E81" s="14" t="n">
        <x:f>VLOOKUP(C81,'Governorate Master'!$A$2:$Q$13,3,FALSE)</x:f>
        <x:v>219900</x:v>
      </x:c>
      <x:c r="F81" s="66" t="n">
        <x:f>IF(E81=0,0,D81/E81*10000)</x:f>
        <x:v>0</x:v>
      </x:c>
      <x:c r="G81" s="67" t="n">
        <x:f>VLOOKUP(C81,'Governorate Master'!$A$2:$Q$13,7,FALSE)</x:f>
        <x:v>524</x:v>
      </x:c>
      <x:c r="H81" s="20" t="n">
        <x:f>VLOOKUP(C81,'Governorate Master'!$A$2:$Q$13,6,FALSE)</x:f>
        <x:v>0.8390177353342428</x:v>
      </x:c>
      <x:c r="I81" s="20" t="n">
        <x:f>VLOOKUP(C81,'Governorate Master'!$A$2:$Q$13,15,FALSE)</x:f>
        <x:v>0.03614457831325301</x:v>
      </x:c>
      <x:c r="J81" s="12" t="str">
        <x:v>Location model input - competition/saturation context</x:v>
      </x:c>
      <x:c r="K81" s="12" t="str">
        <x:v>Business count is from 2018 while population/context indicators are newer; use as a historical proxy, not a current market count.</x:v>
      </x:c>
    </x:row>
    <x:row r="82">
      <x:c r="A82" s="12" t="str">
        <x:v>1010</x:v>
      </x:c>
      <x:c r="B82" s="12" t="str">
        <x:v>Processing and preserving of meat</x:v>
      </x:c>
      <x:c r="C82" s="12" t="str">
        <x:v>الكرك</x:v>
      </x:c>
      <x:c r="D82" s="14" t="n">
        <x:v>1</x:v>
      </x:c>
      <x:c r="E82" s="14" t="n">
        <x:f>VLOOKUP(C82,'Governorate Master'!$A$2:$Q$13,3,FALSE)</x:f>
        <x:v>395400</x:v>
      </x:c>
      <x:c r="F82" s="66" t="n">
        <x:f>IF(E82=0,0,D82/E82*10000)</x:f>
        <x:v>0.025290844714213452</x:v>
      </x:c>
      <x:c r="G82" s="67" t="n">
        <x:f>VLOOKUP(C82,'Governorate Master'!$A$2:$Q$13,7,FALSE)</x:f>
        <x:v>113.1</x:v>
      </x:c>
      <x:c r="H82" s="20" t="n">
        <x:f>VLOOKUP(C82,'Governorate Master'!$A$2:$Q$13,6,FALSE)</x:f>
        <x:v>0.5912999494183105</x:v>
      </x:c>
      <x:c r="I82" s="20" t="n">
        <x:f>VLOOKUP(C82,'Governorate Master'!$A$2:$Q$13,15,FALSE)</x:f>
        <x:v>0.08710801393728224</x:v>
      </x:c>
      <x:c r="J82" s="12" t="str">
        <x:v>Location model input - competition/saturation context</x:v>
      </x:c>
      <x:c r="K82" s="12" t="str">
        <x:v>Business count is from 2018 while population/context indicators are newer; use as a historical proxy, not a current market count.</x:v>
      </x:c>
    </x:row>
    <x:row r="83">
      <x:c r="A83" s="12" t="str">
        <x:v>1010</x:v>
      </x:c>
      <x:c r="B83" s="12" t="str">
        <x:v>Processing and preserving of meat</x:v>
      </x:c>
      <x:c r="C83" s="12" t="str">
        <x:v>الطفيلة</x:v>
      </x:c>
      <x:c r="D83" s="14" t="n">
        <x:v>0</x:v>
      </x:c>
      <x:c r="E83" s="14" t="n">
        <x:f>VLOOKUP(C83,'Governorate Master'!$A$2:$Q$13,3,FALSE)</x:f>
        <x:v>120300</x:v>
      </x:c>
      <x:c r="F83" s="66" t="n">
        <x:f>IF(E83=0,0,D83/E83*10000)</x:f>
        <x:v>0</x:v>
      </x:c>
      <x:c r="G83" s="67" t="n">
        <x:f>VLOOKUP(C83,'Governorate Master'!$A$2:$Q$13,7,FALSE)</x:f>
        <x:v>54.4</x:v>
      </x:c>
      <x:c r="H83" s="20" t="n">
        <x:f>VLOOKUP(C83,'Governorate Master'!$A$2:$Q$13,6,FALSE)</x:f>
        <x:v>0.7797173732335827</x:v>
      </x:c>
      <x:c r="I83" s="20" t="n">
        <x:f>VLOOKUP(C83,'Governorate Master'!$A$2:$Q$13,15,FALSE)</x:f>
        <x:v>0.18452380952380953</x:v>
      </x:c>
      <x:c r="J83" s="12" t="str">
        <x:v>Location model input - competition/saturation context</x:v>
      </x:c>
      <x:c r="K83" s="12" t="str">
        <x:v>Business count is from 2018 while population/context indicators are newer; use as a historical proxy, not a current market count.</x:v>
      </x:c>
    </x:row>
    <x:row r="84">
      <x:c r="A84" s="12" t="str">
        <x:v>1010</x:v>
      </x:c>
      <x:c r="B84" s="12" t="str">
        <x:v>Processing and preserving of meat</x:v>
      </x:c>
      <x:c r="C84" s="12" t="str">
        <x:v>معان</x:v>
      </x:c>
      <x:c r="D84" s="14" t="n">
        <x:v>0</x:v>
      </x:c>
      <x:c r="E84" s="14" t="n">
        <x:f>VLOOKUP(C84,'Governorate Master'!$A$2:$Q$13,3,FALSE)</x:f>
        <x:v>197900</x:v>
      </x:c>
      <x:c r="F84" s="66" t="n">
        <x:f>IF(E84=0,0,D84/E84*10000)</x:f>
        <x:v>0</x:v>
      </x:c>
      <x:c r="G84" s="67" t="n">
        <x:f>VLOOKUP(C84,'Governorate Master'!$A$2:$Q$13,7,FALSE)</x:f>
        <x:v>6</x:v>
      </x:c>
      <x:c r="H84" s="20" t="n">
        <x:f>VLOOKUP(C84,'Governorate Master'!$A$2:$Q$13,6,FALSE)</x:f>
        <x:v>0.5406771096513391</x:v>
      </x:c>
      <x:c r="I84" s="20" t="n">
        <x:f>VLOOKUP(C84,'Governorate Master'!$A$2:$Q$13,15,FALSE)</x:f>
        <x:v>0.026845637583892617</x:v>
      </x:c>
      <x:c r="J84" s="12" t="str">
        <x:v>Location model input - competition/saturation context</x:v>
      </x:c>
      <x:c r="K84" s="12" t="str">
        <x:v>Business count is from 2018 while population/context indicators are newer; use as a historical proxy, not a current market count.</x:v>
      </x:c>
    </x:row>
    <x:row r="85">
      <x:c r="A85" s="12" t="str">
        <x:v>1010</x:v>
      </x:c>
      <x:c r="B85" s="12" t="str">
        <x:v>Processing and preserving of meat</x:v>
      </x:c>
      <x:c r="C85" s="12" t="str">
        <x:v>العقبة</x:v>
      </x:c>
      <x:c r="D85" s="14" t="n">
        <x:v>0</x:v>
      </x:c>
      <x:c r="E85" s="14" t="n">
        <x:f>VLOOKUP(C85,'Governorate Master'!$A$2:$Q$13,3,FALSE)</x:f>
        <x:v>250900</x:v>
      </x:c>
      <x:c r="F85" s="66" t="n">
        <x:f>IF(E85=0,0,D85/E85*10000)</x:f>
        <x:v>0</x:v>
      </x:c>
      <x:c r="G85" s="67" t="n">
        <x:f>VLOOKUP(C85,'Governorate Master'!$A$2:$Q$13,7,FALSE)</x:f>
        <x:v>36.3</x:v>
      </x:c>
      <x:c r="H85" s="20" t="n">
        <x:f>VLOOKUP(C85,'Governorate Master'!$A$2:$Q$13,6,FALSE)</x:f>
        <x:v>0.882024711040255</x:v>
      </x:c>
      <x:c r="I85" s="20" t="n">
        <x:f>VLOOKUP(C85,'Governorate Master'!$A$2:$Q$13,15,FALSE)</x:f>
        <x:v>-0.09</x:v>
      </x:c>
      <x:c r="J85" s="12" t="str">
        <x:v>Location model input - competition/saturation context</x:v>
      </x:c>
      <x:c r="K85" s="12" t="str">
        <x:v>Business count is from 2018 while population/context indicators are newer; use as a historical proxy, not a current market count.</x:v>
      </x:c>
    </x:row>
    <x:row r="86">
      <x:c r="A86" s="12" t="str">
        <x:v>1020</x:v>
      </x:c>
      <x:c r="B86" s="12" t="str">
        <x:v>Processing and preserving of fish, crustaceans and molluscs</x:v>
      </x:c>
      <x:c r="C86" s="12" t="str">
        <x:v>عمان</x:v>
      </x:c>
      <x:c r="D86" s="14" t="n">
        <x:v>1</x:v>
      </x:c>
      <x:c r="E86" s="14" t="n">
        <x:f>VLOOKUP(C86,'Governorate Master'!$A$2:$Q$13,3,FALSE)</x:f>
        <x:v>5004600</x:v>
      </x:c>
      <x:c r="F86" s="66" t="n">
        <x:f>IF(E86=0,0,D86/E86*10000)</x:f>
        <x:v>0.0019981616912440555</x:v>
      </x:c>
      <x:c r="G86" s="67" t="n">
        <x:f>VLOOKUP(C86,'Governorate Master'!$A$2:$Q$13,7,FALSE)</x:f>
        <x:v>660.3</x:v>
      </x:c>
      <x:c r="H86" s="20" t="n">
        <x:f>VLOOKUP(C86,'Governorate Master'!$A$2:$Q$13,6,FALSE)</x:f>
        <x:v>0.9721656076409703</x:v>
      </x:c>
      <x:c r="I86" s="20" t="n">
        <x:f>VLOOKUP(C86,'Governorate Master'!$A$2:$Q$13,15,FALSE)</x:f>
        <x:v>0.06367041198501873</x:v>
      </x:c>
      <x:c r="J86" s="12" t="str">
        <x:v>Location model input - competition/saturation context</x:v>
      </x:c>
      <x:c r="K86" s="12" t="str">
        <x:v>Business count is from 2018 while population/context indicators are newer; use as a historical proxy, not a current market count.</x:v>
      </x:c>
    </x:row>
    <x:row r="87">
      <x:c r="A87" s="12" t="str">
        <x:v>1020</x:v>
      </x:c>
      <x:c r="B87" s="12" t="str">
        <x:v>Processing and preserving of fish, crustaceans and molluscs</x:v>
      </x:c>
      <x:c r="C87" s="12" t="str">
        <x:v>البلقاء</x:v>
      </x:c>
      <x:c r="D87" s="14" t="n">
        <x:v>0</x:v>
      </x:c>
      <x:c r="E87" s="14" t="n">
        <x:f>VLOOKUP(C87,'Governorate Master'!$A$2:$Q$13,3,FALSE)</x:f>
        <x:v>614000</x:v>
      </x:c>
      <x:c r="F87" s="66" t="n">
        <x:f>IF(E87=0,0,D87/E87*10000)</x:f>
        <x:v>0</x:v>
      </x:c>
      <x:c r="G87" s="67" t="n">
        <x:f>VLOOKUP(C87,'Governorate Master'!$A$2:$Q$13,7,FALSE)</x:f>
        <x:v>548</x:v>
      </x:c>
      <x:c r="H87" s="20" t="n">
        <x:f>VLOOKUP(C87,'Governorate Master'!$A$2:$Q$13,6,FALSE)</x:f>
        <x:v>0.8210097719869707</x:v>
      </x:c>
      <x:c r="I87" s="20" t="n">
        <x:f>VLOOKUP(C87,'Governorate Master'!$A$2:$Q$13,15,FALSE)</x:f>
        <x:v>0.10794044665012408</x:v>
      </x:c>
      <x:c r="J87" s="12" t="str">
        <x:v>Location model input - competition/saturation context</x:v>
      </x:c>
      <x:c r="K87" s="12" t="str">
        <x:v>Business count is from 2018 while population/context indicators are newer; use as a historical proxy, not a current market count.</x:v>
      </x:c>
    </x:row>
    <x:row r="88">
      <x:c r="A88" s="12" t="str">
        <x:v>1020</x:v>
      </x:c>
      <x:c r="B88" s="12" t="str">
        <x:v>Processing and preserving of fish, crustaceans and molluscs</x:v>
      </x:c>
      <x:c r="C88" s="12" t="str">
        <x:v>الزرقاء</x:v>
      </x:c>
      <x:c r="D88" s="14" t="n">
        <x:v>0</x:v>
      </x:c>
      <x:c r="E88" s="14" t="n">
        <x:f>VLOOKUP(C88,'Governorate Master'!$A$2:$Q$13,3,FALSE)</x:f>
        <x:v>1704500</x:v>
      </x:c>
      <x:c r="F88" s="66" t="n">
        <x:f>IF(E88=0,0,D88/E88*10000)</x:f>
        <x:v>0</x:v>
      </x:c>
      <x:c r="G88" s="67" t="n">
        <x:f>VLOOKUP(C88,'Governorate Master'!$A$2:$Q$13,7,FALSE)</x:f>
        <x:v>358</x:v>
      </x:c>
      <x:c r="H88" s="20" t="n">
        <x:f>VLOOKUP(C88,'Governorate Master'!$A$2:$Q$13,6,FALSE)</x:f>
        <x:v>0.9636256966852449</x:v>
      </x:c>
      <x:c r="I88" s="20" t="n">
        <x:f>VLOOKUP(C88,'Governorate Master'!$A$2:$Q$13,15,FALSE)</x:f>
        <x:v>-0.06808762581409118</x:v>
      </x:c>
      <x:c r="J88" s="12" t="str">
        <x:v>Location model input - competition/saturation context</x:v>
      </x:c>
      <x:c r="K88" s="12" t="str">
        <x:v>Business count is from 2018 while population/context indicators are newer; use as a historical proxy, not a current market count.</x:v>
      </x:c>
    </x:row>
    <x:row r="89">
      <x:c r="A89" s="12" t="str">
        <x:v>1020</x:v>
      </x:c>
      <x:c r="B89" s="12" t="str">
        <x:v>Processing and preserving of fish, crustaceans and molluscs</x:v>
      </x:c>
      <x:c r="C89" s="12" t="str">
        <x:v>مادبا</x:v>
      </x:c>
      <x:c r="D89" s="14" t="n">
        <x:v>0</x:v>
      </x:c>
      <x:c r="E89" s="14" t="n">
        <x:f>VLOOKUP(C89,'Governorate Master'!$A$2:$Q$13,3,FALSE)</x:f>
        <x:v>236200</x:v>
      </x:c>
      <x:c r="F89" s="66" t="n">
        <x:f>IF(E89=0,0,D89/E89*10000)</x:f>
        <x:v>0</x:v>
      </x:c>
      <x:c r="G89" s="67" t="n">
        <x:f>VLOOKUP(C89,'Governorate Master'!$A$2:$Q$13,7,FALSE)</x:f>
        <x:v>251.4</x:v>
      </x:c>
      <x:c r="H89" s="20" t="n">
        <x:f>VLOOKUP(C89,'Governorate Master'!$A$2:$Q$13,6,FALSE)</x:f>
        <x:v>0.7823878069432684</x:v>
      </x:c>
      <x:c r="I89" s="20" t="n">
        <x:f>VLOOKUP(C89,'Governorate Master'!$A$2:$Q$13,15,FALSE)</x:f>
        <x:v>-0.18823529411764706</x:v>
      </x:c>
      <x:c r="J89" s="12" t="str">
        <x:v>Location model input - competition/saturation context</x:v>
      </x:c>
      <x:c r="K89" s="12" t="str">
        <x:v>Business count is from 2018 while population/context indicators are newer; use as a historical proxy, not a current market count.</x:v>
      </x:c>
    </x:row>
    <x:row r="90">
      <x:c r="A90" s="12" t="str">
        <x:v>1020</x:v>
      </x:c>
      <x:c r="B90" s="12" t="str">
        <x:v>Processing and preserving of fish, crustaceans and molluscs</x:v>
      </x:c>
      <x:c r="C90" s="12" t="str">
        <x:v>إربد</x:v>
      </x:c>
      <x:c r="D90" s="14" t="n">
        <x:v>0</x:v>
      </x:c>
      <x:c r="E90" s="14" t="n">
        <x:f>VLOOKUP(C90,'Governorate Master'!$A$2:$Q$13,3,FALSE)</x:f>
        <x:v>2210500</x:v>
      </x:c>
      <x:c r="F90" s="66" t="n">
        <x:f>IF(E90=0,0,D90/E90*10000)</x:f>
        <x:v>0</x:v>
      </x:c>
      <x:c r="G90" s="67" t="n">
        <x:f>VLOOKUP(C90,'Governorate Master'!$A$2:$Q$13,7,FALSE)</x:f>
        <x:v>1406.4</x:v>
      </x:c>
      <x:c r="H90" s="20" t="n">
        <x:f>VLOOKUP(C90,'Governorate Master'!$A$2:$Q$13,6,FALSE)</x:f>
        <x:v>0.9235014702555983</x:v>
      </x:c>
      <x:c r="I90" s="20" t="n">
        <x:f>VLOOKUP(C90,'Governorate Master'!$A$2:$Q$13,15,FALSE)</x:f>
        <x:v>0.07086922474549726</x:v>
      </x:c>
      <x:c r="J90" s="12" t="str">
        <x:v>Location model input - competition/saturation context</x:v>
      </x:c>
      <x:c r="K90" s="12" t="str">
        <x:v>Business count is from 2018 while population/context indicators are newer; use as a historical proxy, not a current market count.</x:v>
      </x:c>
    </x:row>
    <x:row r="91">
      <x:c r="A91" s="12" t="str">
        <x:v>1020</x:v>
      </x:c>
      <x:c r="B91" s="12" t="str">
        <x:v>Processing and preserving of fish, crustaceans and molluscs</x:v>
      </x:c>
      <x:c r="C91" s="12" t="str">
        <x:v>المفرق</x:v>
      </x:c>
      <x:c r="D91" s="14" t="n">
        <x:v>0</x:v>
      </x:c>
      <x:c r="E91" s="14" t="n">
        <x:f>VLOOKUP(C91,'Governorate Master'!$A$2:$Q$13,3,FALSE)</x:f>
        <x:v>686800</x:v>
      </x:c>
      <x:c r="F91" s="66" t="n">
        <x:f>IF(E91=0,0,D91/E91*10000)</x:f>
        <x:v>0</x:v>
      </x:c>
      <x:c r="G91" s="67" t="n">
        <x:f>VLOOKUP(C91,'Governorate Master'!$A$2:$Q$13,7,FALSE)</x:f>
        <x:v>25.9</x:v>
      </x:c>
      <x:c r="H91" s="20" t="n">
        <x:f>VLOOKUP(C91,'Governorate Master'!$A$2:$Q$13,6,FALSE)</x:f>
        <x:v>0.6965637740244612</x:v>
      </x:c>
      <x:c r="I91" s="20" t="n">
        <x:f>VLOOKUP(C91,'Governorate Master'!$A$2:$Q$13,15,FALSE)</x:f>
        <x:v>-0.016638935108153077</x:v>
      </x:c>
      <x:c r="J91" s="12" t="str">
        <x:v>Location model input - competition/saturation context</x:v>
      </x:c>
      <x:c r="K91" s="12" t="str">
        <x:v>Business count is from 2018 while population/context indicators are newer; use as a historical proxy, not a current market count.</x:v>
      </x:c>
    </x:row>
    <x:row r="92">
      <x:c r="A92" s="12" t="str">
        <x:v>1020</x:v>
      </x:c>
      <x:c r="B92" s="12" t="str">
        <x:v>Processing and preserving of fish, crustaceans and molluscs</x:v>
      </x:c>
      <x:c r="C92" s="12" t="str">
        <x:v>جرش</x:v>
      </x:c>
      <x:c r="D92" s="14" t="n">
        <x:v>0</x:v>
      </x:c>
      <x:c r="E92" s="14" t="n">
        <x:f>VLOOKUP(C92,'Governorate Master'!$A$2:$Q$13,3,FALSE)</x:f>
        <x:v>296000</x:v>
      </x:c>
      <x:c r="F92" s="66" t="n">
        <x:f>IF(E92=0,0,D92/E92*10000)</x:f>
        <x:v>0</x:v>
      </x:c>
      <x:c r="G92" s="67" t="n">
        <x:f>VLOOKUP(C92,'Governorate Master'!$A$2:$Q$13,7,FALSE)</x:f>
        <x:v>722.3</x:v>
      </x:c>
      <x:c r="H92" s="20" t="n">
        <x:f>VLOOKUP(C92,'Governorate Master'!$A$2:$Q$13,6,FALSE)</x:f>
        <x:v>0.7695945945945946</x:v>
      </x:c>
      <x:c r="I92" s="20" t="n">
        <x:f>VLOOKUP(C92,'Governorate Master'!$A$2:$Q$13,15,FALSE)</x:f>
        <x:v>-0.06527415143603134</x:v>
      </x:c>
      <x:c r="J92" s="12" t="str">
        <x:v>Location model input - competition/saturation context</x:v>
      </x:c>
      <x:c r="K92" s="12" t="str">
        <x:v>Business count is from 2018 while population/context indicators are newer; use as a historical proxy, not a current market count.</x:v>
      </x:c>
    </x:row>
    <x:row r="93">
      <x:c r="A93" s="12" t="str">
        <x:v>1020</x:v>
      </x:c>
      <x:c r="B93" s="12" t="str">
        <x:v>Processing and preserving of fish, crustaceans and molluscs</x:v>
      </x:c>
      <x:c r="C93" s="12" t="str">
        <x:v>عجلون</x:v>
      </x:c>
      <x:c r="D93" s="14" t="n">
        <x:v>0</x:v>
      </x:c>
      <x:c r="E93" s="14" t="n">
        <x:f>VLOOKUP(C93,'Governorate Master'!$A$2:$Q$13,3,FALSE)</x:f>
        <x:v>219900</x:v>
      </x:c>
      <x:c r="F93" s="66" t="n">
        <x:f>IF(E93=0,0,D93/E93*10000)</x:f>
        <x:v>0</x:v>
      </x:c>
      <x:c r="G93" s="67" t="n">
        <x:f>VLOOKUP(C93,'Governorate Master'!$A$2:$Q$13,7,FALSE)</x:f>
        <x:v>524</x:v>
      </x:c>
      <x:c r="H93" s="20" t="n">
        <x:f>VLOOKUP(C93,'Governorate Master'!$A$2:$Q$13,6,FALSE)</x:f>
        <x:v>0.8390177353342428</x:v>
      </x:c>
      <x:c r="I93" s="20" t="n">
        <x:f>VLOOKUP(C93,'Governorate Master'!$A$2:$Q$13,15,FALSE)</x:f>
        <x:v>0.03614457831325301</x:v>
      </x:c>
      <x:c r="J93" s="12" t="str">
        <x:v>Location model input - competition/saturation context</x:v>
      </x:c>
      <x:c r="K93" s="12" t="str">
        <x:v>Business count is from 2018 while population/context indicators are newer; use as a historical proxy, not a current market count.</x:v>
      </x:c>
    </x:row>
    <x:row r="94">
      <x:c r="A94" s="12" t="str">
        <x:v>1020</x:v>
      </x:c>
      <x:c r="B94" s="12" t="str">
        <x:v>Processing and preserving of fish, crustaceans and molluscs</x:v>
      </x:c>
      <x:c r="C94" s="12" t="str">
        <x:v>الكرك</x:v>
      </x:c>
      <x:c r="D94" s="14" t="n">
        <x:v>0</x:v>
      </x:c>
      <x:c r="E94" s="14" t="n">
        <x:f>VLOOKUP(C94,'Governorate Master'!$A$2:$Q$13,3,FALSE)</x:f>
        <x:v>395400</x:v>
      </x:c>
      <x:c r="F94" s="66" t="n">
        <x:f>IF(E94=0,0,D94/E94*10000)</x:f>
        <x:v>0</x:v>
      </x:c>
      <x:c r="G94" s="67" t="n">
        <x:f>VLOOKUP(C94,'Governorate Master'!$A$2:$Q$13,7,FALSE)</x:f>
        <x:v>113.1</x:v>
      </x:c>
      <x:c r="H94" s="20" t="n">
        <x:f>VLOOKUP(C94,'Governorate Master'!$A$2:$Q$13,6,FALSE)</x:f>
        <x:v>0.5912999494183105</x:v>
      </x:c>
      <x:c r="I94" s="20" t="n">
        <x:f>VLOOKUP(C94,'Governorate Master'!$A$2:$Q$13,15,FALSE)</x:f>
        <x:v>0.08710801393728224</x:v>
      </x:c>
      <x:c r="J94" s="12" t="str">
        <x:v>Location model input - competition/saturation context</x:v>
      </x:c>
      <x:c r="K94" s="12" t="str">
        <x:v>Business count is from 2018 while population/context indicators are newer; use as a historical proxy, not a current market count.</x:v>
      </x:c>
    </x:row>
    <x:row r="95">
      <x:c r="A95" s="12" t="str">
        <x:v>1020</x:v>
      </x:c>
      <x:c r="B95" s="12" t="str">
        <x:v>Processing and preserving of fish, crustaceans and molluscs</x:v>
      </x:c>
      <x:c r="C95" s="12" t="str">
        <x:v>الطفيلة</x:v>
      </x:c>
      <x:c r="D95" s="14" t="n">
        <x:v>0</x:v>
      </x:c>
      <x:c r="E95" s="14" t="n">
        <x:f>VLOOKUP(C95,'Governorate Master'!$A$2:$Q$13,3,FALSE)</x:f>
        <x:v>120300</x:v>
      </x:c>
      <x:c r="F95" s="66" t="n">
        <x:f>IF(E95=0,0,D95/E95*10000)</x:f>
        <x:v>0</x:v>
      </x:c>
      <x:c r="G95" s="67" t="n">
        <x:f>VLOOKUP(C95,'Governorate Master'!$A$2:$Q$13,7,FALSE)</x:f>
        <x:v>54.4</x:v>
      </x:c>
      <x:c r="H95" s="20" t="n">
        <x:f>VLOOKUP(C95,'Governorate Master'!$A$2:$Q$13,6,FALSE)</x:f>
        <x:v>0.7797173732335827</x:v>
      </x:c>
      <x:c r="I95" s="20" t="n">
        <x:f>VLOOKUP(C95,'Governorate Master'!$A$2:$Q$13,15,FALSE)</x:f>
        <x:v>0.18452380952380953</x:v>
      </x:c>
      <x:c r="J95" s="12" t="str">
        <x:v>Location model input - competition/saturation context</x:v>
      </x:c>
      <x:c r="K95" s="12" t="str">
        <x:v>Business count is from 2018 while population/context indicators are newer; use as a historical proxy, not a current market count.</x:v>
      </x:c>
    </x:row>
    <x:row r="96">
      <x:c r="A96" s="12" t="str">
        <x:v>1020</x:v>
      </x:c>
      <x:c r="B96" s="12" t="str">
        <x:v>Processing and preserving of fish, crustaceans and molluscs</x:v>
      </x:c>
      <x:c r="C96" s="12" t="str">
        <x:v>معان</x:v>
      </x:c>
      <x:c r="D96" s="14" t="n">
        <x:v>0</x:v>
      </x:c>
      <x:c r="E96" s="14" t="n">
        <x:f>VLOOKUP(C96,'Governorate Master'!$A$2:$Q$13,3,FALSE)</x:f>
        <x:v>197900</x:v>
      </x:c>
      <x:c r="F96" s="66" t="n">
        <x:f>IF(E96=0,0,D96/E96*10000)</x:f>
        <x:v>0</x:v>
      </x:c>
      <x:c r="G96" s="67" t="n">
        <x:f>VLOOKUP(C96,'Governorate Master'!$A$2:$Q$13,7,FALSE)</x:f>
        <x:v>6</x:v>
      </x:c>
      <x:c r="H96" s="20" t="n">
        <x:f>VLOOKUP(C96,'Governorate Master'!$A$2:$Q$13,6,FALSE)</x:f>
        <x:v>0.5406771096513391</x:v>
      </x:c>
      <x:c r="I96" s="20" t="n">
        <x:f>VLOOKUP(C96,'Governorate Master'!$A$2:$Q$13,15,FALSE)</x:f>
        <x:v>0.026845637583892617</x:v>
      </x:c>
      <x:c r="J96" s="12" t="str">
        <x:v>Location model input - competition/saturation context</x:v>
      </x:c>
      <x:c r="K96" s="12" t="str">
        <x:v>Business count is from 2018 while population/context indicators are newer; use as a historical proxy, not a current market count.</x:v>
      </x:c>
    </x:row>
    <x:row r="97">
      <x:c r="A97" s="12" t="str">
        <x:v>1020</x:v>
      </x:c>
      <x:c r="B97" s="12" t="str">
        <x:v>Processing and preserving of fish, crustaceans and molluscs</x:v>
      </x:c>
      <x:c r="C97" s="12" t="str">
        <x:v>العقبة</x:v>
      </x:c>
      <x:c r="D97" s="14" t="n">
        <x:v>0</x:v>
      </x:c>
      <x:c r="E97" s="14" t="n">
        <x:f>VLOOKUP(C97,'Governorate Master'!$A$2:$Q$13,3,FALSE)</x:f>
        <x:v>250900</x:v>
      </x:c>
      <x:c r="F97" s="66" t="n">
        <x:f>IF(E97=0,0,D97/E97*10000)</x:f>
        <x:v>0</x:v>
      </x:c>
      <x:c r="G97" s="67" t="n">
        <x:f>VLOOKUP(C97,'Governorate Master'!$A$2:$Q$13,7,FALSE)</x:f>
        <x:v>36.3</x:v>
      </x:c>
      <x:c r="H97" s="20" t="n">
        <x:f>VLOOKUP(C97,'Governorate Master'!$A$2:$Q$13,6,FALSE)</x:f>
        <x:v>0.882024711040255</x:v>
      </x:c>
      <x:c r="I97" s="20" t="n">
        <x:f>VLOOKUP(C97,'Governorate Master'!$A$2:$Q$13,15,FALSE)</x:f>
        <x:v>-0.09</x:v>
      </x:c>
      <x:c r="J97" s="12" t="str">
        <x:v>Location model input - competition/saturation context</x:v>
      </x:c>
      <x:c r="K97" s="12" t="str">
        <x:v>Business count is from 2018 while population/context indicators are newer; use as a historical proxy, not a current market count.</x:v>
      </x:c>
    </x:row>
    <x:row r="98">
      <x:c r="A98" s="12" t="str">
        <x:v>1030</x:v>
      </x:c>
      <x:c r="B98" s="12" t="str">
        <x:v>Processing and preserving of fruit and vegetables</x:v>
      </x:c>
      <x:c r="C98" s="12" t="str">
        <x:v>عمان</x:v>
      </x:c>
      <x:c r="D98" s="14" t="n">
        <x:v>42</x:v>
      </x:c>
      <x:c r="E98" s="14" t="n">
        <x:f>VLOOKUP(C98,'Governorate Master'!$A$2:$Q$13,3,FALSE)</x:f>
        <x:v>5004600</x:v>
      </x:c>
      <x:c r="F98" s="66" t="n">
        <x:f>IF(E98=0,0,D98/E98*10000)</x:f>
        <x:v>0.08392279103225032</x:v>
      </x:c>
      <x:c r="G98" s="67" t="n">
        <x:f>VLOOKUP(C98,'Governorate Master'!$A$2:$Q$13,7,FALSE)</x:f>
        <x:v>660.3</x:v>
      </x:c>
      <x:c r="H98" s="20" t="n">
        <x:f>VLOOKUP(C98,'Governorate Master'!$A$2:$Q$13,6,FALSE)</x:f>
        <x:v>0.9721656076409703</x:v>
      </x:c>
      <x:c r="I98" s="20" t="n">
        <x:f>VLOOKUP(C98,'Governorate Master'!$A$2:$Q$13,15,FALSE)</x:f>
        <x:v>0.06367041198501873</x:v>
      </x:c>
      <x:c r="J98" s="12" t="str">
        <x:v>Location model input - competition/saturation context</x:v>
      </x:c>
      <x:c r="K98" s="12" t="str">
        <x:v>Business count is from 2018 while population/context indicators are newer; use as a historical proxy, not a current market count.</x:v>
      </x:c>
    </x:row>
    <x:row r="99">
      <x:c r="A99" s="12" t="str">
        <x:v>1030</x:v>
      </x:c>
      <x:c r="B99" s="12" t="str">
        <x:v>Processing and preserving of fruit and vegetables</x:v>
      </x:c>
      <x:c r="C99" s="12" t="str">
        <x:v>البلقاء</x:v>
      </x:c>
      <x:c r="D99" s="14" t="n">
        <x:v>9</x:v>
      </x:c>
      <x:c r="E99" s="14" t="n">
        <x:f>VLOOKUP(C99,'Governorate Master'!$A$2:$Q$13,3,FALSE)</x:f>
        <x:v>614000</x:v>
      </x:c>
      <x:c r="F99" s="66" t="n">
        <x:f>IF(E99=0,0,D99/E99*10000)</x:f>
        <x:v>0.1465798045602606</x:v>
      </x:c>
      <x:c r="G99" s="67" t="n">
        <x:f>VLOOKUP(C99,'Governorate Master'!$A$2:$Q$13,7,FALSE)</x:f>
        <x:v>548</x:v>
      </x:c>
      <x:c r="H99" s="20" t="n">
        <x:f>VLOOKUP(C99,'Governorate Master'!$A$2:$Q$13,6,FALSE)</x:f>
        <x:v>0.8210097719869707</x:v>
      </x:c>
      <x:c r="I99" s="20" t="n">
        <x:f>VLOOKUP(C99,'Governorate Master'!$A$2:$Q$13,15,FALSE)</x:f>
        <x:v>0.10794044665012408</x:v>
      </x:c>
      <x:c r="J99" s="12" t="str">
        <x:v>Location model input - competition/saturation context</x:v>
      </x:c>
      <x:c r="K99" s="12" t="str">
        <x:v>Business count is from 2018 while population/context indicators are newer; use as a historical proxy, not a current market count.</x:v>
      </x:c>
    </x:row>
    <x:row r="100">
      <x:c r="A100" s="12" t="str">
        <x:v>1030</x:v>
      </x:c>
      <x:c r="B100" s="12" t="str">
        <x:v>Processing and preserving of fruit and vegetables</x:v>
      </x:c>
      <x:c r="C100" s="12" t="str">
        <x:v>الزرقاء</x:v>
      </x:c>
      <x:c r="D100" s="14" t="n">
        <x:v>6</x:v>
      </x:c>
      <x:c r="E100" s="14" t="n">
        <x:f>VLOOKUP(C100,'Governorate Master'!$A$2:$Q$13,3,FALSE)</x:f>
        <x:v>1704500</x:v>
      </x:c>
      <x:c r="F100" s="66" t="n">
        <x:f>IF(E100=0,0,D100/E100*10000)</x:f>
        <x:v>0.03520093869169844</x:v>
      </x:c>
      <x:c r="G100" s="67" t="n">
        <x:f>VLOOKUP(C100,'Governorate Master'!$A$2:$Q$13,7,FALSE)</x:f>
        <x:v>358</x:v>
      </x:c>
      <x:c r="H100" s="20" t="n">
        <x:f>VLOOKUP(C100,'Governorate Master'!$A$2:$Q$13,6,FALSE)</x:f>
        <x:v>0.9636256966852449</x:v>
      </x:c>
      <x:c r="I100" s="20" t="n">
        <x:f>VLOOKUP(C100,'Governorate Master'!$A$2:$Q$13,15,FALSE)</x:f>
        <x:v>-0.06808762581409118</x:v>
      </x:c>
      <x:c r="J100" s="12" t="str">
        <x:v>Location model input - competition/saturation context</x:v>
      </x:c>
      <x:c r="K100" s="12" t="str">
        <x:v>Business count is from 2018 while population/context indicators are newer; use as a historical proxy, not a current market count.</x:v>
      </x:c>
    </x:row>
    <x:row r="101">
      <x:c r="A101" s="12" t="str">
        <x:v>1030</x:v>
      </x:c>
      <x:c r="B101" s="12" t="str">
        <x:v>Processing and preserving of fruit and vegetables</x:v>
      </x:c>
      <x:c r="C101" s="12" t="str">
        <x:v>مادبا</x:v>
      </x:c>
      <x:c r="D101" s="14" t="n">
        <x:v>0</x:v>
      </x:c>
      <x:c r="E101" s="14" t="n">
        <x:f>VLOOKUP(C101,'Governorate Master'!$A$2:$Q$13,3,FALSE)</x:f>
        <x:v>236200</x:v>
      </x:c>
      <x:c r="F101" s="66" t="n">
        <x:f>IF(E101=0,0,D101/E101*10000)</x:f>
        <x:v>0</x:v>
      </x:c>
      <x:c r="G101" s="67" t="n">
        <x:f>VLOOKUP(C101,'Governorate Master'!$A$2:$Q$13,7,FALSE)</x:f>
        <x:v>251.4</x:v>
      </x:c>
      <x:c r="H101" s="20" t="n">
        <x:f>VLOOKUP(C101,'Governorate Master'!$A$2:$Q$13,6,FALSE)</x:f>
        <x:v>0.7823878069432684</x:v>
      </x:c>
      <x:c r="I101" s="20" t="n">
        <x:f>VLOOKUP(C101,'Governorate Master'!$A$2:$Q$13,15,FALSE)</x:f>
        <x:v>-0.18823529411764706</x:v>
      </x:c>
      <x:c r="J101" s="12" t="str">
        <x:v>Location model input - competition/saturation context</x:v>
      </x:c>
      <x:c r="K101" s="12" t="str">
        <x:v>Business count is from 2018 while population/context indicators are newer; use as a historical proxy, not a current market count.</x:v>
      </x:c>
    </x:row>
    <x:row r="102">
      <x:c r="A102" s="12" t="str">
        <x:v>1030</x:v>
      </x:c>
      <x:c r="B102" s="12" t="str">
        <x:v>Processing and preserving of fruit and vegetables</x:v>
      </x:c>
      <x:c r="C102" s="12" t="str">
        <x:v>إربد</x:v>
      </x:c>
      <x:c r="D102" s="14" t="n">
        <x:v>6</x:v>
      </x:c>
      <x:c r="E102" s="14" t="n">
        <x:f>VLOOKUP(C102,'Governorate Master'!$A$2:$Q$13,3,FALSE)</x:f>
        <x:v>2210500</x:v>
      </x:c>
      <x:c r="F102" s="66" t="n">
        <x:f>IF(E102=0,0,D102/E102*10000)</x:f>
        <x:v>0.027143180275955664</x:v>
      </x:c>
      <x:c r="G102" s="67" t="n">
        <x:f>VLOOKUP(C102,'Governorate Master'!$A$2:$Q$13,7,FALSE)</x:f>
        <x:v>1406.4</x:v>
      </x:c>
      <x:c r="H102" s="20" t="n">
        <x:f>VLOOKUP(C102,'Governorate Master'!$A$2:$Q$13,6,FALSE)</x:f>
        <x:v>0.9235014702555983</x:v>
      </x:c>
      <x:c r="I102" s="20" t="n">
        <x:f>VLOOKUP(C102,'Governorate Master'!$A$2:$Q$13,15,FALSE)</x:f>
        <x:v>0.07086922474549726</x:v>
      </x:c>
      <x:c r="J102" s="12" t="str">
        <x:v>Location model input - competition/saturation context</x:v>
      </x:c>
      <x:c r="K102" s="12" t="str">
        <x:v>Business count is from 2018 while population/context indicators are newer; use as a historical proxy, not a current market count.</x:v>
      </x:c>
    </x:row>
    <x:row r="103">
      <x:c r="A103" s="12" t="str">
        <x:v>1030</x:v>
      </x:c>
      <x:c r="B103" s="12" t="str">
        <x:v>Processing and preserving of fruit and vegetables</x:v>
      </x:c>
      <x:c r="C103" s="12" t="str">
        <x:v>المفرق</x:v>
      </x:c>
      <x:c r="D103" s="14" t="n">
        <x:v>4</x:v>
      </x:c>
      <x:c r="E103" s="14" t="n">
        <x:f>VLOOKUP(C103,'Governorate Master'!$A$2:$Q$13,3,FALSE)</x:f>
        <x:v>686800</x:v>
      </x:c>
      <x:c r="F103" s="66" t="n">
        <x:f>IF(E103=0,0,D103/E103*10000)</x:f>
        <x:v>0.05824111822947001</x:v>
      </x:c>
      <x:c r="G103" s="67" t="n">
        <x:f>VLOOKUP(C103,'Governorate Master'!$A$2:$Q$13,7,FALSE)</x:f>
        <x:v>25.9</x:v>
      </x:c>
      <x:c r="H103" s="20" t="n">
        <x:f>VLOOKUP(C103,'Governorate Master'!$A$2:$Q$13,6,FALSE)</x:f>
        <x:v>0.6965637740244612</x:v>
      </x:c>
      <x:c r="I103" s="20" t="n">
        <x:f>VLOOKUP(C103,'Governorate Master'!$A$2:$Q$13,15,FALSE)</x:f>
        <x:v>-0.016638935108153077</x:v>
      </x:c>
      <x:c r="J103" s="12" t="str">
        <x:v>Location model input - competition/saturation context</x:v>
      </x:c>
      <x:c r="K103" s="12" t="str">
        <x:v>Business count is from 2018 while population/context indicators are newer; use as a historical proxy, not a current market count.</x:v>
      </x:c>
    </x:row>
    <x:row r="104">
      <x:c r="A104" s="12" t="str">
        <x:v>1030</x:v>
      </x:c>
      <x:c r="B104" s="12" t="str">
        <x:v>Processing and preserving of fruit and vegetables</x:v>
      </x:c>
      <x:c r="C104" s="12" t="str">
        <x:v>جرش</x:v>
      </x:c>
      <x:c r="D104" s="14" t="n">
        <x:v>3</x:v>
      </x:c>
      <x:c r="E104" s="14" t="n">
        <x:f>VLOOKUP(C104,'Governorate Master'!$A$2:$Q$13,3,FALSE)</x:f>
        <x:v>296000</x:v>
      </x:c>
      <x:c r="F104" s="66" t="n">
        <x:f>IF(E104=0,0,D104/E104*10000)</x:f>
        <x:v>0.10135135135135134</x:v>
      </x:c>
      <x:c r="G104" s="67" t="n">
        <x:f>VLOOKUP(C104,'Governorate Master'!$A$2:$Q$13,7,FALSE)</x:f>
        <x:v>722.3</x:v>
      </x:c>
      <x:c r="H104" s="20" t="n">
        <x:f>VLOOKUP(C104,'Governorate Master'!$A$2:$Q$13,6,FALSE)</x:f>
        <x:v>0.7695945945945946</x:v>
      </x:c>
      <x:c r="I104" s="20" t="n">
        <x:f>VLOOKUP(C104,'Governorate Master'!$A$2:$Q$13,15,FALSE)</x:f>
        <x:v>-0.06527415143603134</x:v>
      </x:c>
      <x:c r="J104" s="12" t="str">
        <x:v>Location model input - competition/saturation context</x:v>
      </x:c>
      <x:c r="K104" s="12" t="str">
        <x:v>Business count is from 2018 while population/context indicators are newer; use as a historical proxy, not a current market count.</x:v>
      </x:c>
    </x:row>
    <x:row r="105">
      <x:c r="A105" s="12" t="str">
        <x:v>1030</x:v>
      </x:c>
      <x:c r="B105" s="12" t="str">
        <x:v>Processing and preserving of fruit and vegetables</x:v>
      </x:c>
      <x:c r="C105" s="12" t="str">
        <x:v>عجلون</x:v>
      </x:c>
      <x:c r="D105" s="14" t="n">
        <x:v>2</x:v>
      </x:c>
      <x:c r="E105" s="14" t="n">
        <x:f>VLOOKUP(C105,'Governorate Master'!$A$2:$Q$13,3,FALSE)</x:f>
        <x:v>219900</x:v>
      </x:c>
      <x:c r="F105" s="66" t="n">
        <x:f>IF(E105=0,0,D105/E105*10000)</x:f>
        <x:v>0.09095043201455207</x:v>
      </x:c>
      <x:c r="G105" s="67" t="n">
        <x:f>VLOOKUP(C105,'Governorate Master'!$A$2:$Q$13,7,FALSE)</x:f>
        <x:v>524</x:v>
      </x:c>
      <x:c r="H105" s="20" t="n">
        <x:f>VLOOKUP(C105,'Governorate Master'!$A$2:$Q$13,6,FALSE)</x:f>
        <x:v>0.8390177353342428</x:v>
      </x:c>
      <x:c r="I105" s="20" t="n">
        <x:f>VLOOKUP(C105,'Governorate Master'!$A$2:$Q$13,15,FALSE)</x:f>
        <x:v>0.03614457831325301</x:v>
      </x:c>
      <x:c r="J105" s="12" t="str">
        <x:v>Location model input - competition/saturation context</x:v>
      </x:c>
      <x:c r="K105" s="12" t="str">
        <x:v>Business count is from 2018 while population/context indicators are newer; use as a historical proxy, not a current market count.</x:v>
      </x:c>
    </x:row>
    <x:row r="106">
      <x:c r="A106" s="12" t="str">
        <x:v>1030</x:v>
      </x:c>
      <x:c r="B106" s="12" t="str">
        <x:v>Processing and preserving of fruit and vegetables</x:v>
      </x:c>
      <x:c r="C106" s="12" t="str">
        <x:v>الكرك</x:v>
      </x:c>
      <x:c r="D106" s="14" t="n">
        <x:v>1</x:v>
      </x:c>
      <x:c r="E106" s="14" t="n">
        <x:f>VLOOKUP(C106,'Governorate Master'!$A$2:$Q$13,3,FALSE)</x:f>
        <x:v>395400</x:v>
      </x:c>
      <x:c r="F106" s="66" t="n">
        <x:f>IF(E106=0,0,D106/E106*10000)</x:f>
        <x:v>0.025290844714213452</x:v>
      </x:c>
      <x:c r="G106" s="67" t="n">
        <x:f>VLOOKUP(C106,'Governorate Master'!$A$2:$Q$13,7,FALSE)</x:f>
        <x:v>113.1</x:v>
      </x:c>
      <x:c r="H106" s="20" t="n">
        <x:f>VLOOKUP(C106,'Governorate Master'!$A$2:$Q$13,6,FALSE)</x:f>
        <x:v>0.5912999494183105</x:v>
      </x:c>
      <x:c r="I106" s="20" t="n">
        <x:f>VLOOKUP(C106,'Governorate Master'!$A$2:$Q$13,15,FALSE)</x:f>
        <x:v>0.08710801393728224</x:v>
      </x:c>
      <x:c r="J106" s="12" t="str">
        <x:v>Location model input - competition/saturation context</x:v>
      </x:c>
      <x:c r="K106" s="12" t="str">
        <x:v>Business count is from 2018 while population/context indicators are newer; use as a historical proxy, not a current market count.</x:v>
      </x:c>
    </x:row>
    <x:row r="107">
      <x:c r="A107" s="12" t="str">
        <x:v>1030</x:v>
      </x:c>
      <x:c r="B107" s="12" t="str">
        <x:v>Processing and preserving of fruit and vegetables</x:v>
      </x:c>
      <x:c r="C107" s="12" t="str">
        <x:v>الطفيلة</x:v>
      </x:c>
      <x:c r="D107" s="14" t="n">
        <x:v>0</x:v>
      </x:c>
      <x:c r="E107" s="14" t="n">
        <x:f>VLOOKUP(C107,'Governorate Master'!$A$2:$Q$13,3,FALSE)</x:f>
        <x:v>120300</x:v>
      </x:c>
      <x:c r="F107" s="66" t="n">
        <x:f>IF(E107=0,0,D107/E107*10000)</x:f>
        <x:v>0</x:v>
      </x:c>
      <x:c r="G107" s="67" t="n">
        <x:f>VLOOKUP(C107,'Governorate Master'!$A$2:$Q$13,7,FALSE)</x:f>
        <x:v>54.4</x:v>
      </x:c>
      <x:c r="H107" s="20" t="n">
        <x:f>VLOOKUP(C107,'Governorate Master'!$A$2:$Q$13,6,FALSE)</x:f>
        <x:v>0.7797173732335827</x:v>
      </x:c>
      <x:c r="I107" s="20" t="n">
        <x:f>VLOOKUP(C107,'Governorate Master'!$A$2:$Q$13,15,FALSE)</x:f>
        <x:v>0.18452380952380953</x:v>
      </x:c>
      <x:c r="J107" s="12" t="str">
        <x:v>Location model input - competition/saturation context</x:v>
      </x:c>
      <x:c r="K107" s="12" t="str">
        <x:v>Business count is from 2018 while population/context indicators are newer; use as a historical proxy, not a current market count.</x:v>
      </x:c>
    </x:row>
    <x:row r="108">
      <x:c r="A108" s="12" t="str">
        <x:v>1030</x:v>
      </x:c>
      <x:c r="B108" s="12" t="str">
        <x:v>Processing and preserving of fruit and vegetables</x:v>
      </x:c>
      <x:c r="C108" s="12" t="str">
        <x:v>معان</x:v>
      </x:c>
      <x:c r="D108" s="14" t="n">
        <x:v>0</x:v>
      </x:c>
      <x:c r="E108" s="14" t="n">
        <x:f>VLOOKUP(C108,'Governorate Master'!$A$2:$Q$13,3,FALSE)</x:f>
        <x:v>197900</x:v>
      </x:c>
      <x:c r="F108" s="66" t="n">
        <x:f>IF(E108=0,0,D108/E108*10000)</x:f>
        <x:v>0</x:v>
      </x:c>
      <x:c r="G108" s="67" t="n">
        <x:f>VLOOKUP(C108,'Governorate Master'!$A$2:$Q$13,7,FALSE)</x:f>
        <x:v>6</x:v>
      </x:c>
      <x:c r="H108" s="20" t="n">
        <x:f>VLOOKUP(C108,'Governorate Master'!$A$2:$Q$13,6,FALSE)</x:f>
        <x:v>0.5406771096513391</x:v>
      </x:c>
      <x:c r="I108" s="20" t="n">
        <x:f>VLOOKUP(C108,'Governorate Master'!$A$2:$Q$13,15,FALSE)</x:f>
        <x:v>0.026845637583892617</x:v>
      </x:c>
      <x:c r="J108" s="12" t="str">
        <x:v>Location model input - competition/saturation context</x:v>
      </x:c>
      <x:c r="K108" s="12" t="str">
        <x:v>Business count is from 2018 while population/context indicators are newer; use as a historical proxy, not a current market count.</x:v>
      </x:c>
    </x:row>
    <x:row r="109">
      <x:c r="A109" s="12" t="str">
        <x:v>1030</x:v>
      </x:c>
      <x:c r="B109" s="12" t="str">
        <x:v>Processing and preserving of fruit and vegetables</x:v>
      </x:c>
      <x:c r="C109" s="12" t="str">
        <x:v>العقبة</x:v>
      </x:c>
      <x:c r="D109" s="14" t="n">
        <x:v>3</x:v>
      </x:c>
      <x:c r="E109" s="14" t="n">
        <x:f>VLOOKUP(C109,'Governorate Master'!$A$2:$Q$13,3,FALSE)</x:f>
        <x:v>250900</x:v>
      </x:c>
      <x:c r="F109" s="66" t="n">
        <x:f>IF(E109=0,0,D109/E109*10000)</x:f>
        <x:v>0.11956954962136308</x:v>
      </x:c>
      <x:c r="G109" s="67" t="n">
        <x:f>VLOOKUP(C109,'Governorate Master'!$A$2:$Q$13,7,FALSE)</x:f>
        <x:v>36.3</x:v>
      </x:c>
      <x:c r="H109" s="20" t="n">
        <x:f>VLOOKUP(C109,'Governorate Master'!$A$2:$Q$13,6,FALSE)</x:f>
        <x:v>0.882024711040255</x:v>
      </x:c>
      <x:c r="I109" s="20" t="n">
        <x:f>VLOOKUP(C109,'Governorate Master'!$A$2:$Q$13,15,FALSE)</x:f>
        <x:v>-0.09</x:v>
      </x:c>
      <x:c r="J109" s="12" t="str">
        <x:v>Location model input - competition/saturation context</x:v>
      </x:c>
      <x:c r="K109" s="12" t="str">
        <x:v>Business count is from 2018 while population/context indicators are newer; use as a historical proxy, not a current market count.</x:v>
      </x:c>
    </x:row>
    <x:row r="110">
      <x:c r="A110" s="12" t="str">
        <x:v>1040</x:v>
      </x:c>
      <x:c r="B110" s="12" t="str">
        <x:v>Manufacture of vegetable and animal oils and fats</x:v>
      </x:c>
      <x:c r="C110" s="12" t="str">
        <x:v>عمان</x:v>
      </x:c>
      <x:c r="D110" s="14" t="n">
        <x:v>31</x:v>
      </x:c>
      <x:c r="E110" s="14" t="n">
        <x:f>VLOOKUP(C110,'Governorate Master'!$A$2:$Q$13,3,FALSE)</x:f>
        <x:v>5004600</x:v>
      </x:c>
      <x:c r="F110" s="66" t="n">
        <x:f>IF(E110=0,0,D110/E110*10000)</x:f>
        <x:v>0.061943012428565716</x:v>
      </x:c>
      <x:c r="G110" s="67" t="n">
        <x:f>VLOOKUP(C110,'Governorate Master'!$A$2:$Q$13,7,FALSE)</x:f>
        <x:v>660.3</x:v>
      </x:c>
      <x:c r="H110" s="20" t="n">
        <x:f>VLOOKUP(C110,'Governorate Master'!$A$2:$Q$13,6,FALSE)</x:f>
        <x:v>0.9721656076409703</x:v>
      </x:c>
      <x:c r="I110" s="20" t="n">
        <x:f>VLOOKUP(C110,'Governorate Master'!$A$2:$Q$13,15,FALSE)</x:f>
        <x:v>0.06367041198501873</x:v>
      </x:c>
      <x:c r="J110" s="12" t="str">
        <x:v>Location model input - competition/saturation context</x:v>
      </x:c>
      <x:c r="K110" s="12" t="str">
        <x:v>Business count is from 2018 while population/context indicators are newer; use as a historical proxy, not a current market count.</x:v>
      </x:c>
    </x:row>
    <x:row r="111">
      <x:c r="A111" s="12" t="str">
        <x:v>1040</x:v>
      </x:c>
      <x:c r="B111" s="12" t="str">
        <x:v>Manufacture of vegetable and animal oils and fats</x:v>
      </x:c>
      <x:c r="C111" s="12" t="str">
        <x:v>البلقاء</x:v>
      </x:c>
      <x:c r="D111" s="14" t="n">
        <x:v>10</x:v>
      </x:c>
      <x:c r="E111" s="14" t="n">
        <x:f>VLOOKUP(C111,'Governorate Master'!$A$2:$Q$13,3,FALSE)</x:f>
        <x:v>614000</x:v>
      </x:c>
      <x:c r="F111" s="66" t="n">
        <x:f>IF(E111=0,0,D111/E111*10000)</x:f>
        <x:v>0.16286644951140064</x:v>
      </x:c>
      <x:c r="G111" s="67" t="n">
        <x:f>VLOOKUP(C111,'Governorate Master'!$A$2:$Q$13,7,FALSE)</x:f>
        <x:v>548</x:v>
      </x:c>
      <x:c r="H111" s="20" t="n">
        <x:f>VLOOKUP(C111,'Governorate Master'!$A$2:$Q$13,6,FALSE)</x:f>
        <x:v>0.8210097719869707</x:v>
      </x:c>
      <x:c r="I111" s="20" t="n">
        <x:f>VLOOKUP(C111,'Governorate Master'!$A$2:$Q$13,15,FALSE)</x:f>
        <x:v>0.10794044665012408</x:v>
      </x:c>
      <x:c r="J111" s="12" t="str">
        <x:v>Location model input - competition/saturation context</x:v>
      </x:c>
      <x:c r="K111" s="12" t="str">
        <x:v>Business count is from 2018 while population/context indicators are newer; use as a historical proxy, not a current market count.</x:v>
      </x:c>
    </x:row>
    <x:row r="112">
      <x:c r="A112" s="12" t="str">
        <x:v>1040</x:v>
      </x:c>
      <x:c r="B112" s="12" t="str">
        <x:v>Manufacture of vegetable and animal oils and fats</x:v>
      </x:c>
      <x:c r="C112" s="12" t="str">
        <x:v>الزرقاء</x:v>
      </x:c>
      <x:c r="D112" s="14" t="n">
        <x:v>6</x:v>
      </x:c>
      <x:c r="E112" s="14" t="n">
        <x:f>VLOOKUP(C112,'Governorate Master'!$A$2:$Q$13,3,FALSE)</x:f>
        <x:v>1704500</x:v>
      </x:c>
      <x:c r="F112" s="66" t="n">
        <x:f>IF(E112=0,0,D112/E112*10000)</x:f>
        <x:v>0.03520093869169844</x:v>
      </x:c>
      <x:c r="G112" s="67" t="n">
        <x:f>VLOOKUP(C112,'Governorate Master'!$A$2:$Q$13,7,FALSE)</x:f>
        <x:v>358</x:v>
      </x:c>
      <x:c r="H112" s="20" t="n">
        <x:f>VLOOKUP(C112,'Governorate Master'!$A$2:$Q$13,6,FALSE)</x:f>
        <x:v>0.9636256966852449</x:v>
      </x:c>
      <x:c r="I112" s="20" t="n">
        <x:f>VLOOKUP(C112,'Governorate Master'!$A$2:$Q$13,15,FALSE)</x:f>
        <x:v>-0.06808762581409118</x:v>
      </x:c>
      <x:c r="J112" s="12" t="str">
        <x:v>Location model input - competition/saturation context</x:v>
      </x:c>
      <x:c r="K112" s="12" t="str">
        <x:v>Business count is from 2018 while population/context indicators are newer; use as a historical proxy, not a current market count.</x:v>
      </x:c>
    </x:row>
    <x:row r="113">
      <x:c r="A113" s="12" t="str">
        <x:v>1040</x:v>
      </x:c>
      <x:c r="B113" s="12" t="str">
        <x:v>Manufacture of vegetable and animal oils and fats</x:v>
      </x:c>
      <x:c r="C113" s="12" t="str">
        <x:v>مادبا</x:v>
      </x:c>
      <x:c r="D113" s="14" t="n">
        <x:v>3</x:v>
      </x:c>
      <x:c r="E113" s="14" t="n">
        <x:f>VLOOKUP(C113,'Governorate Master'!$A$2:$Q$13,3,FALSE)</x:f>
        <x:v>236200</x:v>
      </x:c>
      <x:c r="F113" s="66" t="n">
        <x:f>IF(E113=0,0,D113/E113*10000)</x:f>
        <x:v>0.12701100762066045</x:v>
      </x:c>
      <x:c r="G113" s="67" t="n">
        <x:f>VLOOKUP(C113,'Governorate Master'!$A$2:$Q$13,7,FALSE)</x:f>
        <x:v>251.4</x:v>
      </x:c>
      <x:c r="H113" s="20" t="n">
        <x:f>VLOOKUP(C113,'Governorate Master'!$A$2:$Q$13,6,FALSE)</x:f>
        <x:v>0.7823878069432684</x:v>
      </x:c>
      <x:c r="I113" s="20" t="n">
        <x:f>VLOOKUP(C113,'Governorate Master'!$A$2:$Q$13,15,FALSE)</x:f>
        <x:v>-0.18823529411764706</x:v>
      </x:c>
      <x:c r="J113" s="12" t="str">
        <x:v>Location model input - competition/saturation context</x:v>
      </x:c>
      <x:c r="K113" s="12" t="str">
        <x:v>Business count is from 2018 while population/context indicators are newer; use as a historical proxy, not a current market count.</x:v>
      </x:c>
    </x:row>
    <x:row r="114">
      <x:c r="A114" s="12" t="str">
        <x:v>1040</x:v>
      </x:c>
      <x:c r="B114" s="12" t="str">
        <x:v>Manufacture of vegetable and animal oils and fats</x:v>
      </x:c>
      <x:c r="C114" s="12" t="str">
        <x:v>إربد</x:v>
      </x:c>
      <x:c r="D114" s="14" t="n">
        <x:v>37</x:v>
      </x:c>
      <x:c r="E114" s="14" t="n">
        <x:f>VLOOKUP(C114,'Governorate Master'!$A$2:$Q$13,3,FALSE)</x:f>
        <x:v>2210500</x:v>
      </x:c>
      <x:c r="F114" s="66" t="n">
        <x:f>IF(E114=0,0,D114/E114*10000)</x:f>
        <x:v>0.16738294503505996</x:v>
      </x:c>
      <x:c r="G114" s="67" t="n">
        <x:f>VLOOKUP(C114,'Governorate Master'!$A$2:$Q$13,7,FALSE)</x:f>
        <x:v>1406.4</x:v>
      </x:c>
      <x:c r="H114" s="20" t="n">
        <x:f>VLOOKUP(C114,'Governorate Master'!$A$2:$Q$13,6,FALSE)</x:f>
        <x:v>0.9235014702555983</x:v>
      </x:c>
      <x:c r="I114" s="20" t="n">
        <x:f>VLOOKUP(C114,'Governorate Master'!$A$2:$Q$13,15,FALSE)</x:f>
        <x:v>0.07086922474549726</x:v>
      </x:c>
      <x:c r="J114" s="12" t="str">
        <x:v>Location model input - competition/saturation context</x:v>
      </x:c>
      <x:c r="K114" s="12" t="str">
        <x:v>Business count is from 2018 while population/context indicators are newer; use as a historical proxy, not a current market count.</x:v>
      </x:c>
    </x:row>
    <x:row r="115">
      <x:c r="A115" s="12" t="str">
        <x:v>1040</x:v>
      </x:c>
      <x:c r="B115" s="12" t="str">
        <x:v>Manufacture of vegetable and animal oils and fats</x:v>
      </x:c>
      <x:c r="C115" s="12" t="str">
        <x:v>المفرق</x:v>
      </x:c>
      <x:c r="D115" s="14" t="n">
        <x:v>11</x:v>
      </x:c>
      <x:c r="E115" s="14" t="n">
        <x:f>VLOOKUP(C115,'Governorate Master'!$A$2:$Q$13,3,FALSE)</x:f>
        <x:v>686800</x:v>
      </x:c>
      <x:c r="F115" s="66" t="n">
        <x:f>IF(E115=0,0,D115/E115*10000)</x:f>
        <x:v>0.16016307513104253</x:v>
      </x:c>
      <x:c r="G115" s="67" t="n">
        <x:f>VLOOKUP(C115,'Governorate Master'!$A$2:$Q$13,7,FALSE)</x:f>
        <x:v>25.9</x:v>
      </x:c>
      <x:c r="H115" s="20" t="n">
        <x:f>VLOOKUP(C115,'Governorate Master'!$A$2:$Q$13,6,FALSE)</x:f>
        <x:v>0.6965637740244612</x:v>
      </x:c>
      <x:c r="I115" s="20" t="n">
        <x:f>VLOOKUP(C115,'Governorate Master'!$A$2:$Q$13,15,FALSE)</x:f>
        <x:v>-0.016638935108153077</x:v>
      </x:c>
      <x:c r="J115" s="12" t="str">
        <x:v>Location model input - competition/saturation context</x:v>
      </x:c>
      <x:c r="K115" s="12" t="str">
        <x:v>Business count is from 2018 while population/context indicators are newer; use as a historical proxy, not a current market count.</x:v>
      </x:c>
    </x:row>
    <x:row r="116">
      <x:c r="A116" s="12" t="str">
        <x:v>1040</x:v>
      </x:c>
      <x:c r="B116" s="12" t="str">
        <x:v>Manufacture of vegetable and animal oils and fats</x:v>
      </x:c>
      <x:c r="C116" s="12" t="str">
        <x:v>جرش</x:v>
      </x:c>
      <x:c r="D116" s="14" t="n">
        <x:v>12</x:v>
      </x:c>
      <x:c r="E116" s="14" t="n">
        <x:f>VLOOKUP(C116,'Governorate Master'!$A$2:$Q$13,3,FALSE)</x:f>
        <x:v>296000</x:v>
      </x:c>
      <x:c r="F116" s="66" t="n">
        <x:f>IF(E116=0,0,D116/E116*10000)</x:f>
        <x:v>0.4054054054054054</x:v>
      </x:c>
      <x:c r="G116" s="67" t="n">
        <x:f>VLOOKUP(C116,'Governorate Master'!$A$2:$Q$13,7,FALSE)</x:f>
        <x:v>722.3</x:v>
      </x:c>
      <x:c r="H116" s="20" t="n">
        <x:f>VLOOKUP(C116,'Governorate Master'!$A$2:$Q$13,6,FALSE)</x:f>
        <x:v>0.7695945945945946</x:v>
      </x:c>
      <x:c r="I116" s="20" t="n">
        <x:f>VLOOKUP(C116,'Governorate Master'!$A$2:$Q$13,15,FALSE)</x:f>
        <x:v>-0.06527415143603134</x:v>
      </x:c>
      <x:c r="J116" s="12" t="str">
        <x:v>Location model input - competition/saturation context</x:v>
      </x:c>
      <x:c r="K116" s="12" t="str">
        <x:v>Business count is from 2018 while population/context indicators are newer; use as a historical proxy, not a current market count.</x:v>
      </x:c>
    </x:row>
    <x:row r="117">
      <x:c r="A117" s="12" t="str">
        <x:v>1040</x:v>
      </x:c>
      <x:c r="B117" s="12" t="str">
        <x:v>Manufacture of vegetable and animal oils and fats</x:v>
      </x:c>
      <x:c r="C117" s="12" t="str">
        <x:v>عجلون</x:v>
      </x:c>
      <x:c r="D117" s="14" t="n">
        <x:v>14</x:v>
      </x:c>
      <x:c r="E117" s="14" t="n">
        <x:f>VLOOKUP(C117,'Governorate Master'!$A$2:$Q$13,3,FALSE)</x:f>
        <x:v>219900</x:v>
      </x:c>
      <x:c r="F117" s="66" t="n">
        <x:f>IF(E117=0,0,D117/E117*10000)</x:f>
        <x:v>0.6366530241018644</x:v>
      </x:c>
      <x:c r="G117" s="67" t="n">
        <x:f>VLOOKUP(C117,'Governorate Master'!$A$2:$Q$13,7,FALSE)</x:f>
        <x:v>524</x:v>
      </x:c>
      <x:c r="H117" s="20" t="n">
        <x:f>VLOOKUP(C117,'Governorate Master'!$A$2:$Q$13,6,FALSE)</x:f>
        <x:v>0.8390177353342428</x:v>
      </x:c>
      <x:c r="I117" s="20" t="n">
        <x:f>VLOOKUP(C117,'Governorate Master'!$A$2:$Q$13,15,FALSE)</x:f>
        <x:v>0.03614457831325301</x:v>
      </x:c>
      <x:c r="J117" s="12" t="str">
        <x:v>Location model input - competition/saturation context</x:v>
      </x:c>
      <x:c r="K117" s="12" t="str">
        <x:v>Business count is from 2018 while population/context indicators are newer; use as a historical proxy, not a current market count.</x:v>
      </x:c>
    </x:row>
    <x:row r="118">
      <x:c r="A118" s="12" t="str">
        <x:v>1040</x:v>
      </x:c>
      <x:c r="B118" s="12" t="str">
        <x:v>Manufacture of vegetable and animal oils and fats</x:v>
      </x:c>
      <x:c r="C118" s="12" t="str">
        <x:v>الكرك</x:v>
      </x:c>
      <x:c r="D118" s="14" t="n">
        <x:v>5</x:v>
      </x:c>
      <x:c r="E118" s="14" t="n">
        <x:f>VLOOKUP(C118,'Governorate Master'!$A$2:$Q$13,3,FALSE)</x:f>
        <x:v>395400</x:v>
      </x:c>
      <x:c r="F118" s="66" t="n">
        <x:f>IF(E118=0,0,D118/E118*10000)</x:f>
        <x:v>0.12645422357106728</x:v>
      </x:c>
      <x:c r="G118" s="67" t="n">
        <x:f>VLOOKUP(C118,'Governorate Master'!$A$2:$Q$13,7,FALSE)</x:f>
        <x:v>113.1</x:v>
      </x:c>
      <x:c r="H118" s="20" t="n">
        <x:f>VLOOKUP(C118,'Governorate Master'!$A$2:$Q$13,6,FALSE)</x:f>
        <x:v>0.5912999494183105</x:v>
      </x:c>
      <x:c r="I118" s="20" t="n">
        <x:f>VLOOKUP(C118,'Governorate Master'!$A$2:$Q$13,15,FALSE)</x:f>
        <x:v>0.08710801393728224</x:v>
      </x:c>
      <x:c r="J118" s="12" t="str">
        <x:v>Location model input - competition/saturation context</x:v>
      </x:c>
      <x:c r="K118" s="12" t="str">
        <x:v>Business count is from 2018 while population/context indicators are newer; use as a historical proxy, not a current market count.</x:v>
      </x:c>
    </x:row>
    <x:row r="119">
      <x:c r="A119" s="12" t="str">
        <x:v>1040</x:v>
      </x:c>
      <x:c r="B119" s="12" t="str">
        <x:v>Manufacture of vegetable and animal oils and fats</x:v>
      </x:c>
      <x:c r="C119" s="12" t="str">
        <x:v>الطفيلة</x:v>
      </x:c>
      <x:c r="D119" s="14" t="n">
        <x:v>2</x:v>
      </x:c>
      <x:c r="E119" s="14" t="n">
        <x:f>VLOOKUP(C119,'Governorate Master'!$A$2:$Q$13,3,FALSE)</x:f>
        <x:v>120300</x:v>
      </x:c>
      <x:c r="F119" s="66" t="n">
        <x:f>IF(E119=0,0,D119/E119*10000)</x:f>
        <x:v>0.1662510390689942</x:v>
      </x:c>
      <x:c r="G119" s="67" t="n">
        <x:f>VLOOKUP(C119,'Governorate Master'!$A$2:$Q$13,7,FALSE)</x:f>
        <x:v>54.4</x:v>
      </x:c>
      <x:c r="H119" s="20" t="n">
        <x:f>VLOOKUP(C119,'Governorate Master'!$A$2:$Q$13,6,FALSE)</x:f>
        <x:v>0.7797173732335827</x:v>
      </x:c>
      <x:c r="I119" s="20" t="n">
        <x:f>VLOOKUP(C119,'Governorate Master'!$A$2:$Q$13,15,FALSE)</x:f>
        <x:v>0.18452380952380953</x:v>
      </x:c>
      <x:c r="J119" s="12" t="str">
        <x:v>Location model input - competition/saturation context</x:v>
      </x:c>
      <x:c r="K119" s="12" t="str">
        <x:v>Business count is from 2018 while population/context indicators are newer; use as a historical proxy, not a current market count.</x:v>
      </x:c>
    </x:row>
    <x:row r="120">
      <x:c r="A120" s="12" t="str">
        <x:v>1040</x:v>
      </x:c>
      <x:c r="B120" s="12" t="str">
        <x:v>Manufacture of vegetable and animal oils and fats</x:v>
      </x:c>
      <x:c r="C120" s="12" t="str">
        <x:v>معان</x:v>
      </x:c>
      <x:c r="D120" s="14" t="n">
        <x:v>3</x:v>
      </x:c>
      <x:c r="E120" s="14" t="n">
        <x:f>VLOOKUP(C120,'Governorate Master'!$A$2:$Q$13,3,FALSE)</x:f>
        <x:v>197900</x:v>
      </x:c>
      <x:c r="F120" s="66" t="n">
        <x:f>IF(E120=0,0,D120/E120*10000)</x:f>
        <x:v>0.15159171298635674</x:v>
      </x:c>
      <x:c r="G120" s="67" t="n">
        <x:f>VLOOKUP(C120,'Governorate Master'!$A$2:$Q$13,7,FALSE)</x:f>
        <x:v>6</x:v>
      </x:c>
      <x:c r="H120" s="20" t="n">
        <x:f>VLOOKUP(C120,'Governorate Master'!$A$2:$Q$13,6,FALSE)</x:f>
        <x:v>0.5406771096513391</x:v>
      </x:c>
      <x:c r="I120" s="20" t="n">
        <x:f>VLOOKUP(C120,'Governorate Master'!$A$2:$Q$13,15,FALSE)</x:f>
        <x:v>0.026845637583892617</x:v>
      </x:c>
      <x:c r="J120" s="12" t="str">
        <x:v>Location model input - competition/saturation context</x:v>
      </x:c>
      <x:c r="K120" s="12" t="str">
        <x:v>Business count is from 2018 while population/context indicators are newer; use as a historical proxy, not a current market count.</x:v>
      </x:c>
    </x:row>
    <x:row r="121">
      <x:c r="A121" s="12" t="str">
        <x:v>1040</x:v>
      </x:c>
      <x:c r="B121" s="12" t="str">
        <x:v>Manufacture of vegetable and animal oils and fats</x:v>
      </x:c>
      <x:c r="C121" s="12" t="str">
        <x:v>العقبة</x:v>
      </x:c>
      <x:c r="D121" s="14" t="n">
        <x:v>0</x:v>
      </x:c>
      <x:c r="E121" s="14" t="n">
        <x:f>VLOOKUP(C121,'Governorate Master'!$A$2:$Q$13,3,FALSE)</x:f>
        <x:v>250900</x:v>
      </x:c>
      <x:c r="F121" s="66" t="n">
        <x:f>IF(E121=0,0,D121/E121*10000)</x:f>
        <x:v>0</x:v>
      </x:c>
      <x:c r="G121" s="67" t="n">
        <x:f>VLOOKUP(C121,'Governorate Master'!$A$2:$Q$13,7,FALSE)</x:f>
        <x:v>36.3</x:v>
      </x:c>
      <x:c r="H121" s="20" t="n">
        <x:f>VLOOKUP(C121,'Governorate Master'!$A$2:$Q$13,6,FALSE)</x:f>
        <x:v>0.882024711040255</x:v>
      </x:c>
      <x:c r="I121" s="20" t="n">
        <x:f>VLOOKUP(C121,'Governorate Master'!$A$2:$Q$13,15,FALSE)</x:f>
        <x:v>-0.09</x:v>
      </x:c>
      <x:c r="J121" s="12" t="str">
        <x:v>Location model input - competition/saturation context</x:v>
      </x:c>
      <x:c r="K121" s="12" t="str">
        <x:v>Business count is from 2018 while population/context indicators are newer; use as a historical proxy, not a current market count.</x:v>
      </x:c>
    </x:row>
    <x:row r="122">
      <x:c r="A122" s="12" t="str">
        <x:v>1050</x:v>
      </x:c>
      <x:c r="B122" s="12" t="str">
        <x:v>Manufacture of dairy products</x:v>
      </x:c>
      <x:c r="C122" s="12" t="str">
        <x:v>عمان</x:v>
      </x:c>
      <x:c r="D122" s="14" t="n">
        <x:v>78</x:v>
      </x:c>
      <x:c r="E122" s="14" t="n">
        <x:f>VLOOKUP(C122,'Governorate Master'!$A$2:$Q$13,3,FALSE)</x:f>
        <x:v>5004600</x:v>
      </x:c>
      <x:c r="F122" s="66" t="n">
        <x:f>IF(E122=0,0,D122/E122*10000)</x:f>
        <x:v>0.15585661191703634</x:v>
      </x:c>
      <x:c r="G122" s="67" t="n">
        <x:f>VLOOKUP(C122,'Governorate Master'!$A$2:$Q$13,7,FALSE)</x:f>
        <x:v>660.3</x:v>
      </x:c>
      <x:c r="H122" s="20" t="n">
        <x:f>VLOOKUP(C122,'Governorate Master'!$A$2:$Q$13,6,FALSE)</x:f>
        <x:v>0.9721656076409703</x:v>
      </x:c>
      <x:c r="I122" s="20" t="n">
        <x:f>VLOOKUP(C122,'Governorate Master'!$A$2:$Q$13,15,FALSE)</x:f>
        <x:v>0.06367041198501873</x:v>
      </x:c>
      <x:c r="J122" s="12" t="str">
        <x:v>Location model input - competition/saturation context</x:v>
      </x:c>
      <x:c r="K122" s="12" t="str">
        <x:v>Business count is from 2018 while population/context indicators are newer; use as a historical proxy, not a current market count.</x:v>
      </x:c>
    </x:row>
    <x:row r="123">
      <x:c r="A123" s="12" t="str">
        <x:v>1050</x:v>
      </x:c>
      <x:c r="B123" s="12" t="str">
        <x:v>Manufacture of dairy products</x:v>
      </x:c>
      <x:c r="C123" s="12" t="str">
        <x:v>البلقاء</x:v>
      </x:c>
      <x:c r="D123" s="14" t="n">
        <x:v>19</x:v>
      </x:c>
      <x:c r="E123" s="14" t="n">
        <x:f>VLOOKUP(C123,'Governorate Master'!$A$2:$Q$13,3,FALSE)</x:f>
        <x:v>614000</x:v>
      </x:c>
      <x:c r="F123" s="66" t="n">
        <x:f>IF(E123=0,0,D123/E123*10000)</x:f>
        <x:v>0.30944625407166126</x:v>
      </x:c>
      <x:c r="G123" s="67" t="n">
        <x:f>VLOOKUP(C123,'Governorate Master'!$A$2:$Q$13,7,FALSE)</x:f>
        <x:v>548</x:v>
      </x:c>
      <x:c r="H123" s="20" t="n">
        <x:f>VLOOKUP(C123,'Governorate Master'!$A$2:$Q$13,6,FALSE)</x:f>
        <x:v>0.8210097719869707</x:v>
      </x:c>
      <x:c r="I123" s="20" t="n">
        <x:f>VLOOKUP(C123,'Governorate Master'!$A$2:$Q$13,15,FALSE)</x:f>
        <x:v>0.10794044665012408</x:v>
      </x:c>
      <x:c r="J123" s="12" t="str">
        <x:v>Location model input - competition/saturation context</x:v>
      </x:c>
      <x:c r="K123" s="12" t="str">
        <x:v>Business count is from 2018 while population/context indicators are newer; use as a historical proxy, not a current market count.</x:v>
      </x:c>
    </x:row>
    <x:row r="124">
      <x:c r="A124" s="12" t="str">
        <x:v>1050</x:v>
      </x:c>
      <x:c r="B124" s="12" t="str">
        <x:v>Manufacture of dairy products</x:v>
      </x:c>
      <x:c r="C124" s="12" t="str">
        <x:v>الزرقاء</x:v>
      </x:c>
      <x:c r="D124" s="14" t="n">
        <x:v>57</x:v>
      </x:c>
      <x:c r="E124" s="14" t="n">
        <x:f>VLOOKUP(C124,'Governorate Master'!$A$2:$Q$13,3,FALSE)</x:f>
        <x:v>1704500</x:v>
      </x:c>
      <x:c r="F124" s="66" t="n">
        <x:f>IF(E124=0,0,D124/E124*10000)</x:f>
        <x:v>0.3344089175711352</x:v>
      </x:c>
      <x:c r="G124" s="67" t="n">
        <x:f>VLOOKUP(C124,'Governorate Master'!$A$2:$Q$13,7,FALSE)</x:f>
        <x:v>358</x:v>
      </x:c>
      <x:c r="H124" s="20" t="n">
        <x:f>VLOOKUP(C124,'Governorate Master'!$A$2:$Q$13,6,FALSE)</x:f>
        <x:v>0.9636256966852449</x:v>
      </x:c>
      <x:c r="I124" s="20" t="n">
        <x:f>VLOOKUP(C124,'Governorate Master'!$A$2:$Q$13,15,FALSE)</x:f>
        <x:v>-0.06808762581409118</x:v>
      </x:c>
      <x:c r="J124" s="12" t="str">
        <x:v>Location model input - competition/saturation context</x:v>
      </x:c>
      <x:c r="K124" s="12" t="str">
        <x:v>Business count is from 2018 while population/context indicators are newer; use as a historical proxy, not a current market count.</x:v>
      </x:c>
    </x:row>
    <x:row r="125">
      <x:c r="A125" s="12" t="str">
        <x:v>1050</x:v>
      </x:c>
      <x:c r="B125" s="12" t="str">
        <x:v>Manufacture of dairy products</x:v>
      </x:c>
      <x:c r="C125" s="12" t="str">
        <x:v>مادبا</x:v>
      </x:c>
      <x:c r="D125" s="14" t="n">
        <x:v>21</x:v>
      </x:c>
      <x:c r="E125" s="14" t="n">
        <x:f>VLOOKUP(C125,'Governorate Master'!$A$2:$Q$13,3,FALSE)</x:f>
        <x:v>236200</x:v>
      </x:c>
      <x:c r="F125" s="66" t="n">
        <x:f>IF(E125=0,0,D125/E125*10000)</x:f>
        <x:v>0.8890770533446233</x:v>
      </x:c>
      <x:c r="G125" s="67" t="n">
        <x:f>VLOOKUP(C125,'Governorate Master'!$A$2:$Q$13,7,FALSE)</x:f>
        <x:v>251.4</x:v>
      </x:c>
      <x:c r="H125" s="20" t="n">
        <x:f>VLOOKUP(C125,'Governorate Master'!$A$2:$Q$13,6,FALSE)</x:f>
        <x:v>0.7823878069432684</x:v>
      </x:c>
      <x:c r="I125" s="20" t="n">
        <x:f>VLOOKUP(C125,'Governorate Master'!$A$2:$Q$13,15,FALSE)</x:f>
        <x:v>-0.18823529411764706</x:v>
      </x:c>
      <x:c r="J125" s="12" t="str">
        <x:v>Location model input - competition/saturation context</x:v>
      </x:c>
      <x:c r="K125" s="12" t="str">
        <x:v>Business count is from 2018 while population/context indicators are newer; use as a historical proxy, not a current market count.</x:v>
      </x:c>
    </x:row>
    <x:row r="126">
      <x:c r="A126" s="12" t="str">
        <x:v>1050</x:v>
      </x:c>
      <x:c r="B126" s="12" t="str">
        <x:v>Manufacture of dairy products</x:v>
      </x:c>
      <x:c r="C126" s="12" t="str">
        <x:v>إربد</x:v>
      </x:c>
      <x:c r="D126" s="14" t="n">
        <x:v>349</x:v>
      </x:c>
      <x:c r="E126" s="14" t="n">
        <x:f>VLOOKUP(C126,'Governorate Master'!$A$2:$Q$13,3,FALSE)</x:f>
        <x:v>2210500</x:v>
      </x:c>
      <x:c r="F126" s="66" t="n">
        <x:f>IF(E126=0,0,D126/E126*10000)</x:f>
        <x:v>1.5788283193847548</x:v>
      </x:c>
      <x:c r="G126" s="67" t="n">
        <x:f>VLOOKUP(C126,'Governorate Master'!$A$2:$Q$13,7,FALSE)</x:f>
        <x:v>1406.4</x:v>
      </x:c>
      <x:c r="H126" s="20" t="n">
        <x:f>VLOOKUP(C126,'Governorate Master'!$A$2:$Q$13,6,FALSE)</x:f>
        <x:v>0.9235014702555983</x:v>
      </x:c>
      <x:c r="I126" s="20" t="n">
        <x:f>VLOOKUP(C126,'Governorate Master'!$A$2:$Q$13,15,FALSE)</x:f>
        <x:v>0.07086922474549726</x:v>
      </x:c>
      <x:c r="J126" s="12" t="str">
        <x:v>Location model input - competition/saturation context</x:v>
      </x:c>
      <x:c r="K126" s="12" t="str">
        <x:v>Business count is from 2018 while population/context indicators are newer; use as a historical proxy, not a current market count.</x:v>
      </x:c>
    </x:row>
    <x:row r="127">
      <x:c r="A127" s="12" t="str">
        <x:v>1050</x:v>
      </x:c>
      <x:c r="B127" s="12" t="str">
        <x:v>Manufacture of dairy products</x:v>
      </x:c>
      <x:c r="C127" s="12" t="str">
        <x:v>المفرق</x:v>
      </x:c>
      <x:c r="D127" s="14" t="n">
        <x:v>20</x:v>
      </x:c>
      <x:c r="E127" s="14" t="n">
        <x:f>VLOOKUP(C127,'Governorate Master'!$A$2:$Q$13,3,FALSE)</x:f>
        <x:v>686800</x:v>
      </x:c>
      <x:c r="F127" s="66" t="n">
        <x:f>IF(E127=0,0,D127/E127*10000)</x:f>
        <x:v>0.29120559114735</x:v>
      </x:c>
      <x:c r="G127" s="67" t="n">
        <x:f>VLOOKUP(C127,'Governorate Master'!$A$2:$Q$13,7,FALSE)</x:f>
        <x:v>25.9</x:v>
      </x:c>
      <x:c r="H127" s="20" t="n">
        <x:f>VLOOKUP(C127,'Governorate Master'!$A$2:$Q$13,6,FALSE)</x:f>
        <x:v>0.6965637740244612</x:v>
      </x:c>
      <x:c r="I127" s="20" t="n">
        <x:f>VLOOKUP(C127,'Governorate Master'!$A$2:$Q$13,15,FALSE)</x:f>
        <x:v>-0.016638935108153077</x:v>
      </x:c>
      <x:c r="J127" s="12" t="str">
        <x:v>Location model input - competition/saturation context</x:v>
      </x:c>
      <x:c r="K127" s="12" t="str">
        <x:v>Business count is from 2018 while population/context indicators are newer; use as a historical proxy, not a current market count.</x:v>
      </x:c>
    </x:row>
    <x:row r="128">
      <x:c r="A128" s="12" t="str">
        <x:v>1050</x:v>
      </x:c>
      <x:c r="B128" s="12" t="str">
        <x:v>Manufacture of dairy products</x:v>
      </x:c>
      <x:c r="C128" s="12" t="str">
        <x:v>جرش</x:v>
      </x:c>
      <x:c r="D128" s="14" t="n">
        <x:v>39</x:v>
      </x:c>
      <x:c r="E128" s="14" t="n">
        <x:f>VLOOKUP(C128,'Governorate Master'!$A$2:$Q$13,3,FALSE)</x:f>
        <x:v>296000</x:v>
      </x:c>
      <x:c r="F128" s="66" t="n">
        <x:f>IF(E128=0,0,D128/E128*10000)</x:f>
        <x:v>1.3175675675675675</x:v>
      </x:c>
      <x:c r="G128" s="67" t="n">
        <x:f>VLOOKUP(C128,'Governorate Master'!$A$2:$Q$13,7,FALSE)</x:f>
        <x:v>722.3</x:v>
      </x:c>
      <x:c r="H128" s="20" t="n">
        <x:f>VLOOKUP(C128,'Governorate Master'!$A$2:$Q$13,6,FALSE)</x:f>
        <x:v>0.7695945945945946</x:v>
      </x:c>
      <x:c r="I128" s="20" t="n">
        <x:f>VLOOKUP(C128,'Governorate Master'!$A$2:$Q$13,15,FALSE)</x:f>
        <x:v>-0.06527415143603134</x:v>
      </x:c>
      <x:c r="J128" s="12" t="str">
        <x:v>Location model input - competition/saturation context</x:v>
      </x:c>
      <x:c r="K128" s="12" t="str">
        <x:v>Business count is from 2018 while population/context indicators are newer; use as a historical proxy, not a current market count.</x:v>
      </x:c>
    </x:row>
    <x:row r="129">
      <x:c r="A129" s="12" t="str">
        <x:v>1050</x:v>
      </x:c>
      <x:c r="B129" s="12" t="str">
        <x:v>Manufacture of dairy products</x:v>
      </x:c>
      <x:c r="C129" s="12" t="str">
        <x:v>عجلون</x:v>
      </x:c>
      <x:c r="D129" s="14" t="n">
        <x:v>43</x:v>
      </x:c>
      <x:c r="E129" s="14" t="n">
        <x:f>VLOOKUP(C129,'Governorate Master'!$A$2:$Q$13,3,FALSE)</x:f>
        <x:v>219900</x:v>
      </x:c>
      <x:c r="F129" s="66" t="n">
        <x:f>IF(E129=0,0,D129/E129*10000)</x:f>
        <x:v>1.9554342883128695</x:v>
      </x:c>
      <x:c r="G129" s="67" t="n">
        <x:f>VLOOKUP(C129,'Governorate Master'!$A$2:$Q$13,7,FALSE)</x:f>
        <x:v>524</x:v>
      </x:c>
      <x:c r="H129" s="20" t="n">
        <x:f>VLOOKUP(C129,'Governorate Master'!$A$2:$Q$13,6,FALSE)</x:f>
        <x:v>0.8390177353342428</x:v>
      </x:c>
      <x:c r="I129" s="20" t="n">
        <x:f>VLOOKUP(C129,'Governorate Master'!$A$2:$Q$13,15,FALSE)</x:f>
        <x:v>0.03614457831325301</x:v>
      </x:c>
      <x:c r="J129" s="12" t="str">
        <x:v>Location model input - competition/saturation context</x:v>
      </x:c>
      <x:c r="K129" s="12" t="str">
        <x:v>Business count is from 2018 while population/context indicators are newer; use as a historical proxy, not a current market count.</x:v>
      </x:c>
    </x:row>
    <x:row r="130">
      <x:c r="A130" s="12" t="str">
        <x:v>1050</x:v>
      </x:c>
      <x:c r="B130" s="12" t="str">
        <x:v>Manufacture of dairy products</x:v>
      </x:c>
      <x:c r="C130" s="12" t="str">
        <x:v>الكرك</x:v>
      </x:c>
      <x:c r="D130" s="14" t="n">
        <x:v>6</x:v>
      </x:c>
      <x:c r="E130" s="14" t="n">
        <x:f>VLOOKUP(C130,'Governorate Master'!$A$2:$Q$13,3,FALSE)</x:f>
        <x:v>395400</x:v>
      </x:c>
      <x:c r="F130" s="66" t="n">
        <x:f>IF(E130=0,0,D130/E130*10000)</x:f>
        <x:v>0.15174506828528073</x:v>
      </x:c>
      <x:c r="G130" s="67" t="n">
        <x:f>VLOOKUP(C130,'Governorate Master'!$A$2:$Q$13,7,FALSE)</x:f>
        <x:v>113.1</x:v>
      </x:c>
      <x:c r="H130" s="20" t="n">
        <x:f>VLOOKUP(C130,'Governorate Master'!$A$2:$Q$13,6,FALSE)</x:f>
        <x:v>0.5912999494183105</x:v>
      </x:c>
      <x:c r="I130" s="20" t="n">
        <x:f>VLOOKUP(C130,'Governorate Master'!$A$2:$Q$13,15,FALSE)</x:f>
        <x:v>0.08710801393728224</x:v>
      </x:c>
      <x:c r="J130" s="12" t="str">
        <x:v>Location model input - competition/saturation context</x:v>
      </x:c>
      <x:c r="K130" s="12" t="str">
        <x:v>Business count is from 2018 while population/context indicators are newer; use as a historical proxy, not a current market count.</x:v>
      </x:c>
    </x:row>
    <x:row r="131">
      <x:c r="A131" s="12" t="str">
        <x:v>1050</x:v>
      </x:c>
      <x:c r="B131" s="12" t="str">
        <x:v>Manufacture of dairy products</x:v>
      </x:c>
      <x:c r="C131" s="12" t="str">
        <x:v>الطفيلة</x:v>
      </x:c>
      <x:c r="D131" s="14" t="n">
        <x:v>11</x:v>
      </x:c>
      <x:c r="E131" s="14" t="n">
        <x:f>VLOOKUP(C131,'Governorate Master'!$A$2:$Q$13,3,FALSE)</x:f>
        <x:v>120300</x:v>
      </x:c>
      <x:c r="F131" s="66" t="n">
        <x:f>IF(E131=0,0,D131/E131*10000)</x:f>
        <x:v>0.914380714879468</x:v>
      </x:c>
      <x:c r="G131" s="67" t="n">
        <x:f>VLOOKUP(C131,'Governorate Master'!$A$2:$Q$13,7,FALSE)</x:f>
        <x:v>54.4</x:v>
      </x:c>
      <x:c r="H131" s="20" t="n">
        <x:f>VLOOKUP(C131,'Governorate Master'!$A$2:$Q$13,6,FALSE)</x:f>
        <x:v>0.7797173732335827</x:v>
      </x:c>
      <x:c r="I131" s="20" t="n">
        <x:f>VLOOKUP(C131,'Governorate Master'!$A$2:$Q$13,15,FALSE)</x:f>
        <x:v>0.18452380952380953</x:v>
      </x:c>
      <x:c r="J131" s="12" t="str">
        <x:v>Location model input - competition/saturation context</x:v>
      </x:c>
      <x:c r="K131" s="12" t="str">
        <x:v>Business count is from 2018 while population/context indicators are newer; use as a historical proxy, not a current market count.</x:v>
      </x:c>
    </x:row>
    <x:row r="132">
      <x:c r="A132" s="12" t="str">
        <x:v>1050</x:v>
      </x:c>
      <x:c r="B132" s="12" t="str">
        <x:v>Manufacture of dairy products</x:v>
      </x:c>
      <x:c r="C132" s="12" t="str">
        <x:v>معان</x:v>
      </x:c>
      <x:c r="D132" s="14" t="n">
        <x:v>4</x:v>
      </x:c>
      <x:c r="E132" s="14" t="n">
        <x:f>VLOOKUP(C132,'Governorate Master'!$A$2:$Q$13,3,FALSE)</x:f>
        <x:v>197900</x:v>
      </x:c>
      <x:c r="F132" s="66" t="n">
        <x:f>IF(E132=0,0,D132/E132*10000)</x:f>
        <x:v>0.202122283981809</x:v>
      </x:c>
      <x:c r="G132" s="67" t="n">
        <x:f>VLOOKUP(C132,'Governorate Master'!$A$2:$Q$13,7,FALSE)</x:f>
        <x:v>6</x:v>
      </x:c>
      <x:c r="H132" s="20" t="n">
        <x:f>VLOOKUP(C132,'Governorate Master'!$A$2:$Q$13,6,FALSE)</x:f>
        <x:v>0.5406771096513391</x:v>
      </x:c>
      <x:c r="I132" s="20" t="n">
        <x:f>VLOOKUP(C132,'Governorate Master'!$A$2:$Q$13,15,FALSE)</x:f>
        <x:v>0.026845637583892617</x:v>
      </x:c>
      <x:c r="J132" s="12" t="str">
        <x:v>Location model input - competition/saturation context</x:v>
      </x:c>
      <x:c r="K132" s="12" t="str">
        <x:v>Business count is from 2018 while population/context indicators are newer; use as a historical proxy, not a current market count.</x:v>
      </x:c>
    </x:row>
    <x:row r="133">
      <x:c r="A133" s="12" t="str">
        <x:v>1050</x:v>
      </x:c>
      <x:c r="B133" s="12" t="str">
        <x:v>Manufacture of dairy products</x:v>
      </x:c>
      <x:c r="C133" s="12" t="str">
        <x:v>العقبة</x:v>
      </x:c>
      <x:c r="D133" s="14" t="n">
        <x:v>4</x:v>
      </x:c>
      <x:c r="E133" s="14" t="n">
        <x:f>VLOOKUP(C133,'Governorate Master'!$A$2:$Q$13,3,FALSE)</x:f>
        <x:v>250900</x:v>
      </x:c>
      <x:c r="F133" s="66" t="n">
        <x:f>IF(E133=0,0,D133/E133*10000)</x:f>
        <x:v>0.15942606616181745</x:v>
      </x:c>
      <x:c r="G133" s="67" t="n">
        <x:f>VLOOKUP(C133,'Governorate Master'!$A$2:$Q$13,7,FALSE)</x:f>
        <x:v>36.3</x:v>
      </x:c>
      <x:c r="H133" s="20" t="n">
        <x:f>VLOOKUP(C133,'Governorate Master'!$A$2:$Q$13,6,FALSE)</x:f>
        <x:v>0.882024711040255</x:v>
      </x:c>
      <x:c r="I133" s="20" t="n">
        <x:f>VLOOKUP(C133,'Governorate Master'!$A$2:$Q$13,15,FALSE)</x:f>
        <x:v>-0.09</x:v>
      </x:c>
      <x:c r="J133" s="12" t="str">
        <x:v>Location model input - competition/saturation context</x:v>
      </x:c>
      <x:c r="K133" s="12" t="str">
        <x:v>Business count is from 2018 while population/context indicators are newer; use as a historical proxy, not a current market count.</x:v>
      </x:c>
    </x:row>
    <x:row r="134">
      <x:c r="A134" s="12" t="str">
        <x:v>1061</x:v>
      </x:c>
      <x:c r="B134" s="12" t="str">
        <x:v>Manufacture of grain mill products</x:v>
      </x:c>
      <x:c r="C134" s="12" t="str">
        <x:v>عمان</x:v>
      </x:c>
      <x:c r="D134" s="14" t="n">
        <x:v>19</x:v>
      </x:c>
      <x:c r="E134" s="14" t="n">
        <x:f>VLOOKUP(C134,'Governorate Master'!$A$2:$Q$13,3,FALSE)</x:f>
        <x:v>5004600</x:v>
      </x:c>
      <x:c r="F134" s="66" t="n">
        <x:f>IF(E134=0,0,D134/E134*10000)</x:f>
        <x:v>0.037965072133637055</x:v>
      </x:c>
      <x:c r="G134" s="67" t="n">
        <x:f>VLOOKUP(C134,'Governorate Master'!$A$2:$Q$13,7,FALSE)</x:f>
        <x:v>660.3</x:v>
      </x:c>
      <x:c r="H134" s="20" t="n">
        <x:f>VLOOKUP(C134,'Governorate Master'!$A$2:$Q$13,6,FALSE)</x:f>
        <x:v>0.9721656076409703</x:v>
      </x:c>
      <x:c r="I134" s="20" t="n">
        <x:f>VLOOKUP(C134,'Governorate Master'!$A$2:$Q$13,15,FALSE)</x:f>
        <x:v>0.06367041198501873</x:v>
      </x:c>
      <x:c r="J134" s="12" t="str">
        <x:v>Location model input - competition/saturation context</x:v>
      </x:c>
      <x:c r="K134" s="12" t="str">
        <x:v>Business count is from 2018 while population/context indicators are newer; use as a historical proxy, not a current market count.</x:v>
      </x:c>
    </x:row>
    <x:row r="135">
      <x:c r="A135" s="12" t="str">
        <x:v>1061</x:v>
      </x:c>
      <x:c r="B135" s="12" t="str">
        <x:v>Manufacture of grain mill products</x:v>
      </x:c>
      <x:c r="C135" s="12" t="str">
        <x:v>البلقاء</x:v>
      </x:c>
      <x:c r="D135" s="14" t="n">
        <x:v>11</x:v>
      </x:c>
      <x:c r="E135" s="14" t="n">
        <x:f>VLOOKUP(C135,'Governorate Master'!$A$2:$Q$13,3,FALSE)</x:f>
        <x:v>614000</x:v>
      </x:c>
      <x:c r="F135" s="66" t="n">
        <x:f>IF(E135=0,0,D135/E135*10000)</x:f>
        <x:v>0.1791530944625407</x:v>
      </x:c>
      <x:c r="G135" s="67" t="n">
        <x:f>VLOOKUP(C135,'Governorate Master'!$A$2:$Q$13,7,FALSE)</x:f>
        <x:v>548</x:v>
      </x:c>
      <x:c r="H135" s="20" t="n">
        <x:f>VLOOKUP(C135,'Governorate Master'!$A$2:$Q$13,6,FALSE)</x:f>
        <x:v>0.8210097719869707</x:v>
      </x:c>
      <x:c r="I135" s="20" t="n">
        <x:f>VLOOKUP(C135,'Governorate Master'!$A$2:$Q$13,15,FALSE)</x:f>
        <x:v>0.10794044665012408</x:v>
      </x:c>
      <x:c r="J135" s="12" t="str">
        <x:v>Location model input - competition/saturation context</x:v>
      </x:c>
      <x:c r="K135" s="12" t="str">
        <x:v>Business count is from 2018 while population/context indicators are newer; use as a historical proxy, not a current market count.</x:v>
      </x:c>
    </x:row>
    <x:row r="136">
      <x:c r="A136" s="12" t="str">
        <x:v>1061</x:v>
      </x:c>
      <x:c r="B136" s="12" t="str">
        <x:v>Manufacture of grain mill products</x:v>
      </x:c>
      <x:c r="C136" s="12" t="str">
        <x:v>الزرقاء</x:v>
      </x:c>
      <x:c r="D136" s="14" t="n">
        <x:v>6</x:v>
      </x:c>
      <x:c r="E136" s="14" t="n">
        <x:f>VLOOKUP(C136,'Governorate Master'!$A$2:$Q$13,3,FALSE)</x:f>
        <x:v>1704500</x:v>
      </x:c>
      <x:c r="F136" s="66" t="n">
        <x:f>IF(E136=0,0,D136/E136*10000)</x:f>
        <x:v>0.03520093869169844</x:v>
      </x:c>
      <x:c r="G136" s="67" t="n">
        <x:f>VLOOKUP(C136,'Governorate Master'!$A$2:$Q$13,7,FALSE)</x:f>
        <x:v>358</x:v>
      </x:c>
      <x:c r="H136" s="20" t="n">
        <x:f>VLOOKUP(C136,'Governorate Master'!$A$2:$Q$13,6,FALSE)</x:f>
        <x:v>0.9636256966852449</x:v>
      </x:c>
      <x:c r="I136" s="20" t="n">
        <x:f>VLOOKUP(C136,'Governorate Master'!$A$2:$Q$13,15,FALSE)</x:f>
        <x:v>-0.06808762581409118</x:v>
      </x:c>
      <x:c r="J136" s="12" t="str">
        <x:v>Location model input - competition/saturation context</x:v>
      </x:c>
      <x:c r="K136" s="12" t="str">
        <x:v>Business count is from 2018 while population/context indicators are newer; use as a historical proxy, not a current market count.</x:v>
      </x:c>
    </x:row>
    <x:row r="137">
      <x:c r="A137" s="12" t="str">
        <x:v>1061</x:v>
      </x:c>
      <x:c r="B137" s="12" t="str">
        <x:v>Manufacture of grain mill products</x:v>
      </x:c>
      <x:c r="C137" s="12" t="str">
        <x:v>مادبا</x:v>
      </x:c>
      <x:c r="D137" s="14" t="n">
        <x:v>3</x:v>
      </x:c>
      <x:c r="E137" s="14" t="n">
        <x:f>VLOOKUP(C137,'Governorate Master'!$A$2:$Q$13,3,FALSE)</x:f>
        <x:v>236200</x:v>
      </x:c>
      <x:c r="F137" s="66" t="n">
        <x:f>IF(E137=0,0,D137/E137*10000)</x:f>
        <x:v>0.12701100762066045</x:v>
      </x:c>
      <x:c r="G137" s="67" t="n">
        <x:f>VLOOKUP(C137,'Governorate Master'!$A$2:$Q$13,7,FALSE)</x:f>
        <x:v>251.4</x:v>
      </x:c>
      <x:c r="H137" s="20" t="n">
        <x:f>VLOOKUP(C137,'Governorate Master'!$A$2:$Q$13,6,FALSE)</x:f>
        <x:v>0.7823878069432684</x:v>
      </x:c>
      <x:c r="I137" s="20" t="n">
        <x:f>VLOOKUP(C137,'Governorate Master'!$A$2:$Q$13,15,FALSE)</x:f>
        <x:v>-0.18823529411764706</x:v>
      </x:c>
      <x:c r="J137" s="12" t="str">
        <x:v>Location model input - competition/saturation context</x:v>
      </x:c>
      <x:c r="K137" s="12" t="str">
        <x:v>Business count is from 2018 while population/context indicators are newer; use as a historical proxy, not a current market count.</x:v>
      </x:c>
    </x:row>
    <x:row r="138">
      <x:c r="A138" s="12" t="str">
        <x:v>1061</x:v>
      </x:c>
      <x:c r="B138" s="12" t="str">
        <x:v>Manufacture of grain mill products</x:v>
      </x:c>
      <x:c r="C138" s="12" t="str">
        <x:v>إربد</x:v>
      </x:c>
      <x:c r="D138" s="14" t="n">
        <x:v>23</x:v>
      </x:c>
      <x:c r="E138" s="14" t="n">
        <x:f>VLOOKUP(C138,'Governorate Master'!$A$2:$Q$13,3,FALSE)</x:f>
        <x:v>2210500</x:v>
      </x:c>
      <x:c r="F138" s="66" t="n">
        <x:f>IF(E138=0,0,D138/E138*10000)</x:f>
        <x:v>0.10404885772449672</x:v>
      </x:c>
      <x:c r="G138" s="67" t="n">
        <x:f>VLOOKUP(C138,'Governorate Master'!$A$2:$Q$13,7,FALSE)</x:f>
        <x:v>1406.4</x:v>
      </x:c>
      <x:c r="H138" s="20" t="n">
        <x:f>VLOOKUP(C138,'Governorate Master'!$A$2:$Q$13,6,FALSE)</x:f>
        <x:v>0.9235014702555983</x:v>
      </x:c>
      <x:c r="I138" s="20" t="n">
        <x:f>VLOOKUP(C138,'Governorate Master'!$A$2:$Q$13,15,FALSE)</x:f>
        <x:v>0.07086922474549726</x:v>
      </x:c>
      <x:c r="J138" s="12" t="str">
        <x:v>Location model input - competition/saturation context</x:v>
      </x:c>
      <x:c r="K138" s="12" t="str">
        <x:v>Business count is from 2018 while population/context indicators are newer; use as a historical proxy, not a current market count.</x:v>
      </x:c>
    </x:row>
    <x:row r="139">
      <x:c r="A139" s="12" t="str">
        <x:v>1061</x:v>
      </x:c>
      <x:c r="B139" s="12" t="str">
        <x:v>Manufacture of grain mill products</x:v>
      </x:c>
      <x:c r="C139" s="12" t="str">
        <x:v>المفرق</x:v>
      </x:c>
      <x:c r="D139" s="14" t="n">
        <x:v>8</x:v>
      </x:c>
      <x:c r="E139" s="14" t="n">
        <x:f>VLOOKUP(C139,'Governorate Master'!$A$2:$Q$13,3,FALSE)</x:f>
        <x:v>686800</x:v>
      </x:c>
      <x:c r="F139" s="66" t="n">
        <x:f>IF(E139=0,0,D139/E139*10000)</x:f>
        <x:v>0.11648223645894001</x:v>
      </x:c>
      <x:c r="G139" s="67" t="n">
        <x:f>VLOOKUP(C139,'Governorate Master'!$A$2:$Q$13,7,FALSE)</x:f>
        <x:v>25.9</x:v>
      </x:c>
      <x:c r="H139" s="20" t="n">
        <x:f>VLOOKUP(C139,'Governorate Master'!$A$2:$Q$13,6,FALSE)</x:f>
        <x:v>0.6965637740244612</x:v>
      </x:c>
      <x:c r="I139" s="20" t="n">
        <x:f>VLOOKUP(C139,'Governorate Master'!$A$2:$Q$13,15,FALSE)</x:f>
        <x:v>-0.016638935108153077</x:v>
      </x:c>
      <x:c r="J139" s="12" t="str">
        <x:v>Location model input - competition/saturation context</x:v>
      </x:c>
      <x:c r="K139" s="12" t="str">
        <x:v>Business count is from 2018 while population/context indicators are newer; use as a historical proxy, not a current market count.</x:v>
      </x:c>
    </x:row>
    <x:row r="140">
      <x:c r="A140" s="12" t="str">
        <x:v>1061</x:v>
      </x:c>
      <x:c r="B140" s="12" t="str">
        <x:v>Manufacture of grain mill products</x:v>
      </x:c>
      <x:c r="C140" s="12" t="str">
        <x:v>جرش</x:v>
      </x:c>
      <x:c r="D140" s="14" t="n">
        <x:v>4</x:v>
      </x:c>
      <x:c r="E140" s="14" t="n">
        <x:f>VLOOKUP(C140,'Governorate Master'!$A$2:$Q$13,3,FALSE)</x:f>
        <x:v>296000</x:v>
      </x:c>
      <x:c r="F140" s="66" t="n">
        <x:f>IF(E140=0,0,D140/E140*10000)</x:f>
        <x:v>0.13513513513513514</x:v>
      </x:c>
      <x:c r="G140" s="67" t="n">
        <x:f>VLOOKUP(C140,'Governorate Master'!$A$2:$Q$13,7,FALSE)</x:f>
        <x:v>722.3</x:v>
      </x:c>
      <x:c r="H140" s="20" t="n">
        <x:f>VLOOKUP(C140,'Governorate Master'!$A$2:$Q$13,6,FALSE)</x:f>
        <x:v>0.7695945945945946</x:v>
      </x:c>
      <x:c r="I140" s="20" t="n">
        <x:f>VLOOKUP(C140,'Governorate Master'!$A$2:$Q$13,15,FALSE)</x:f>
        <x:v>-0.06527415143603134</x:v>
      </x:c>
      <x:c r="J140" s="12" t="str">
        <x:v>Location model input - competition/saturation context</x:v>
      </x:c>
      <x:c r="K140" s="12" t="str">
        <x:v>Business count is from 2018 while population/context indicators are newer; use as a historical proxy, not a current market count.</x:v>
      </x:c>
    </x:row>
    <x:row r="141">
      <x:c r="A141" s="12" t="str">
        <x:v>1061</x:v>
      </x:c>
      <x:c r="B141" s="12" t="str">
        <x:v>Manufacture of grain mill products</x:v>
      </x:c>
      <x:c r="C141" s="12" t="str">
        <x:v>عجلون</x:v>
      </x:c>
      <x:c r="D141" s="14" t="n">
        <x:v>6</x:v>
      </x:c>
      <x:c r="E141" s="14" t="n">
        <x:f>VLOOKUP(C141,'Governorate Master'!$A$2:$Q$13,3,FALSE)</x:f>
        <x:v>219900</x:v>
      </x:c>
      <x:c r="F141" s="66" t="n">
        <x:f>IF(E141=0,0,D141/E141*10000)</x:f>
        <x:v>0.2728512960436562</x:v>
      </x:c>
      <x:c r="G141" s="67" t="n">
        <x:f>VLOOKUP(C141,'Governorate Master'!$A$2:$Q$13,7,FALSE)</x:f>
        <x:v>524</x:v>
      </x:c>
      <x:c r="H141" s="20" t="n">
        <x:f>VLOOKUP(C141,'Governorate Master'!$A$2:$Q$13,6,FALSE)</x:f>
        <x:v>0.8390177353342428</x:v>
      </x:c>
      <x:c r="I141" s="20" t="n">
        <x:f>VLOOKUP(C141,'Governorate Master'!$A$2:$Q$13,15,FALSE)</x:f>
        <x:v>0.03614457831325301</x:v>
      </x:c>
      <x:c r="J141" s="12" t="str">
        <x:v>Location model input - competition/saturation context</x:v>
      </x:c>
      <x:c r="K141" s="12" t="str">
        <x:v>Business count is from 2018 while population/context indicators are newer; use as a historical proxy, not a current market count.</x:v>
      </x:c>
    </x:row>
    <x:row r="142">
      <x:c r="A142" s="12" t="str">
        <x:v>1061</x:v>
      </x:c>
      <x:c r="B142" s="12" t="str">
        <x:v>Manufacture of grain mill products</x:v>
      </x:c>
      <x:c r="C142" s="12" t="str">
        <x:v>الكرك</x:v>
      </x:c>
      <x:c r="D142" s="14" t="n">
        <x:v>6</x:v>
      </x:c>
      <x:c r="E142" s="14" t="n">
        <x:f>VLOOKUP(C142,'Governorate Master'!$A$2:$Q$13,3,FALSE)</x:f>
        <x:v>395400</x:v>
      </x:c>
      <x:c r="F142" s="66" t="n">
        <x:f>IF(E142=0,0,D142/E142*10000)</x:f>
        <x:v>0.15174506828528073</x:v>
      </x:c>
      <x:c r="G142" s="67" t="n">
        <x:f>VLOOKUP(C142,'Governorate Master'!$A$2:$Q$13,7,FALSE)</x:f>
        <x:v>113.1</x:v>
      </x:c>
      <x:c r="H142" s="20" t="n">
        <x:f>VLOOKUP(C142,'Governorate Master'!$A$2:$Q$13,6,FALSE)</x:f>
        <x:v>0.5912999494183105</x:v>
      </x:c>
      <x:c r="I142" s="20" t="n">
        <x:f>VLOOKUP(C142,'Governorate Master'!$A$2:$Q$13,15,FALSE)</x:f>
        <x:v>0.08710801393728224</x:v>
      </x:c>
      <x:c r="J142" s="12" t="str">
        <x:v>Location model input - competition/saturation context</x:v>
      </x:c>
      <x:c r="K142" s="12" t="str">
        <x:v>Business count is from 2018 while population/context indicators are newer; use as a historical proxy, not a current market count.</x:v>
      </x:c>
    </x:row>
    <x:row r="143">
      <x:c r="A143" s="12" t="str">
        <x:v>1061</x:v>
      </x:c>
      <x:c r="B143" s="12" t="str">
        <x:v>Manufacture of grain mill products</x:v>
      </x:c>
      <x:c r="C143" s="12" t="str">
        <x:v>الطفيلة</x:v>
      </x:c>
      <x:c r="D143" s="14" t="n">
        <x:v>6</x:v>
      </x:c>
      <x:c r="E143" s="14" t="n">
        <x:f>VLOOKUP(C143,'Governorate Master'!$A$2:$Q$13,3,FALSE)</x:f>
        <x:v>120300</x:v>
      </x:c>
      <x:c r="F143" s="66" t="n">
        <x:f>IF(E143=0,0,D143/E143*10000)</x:f>
        <x:v>0.49875311720698257</x:v>
      </x:c>
      <x:c r="G143" s="67" t="n">
        <x:f>VLOOKUP(C143,'Governorate Master'!$A$2:$Q$13,7,FALSE)</x:f>
        <x:v>54.4</x:v>
      </x:c>
      <x:c r="H143" s="20" t="n">
        <x:f>VLOOKUP(C143,'Governorate Master'!$A$2:$Q$13,6,FALSE)</x:f>
        <x:v>0.7797173732335827</x:v>
      </x:c>
      <x:c r="I143" s="20" t="n">
        <x:f>VLOOKUP(C143,'Governorate Master'!$A$2:$Q$13,15,FALSE)</x:f>
        <x:v>0.18452380952380953</x:v>
      </x:c>
      <x:c r="J143" s="12" t="str">
        <x:v>Location model input - competition/saturation context</x:v>
      </x:c>
      <x:c r="K143" s="12" t="str">
        <x:v>Business count is from 2018 while population/context indicators are newer; use as a historical proxy, not a current market count.</x:v>
      </x:c>
    </x:row>
    <x:row r="144">
      <x:c r="A144" s="12" t="str">
        <x:v>1061</x:v>
      </x:c>
      <x:c r="B144" s="12" t="str">
        <x:v>Manufacture of grain mill products</x:v>
      </x:c>
      <x:c r="C144" s="12" t="str">
        <x:v>معان</x:v>
      </x:c>
      <x:c r="D144" s="14" t="n">
        <x:v>2</x:v>
      </x:c>
      <x:c r="E144" s="14" t="n">
        <x:f>VLOOKUP(C144,'Governorate Master'!$A$2:$Q$13,3,FALSE)</x:f>
        <x:v>197900</x:v>
      </x:c>
      <x:c r="F144" s="66" t="n">
        <x:f>IF(E144=0,0,D144/E144*10000)</x:f>
        <x:v>0.1010611419909045</x:v>
      </x:c>
      <x:c r="G144" s="67" t="n">
        <x:f>VLOOKUP(C144,'Governorate Master'!$A$2:$Q$13,7,FALSE)</x:f>
        <x:v>6</x:v>
      </x:c>
      <x:c r="H144" s="20" t="n">
        <x:f>VLOOKUP(C144,'Governorate Master'!$A$2:$Q$13,6,FALSE)</x:f>
        <x:v>0.5406771096513391</x:v>
      </x:c>
      <x:c r="I144" s="20" t="n">
        <x:f>VLOOKUP(C144,'Governorate Master'!$A$2:$Q$13,15,FALSE)</x:f>
        <x:v>0.026845637583892617</x:v>
      </x:c>
      <x:c r="J144" s="12" t="str">
        <x:v>Location model input - competition/saturation context</x:v>
      </x:c>
      <x:c r="K144" s="12" t="str">
        <x:v>Business count is from 2018 while population/context indicators are newer; use as a historical proxy, not a current market count.</x:v>
      </x:c>
    </x:row>
    <x:row r="145">
      <x:c r="A145" s="12" t="str">
        <x:v>1061</x:v>
      </x:c>
      <x:c r="B145" s="12" t="str">
        <x:v>Manufacture of grain mill products</x:v>
      </x:c>
      <x:c r="C145" s="12" t="str">
        <x:v>العقبة</x:v>
      </x:c>
      <x:c r="D145" s="14" t="n">
        <x:v>2</x:v>
      </x:c>
      <x:c r="E145" s="14" t="n">
        <x:f>VLOOKUP(C145,'Governorate Master'!$A$2:$Q$13,3,FALSE)</x:f>
        <x:v>250900</x:v>
      </x:c>
      <x:c r="F145" s="66" t="n">
        <x:f>IF(E145=0,0,D145/E145*10000)</x:f>
        <x:v>0.07971303308090873</x:v>
      </x:c>
      <x:c r="G145" s="67" t="n">
        <x:f>VLOOKUP(C145,'Governorate Master'!$A$2:$Q$13,7,FALSE)</x:f>
        <x:v>36.3</x:v>
      </x:c>
      <x:c r="H145" s="20" t="n">
        <x:f>VLOOKUP(C145,'Governorate Master'!$A$2:$Q$13,6,FALSE)</x:f>
        <x:v>0.882024711040255</x:v>
      </x:c>
      <x:c r="I145" s="20" t="n">
        <x:f>VLOOKUP(C145,'Governorate Master'!$A$2:$Q$13,15,FALSE)</x:f>
        <x:v>-0.09</x:v>
      </x:c>
      <x:c r="J145" s="12" t="str">
        <x:v>Location model input - competition/saturation context</x:v>
      </x:c>
      <x:c r="K145" s="12" t="str">
        <x:v>Business count is from 2018 while population/context indicators are newer; use as a historical proxy, not a current market count.</x:v>
      </x:c>
    </x:row>
    <x:row r="146">
      <x:c r="A146" s="12" t="str">
        <x:v>1071</x:v>
      </x:c>
      <x:c r="B146" s="12" t="str">
        <x:v>Manufacture of bakery products</x:v>
      </x:c>
      <x:c r="C146" s="12" t="str">
        <x:v>عمان</x:v>
      </x:c>
      <x:c r="D146" s="14" t="n">
        <x:v>1097</x:v>
      </x:c>
      <x:c r="E146" s="14" t="n">
        <x:f>VLOOKUP(C146,'Governorate Master'!$A$2:$Q$13,3,FALSE)</x:f>
        <x:v>5004600</x:v>
      </x:c>
      <x:c r="F146" s="66" t="n">
        <x:f>IF(E146=0,0,D146/E146*10000)</x:f>
        <x:v>2.191983375294729</x:v>
      </x:c>
      <x:c r="G146" s="67" t="n">
        <x:f>VLOOKUP(C146,'Governorate Master'!$A$2:$Q$13,7,FALSE)</x:f>
        <x:v>660.3</x:v>
      </x:c>
      <x:c r="H146" s="20" t="n">
        <x:f>VLOOKUP(C146,'Governorate Master'!$A$2:$Q$13,6,FALSE)</x:f>
        <x:v>0.9721656076409703</x:v>
      </x:c>
      <x:c r="I146" s="20" t="n">
        <x:f>VLOOKUP(C146,'Governorate Master'!$A$2:$Q$13,15,FALSE)</x:f>
        <x:v>0.06367041198501873</x:v>
      </x:c>
      <x:c r="J146" s="12" t="str">
        <x:v>Location model input - competition/saturation context</x:v>
      </x:c>
      <x:c r="K146" s="12" t="str">
        <x:v>Business count is from 2018 while population/context indicators are newer; use as a historical proxy, not a current market count.</x:v>
      </x:c>
    </x:row>
    <x:row r="147">
      <x:c r="A147" s="12" t="str">
        <x:v>1071</x:v>
      </x:c>
      <x:c r="B147" s="12" t="str">
        <x:v>Manufacture of bakery products</x:v>
      </x:c>
      <x:c r="C147" s="12" t="str">
        <x:v>البلقاء</x:v>
      </x:c>
      <x:c r="D147" s="14" t="n">
        <x:v>199</x:v>
      </x:c>
      <x:c r="E147" s="14" t="n">
        <x:f>VLOOKUP(C147,'Governorate Master'!$A$2:$Q$13,3,FALSE)</x:f>
        <x:v>614000</x:v>
      </x:c>
      <x:c r="F147" s="66" t="n">
        <x:f>IF(E147=0,0,D147/E147*10000)</x:f>
        <x:v>3.2410423452768726</x:v>
      </x:c>
      <x:c r="G147" s="67" t="n">
        <x:f>VLOOKUP(C147,'Governorate Master'!$A$2:$Q$13,7,FALSE)</x:f>
        <x:v>548</x:v>
      </x:c>
      <x:c r="H147" s="20" t="n">
        <x:f>VLOOKUP(C147,'Governorate Master'!$A$2:$Q$13,6,FALSE)</x:f>
        <x:v>0.8210097719869707</x:v>
      </x:c>
      <x:c r="I147" s="20" t="n">
        <x:f>VLOOKUP(C147,'Governorate Master'!$A$2:$Q$13,15,FALSE)</x:f>
        <x:v>0.10794044665012408</x:v>
      </x:c>
      <x:c r="J147" s="12" t="str">
        <x:v>Location model input - competition/saturation context</x:v>
      </x:c>
      <x:c r="K147" s="12" t="str">
        <x:v>Business count is from 2018 while population/context indicators are newer; use as a historical proxy, not a current market count.</x:v>
      </x:c>
    </x:row>
    <x:row r="148">
      <x:c r="A148" s="12" t="str">
        <x:v>1071</x:v>
      </x:c>
      <x:c r="B148" s="12" t="str">
        <x:v>Manufacture of bakery products</x:v>
      </x:c>
      <x:c r="C148" s="12" t="str">
        <x:v>الزرقاء</x:v>
      </x:c>
      <x:c r="D148" s="14" t="n">
        <x:v>356</x:v>
      </x:c>
      <x:c r="E148" s="14" t="n">
        <x:f>VLOOKUP(C148,'Governorate Master'!$A$2:$Q$13,3,FALSE)</x:f>
        <x:v>1704500</x:v>
      </x:c>
      <x:c r="F148" s="66" t="n">
        <x:f>IF(E148=0,0,D148/E148*10000)</x:f>
        <x:v>2.0885890290407745</x:v>
      </x:c>
      <x:c r="G148" s="67" t="n">
        <x:f>VLOOKUP(C148,'Governorate Master'!$A$2:$Q$13,7,FALSE)</x:f>
        <x:v>358</x:v>
      </x:c>
      <x:c r="H148" s="20" t="n">
        <x:f>VLOOKUP(C148,'Governorate Master'!$A$2:$Q$13,6,FALSE)</x:f>
        <x:v>0.9636256966852449</x:v>
      </x:c>
      <x:c r="I148" s="20" t="n">
        <x:f>VLOOKUP(C148,'Governorate Master'!$A$2:$Q$13,15,FALSE)</x:f>
        <x:v>-0.06808762581409118</x:v>
      </x:c>
      <x:c r="J148" s="12" t="str">
        <x:v>Location model input - competition/saturation context</x:v>
      </x:c>
      <x:c r="K148" s="12" t="str">
        <x:v>Business count is from 2018 while population/context indicators are newer; use as a historical proxy, not a current market count.</x:v>
      </x:c>
    </x:row>
    <x:row r="149">
      <x:c r="A149" s="12" t="str">
        <x:v>1071</x:v>
      </x:c>
      <x:c r="B149" s="12" t="str">
        <x:v>Manufacture of bakery products</x:v>
      </x:c>
      <x:c r="C149" s="12" t="str">
        <x:v>مادبا</x:v>
      </x:c>
      <x:c r="D149" s="14" t="n">
        <x:v>80</x:v>
      </x:c>
      <x:c r="E149" s="14" t="n">
        <x:f>VLOOKUP(C149,'Governorate Master'!$A$2:$Q$13,3,FALSE)</x:f>
        <x:v>236200</x:v>
      </x:c>
      <x:c r="F149" s="66" t="n">
        <x:f>IF(E149=0,0,D149/E149*10000)</x:f>
        <x:v>3.3869602032176123</x:v>
      </x:c>
      <x:c r="G149" s="67" t="n">
        <x:f>VLOOKUP(C149,'Governorate Master'!$A$2:$Q$13,7,FALSE)</x:f>
        <x:v>251.4</x:v>
      </x:c>
      <x:c r="H149" s="20" t="n">
        <x:f>VLOOKUP(C149,'Governorate Master'!$A$2:$Q$13,6,FALSE)</x:f>
        <x:v>0.7823878069432684</x:v>
      </x:c>
      <x:c r="I149" s="20" t="n">
        <x:f>VLOOKUP(C149,'Governorate Master'!$A$2:$Q$13,15,FALSE)</x:f>
        <x:v>-0.18823529411764706</x:v>
      </x:c>
      <x:c r="J149" s="12" t="str">
        <x:v>Location model input - competition/saturation context</x:v>
      </x:c>
      <x:c r="K149" s="12" t="str">
        <x:v>Business count is from 2018 while population/context indicators are newer; use as a historical proxy, not a current market count.</x:v>
      </x:c>
    </x:row>
    <x:row r="150">
      <x:c r="A150" s="12" t="str">
        <x:v>1071</x:v>
      </x:c>
      <x:c r="B150" s="12" t="str">
        <x:v>Manufacture of bakery products</x:v>
      </x:c>
      <x:c r="C150" s="12" t="str">
        <x:v>إربد</x:v>
      </x:c>
      <x:c r="D150" s="14" t="n">
        <x:v>578</x:v>
      </x:c>
      <x:c r="E150" s="14" t="n">
        <x:f>VLOOKUP(C150,'Governorate Master'!$A$2:$Q$13,3,FALSE)</x:f>
        <x:v>2210500</x:v>
      </x:c>
      <x:c r="F150" s="66" t="n">
        <x:f>IF(E150=0,0,D150/E150*10000)</x:f>
        <x:v>2.614793033250396</x:v>
      </x:c>
      <x:c r="G150" s="67" t="n">
        <x:f>VLOOKUP(C150,'Governorate Master'!$A$2:$Q$13,7,FALSE)</x:f>
        <x:v>1406.4</x:v>
      </x:c>
      <x:c r="H150" s="20" t="n">
        <x:f>VLOOKUP(C150,'Governorate Master'!$A$2:$Q$13,6,FALSE)</x:f>
        <x:v>0.9235014702555983</x:v>
      </x:c>
      <x:c r="I150" s="20" t="n">
        <x:f>VLOOKUP(C150,'Governorate Master'!$A$2:$Q$13,15,FALSE)</x:f>
        <x:v>0.07086922474549726</x:v>
      </x:c>
      <x:c r="J150" s="12" t="str">
        <x:v>Location model input - competition/saturation context</x:v>
      </x:c>
      <x:c r="K150" s="12" t="str">
        <x:v>Business count is from 2018 while population/context indicators are newer; use as a historical proxy, not a current market count.</x:v>
      </x:c>
    </x:row>
    <x:row r="151">
      <x:c r="A151" s="12" t="str">
        <x:v>1071</x:v>
      </x:c>
      <x:c r="B151" s="12" t="str">
        <x:v>Manufacture of bakery products</x:v>
      </x:c>
      <x:c r="C151" s="12" t="str">
        <x:v>المفرق</x:v>
      </x:c>
      <x:c r="D151" s="14" t="n">
        <x:v>122</x:v>
      </x:c>
      <x:c r="E151" s="14" t="n">
        <x:f>VLOOKUP(C151,'Governorate Master'!$A$2:$Q$13,3,FALSE)</x:f>
        <x:v>686800</x:v>
      </x:c>
      <x:c r="F151" s="66" t="n">
        <x:f>IF(E151=0,0,D151/E151*10000)</x:f>
        <x:v>1.776354105998835</x:v>
      </x:c>
      <x:c r="G151" s="67" t="n">
        <x:f>VLOOKUP(C151,'Governorate Master'!$A$2:$Q$13,7,FALSE)</x:f>
        <x:v>25.9</x:v>
      </x:c>
      <x:c r="H151" s="20" t="n">
        <x:f>VLOOKUP(C151,'Governorate Master'!$A$2:$Q$13,6,FALSE)</x:f>
        <x:v>0.6965637740244612</x:v>
      </x:c>
      <x:c r="I151" s="20" t="n">
        <x:f>VLOOKUP(C151,'Governorate Master'!$A$2:$Q$13,15,FALSE)</x:f>
        <x:v>-0.016638935108153077</x:v>
      </x:c>
      <x:c r="J151" s="12" t="str">
        <x:v>Location model input - competition/saturation context</x:v>
      </x:c>
      <x:c r="K151" s="12" t="str">
        <x:v>Business count is from 2018 while population/context indicators are newer; use as a historical proxy, not a current market count.</x:v>
      </x:c>
    </x:row>
    <x:row r="152">
      <x:c r="A152" s="12" t="str">
        <x:v>1071</x:v>
      </x:c>
      <x:c r="B152" s="12" t="str">
        <x:v>Manufacture of bakery products</x:v>
      </x:c>
      <x:c r="C152" s="12" t="str">
        <x:v>جرش</x:v>
      </x:c>
      <x:c r="D152" s="14" t="n">
        <x:v>76</x:v>
      </x:c>
      <x:c r="E152" s="14" t="n">
        <x:f>VLOOKUP(C152,'Governorate Master'!$A$2:$Q$13,3,FALSE)</x:f>
        <x:v>296000</x:v>
      </x:c>
      <x:c r="F152" s="66" t="n">
        <x:f>IF(E152=0,0,D152/E152*10000)</x:f>
        <x:v>2.567567567567568</x:v>
      </x:c>
      <x:c r="G152" s="67" t="n">
        <x:f>VLOOKUP(C152,'Governorate Master'!$A$2:$Q$13,7,FALSE)</x:f>
        <x:v>722.3</x:v>
      </x:c>
      <x:c r="H152" s="20" t="n">
        <x:f>VLOOKUP(C152,'Governorate Master'!$A$2:$Q$13,6,FALSE)</x:f>
        <x:v>0.7695945945945946</x:v>
      </x:c>
      <x:c r="I152" s="20" t="n">
        <x:f>VLOOKUP(C152,'Governorate Master'!$A$2:$Q$13,15,FALSE)</x:f>
        <x:v>-0.06527415143603134</x:v>
      </x:c>
      <x:c r="J152" s="12" t="str">
        <x:v>Location model input - competition/saturation context</x:v>
      </x:c>
      <x:c r="K152" s="12" t="str">
        <x:v>Business count is from 2018 while population/context indicators are newer; use as a historical proxy, not a current market count.</x:v>
      </x:c>
    </x:row>
    <x:row r="153">
      <x:c r="A153" s="12" t="str">
        <x:v>1071</x:v>
      </x:c>
      <x:c r="B153" s="12" t="str">
        <x:v>Manufacture of bakery products</x:v>
      </x:c>
      <x:c r="C153" s="12" t="str">
        <x:v>عجلون</x:v>
      </x:c>
      <x:c r="D153" s="14" t="n">
        <x:v>69</x:v>
      </x:c>
      <x:c r="E153" s="14" t="n">
        <x:f>VLOOKUP(C153,'Governorate Master'!$A$2:$Q$13,3,FALSE)</x:f>
        <x:v>219900</x:v>
      </x:c>
      <x:c r="F153" s="66" t="n">
        <x:f>IF(E153=0,0,D153/E153*10000)</x:f>
        <x:v>3.1377899045020463</x:v>
      </x:c>
      <x:c r="G153" s="67" t="n">
        <x:f>VLOOKUP(C153,'Governorate Master'!$A$2:$Q$13,7,FALSE)</x:f>
        <x:v>524</x:v>
      </x:c>
      <x:c r="H153" s="20" t="n">
        <x:f>VLOOKUP(C153,'Governorate Master'!$A$2:$Q$13,6,FALSE)</x:f>
        <x:v>0.8390177353342428</x:v>
      </x:c>
      <x:c r="I153" s="20" t="n">
        <x:f>VLOOKUP(C153,'Governorate Master'!$A$2:$Q$13,15,FALSE)</x:f>
        <x:v>0.03614457831325301</x:v>
      </x:c>
      <x:c r="J153" s="12" t="str">
        <x:v>Location model input - competition/saturation context</x:v>
      </x:c>
      <x:c r="K153" s="12" t="str">
        <x:v>Business count is from 2018 while population/context indicators are newer; use as a historical proxy, not a current market count.</x:v>
      </x:c>
    </x:row>
    <x:row r="154">
      <x:c r="A154" s="12" t="str">
        <x:v>1071</x:v>
      </x:c>
      <x:c r="B154" s="12" t="str">
        <x:v>Manufacture of bakery products</x:v>
      </x:c>
      <x:c r="C154" s="12" t="str">
        <x:v>الكرك</x:v>
      </x:c>
      <x:c r="D154" s="14" t="n">
        <x:v>112</x:v>
      </x:c>
      <x:c r="E154" s="14" t="n">
        <x:f>VLOOKUP(C154,'Governorate Master'!$A$2:$Q$13,3,FALSE)</x:f>
        <x:v>395400</x:v>
      </x:c>
      <x:c r="F154" s="66" t="n">
        <x:f>IF(E154=0,0,D154/E154*10000)</x:f>
        <x:v>2.832574607991907</x:v>
      </x:c>
      <x:c r="G154" s="67" t="n">
        <x:f>VLOOKUP(C154,'Governorate Master'!$A$2:$Q$13,7,FALSE)</x:f>
        <x:v>113.1</x:v>
      </x:c>
      <x:c r="H154" s="20" t="n">
        <x:f>VLOOKUP(C154,'Governorate Master'!$A$2:$Q$13,6,FALSE)</x:f>
        <x:v>0.5912999494183105</x:v>
      </x:c>
      <x:c r="I154" s="20" t="n">
        <x:f>VLOOKUP(C154,'Governorate Master'!$A$2:$Q$13,15,FALSE)</x:f>
        <x:v>0.08710801393728224</x:v>
      </x:c>
      <x:c r="J154" s="12" t="str">
        <x:v>Location model input - competition/saturation context</x:v>
      </x:c>
      <x:c r="K154" s="12" t="str">
        <x:v>Business count is from 2018 while population/context indicators are newer; use as a historical proxy, not a current market count.</x:v>
      </x:c>
    </x:row>
    <x:row r="155">
      <x:c r="A155" s="12" t="str">
        <x:v>1071</x:v>
      </x:c>
      <x:c r="B155" s="12" t="str">
        <x:v>Manufacture of bakery products</x:v>
      </x:c>
      <x:c r="C155" s="12" t="str">
        <x:v>الطفيلة</x:v>
      </x:c>
      <x:c r="D155" s="14" t="n">
        <x:v>48</x:v>
      </x:c>
      <x:c r="E155" s="14" t="n">
        <x:f>VLOOKUP(C155,'Governorate Master'!$A$2:$Q$13,3,FALSE)</x:f>
        <x:v>120300</x:v>
      </x:c>
      <x:c r="F155" s="66" t="n">
        <x:f>IF(E155=0,0,D155/E155*10000)</x:f>
        <x:v>3.9900249376558605</x:v>
      </x:c>
      <x:c r="G155" s="67" t="n">
        <x:f>VLOOKUP(C155,'Governorate Master'!$A$2:$Q$13,7,FALSE)</x:f>
        <x:v>54.4</x:v>
      </x:c>
      <x:c r="H155" s="20" t="n">
        <x:f>VLOOKUP(C155,'Governorate Master'!$A$2:$Q$13,6,FALSE)</x:f>
        <x:v>0.7797173732335827</x:v>
      </x:c>
      <x:c r="I155" s="20" t="n">
        <x:f>VLOOKUP(C155,'Governorate Master'!$A$2:$Q$13,15,FALSE)</x:f>
        <x:v>0.18452380952380953</x:v>
      </x:c>
      <x:c r="J155" s="12" t="str">
        <x:v>Location model input - competition/saturation context</x:v>
      </x:c>
      <x:c r="K155" s="12" t="str">
        <x:v>Business count is from 2018 while population/context indicators are newer; use as a historical proxy, not a current market count.</x:v>
      </x:c>
    </x:row>
    <x:row r="156">
      <x:c r="A156" s="12" t="str">
        <x:v>1071</x:v>
      </x:c>
      <x:c r="B156" s="12" t="str">
        <x:v>Manufacture of bakery products</x:v>
      </x:c>
      <x:c r="C156" s="12" t="str">
        <x:v>معان</x:v>
      </x:c>
      <x:c r="D156" s="14" t="n">
        <x:v>44</x:v>
      </x:c>
      <x:c r="E156" s="14" t="n">
        <x:f>VLOOKUP(C156,'Governorate Master'!$A$2:$Q$13,3,FALSE)</x:f>
        <x:v>197900</x:v>
      </x:c>
      <x:c r="F156" s="66" t="n">
        <x:f>IF(E156=0,0,D156/E156*10000)</x:f>
        <x:v>2.223345123799899</x:v>
      </x:c>
      <x:c r="G156" s="67" t="n">
        <x:f>VLOOKUP(C156,'Governorate Master'!$A$2:$Q$13,7,FALSE)</x:f>
        <x:v>6</x:v>
      </x:c>
      <x:c r="H156" s="20" t="n">
        <x:f>VLOOKUP(C156,'Governorate Master'!$A$2:$Q$13,6,FALSE)</x:f>
        <x:v>0.5406771096513391</x:v>
      </x:c>
      <x:c r="I156" s="20" t="n">
        <x:f>VLOOKUP(C156,'Governorate Master'!$A$2:$Q$13,15,FALSE)</x:f>
        <x:v>0.026845637583892617</x:v>
      </x:c>
      <x:c r="J156" s="12" t="str">
        <x:v>Location model input - competition/saturation context</x:v>
      </x:c>
      <x:c r="K156" s="12" t="str">
        <x:v>Business count is from 2018 while population/context indicators are newer; use as a historical proxy, not a current market count.</x:v>
      </x:c>
    </x:row>
    <x:row r="157">
      <x:c r="A157" s="12" t="str">
        <x:v>1071</x:v>
      </x:c>
      <x:c r="B157" s="12" t="str">
        <x:v>Manufacture of bakery products</x:v>
      </x:c>
      <x:c r="C157" s="12" t="str">
        <x:v>العقبة</x:v>
      </x:c>
      <x:c r="D157" s="14" t="n">
        <x:v>33</x:v>
      </x:c>
      <x:c r="E157" s="14" t="n">
        <x:f>VLOOKUP(C157,'Governorate Master'!$A$2:$Q$13,3,FALSE)</x:f>
        <x:v>250900</x:v>
      </x:c>
      <x:c r="F157" s="66" t="n">
        <x:f>IF(E157=0,0,D157/E157*10000)</x:f>
        <x:v>1.3152650458349942</x:v>
      </x:c>
      <x:c r="G157" s="67" t="n">
        <x:f>VLOOKUP(C157,'Governorate Master'!$A$2:$Q$13,7,FALSE)</x:f>
        <x:v>36.3</x:v>
      </x:c>
      <x:c r="H157" s="20" t="n">
        <x:f>VLOOKUP(C157,'Governorate Master'!$A$2:$Q$13,6,FALSE)</x:f>
        <x:v>0.882024711040255</x:v>
      </x:c>
      <x:c r="I157" s="20" t="n">
        <x:f>VLOOKUP(C157,'Governorate Master'!$A$2:$Q$13,15,FALSE)</x:f>
        <x:v>-0.09</x:v>
      </x:c>
      <x:c r="J157" s="12" t="str">
        <x:v>Location model input - competition/saturation context</x:v>
      </x:c>
      <x:c r="K157" s="12" t="str">
        <x:v>Business count is from 2018 while population/context indicators are newer; use as a historical proxy, not a current market count.</x:v>
      </x:c>
    </x:row>
    <x:row r="158">
      <x:c r="A158" s="12" t="str">
        <x:v>1073</x:v>
      </x:c>
      <x:c r="B158" s="12" t="str">
        <x:v>Manufacture of cocoa, chocolate and sugar confectionery</x:v>
      </x:c>
      <x:c r="C158" s="12" t="str">
        <x:v>عمان</x:v>
      </x:c>
      <x:c r="D158" s="14" t="n">
        <x:v>59</x:v>
      </x:c>
      <x:c r="E158" s="14" t="n">
        <x:f>VLOOKUP(C158,'Governorate Master'!$A$2:$Q$13,3,FALSE)</x:f>
        <x:v>5004600</x:v>
      </x:c>
      <x:c r="F158" s="66" t="n">
        <x:f>IF(E158=0,0,D158/E158*10000)</x:f>
        <x:v>0.11789153978339928</x:v>
      </x:c>
      <x:c r="G158" s="67" t="n">
        <x:f>VLOOKUP(C158,'Governorate Master'!$A$2:$Q$13,7,FALSE)</x:f>
        <x:v>660.3</x:v>
      </x:c>
      <x:c r="H158" s="20" t="n">
        <x:f>VLOOKUP(C158,'Governorate Master'!$A$2:$Q$13,6,FALSE)</x:f>
        <x:v>0.9721656076409703</x:v>
      </x:c>
      <x:c r="I158" s="20" t="n">
        <x:f>VLOOKUP(C158,'Governorate Master'!$A$2:$Q$13,15,FALSE)</x:f>
        <x:v>0.06367041198501873</x:v>
      </x:c>
      <x:c r="J158" s="12" t="str">
        <x:v>Location model input - competition/saturation context</x:v>
      </x:c>
      <x:c r="K158" s="12" t="str">
        <x:v>Business count is from 2018 while population/context indicators are newer; use as a historical proxy, not a current market count.</x:v>
      </x:c>
    </x:row>
    <x:row r="159">
      <x:c r="A159" s="12" t="str">
        <x:v>1073</x:v>
      </x:c>
      <x:c r="B159" s="12" t="str">
        <x:v>Manufacture of cocoa, chocolate and sugar confectionery</x:v>
      </x:c>
      <x:c r="C159" s="12" t="str">
        <x:v>البلقاء</x:v>
      </x:c>
      <x:c r="D159" s="14" t="n">
        <x:v>2</x:v>
      </x:c>
      <x:c r="E159" s="14" t="n">
        <x:f>VLOOKUP(C159,'Governorate Master'!$A$2:$Q$13,3,FALSE)</x:f>
        <x:v>614000</x:v>
      </x:c>
      <x:c r="F159" s="66" t="n">
        <x:f>IF(E159=0,0,D159/E159*10000)</x:f>
        <x:v>0.03257328990228013</x:v>
      </x:c>
      <x:c r="G159" s="67" t="n">
        <x:f>VLOOKUP(C159,'Governorate Master'!$A$2:$Q$13,7,FALSE)</x:f>
        <x:v>548</x:v>
      </x:c>
      <x:c r="H159" s="20" t="n">
        <x:f>VLOOKUP(C159,'Governorate Master'!$A$2:$Q$13,6,FALSE)</x:f>
        <x:v>0.8210097719869707</x:v>
      </x:c>
      <x:c r="I159" s="20" t="n">
        <x:f>VLOOKUP(C159,'Governorate Master'!$A$2:$Q$13,15,FALSE)</x:f>
        <x:v>0.10794044665012408</x:v>
      </x:c>
      <x:c r="J159" s="12" t="str">
        <x:v>Location model input - competition/saturation context</x:v>
      </x:c>
      <x:c r="K159" s="12" t="str">
        <x:v>Business count is from 2018 while population/context indicators are newer; use as a historical proxy, not a current market count.</x:v>
      </x:c>
    </x:row>
    <x:row r="160">
      <x:c r="A160" s="12" t="str">
        <x:v>1073</x:v>
      </x:c>
      <x:c r="B160" s="12" t="str">
        <x:v>Manufacture of cocoa, chocolate and sugar confectionery</x:v>
      </x:c>
      <x:c r="C160" s="12" t="str">
        <x:v>الزرقاء</x:v>
      </x:c>
      <x:c r="D160" s="14" t="n">
        <x:v>8</x:v>
      </x:c>
      <x:c r="E160" s="14" t="n">
        <x:f>VLOOKUP(C160,'Governorate Master'!$A$2:$Q$13,3,FALSE)</x:f>
        <x:v>1704500</x:v>
      </x:c>
      <x:c r="F160" s="66" t="n">
        <x:f>IF(E160=0,0,D160/E160*10000)</x:f>
        <x:v>0.04693458492226459</x:v>
      </x:c>
      <x:c r="G160" s="67" t="n">
        <x:f>VLOOKUP(C160,'Governorate Master'!$A$2:$Q$13,7,FALSE)</x:f>
        <x:v>358</x:v>
      </x:c>
      <x:c r="H160" s="20" t="n">
        <x:f>VLOOKUP(C160,'Governorate Master'!$A$2:$Q$13,6,FALSE)</x:f>
        <x:v>0.9636256966852449</x:v>
      </x:c>
      <x:c r="I160" s="20" t="n">
        <x:f>VLOOKUP(C160,'Governorate Master'!$A$2:$Q$13,15,FALSE)</x:f>
        <x:v>-0.06808762581409118</x:v>
      </x:c>
      <x:c r="J160" s="12" t="str">
        <x:v>Location model input - competition/saturation context</x:v>
      </x:c>
      <x:c r="K160" s="12" t="str">
        <x:v>Business count is from 2018 while population/context indicators are newer; use as a historical proxy, not a current market count.</x:v>
      </x:c>
    </x:row>
    <x:row r="161">
      <x:c r="A161" s="12" t="str">
        <x:v>1073</x:v>
      </x:c>
      <x:c r="B161" s="12" t="str">
        <x:v>Manufacture of cocoa, chocolate and sugar confectionery</x:v>
      </x:c>
      <x:c r="C161" s="12" t="str">
        <x:v>مادبا</x:v>
      </x:c>
      <x:c r="D161" s="14" t="n">
        <x:v>2</x:v>
      </x:c>
      <x:c r="E161" s="14" t="n">
        <x:f>VLOOKUP(C161,'Governorate Master'!$A$2:$Q$13,3,FALSE)</x:f>
        <x:v>236200</x:v>
      </x:c>
      <x:c r="F161" s="66" t="n">
        <x:f>IF(E161=0,0,D161/E161*10000)</x:f>
        <x:v>0.0846740050804403</x:v>
      </x:c>
      <x:c r="G161" s="67" t="n">
        <x:f>VLOOKUP(C161,'Governorate Master'!$A$2:$Q$13,7,FALSE)</x:f>
        <x:v>251.4</x:v>
      </x:c>
      <x:c r="H161" s="20" t="n">
        <x:f>VLOOKUP(C161,'Governorate Master'!$A$2:$Q$13,6,FALSE)</x:f>
        <x:v>0.7823878069432684</x:v>
      </x:c>
      <x:c r="I161" s="20" t="n">
        <x:f>VLOOKUP(C161,'Governorate Master'!$A$2:$Q$13,15,FALSE)</x:f>
        <x:v>-0.18823529411764706</x:v>
      </x:c>
      <x:c r="J161" s="12" t="str">
        <x:v>Location model input - competition/saturation context</x:v>
      </x:c>
      <x:c r="K161" s="12" t="str">
        <x:v>Business count is from 2018 while population/context indicators are newer; use as a historical proxy, not a current market count.</x:v>
      </x:c>
    </x:row>
    <x:row r="162">
      <x:c r="A162" s="12" t="str">
        <x:v>1073</x:v>
      </x:c>
      <x:c r="B162" s="12" t="str">
        <x:v>Manufacture of cocoa, chocolate and sugar confectionery</x:v>
      </x:c>
      <x:c r="C162" s="12" t="str">
        <x:v>إربد</x:v>
      </x:c>
      <x:c r="D162" s="14" t="n">
        <x:v>4</x:v>
      </x:c>
      <x:c r="E162" s="14" t="n">
        <x:f>VLOOKUP(C162,'Governorate Master'!$A$2:$Q$13,3,FALSE)</x:f>
        <x:v>2210500</x:v>
      </x:c>
      <x:c r="F162" s="66" t="n">
        <x:f>IF(E162=0,0,D162/E162*10000)</x:f>
        <x:v>0.018095453517303777</x:v>
      </x:c>
      <x:c r="G162" s="67" t="n">
        <x:f>VLOOKUP(C162,'Governorate Master'!$A$2:$Q$13,7,FALSE)</x:f>
        <x:v>1406.4</x:v>
      </x:c>
      <x:c r="H162" s="20" t="n">
        <x:f>VLOOKUP(C162,'Governorate Master'!$A$2:$Q$13,6,FALSE)</x:f>
        <x:v>0.9235014702555983</x:v>
      </x:c>
      <x:c r="I162" s="20" t="n">
        <x:f>VLOOKUP(C162,'Governorate Master'!$A$2:$Q$13,15,FALSE)</x:f>
        <x:v>0.07086922474549726</x:v>
      </x:c>
      <x:c r="J162" s="12" t="str">
        <x:v>Location model input - competition/saturation context</x:v>
      </x:c>
      <x:c r="K162" s="12" t="str">
        <x:v>Business count is from 2018 while population/context indicators are newer; use as a historical proxy, not a current market count.</x:v>
      </x:c>
    </x:row>
    <x:row r="163">
      <x:c r="A163" s="12" t="str">
        <x:v>1073</x:v>
      </x:c>
      <x:c r="B163" s="12" t="str">
        <x:v>Manufacture of cocoa, chocolate and sugar confectionery</x:v>
      </x:c>
      <x:c r="C163" s="12" t="str">
        <x:v>المفرق</x:v>
      </x:c>
      <x:c r="D163" s="14" t="n">
        <x:v>0</x:v>
      </x:c>
      <x:c r="E163" s="14" t="n">
        <x:f>VLOOKUP(C163,'Governorate Master'!$A$2:$Q$13,3,FALSE)</x:f>
        <x:v>686800</x:v>
      </x:c>
      <x:c r="F163" s="66" t="n">
        <x:f>IF(E163=0,0,D163/E163*10000)</x:f>
        <x:v>0</x:v>
      </x:c>
      <x:c r="G163" s="67" t="n">
        <x:f>VLOOKUP(C163,'Governorate Master'!$A$2:$Q$13,7,FALSE)</x:f>
        <x:v>25.9</x:v>
      </x:c>
      <x:c r="H163" s="20" t="n">
        <x:f>VLOOKUP(C163,'Governorate Master'!$A$2:$Q$13,6,FALSE)</x:f>
        <x:v>0.6965637740244612</x:v>
      </x:c>
      <x:c r="I163" s="20" t="n">
        <x:f>VLOOKUP(C163,'Governorate Master'!$A$2:$Q$13,15,FALSE)</x:f>
        <x:v>-0.016638935108153077</x:v>
      </x:c>
      <x:c r="J163" s="12" t="str">
        <x:v>Location model input - competition/saturation context</x:v>
      </x:c>
      <x:c r="K163" s="12" t="str">
        <x:v>Business count is from 2018 while population/context indicators are newer; use as a historical proxy, not a current market count.</x:v>
      </x:c>
    </x:row>
    <x:row r="164">
      <x:c r="A164" s="12" t="str">
        <x:v>1073</x:v>
      </x:c>
      <x:c r="B164" s="12" t="str">
        <x:v>Manufacture of cocoa, chocolate and sugar confectionery</x:v>
      </x:c>
      <x:c r="C164" s="12" t="str">
        <x:v>جرش</x:v>
      </x:c>
      <x:c r="D164" s="14" t="n">
        <x:v>0</x:v>
      </x:c>
      <x:c r="E164" s="14" t="n">
        <x:f>VLOOKUP(C164,'Governorate Master'!$A$2:$Q$13,3,FALSE)</x:f>
        <x:v>296000</x:v>
      </x:c>
      <x:c r="F164" s="66" t="n">
        <x:f>IF(E164=0,0,D164/E164*10000)</x:f>
        <x:v>0</x:v>
      </x:c>
      <x:c r="G164" s="67" t="n">
        <x:f>VLOOKUP(C164,'Governorate Master'!$A$2:$Q$13,7,FALSE)</x:f>
        <x:v>722.3</x:v>
      </x:c>
      <x:c r="H164" s="20" t="n">
        <x:f>VLOOKUP(C164,'Governorate Master'!$A$2:$Q$13,6,FALSE)</x:f>
        <x:v>0.7695945945945946</x:v>
      </x:c>
      <x:c r="I164" s="20" t="n">
        <x:f>VLOOKUP(C164,'Governorate Master'!$A$2:$Q$13,15,FALSE)</x:f>
        <x:v>-0.06527415143603134</x:v>
      </x:c>
      <x:c r="J164" s="12" t="str">
        <x:v>Location model input - competition/saturation context</x:v>
      </x:c>
      <x:c r="K164" s="12" t="str">
        <x:v>Business count is from 2018 while population/context indicators are newer; use as a historical proxy, not a current market count.</x:v>
      </x:c>
    </x:row>
    <x:row r="165">
      <x:c r="A165" s="12" t="str">
        <x:v>1073</x:v>
      </x:c>
      <x:c r="B165" s="12" t="str">
        <x:v>Manufacture of cocoa, chocolate and sugar confectionery</x:v>
      </x:c>
      <x:c r="C165" s="12" t="str">
        <x:v>عجلون</x:v>
      </x:c>
      <x:c r="D165" s="14" t="n">
        <x:v>0</x:v>
      </x:c>
      <x:c r="E165" s="14" t="n">
        <x:f>VLOOKUP(C165,'Governorate Master'!$A$2:$Q$13,3,FALSE)</x:f>
        <x:v>219900</x:v>
      </x:c>
      <x:c r="F165" s="66" t="n">
        <x:f>IF(E165=0,0,D165/E165*10000)</x:f>
        <x:v>0</x:v>
      </x:c>
      <x:c r="G165" s="67" t="n">
        <x:f>VLOOKUP(C165,'Governorate Master'!$A$2:$Q$13,7,FALSE)</x:f>
        <x:v>524</x:v>
      </x:c>
      <x:c r="H165" s="20" t="n">
        <x:f>VLOOKUP(C165,'Governorate Master'!$A$2:$Q$13,6,FALSE)</x:f>
        <x:v>0.8390177353342428</x:v>
      </x:c>
      <x:c r="I165" s="20" t="n">
        <x:f>VLOOKUP(C165,'Governorate Master'!$A$2:$Q$13,15,FALSE)</x:f>
        <x:v>0.03614457831325301</x:v>
      </x:c>
      <x:c r="J165" s="12" t="str">
        <x:v>Location model input - competition/saturation context</x:v>
      </x:c>
      <x:c r="K165" s="12" t="str">
        <x:v>Business count is from 2018 while population/context indicators are newer; use as a historical proxy, not a current market count.</x:v>
      </x:c>
    </x:row>
    <x:row r="166">
      <x:c r="A166" s="12" t="str">
        <x:v>1073</x:v>
      </x:c>
      <x:c r="B166" s="12" t="str">
        <x:v>Manufacture of cocoa, chocolate and sugar confectionery</x:v>
      </x:c>
      <x:c r="C166" s="12" t="str">
        <x:v>الكرك</x:v>
      </x:c>
      <x:c r="D166" s="14" t="n">
        <x:v>1</x:v>
      </x:c>
      <x:c r="E166" s="14" t="n">
        <x:f>VLOOKUP(C166,'Governorate Master'!$A$2:$Q$13,3,FALSE)</x:f>
        <x:v>395400</x:v>
      </x:c>
      <x:c r="F166" s="66" t="n">
        <x:f>IF(E166=0,0,D166/E166*10000)</x:f>
        <x:v>0.025290844714213452</x:v>
      </x:c>
      <x:c r="G166" s="67" t="n">
        <x:f>VLOOKUP(C166,'Governorate Master'!$A$2:$Q$13,7,FALSE)</x:f>
        <x:v>113.1</x:v>
      </x:c>
      <x:c r="H166" s="20" t="n">
        <x:f>VLOOKUP(C166,'Governorate Master'!$A$2:$Q$13,6,FALSE)</x:f>
        <x:v>0.5912999494183105</x:v>
      </x:c>
      <x:c r="I166" s="20" t="n">
        <x:f>VLOOKUP(C166,'Governorate Master'!$A$2:$Q$13,15,FALSE)</x:f>
        <x:v>0.08710801393728224</x:v>
      </x:c>
      <x:c r="J166" s="12" t="str">
        <x:v>Location model input - competition/saturation context</x:v>
      </x:c>
      <x:c r="K166" s="12" t="str">
        <x:v>Business count is from 2018 while population/context indicators are newer; use as a historical proxy, not a current market count.</x:v>
      </x:c>
    </x:row>
    <x:row r="167">
      <x:c r="A167" s="12" t="str">
        <x:v>1073</x:v>
      </x:c>
      <x:c r="B167" s="12" t="str">
        <x:v>Manufacture of cocoa, chocolate and sugar confectionery</x:v>
      </x:c>
      <x:c r="C167" s="12" t="str">
        <x:v>الطفيلة</x:v>
      </x:c>
      <x:c r="D167" s="14" t="n">
        <x:v>0</x:v>
      </x:c>
      <x:c r="E167" s="14" t="n">
        <x:f>VLOOKUP(C167,'Governorate Master'!$A$2:$Q$13,3,FALSE)</x:f>
        <x:v>120300</x:v>
      </x:c>
      <x:c r="F167" s="66" t="n">
        <x:f>IF(E167=0,0,D167/E167*10000)</x:f>
        <x:v>0</x:v>
      </x:c>
      <x:c r="G167" s="67" t="n">
        <x:f>VLOOKUP(C167,'Governorate Master'!$A$2:$Q$13,7,FALSE)</x:f>
        <x:v>54.4</x:v>
      </x:c>
      <x:c r="H167" s="20" t="n">
        <x:f>VLOOKUP(C167,'Governorate Master'!$A$2:$Q$13,6,FALSE)</x:f>
        <x:v>0.7797173732335827</x:v>
      </x:c>
      <x:c r="I167" s="20" t="n">
        <x:f>VLOOKUP(C167,'Governorate Master'!$A$2:$Q$13,15,FALSE)</x:f>
        <x:v>0.18452380952380953</x:v>
      </x:c>
      <x:c r="J167" s="12" t="str">
        <x:v>Location model input - competition/saturation context</x:v>
      </x:c>
      <x:c r="K167" s="12" t="str">
        <x:v>Business count is from 2018 while population/context indicators are newer; use as a historical proxy, not a current market count.</x:v>
      </x:c>
    </x:row>
    <x:row r="168">
      <x:c r="A168" s="12" t="str">
        <x:v>1073</x:v>
      </x:c>
      <x:c r="B168" s="12" t="str">
        <x:v>Manufacture of cocoa, chocolate and sugar confectionery</x:v>
      </x:c>
      <x:c r="C168" s="12" t="str">
        <x:v>معان</x:v>
      </x:c>
      <x:c r="D168" s="14" t="n">
        <x:v>0</x:v>
      </x:c>
      <x:c r="E168" s="14" t="n">
        <x:f>VLOOKUP(C168,'Governorate Master'!$A$2:$Q$13,3,FALSE)</x:f>
        <x:v>197900</x:v>
      </x:c>
      <x:c r="F168" s="66" t="n">
        <x:f>IF(E168=0,0,D168/E168*10000)</x:f>
        <x:v>0</x:v>
      </x:c>
      <x:c r="G168" s="67" t="n">
        <x:f>VLOOKUP(C168,'Governorate Master'!$A$2:$Q$13,7,FALSE)</x:f>
        <x:v>6</x:v>
      </x:c>
      <x:c r="H168" s="20" t="n">
        <x:f>VLOOKUP(C168,'Governorate Master'!$A$2:$Q$13,6,FALSE)</x:f>
        <x:v>0.5406771096513391</x:v>
      </x:c>
      <x:c r="I168" s="20" t="n">
        <x:f>VLOOKUP(C168,'Governorate Master'!$A$2:$Q$13,15,FALSE)</x:f>
        <x:v>0.026845637583892617</x:v>
      </x:c>
      <x:c r="J168" s="12" t="str">
        <x:v>Location model input - competition/saturation context</x:v>
      </x:c>
      <x:c r="K168" s="12" t="str">
        <x:v>Business count is from 2018 while population/context indicators are newer; use as a historical proxy, not a current market count.</x:v>
      </x:c>
    </x:row>
    <x:row r="169">
      <x:c r="A169" s="12" t="str">
        <x:v>1073</x:v>
      </x:c>
      <x:c r="B169" s="12" t="str">
        <x:v>Manufacture of cocoa, chocolate and sugar confectionery</x:v>
      </x:c>
      <x:c r="C169" s="12" t="str">
        <x:v>العقبة</x:v>
      </x:c>
      <x:c r="D169" s="14" t="n">
        <x:v>0</x:v>
      </x:c>
      <x:c r="E169" s="14" t="n">
        <x:f>VLOOKUP(C169,'Governorate Master'!$A$2:$Q$13,3,FALSE)</x:f>
        <x:v>250900</x:v>
      </x:c>
      <x:c r="F169" s="66" t="n">
        <x:f>IF(E169=0,0,D169/E169*10000)</x:f>
        <x:v>0</x:v>
      </x:c>
      <x:c r="G169" s="67" t="n">
        <x:f>VLOOKUP(C169,'Governorate Master'!$A$2:$Q$13,7,FALSE)</x:f>
        <x:v>36.3</x:v>
      </x:c>
      <x:c r="H169" s="20" t="n">
        <x:f>VLOOKUP(C169,'Governorate Master'!$A$2:$Q$13,6,FALSE)</x:f>
        <x:v>0.882024711040255</x:v>
      </x:c>
      <x:c r="I169" s="20" t="n">
        <x:f>VLOOKUP(C169,'Governorate Master'!$A$2:$Q$13,15,FALSE)</x:f>
        <x:v>-0.09</x:v>
      </x:c>
      <x:c r="J169" s="12" t="str">
        <x:v>Location model input - competition/saturation context</x:v>
      </x:c>
      <x:c r="K169" s="12" t="str">
        <x:v>Business count is from 2018 while population/context indicators are newer; use as a historical proxy, not a current market count.</x:v>
      </x:c>
    </x:row>
    <x:row r="170">
      <x:c r="A170" s="12" t="str">
        <x:v>1074</x:v>
      </x:c>
      <x:c r="B170" s="12" t="str">
        <x:v>Manufacture of macaroni, noodles, couscous and similar farinaceous products</x:v>
      </x:c>
      <x:c r="C170" s="12" t="str">
        <x:v>عمان</x:v>
      </x:c>
      <x:c r="D170" s="14" t="n">
        <x:v>3</x:v>
      </x:c>
      <x:c r="E170" s="14" t="n">
        <x:f>VLOOKUP(C170,'Governorate Master'!$A$2:$Q$13,3,FALSE)</x:f>
        <x:v>5004600</x:v>
      </x:c>
      <x:c r="F170" s="66" t="n">
        <x:f>IF(E170=0,0,D170/E170*10000)</x:f>
        <x:v>0.005994485073732166</x:v>
      </x:c>
      <x:c r="G170" s="67" t="n">
        <x:f>VLOOKUP(C170,'Governorate Master'!$A$2:$Q$13,7,FALSE)</x:f>
        <x:v>660.3</x:v>
      </x:c>
      <x:c r="H170" s="20" t="n">
        <x:f>VLOOKUP(C170,'Governorate Master'!$A$2:$Q$13,6,FALSE)</x:f>
        <x:v>0.9721656076409703</x:v>
      </x:c>
      <x:c r="I170" s="20" t="n">
        <x:f>VLOOKUP(C170,'Governorate Master'!$A$2:$Q$13,15,FALSE)</x:f>
        <x:v>0.06367041198501873</x:v>
      </x:c>
      <x:c r="J170" s="12" t="str">
        <x:v>Location model input - competition/saturation context</x:v>
      </x:c>
      <x:c r="K170" s="12" t="str">
        <x:v>Business count is from 2018 while population/context indicators are newer; use as a historical proxy, not a current market count.</x:v>
      </x:c>
    </x:row>
    <x:row r="171">
      <x:c r="A171" s="12" t="str">
        <x:v>1074</x:v>
      </x:c>
      <x:c r="B171" s="12" t="str">
        <x:v>Manufacture of macaroni, noodles, couscous and similar farinaceous products</x:v>
      </x:c>
      <x:c r="C171" s="12" t="str">
        <x:v>البلقاء</x:v>
      </x:c>
      <x:c r="D171" s="14" t="n">
        <x:v>0</x:v>
      </x:c>
      <x:c r="E171" s="14" t="n">
        <x:f>VLOOKUP(C171,'Governorate Master'!$A$2:$Q$13,3,FALSE)</x:f>
        <x:v>614000</x:v>
      </x:c>
      <x:c r="F171" s="66" t="n">
        <x:f>IF(E171=0,0,D171/E171*10000)</x:f>
        <x:v>0</x:v>
      </x:c>
      <x:c r="G171" s="67" t="n">
        <x:f>VLOOKUP(C171,'Governorate Master'!$A$2:$Q$13,7,FALSE)</x:f>
        <x:v>548</x:v>
      </x:c>
      <x:c r="H171" s="20" t="n">
        <x:f>VLOOKUP(C171,'Governorate Master'!$A$2:$Q$13,6,FALSE)</x:f>
        <x:v>0.8210097719869707</x:v>
      </x:c>
      <x:c r="I171" s="20" t="n">
        <x:f>VLOOKUP(C171,'Governorate Master'!$A$2:$Q$13,15,FALSE)</x:f>
        <x:v>0.10794044665012408</x:v>
      </x:c>
      <x:c r="J171" s="12" t="str">
        <x:v>Location model input - competition/saturation context</x:v>
      </x:c>
      <x:c r="K171" s="12" t="str">
        <x:v>Business count is from 2018 while population/context indicators are newer; use as a historical proxy, not a current market count.</x:v>
      </x:c>
    </x:row>
    <x:row r="172">
      <x:c r="A172" s="12" t="str">
        <x:v>1074</x:v>
      </x:c>
      <x:c r="B172" s="12" t="str">
        <x:v>Manufacture of macaroni, noodles, couscous and similar farinaceous products</x:v>
      </x:c>
      <x:c r="C172" s="12" t="str">
        <x:v>الزرقاء</x:v>
      </x:c>
      <x:c r="D172" s="14" t="n">
        <x:v>0</x:v>
      </x:c>
      <x:c r="E172" s="14" t="n">
        <x:f>VLOOKUP(C172,'Governorate Master'!$A$2:$Q$13,3,FALSE)</x:f>
        <x:v>1704500</x:v>
      </x:c>
      <x:c r="F172" s="66" t="n">
        <x:f>IF(E172=0,0,D172/E172*10000)</x:f>
        <x:v>0</x:v>
      </x:c>
      <x:c r="G172" s="67" t="n">
        <x:f>VLOOKUP(C172,'Governorate Master'!$A$2:$Q$13,7,FALSE)</x:f>
        <x:v>358</x:v>
      </x:c>
      <x:c r="H172" s="20" t="n">
        <x:f>VLOOKUP(C172,'Governorate Master'!$A$2:$Q$13,6,FALSE)</x:f>
        <x:v>0.9636256966852449</x:v>
      </x:c>
      <x:c r="I172" s="20" t="n">
        <x:f>VLOOKUP(C172,'Governorate Master'!$A$2:$Q$13,15,FALSE)</x:f>
        <x:v>-0.06808762581409118</x:v>
      </x:c>
      <x:c r="J172" s="12" t="str">
        <x:v>Location model input - competition/saturation context</x:v>
      </x:c>
      <x:c r="K172" s="12" t="str">
        <x:v>Business count is from 2018 while population/context indicators are newer; use as a historical proxy, not a current market count.</x:v>
      </x:c>
    </x:row>
    <x:row r="173">
      <x:c r="A173" s="12" t="str">
        <x:v>1074</x:v>
      </x:c>
      <x:c r="B173" s="12" t="str">
        <x:v>Manufacture of macaroni, noodles, couscous and similar farinaceous products</x:v>
      </x:c>
      <x:c r="C173" s="12" t="str">
        <x:v>مادبا</x:v>
      </x:c>
      <x:c r="D173" s="14" t="n">
        <x:v>0</x:v>
      </x:c>
      <x:c r="E173" s="14" t="n">
        <x:f>VLOOKUP(C173,'Governorate Master'!$A$2:$Q$13,3,FALSE)</x:f>
        <x:v>236200</x:v>
      </x:c>
      <x:c r="F173" s="66" t="n">
        <x:f>IF(E173=0,0,D173/E173*10000)</x:f>
        <x:v>0</x:v>
      </x:c>
      <x:c r="G173" s="67" t="n">
        <x:f>VLOOKUP(C173,'Governorate Master'!$A$2:$Q$13,7,FALSE)</x:f>
        <x:v>251.4</x:v>
      </x:c>
      <x:c r="H173" s="20" t="n">
        <x:f>VLOOKUP(C173,'Governorate Master'!$A$2:$Q$13,6,FALSE)</x:f>
        <x:v>0.7823878069432684</x:v>
      </x:c>
      <x:c r="I173" s="20" t="n">
        <x:f>VLOOKUP(C173,'Governorate Master'!$A$2:$Q$13,15,FALSE)</x:f>
        <x:v>-0.18823529411764706</x:v>
      </x:c>
      <x:c r="J173" s="12" t="str">
        <x:v>Location model input - competition/saturation context</x:v>
      </x:c>
      <x:c r="K173" s="12" t="str">
        <x:v>Business count is from 2018 while population/context indicators are newer; use as a historical proxy, not a current market count.</x:v>
      </x:c>
    </x:row>
    <x:row r="174">
      <x:c r="A174" s="12" t="str">
        <x:v>1074</x:v>
      </x:c>
      <x:c r="B174" s="12" t="str">
        <x:v>Manufacture of macaroni, noodles, couscous and similar farinaceous products</x:v>
      </x:c>
      <x:c r="C174" s="12" t="str">
        <x:v>إربد</x:v>
      </x:c>
      <x:c r="D174" s="14" t="n">
        <x:v>0</x:v>
      </x:c>
      <x:c r="E174" s="14" t="n">
        <x:f>VLOOKUP(C174,'Governorate Master'!$A$2:$Q$13,3,FALSE)</x:f>
        <x:v>2210500</x:v>
      </x:c>
      <x:c r="F174" s="66" t="n">
        <x:f>IF(E174=0,0,D174/E174*10000)</x:f>
        <x:v>0</x:v>
      </x:c>
      <x:c r="G174" s="67" t="n">
        <x:f>VLOOKUP(C174,'Governorate Master'!$A$2:$Q$13,7,FALSE)</x:f>
        <x:v>1406.4</x:v>
      </x:c>
      <x:c r="H174" s="20" t="n">
        <x:f>VLOOKUP(C174,'Governorate Master'!$A$2:$Q$13,6,FALSE)</x:f>
        <x:v>0.9235014702555983</x:v>
      </x:c>
      <x:c r="I174" s="20" t="n">
        <x:f>VLOOKUP(C174,'Governorate Master'!$A$2:$Q$13,15,FALSE)</x:f>
        <x:v>0.07086922474549726</x:v>
      </x:c>
      <x:c r="J174" s="12" t="str">
        <x:v>Location model input - competition/saturation context</x:v>
      </x:c>
      <x:c r="K174" s="12" t="str">
        <x:v>Business count is from 2018 while population/context indicators are newer; use as a historical proxy, not a current market count.</x:v>
      </x:c>
    </x:row>
    <x:row r="175">
      <x:c r="A175" s="12" t="str">
        <x:v>1074</x:v>
      </x:c>
      <x:c r="B175" s="12" t="str">
        <x:v>Manufacture of macaroni, noodles, couscous and similar farinaceous products</x:v>
      </x:c>
      <x:c r="C175" s="12" t="str">
        <x:v>المفرق</x:v>
      </x:c>
      <x:c r="D175" s="14" t="n">
        <x:v>0</x:v>
      </x:c>
      <x:c r="E175" s="14" t="n">
        <x:f>VLOOKUP(C175,'Governorate Master'!$A$2:$Q$13,3,FALSE)</x:f>
        <x:v>686800</x:v>
      </x:c>
      <x:c r="F175" s="66" t="n">
        <x:f>IF(E175=0,0,D175/E175*10000)</x:f>
        <x:v>0</x:v>
      </x:c>
      <x:c r="G175" s="67" t="n">
        <x:f>VLOOKUP(C175,'Governorate Master'!$A$2:$Q$13,7,FALSE)</x:f>
        <x:v>25.9</x:v>
      </x:c>
      <x:c r="H175" s="20" t="n">
        <x:f>VLOOKUP(C175,'Governorate Master'!$A$2:$Q$13,6,FALSE)</x:f>
        <x:v>0.6965637740244612</x:v>
      </x:c>
      <x:c r="I175" s="20" t="n">
        <x:f>VLOOKUP(C175,'Governorate Master'!$A$2:$Q$13,15,FALSE)</x:f>
        <x:v>-0.016638935108153077</x:v>
      </x:c>
      <x:c r="J175" s="12" t="str">
        <x:v>Location model input - competition/saturation context</x:v>
      </x:c>
      <x:c r="K175" s="12" t="str">
        <x:v>Business count is from 2018 while population/context indicators are newer; use as a historical proxy, not a current market count.</x:v>
      </x:c>
    </x:row>
    <x:row r="176">
      <x:c r="A176" s="12" t="str">
        <x:v>1074</x:v>
      </x:c>
      <x:c r="B176" s="12" t="str">
        <x:v>Manufacture of macaroni, noodles, couscous and similar farinaceous products</x:v>
      </x:c>
      <x:c r="C176" s="12" t="str">
        <x:v>جرش</x:v>
      </x:c>
      <x:c r="D176" s="14" t="n">
        <x:v>0</x:v>
      </x:c>
      <x:c r="E176" s="14" t="n">
        <x:f>VLOOKUP(C176,'Governorate Master'!$A$2:$Q$13,3,FALSE)</x:f>
        <x:v>296000</x:v>
      </x:c>
      <x:c r="F176" s="66" t="n">
        <x:f>IF(E176=0,0,D176/E176*10000)</x:f>
        <x:v>0</x:v>
      </x:c>
      <x:c r="G176" s="67" t="n">
        <x:f>VLOOKUP(C176,'Governorate Master'!$A$2:$Q$13,7,FALSE)</x:f>
        <x:v>722.3</x:v>
      </x:c>
      <x:c r="H176" s="20" t="n">
        <x:f>VLOOKUP(C176,'Governorate Master'!$A$2:$Q$13,6,FALSE)</x:f>
        <x:v>0.7695945945945946</x:v>
      </x:c>
      <x:c r="I176" s="20" t="n">
        <x:f>VLOOKUP(C176,'Governorate Master'!$A$2:$Q$13,15,FALSE)</x:f>
        <x:v>-0.06527415143603134</x:v>
      </x:c>
      <x:c r="J176" s="12" t="str">
        <x:v>Location model input - competition/saturation context</x:v>
      </x:c>
      <x:c r="K176" s="12" t="str">
        <x:v>Business count is from 2018 while population/context indicators are newer; use as a historical proxy, not a current market count.</x:v>
      </x:c>
    </x:row>
    <x:row r="177">
      <x:c r="A177" s="12" t="str">
        <x:v>1074</x:v>
      </x:c>
      <x:c r="B177" s="12" t="str">
        <x:v>Manufacture of macaroni, noodles, couscous and similar farinaceous products</x:v>
      </x:c>
      <x:c r="C177" s="12" t="str">
        <x:v>عجلون</x:v>
      </x:c>
      <x:c r="D177" s="14" t="n">
        <x:v>0</x:v>
      </x:c>
      <x:c r="E177" s="14" t="n">
        <x:f>VLOOKUP(C177,'Governorate Master'!$A$2:$Q$13,3,FALSE)</x:f>
        <x:v>219900</x:v>
      </x:c>
      <x:c r="F177" s="66" t="n">
        <x:f>IF(E177=0,0,D177/E177*10000)</x:f>
        <x:v>0</x:v>
      </x:c>
      <x:c r="G177" s="67" t="n">
        <x:f>VLOOKUP(C177,'Governorate Master'!$A$2:$Q$13,7,FALSE)</x:f>
        <x:v>524</x:v>
      </x:c>
      <x:c r="H177" s="20" t="n">
        <x:f>VLOOKUP(C177,'Governorate Master'!$A$2:$Q$13,6,FALSE)</x:f>
        <x:v>0.8390177353342428</x:v>
      </x:c>
      <x:c r="I177" s="20" t="n">
        <x:f>VLOOKUP(C177,'Governorate Master'!$A$2:$Q$13,15,FALSE)</x:f>
        <x:v>0.03614457831325301</x:v>
      </x:c>
      <x:c r="J177" s="12" t="str">
        <x:v>Location model input - competition/saturation context</x:v>
      </x:c>
      <x:c r="K177" s="12" t="str">
        <x:v>Business count is from 2018 while population/context indicators are newer; use as a historical proxy, not a current market count.</x:v>
      </x:c>
    </x:row>
    <x:row r="178">
      <x:c r="A178" s="12" t="str">
        <x:v>1074</x:v>
      </x:c>
      <x:c r="B178" s="12" t="str">
        <x:v>Manufacture of macaroni, noodles, couscous and similar farinaceous products</x:v>
      </x:c>
      <x:c r="C178" s="12" t="str">
        <x:v>الكرك</x:v>
      </x:c>
      <x:c r="D178" s="14" t="n">
        <x:v>0</x:v>
      </x:c>
      <x:c r="E178" s="14" t="n">
        <x:f>VLOOKUP(C178,'Governorate Master'!$A$2:$Q$13,3,FALSE)</x:f>
        <x:v>395400</x:v>
      </x:c>
      <x:c r="F178" s="66" t="n">
        <x:f>IF(E178=0,0,D178/E178*10000)</x:f>
        <x:v>0</x:v>
      </x:c>
      <x:c r="G178" s="67" t="n">
        <x:f>VLOOKUP(C178,'Governorate Master'!$A$2:$Q$13,7,FALSE)</x:f>
        <x:v>113.1</x:v>
      </x:c>
      <x:c r="H178" s="20" t="n">
        <x:f>VLOOKUP(C178,'Governorate Master'!$A$2:$Q$13,6,FALSE)</x:f>
        <x:v>0.5912999494183105</x:v>
      </x:c>
      <x:c r="I178" s="20" t="n">
        <x:f>VLOOKUP(C178,'Governorate Master'!$A$2:$Q$13,15,FALSE)</x:f>
        <x:v>0.08710801393728224</x:v>
      </x:c>
      <x:c r="J178" s="12" t="str">
        <x:v>Location model input - competition/saturation context</x:v>
      </x:c>
      <x:c r="K178" s="12" t="str">
        <x:v>Business count is from 2018 while population/context indicators are newer; use as a historical proxy, not a current market count.</x:v>
      </x:c>
    </x:row>
    <x:row r="179">
      <x:c r="A179" s="12" t="str">
        <x:v>1074</x:v>
      </x:c>
      <x:c r="B179" s="12" t="str">
        <x:v>Manufacture of macaroni, noodles, couscous and similar farinaceous products</x:v>
      </x:c>
      <x:c r="C179" s="12" t="str">
        <x:v>الطفيلة</x:v>
      </x:c>
      <x:c r="D179" s="14" t="n">
        <x:v>0</x:v>
      </x:c>
      <x:c r="E179" s="14" t="n">
        <x:f>VLOOKUP(C179,'Governorate Master'!$A$2:$Q$13,3,FALSE)</x:f>
        <x:v>120300</x:v>
      </x:c>
      <x:c r="F179" s="66" t="n">
        <x:f>IF(E179=0,0,D179/E179*10000)</x:f>
        <x:v>0</x:v>
      </x:c>
      <x:c r="G179" s="67" t="n">
        <x:f>VLOOKUP(C179,'Governorate Master'!$A$2:$Q$13,7,FALSE)</x:f>
        <x:v>54.4</x:v>
      </x:c>
      <x:c r="H179" s="20" t="n">
        <x:f>VLOOKUP(C179,'Governorate Master'!$A$2:$Q$13,6,FALSE)</x:f>
        <x:v>0.7797173732335827</x:v>
      </x:c>
      <x:c r="I179" s="20" t="n">
        <x:f>VLOOKUP(C179,'Governorate Master'!$A$2:$Q$13,15,FALSE)</x:f>
        <x:v>0.18452380952380953</x:v>
      </x:c>
      <x:c r="J179" s="12" t="str">
        <x:v>Location model input - competition/saturation context</x:v>
      </x:c>
      <x:c r="K179" s="12" t="str">
        <x:v>Business count is from 2018 while population/context indicators are newer; use as a historical proxy, not a current market count.</x:v>
      </x:c>
    </x:row>
    <x:row r="180">
      <x:c r="A180" s="12" t="str">
        <x:v>1074</x:v>
      </x:c>
      <x:c r="B180" s="12" t="str">
        <x:v>Manufacture of macaroni, noodles, couscous and similar farinaceous products</x:v>
      </x:c>
      <x:c r="C180" s="12" t="str">
        <x:v>معان</x:v>
      </x:c>
      <x:c r="D180" s="14" t="n">
        <x:v>0</x:v>
      </x:c>
      <x:c r="E180" s="14" t="n">
        <x:f>VLOOKUP(C180,'Governorate Master'!$A$2:$Q$13,3,FALSE)</x:f>
        <x:v>197900</x:v>
      </x:c>
      <x:c r="F180" s="66" t="n">
        <x:f>IF(E180=0,0,D180/E180*10000)</x:f>
        <x:v>0</x:v>
      </x:c>
      <x:c r="G180" s="67" t="n">
        <x:f>VLOOKUP(C180,'Governorate Master'!$A$2:$Q$13,7,FALSE)</x:f>
        <x:v>6</x:v>
      </x:c>
      <x:c r="H180" s="20" t="n">
        <x:f>VLOOKUP(C180,'Governorate Master'!$A$2:$Q$13,6,FALSE)</x:f>
        <x:v>0.5406771096513391</x:v>
      </x:c>
      <x:c r="I180" s="20" t="n">
        <x:f>VLOOKUP(C180,'Governorate Master'!$A$2:$Q$13,15,FALSE)</x:f>
        <x:v>0.026845637583892617</x:v>
      </x:c>
      <x:c r="J180" s="12" t="str">
        <x:v>Location model input - competition/saturation context</x:v>
      </x:c>
      <x:c r="K180" s="12" t="str">
        <x:v>Business count is from 2018 while population/context indicators are newer; use as a historical proxy, not a current market count.</x:v>
      </x:c>
    </x:row>
    <x:row r="181">
      <x:c r="A181" s="12" t="str">
        <x:v>1074</x:v>
      </x:c>
      <x:c r="B181" s="12" t="str">
        <x:v>Manufacture of macaroni, noodles, couscous and similar farinaceous products</x:v>
      </x:c>
      <x:c r="C181" s="12" t="str">
        <x:v>العقبة</x:v>
      </x:c>
      <x:c r="D181" s="14" t="n">
        <x:v>0</x:v>
      </x:c>
      <x:c r="E181" s="14" t="n">
        <x:f>VLOOKUP(C181,'Governorate Master'!$A$2:$Q$13,3,FALSE)</x:f>
        <x:v>250900</x:v>
      </x:c>
      <x:c r="F181" s="66" t="n">
        <x:f>IF(E181=0,0,D181/E181*10000)</x:f>
        <x:v>0</x:v>
      </x:c>
      <x:c r="G181" s="67" t="n">
        <x:f>VLOOKUP(C181,'Governorate Master'!$A$2:$Q$13,7,FALSE)</x:f>
        <x:v>36.3</x:v>
      </x:c>
      <x:c r="H181" s="20" t="n">
        <x:f>VLOOKUP(C181,'Governorate Master'!$A$2:$Q$13,6,FALSE)</x:f>
        <x:v>0.882024711040255</x:v>
      </x:c>
      <x:c r="I181" s="20" t="n">
        <x:f>VLOOKUP(C181,'Governorate Master'!$A$2:$Q$13,15,FALSE)</x:f>
        <x:v>-0.09</x:v>
      </x:c>
      <x:c r="J181" s="12" t="str">
        <x:v>Location model input - competition/saturation context</x:v>
      </x:c>
      <x:c r="K181" s="12" t="str">
        <x:v>Business count is from 2018 while population/context indicators are newer; use as a historical proxy, not a current market count.</x:v>
      </x:c>
    </x:row>
    <x:row r="182">
      <x:c r="A182" s="12" t="str">
        <x:v>1079</x:v>
      </x:c>
      <x:c r="B182" s="12" t="str">
        <x:v>Manufacture of other food products n.e.c.</x:v>
      </x:c>
      <x:c r="C182" s="12" t="str">
        <x:v>عمان</x:v>
      </x:c>
      <x:c r="D182" s="14" t="n">
        <x:v>348</x:v>
      </x:c>
      <x:c r="E182" s="14" t="n">
        <x:f>VLOOKUP(C182,'Governorate Master'!$A$2:$Q$13,3,FALSE)</x:f>
        <x:v>5004600</x:v>
      </x:c>
      <x:c r="F182" s="66" t="n">
        <x:f>IF(E182=0,0,D182/E182*10000)</x:f>
        <x:v>0.6953602685529313</x:v>
      </x:c>
      <x:c r="G182" s="67" t="n">
        <x:f>VLOOKUP(C182,'Governorate Master'!$A$2:$Q$13,7,FALSE)</x:f>
        <x:v>660.3</x:v>
      </x:c>
      <x:c r="H182" s="20" t="n">
        <x:f>VLOOKUP(C182,'Governorate Master'!$A$2:$Q$13,6,FALSE)</x:f>
        <x:v>0.9721656076409703</x:v>
      </x:c>
      <x:c r="I182" s="20" t="n">
        <x:f>VLOOKUP(C182,'Governorate Master'!$A$2:$Q$13,15,FALSE)</x:f>
        <x:v>0.06367041198501873</x:v>
      </x:c>
      <x:c r="J182" s="12" t="str">
        <x:v>Location model input - competition/saturation context</x:v>
      </x:c>
      <x:c r="K182" s="12" t="str">
        <x:v>Business count is from 2018 while population/context indicators are newer; use as a historical proxy, not a current market count.</x:v>
      </x:c>
    </x:row>
    <x:row r="183">
      <x:c r="A183" s="12" t="str">
        <x:v>1079</x:v>
      </x:c>
      <x:c r="B183" s="12" t="str">
        <x:v>Manufacture of other food products n.e.c.</x:v>
      </x:c>
      <x:c r="C183" s="12" t="str">
        <x:v>البلقاء</x:v>
      </x:c>
      <x:c r="D183" s="14" t="n">
        <x:v>53</x:v>
      </x:c>
      <x:c r="E183" s="14" t="n">
        <x:f>VLOOKUP(C183,'Governorate Master'!$A$2:$Q$13,3,FALSE)</x:f>
        <x:v>614000</x:v>
      </x:c>
      <x:c r="F183" s="66" t="n">
        <x:f>IF(E183=0,0,D183/E183*10000)</x:f>
        <x:v>0.8631921824104234</x:v>
      </x:c>
      <x:c r="G183" s="67" t="n">
        <x:f>VLOOKUP(C183,'Governorate Master'!$A$2:$Q$13,7,FALSE)</x:f>
        <x:v>548</x:v>
      </x:c>
      <x:c r="H183" s="20" t="n">
        <x:f>VLOOKUP(C183,'Governorate Master'!$A$2:$Q$13,6,FALSE)</x:f>
        <x:v>0.8210097719869707</x:v>
      </x:c>
      <x:c r="I183" s="20" t="n">
        <x:f>VLOOKUP(C183,'Governorate Master'!$A$2:$Q$13,15,FALSE)</x:f>
        <x:v>0.10794044665012408</x:v>
      </x:c>
      <x:c r="J183" s="12" t="str">
        <x:v>Location model input - competition/saturation context</x:v>
      </x:c>
      <x:c r="K183" s="12" t="str">
        <x:v>Business count is from 2018 while population/context indicators are newer; use as a historical proxy, not a current market count.</x:v>
      </x:c>
    </x:row>
    <x:row r="184">
      <x:c r="A184" s="12" t="str">
        <x:v>1079</x:v>
      </x:c>
      <x:c r="B184" s="12" t="str">
        <x:v>Manufacture of other food products n.e.c.</x:v>
      </x:c>
      <x:c r="C184" s="12" t="str">
        <x:v>الزرقاء</x:v>
      </x:c>
      <x:c r="D184" s="14" t="n">
        <x:v>68</x:v>
      </x:c>
      <x:c r="E184" s="14" t="n">
        <x:f>VLOOKUP(C184,'Governorate Master'!$A$2:$Q$13,3,FALSE)</x:f>
        <x:v>1704500</x:v>
      </x:c>
      <x:c r="F184" s="66" t="n">
        <x:f>IF(E184=0,0,D184/E184*10000)</x:f>
        <x:v>0.39894397183924907</x:v>
      </x:c>
      <x:c r="G184" s="67" t="n">
        <x:f>VLOOKUP(C184,'Governorate Master'!$A$2:$Q$13,7,FALSE)</x:f>
        <x:v>358</x:v>
      </x:c>
      <x:c r="H184" s="20" t="n">
        <x:f>VLOOKUP(C184,'Governorate Master'!$A$2:$Q$13,6,FALSE)</x:f>
        <x:v>0.9636256966852449</x:v>
      </x:c>
      <x:c r="I184" s="20" t="n">
        <x:f>VLOOKUP(C184,'Governorate Master'!$A$2:$Q$13,15,FALSE)</x:f>
        <x:v>-0.06808762581409118</x:v>
      </x:c>
      <x:c r="J184" s="12" t="str">
        <x:v>Location model input - competition/saturation context</x:v>
      </x:c>
      <x:c r="K184" s="12" t="str">
        <x:v>Business count is from 2018 while population/context indicators are newer; use as a historical proxy, not a current market count.</x:v>
      </x:c>
    </x:row>
    <x:row r="185">
      <x:c r="A185" s="12" t="str">
        <x:v>1079</x:v>
      </x:c>
      <x:c r="B185" s="12" t="str">
        <x:v>Manufacture of other food products n.e.c.</x:v>
      </x:c>
      <x:c r="C185" s="12" t="str">
        <x:v>مادبا</x:v>
      </x:c>
      <x:c r="D185" s="14" t="n">
        <x:v>16</x:v>
      </x:c>
      <x:c r="E185" s="14" t="n">
        <x:f>VLOOKUP(C185,'Governorate Master'!$A$2:$Q$13,3,FALSE)</x:f>
        <x:v>236200</x:v>
      </x:c>
      <x:c r="F185" s="66" t="n">
        <x:f>IF(E185=0,0,D185/E185*10000)</x:f>
        <x:v>0.6773920406435224</x:v>
      </x:c>
      <x:c r="G185" s="67" t="n">
        <x:f>VLOOKUP(C185,'Governorate Master'!$A$2:$Q$13,7,FALSE)</x:f>
        <x:v>251.4</x:v>
      </x:c>
      <x:c r="H185" s="20" t="n">
        <x:f>VLOOKUP(C185,'Governorate Master'!$A$2:$Q$13,6,FALSE)</x:f>
        <x:v>0.7823878069432684</x:v>
      </x:c>
      <x:c r="I185" s="20" t="n">
        <x:f>VLOOKUP(C185,'Governorate Master'!$A$2:$Q$13,15,FALSE)</x:f>
        <x:v>-0.18823529411764706</x:v>
      </x:c>
      <x:c r="J185" s="12" t="str">
        <x:v>Location model input - competition/saturation context</x:v>
      </x:c>
      <x:c r="K185" s="12" t="str">
        <x:v>Business count is from 2018 while population/context indicators are newer; use as a historical proxy, not a current market count.</x:v>
      </x:c>
    </x:row>
    <x:row r="186">
      <x:c r="A186" s="12" t="str">
        <x:v>1079</x:v>
      </x:c>
      <x:c r="B186" s="12" t="str">
        <x:v>Manufacture of other food products n.e.c.</x:v>
      </x:c>
      <x:c r="C186" s="12" t="str">
        <x:v>إربد</x:v>
      </x:c>
      <x:c r="D186" s="14" t="n">
        <x:v>166</x:v>
      </x:c>
      <x:c r="E186" s="14" t="n">
        <x:f>VLOOKUP(C186,'Governorate Master'!$A$2:$Q$13,3,FALSE)</x:f>
        <x:v>2210500</x:v>
      </x:c>
      <x:c r="F186" s="66" t="n">
        <x:f>IF(E186=0,0,D186/E186*10000)</x:f>
        <x:v>0.7509613209681067</x:v>
      </x:c>
      <x:c r="G186" s="67" t="n">
        <x:f>VLOOKUP(C186,'Governorate Master'!$A$2:$Q$13,7,FALSE)</x:f>
        <x:v>1406.4</x:v>
      </x:c>
      <x:c r="H186" s="20" t="n">
        <x:f>VLOOKUP(C186,'Governorate Master'!$A$2:$Q$13,6,FALSE)</x:f>
        <x:v>0.9235014702555983</x:v>
      </x:c>
      <x:c r="I186" s="20" t="n">
        <x:f>VLOOKUP(C186,'Governorate Master'!$A$2:$Q$13,15,FALSE)</x:f>
        <x:v>0.07086922474549726</x:v>
      </x:c>
      <x:c r="J186" s="12" t="str">
        <x:v>Location model input - competition/saturation context</x:v>
      </x:c>
      <x:c r="K186" s="12" t="str">
        <x:v>Business count is from 2018 while population/context indicators are newer; use as a historical proxy, not a current market count.</x:v>
      </x:c>
    </x:row>
    <x:row r="187">
      <x:c r="A187" s="12" t="str">
        <x:v>1079</x:v>
      </x:c>
      <x:c r="B187" s="12" t="str">
        <x:v>Manufacture of other food products n.e.c.</x:v>
      </x:c>
      <x:c r="C187" s="12" t="str">
        <x:v>المفرق</x:v>
      </x:c>
      <x:c r="D187" s="14" t="n">
        <x:v>21</x:v>
      </x:c>
      <x:c r="E187" s="14" t="n">
        <x:f>VLOOKUP(C187,'Governorate Master'!$A$2:$Q$13,3,FALSE)</x:f>
        <x:v>686800</x:v>
      </x:c>
      <x:c r="F187" s="66" t="n">
        <x:f>IF(E187=0,0,D187/E187*10000)</x:f>
        <x:v>0.3057658707047175</x:v>
      </x:c>
      <x:c r="G187" s="67" t="n">
        <x:f>VLOOKUP(C187,'Governorate Master'!$A$2:$Q$13,7,FALSE)</x:f>
        <x:v>25.9</x:v>
      </x:c>
      <x:c r="H187" s="20" t="n">
        <x:f>VLOOKUP(C187,'Governorate Master'!$A$2:$Q$13,6,FALSE)</x:f>
        <x:v>0.6965637740244612</x:v>
      </x:c>
      <x:c r="I187" s="20" t="n">
        <x:f>VLOOKUP(C187,'Governorate Master'!$A$2:$Q$13,15,FALSE)</x:f>
        <x:v>-0.016638935108153077</x:v>
      </x:c>
      <x:c r="J187" s="12" t="str">
        <x:v>Location model input - competition/saturation context</x:v>
      </x:c>
      <x:c r="K187" s="12" t="str">
        <x:v>Business count is from 2018 while population/context indicators are newer; use as a historical proxy, not a current market count.</x:v>
      </x:c>
    </x:row>
    <x:row r="188">
      <x:c r="A188" s="12" t="str">
        <x:v>1079</x:v>
      </x:c>
      <x:c r="B188" s="12" t="str">
        <x:v>Manufacture of other food products n.e.c.</x:v>
      </x:c>
      <x:c r="C188" s="12" t="str">
        <x:v>جرش</x:v>
      </x:c>
      <x:c r="D188" s="14" t="n">
        <x:v>29</x:v>
      </x:c>
      <x:c r="E188" s="14" t="n">
        <x:f>VLOOKUP(C188,'Governorate Master'!$A$2:$Q$13,3,FALSE)</x:f>
        <x:v>296000</x:v>
      </x:c>
      <x:c r="F188" s="66" t="n">
        <x:f>IF(E188=0,0,D188/E188*10000)</x:f>
        <x:v>0.9797297297297297</x:v>
      </x:c>
      <x:c r="G188" s="67" t="n">
        <x:f>VLOOKUP(C188,'Governorate Master'!$A$2:$Q$13,7,FALSE)</x:f>
        <x:v>722.3</x:v>
      </x:c>
      <x:c r="H188" s="20" t="n">
        <x:f>VLOOKUP(C188,'Governorate Master'!$A$2:$Q$13,6,FALSE)</x:f>
        <x:v>0.7695945945945946</x:v>
      </x:c>
      <x:c r="I188" s="20" t="n">
        <x:f>VLOOKUP(C188,'Governorate Master'!$A$2:$Q$13,15,FALSE)</x:f>
        <x:v>-0.06527415143603134</x:v>
      </x:c>
      <x:c r="J188" s="12" t="str">
        <x:v>Location model input - competition/saturation context</x:v>
      </x:c>
      <x:c r="K188" s="12" t="str">
        <x:v>Business count is from 2018 while population/context indicators are newer; use as a historical proxy, not a current market count.</x:v>
      </x:c>
    </x:row>
    <x:row r="189">
      <x:c r="A189" s="12" t="str">
        <x:v>1079</x:v>
      </x:c>
      <x:c r="B189" s="12" t="str">
        <x:v>Manufacture of other food products n.e.c.</x:v>
      </x:c>
      <x:c r="C189" s="12" t="str">
        <x:v>عجلون</x:v>
      </x:c>
      <x:c r="D189" s="14" t="n">
        <x:v>29</x:v>
      </x:c>
      <x:c r="E189" s="14" t="n">
        <x:f>VLOOKUP(C189,'Governorate Master'!$A$2:$Q$13,3,FALSE)</x:f>
        <x:v>219900</x:v>
      </x:c>
      <x:c r="F189" s="66" t="n">
        <x:f>IF(E189=0,0,D189/E189*10000)</x:f>
        <x:v>1.3187812642110048</x:v>
      </x:c>
      <x:c r="G189" s="67" t="n">
        <x:f>VLOOKUP(C189,'Governorate Master'!$A$2:$Q$13,7,FALSE)</x:f>
        <x:v>524</x:v>
      </x:c>
      <x:c r="H189" s="20" t="n">
        <x:f>VLOOKUP(C189,'Governorate Master'!$A$2:$Q$13,6,FALSE)</x:f>
        <x:v>0.8390177353342428</x:v>
      </x:c>
      <x:c r="I189" s="20" t="n">
        <x:f>VLOOKUP(C189,'Governorate Master'!$A$2:$Q$13,15,FALSE)</x:f>
        <x:v>0.03614457831325301</x:v>
      </x:c>
      <x:c r="J189" s="12" t="str">
        <x:v>Location model input - competition/saturation context</x:v>
      </x:c>
      <x:c r="K189" s="12" t="str">
        <x:v>Business count is from 2018 while population/context indicators are newer; use as a historical proxy, not a current market count.</x:v>
      </x:c>
    </x:row>
    <x:row r="190">
      <x:c r="A190" s="12" t="str">
        <x:v>1079</x:v>
      </x:c>
      <x:c r="B190" s="12" t="str">
        <x:v>Manufacture of other food products n.e.c.</x:v>
      </x:c>
      <x:c r="C190" s="12" t="str">
        <x:v>الكرك</x:v>
      </x:c>
      <x:c r="D190" s="14" t="n">
        <x:v>14</x:v>
      </x:c>
      <x:c r="E190" s="14" t="n">
        <x:f>VLOOKUP(C190,'Governorate Master'!$A$2:$Q$13,3,FALSE)</x:f>
        <x:v>395400</x:v>
      </x:c>
      <x:c r="F190" s="66" t="n">
        <x:f>IF(E190=0,0,D190/E190*10000)</x:f>
        <x:v>0.3540718259989884</x:v>
      </x:c>
      <x:c r="G190" s="67" t="n">
        <x:f>VLOOKUP(C190,'Governorate Master'!$A$2:$Q$13,7,FALSE)</x:f>
        <x:v>113.1</x:v>
      </x:c>
      <x:c r="H190" s="20" t="n">
        <x:f>VLOOKUP(C190,'Governorate Master'!$A$2:$Q$13,6,FALSE)</x:f>
        <x:v>0.5912999494183105</x:v>
      </x:c>
      <x:c r="I190" s="20" t="n">
        <x:f>VLOOKUP(C190,'Governorate Master'!$A$2:$Q$13,15,FALSE)</x:f>
        <x:v>0.08710801393728224</x:v>
      </x:c>
      <x:c r="J190" s="12" t="str">
        <x:v>Location model input - competition/saturation context</x:v>
      </x:c>
      <x:c r="K190" s="12" t="str">
        <x:v>Business count is from 2018 while population/context indicators are newer; use as a historical proxy, not a current market count.</x:v>
      </x:c>
    </x:row>
    <x:row r="191">
      <x:c r="A191" s="12" t="str">
        <x:v>1079</x:v>
      </x:c>
      <x:c r="B191" s="12" t="str">
        <x:v>Manufacture of other food products n.e.c.</x:v>
      </x:c>
      <x:c r="C191" s="12" t="str">
        <x:v>الطفيلة</x:v>
      </x:c>
      <x:c r="D191" s="14" t="n">
        <x:v>14</x:v>
      </x:c>
      <x:c r="E191" s="14" t="n">
        <x:f>VLOOKUP(C191,'Governorate Master'!$A$2:$Q$13,3,FALSE)</x:f>
        <x:v>120300</x:v>
      </x:c>
      <x:c r="F191" s="66" t="n">
        <x:f>IF(E191=0,0,D191/E191*10000)</x:f>
        <x:v>1.1637572734829593</x:v>
      </x:c>
      <x:c r="G191" s="67" t="n">
        <x:f>VLOOKUP(C191,'Governorate Master'!$A$2:$Q$13,7,FALSE)</x:f>
        <x:v>54.4</x:v>
      </x:c>
      <x:c r="H191" s="20" t="n">
        <x:f>VLOOKUP(C191,'Governorate Master'!$A$2:$Q$13,6,FALSE)</x:f>
        <x:v>0.7797173732335827</x:v>
      </x:c>
      <x:c r="I191" s="20" t="n">
        <x:f>VLOOKUP(C191,'Governorate Master'!$A$2:$Q$13,15,FALSE)</x:f>
        <x:v>0.18452380952380953</x:v>
      </x:c>
      <x:c r="J191" s="12" t="str">
        <x:v>Location model input - competition/saturation context</x:v>
      </x:c>
      <x:c r="K191" s="12" t="str">
        <x:v>Business count is from 2018 while population/context indicators are newer; use as a historical proxy, not a current market count.</x:v>
      </x:c>
    </x:row>
    <x:row r="192">
      <x:c r="A192" s="12" t="str">
        <x:v>1079</x:v>
      </x:c>
      <x:c r="B192" s="12" t="str">
        <x:v>Manufacture of other food products n.e.c.</x:v>
      </x:c>
      <x:c r="C192" s="12" t="str">
        <x:v>معان</x:v>
      </x:c>
      <x:c r="D192" s="14" t="n">
        <x:v>7</x:v>
      </x:c>
      <x:c r="E192" s="14" t="n">
        <x:f>VLOOKUP(C192,'Governorate Master'!$A$2:$Q$13,3,FALSE)</x:f>
        <x:v>197900</x:v>
      </x:c>
      <x:c r="F192" s="66" t="n">
        <x:f>IF(E192=0,0,D192/E192*10000)</x:f>
        <x:v>0.35371399696816574</x:v>
      </x:c>
      <x:c r="G192" s="67" t="n">
        <x:f>VLOOKUP(C192,'Governorate Master'!$A$2:$Q$13,7,FALSE)</x:f>
        <x:v>6</x:v>
      </x:c>
      <x:c r="H192" s="20" t="n">
        <x:f>VLOOKUP(C192,'Governorate Master'!$A$2:$Q$13,6,FALSE)</x:f>
        <x:v>0.5406771096513391</x:v>
      </x:c>
      <x:c r="I192" s="20" t="n">
        <x:f>VLOOKUP(C192,'Governorate Master'!$A$2:$Q$13,15,FALSE)</x:f>
        <x:v>0.026845637583892617</x:v>
      </x:c>
      <x:c r="J192" s="12" t="str">
        <x:v>Location model input - competition/saturation context</x:v>
      </x:c>
      <x:c r="K192" s="12" t="str">
        <x:v>Business count is from 2018 while population/context indicators are newer; use as a historical proxy, not a current market count.</x:v>
      </x:c>
    </x:row>
    <x:row r="193">
      <x:c r="A193" s="12" t="str">
        <x:v>1079</x:v>
      </x:c>
      <x:c r="B193" s="12" t="str">
        <x:v>Manufacture of other food products n.e.c.</x:v>
      </x:c>
      <x:c r="C193" s="12" t="str">
        <x:v>العقبة</x:v>
      </x:c>
      <x:c r="D193" s="14" t="n">
        <x:v>15</x:v>
      </x:c>
      <x:c r="E193" s="14" t="n">
        <x:f>VLOOKUP(C193,'Governorate Master'!$A$2:$Q$13,3,FALSE)</x:f>
        <x:v>250900</x:v>
      </x:c>
      <x:c r="F193" s="66" t="n">
        <x:f>IF(E193=0,0,D193/E193*10000)</x:f>
        <x:v>0.5978477481068154</x:v>
      </x:c>
      <x:c r="G193" s="67" t="n">
        <x:f>VLOOKUP(C193,'Governorate Master'!$A$2:$Q$13,7,FALSE)</x:f>
        <x:v>36.3</x:v>
      </x:c>
      <x:c r="H193" s="20" t="n">
        <x:f>VLOOKUP(C193,'Governorate Master'!$A$2:$Q$13,6,FALSE)</x:f>
        <x:v>0.882024711040255</x:v>
      </x:c>
      <x:c r="I193" s="20" t="n">
        <x:f>VLOOKUP(C193,'Governorate Master'!$A$2:$Q$13,15,FALSE)</x:f>
        <x:v>-0.09</x:v>
      </x:c>
      <x:c r="J193" s="12" t="str">
        <x:v>Location model input - competition/saturation context</x:v>
      </x:c>
      <x:c r="K193" s="12" t="str">
        <x:v>Business count is from 2018 while population/context indicators are newer; use as a historical proxy, not a current market count.</x:v>
      </x:c>
    </x:row>
    <x:row r="194">
      <x:c r="A194" s="12" t="str">
        <x:v>1080</x:v>
      </x:c>
      <x:c r="B194" s="12" t="str">
        <x:v>Manufacture of prepared animal feeds</x:v>
      </x:c>
      <x:c r="C194" s="12" t="str">
        <x:v>عمان</x:v>
      </x:c>
      <x:c r="D194" s="14" t="n">
        <x:v>28</x:v>
      </x:c>
      <x:c r="E194" s="14" t="n">
        <x:f>VLOOKUP(C194,'Governorate Master'!$A$2:$Q$13,3,FALSE)</x:f>
        <x:v>5004600</x:v>
      </x:c>
      <x:c r="F194" s="66" t="n">
        <x:f>IF(E194=0,0,D194/E194*10000)</x:f>
        <x:v>0.055948527354833556</x:v>
      </x:c>
      <x:c r="G194" s="67" t="n">
        <x:f>VLOOKUP(C194,'Governorate Master'!$A$2:$Q$13,7,FALSE)</x:f>
        <x:v>660.3</x:v>
      </x:c>
      <x:c r="H194" s="20" t="n">
        <x:f>VLOOKUP(C194,'Governorate Master'!$A$2:$Q$13,6,FALSE)</x:f>
        <x:v>0.9721656076409703</x:v>
      </x:c>
      <x:c r="I194" s="20" t="n">
        <x:f>VLOOKUP(C194,'Governorate Master'!$A$2:$Q$13,15,FALSE)</x:f>
        <x:v>0.06367041198501873</x:v>
      </x:c>
      <x:c r="J194" s="12" t="str">
        <x:v>Location model input - competition/saturation context</x:v>
      </x:c>
      <x:c r="K194" s="12" t="str">
        <x:v>Business count is from 2018 while population/context indicators are newer; use as a historical proxy, not a current market count.</x:v>
      </x:c>
    </x:row>
    <x:row r="195">
      <x:c r="A195" s="12" t="str">
        <x:v>1080</x:v>
      </x:c>
      <x:c r="B195" s="12" t="str">
        <x:v>Manufacture of prepared animal feeds</x:v>
      </x:c>
      <x:c r="C195" s="12" t="str">
        <x:v>البلقاء</x:v>
      </x:c>
      <x:c r="D195" s="14" t="n">
        <x:v>14</x:v>
      </x:c>
      <x:c r="E195" s="14" t="n">
        <x:f>VLOOKUP(C195,'Governorate Master'!$A$2:$Q$13,3,FALSE)</x:f>
        <x:v>614000</x:v>
      </x:c>
      <x:c r="F195" s="66" t="n">
        <x:f>IF(E195=0,0,D195/E195*10000)</x:f>
        <x:v>0.22801302931596093</x:v>
      </x:c>
      <x:c r="G195" s="67" t="n">
        <x:f>VLOOKUP(C195,'Governorate Master'!$A$2:$Q$13,7,FALSE)</x:f>
        <x:v>548</x:v>
      </x:c>
      <x:c r="H195" s="20" t="n">
        <x:f>VLOOKUP(C195,'Governorate Master'!$A$2:$Q$13,6,FALSE)</x:f>
        <x:v>0.8210097719869707</x:v>
      </x:c>
      <x:c r="I195" s="20" t="n">
        <x:f>VLOOKUP(C195,'Governorate Master'!$A$2:$Q$13,15,FALSE)</x:f>
        <x:v>0.10794044665012408</x:v>
      </x:c>
      <x:c r="J195" s="12" t="str">
        <x:v>Location model input - competition/saturation context</x:v>
      </x:c>
      <x:c r="K195" s="12" t="str">
        <x:v>Business count is from 2018 while population/context indicators are newer; use as a historical proxy, not a current market count.</x:v>
      </x:c>
    </x:row>
    <x:row r="196">
      <x:c r="A196" s="12" t="str">
        <x:v>1080</x:v>
      </x:c>
      <x:c r="B196" s="12" t="str">
        <x:v>Manufacture of prepared animal feeds</x:v>
      </x:c>
      <x:c r="C196" s="12" t="str">
        <x:v>الزرقاء</x:v>
      </x:c>
      <x:c r="D196" s="14" t="n">
        <x:v>15</x:v>
      </x:c>
      <x:c r="E196" s="14" t="n">
        <x:f>VLOOKUP(C196,'Governorate Master'!$A$2:$Q$13,3,FALSE)</x:f>
        <x:v>1704500</x:v>
      </x:c>
      <x:c r="F196" s="66" t="n">
        <x:f>IF(E196=0,0,D196/E196*10000)</x:f>
        <x:v>0.0880023467292461</x:v>
      </x:c>
      <x:c r="G196" s="67" t="n">
        <x:f>VLOOKUP(C196,'Governorate Master'!$A$2:$Q$13,7,FALSE)</x:f>
        <x:v>358</x:v>
      </x:c>
      <x:c r="H196" s="20" t="n">
        <x:f>VLOOKUP(C196,'Governorate Master'!$A$2:$Q$13,6,FALSE)</x:f>
        <x:v>0.9636256966852449</x:v>
      </x:c>
      <x:c r="I196" s="20" t="n">
        <x:f>VLOOKUP(C196,'Governorate Master'!$A$2:$Q$13,15,FALSE)</x:f>
        <x:v>-0.06808762581409118</x:v>
      </x:c>
      <x:c r="J196" s="12" t="str">
        <x:v>Location model input - competition/saturation context</x:v>
      </x:c>
      <x:c r="K196" s="12" t="str">
        <x:v>Business count is from 2018 while population/context indicators are newer; use as a historical proxy, not a current market count.</x:v>
      </x:c>
    </x:row>
    <x:row r="197">
      <x:c r="A197" s="12" t="str">
        <x:v>1080</x:v>
      </x:c>
      <x:c r="B197" s="12" t="str">
        <x:v>Manufacture of prepared animal feeds</x:v>
      </x:c>
      <x:c r="C197" s="12" t="str">
        <x:v>مادبا</x:v>
      </x:c>
      <x:c r="D197" s="14" t="n">
        <x:v>5</x:v>
      </x:c>
      <x:c r="E197" s="14" t="n">
        <x:f>VLOOKUP(C197,'Governorate Master'!$A$2:$Q$13,3,FALSE)</x:f>
        <x:v>236200</x:v>
      </x:c>
      <x:c r="F197" s="66" t="n">
        <x:f>IF(E197=0,0,D197/E197*10000)</x:f>
        <x:v>0.21168501270110077</x:v>
      </x:c>
      <x:c r="G197" s="67" t="n">
        <x:f>VLOOKUP(C197,'Governorate Master'!$A$2:$Q$13,7,FALSE)</x:f>
        <x:v>251.4</x:v>
      </x:c>
      <x:c r="H197" s="20" t="n">
        <x:f>VLOOKUP(C197,'Governorate Master'!$A$2:$Q$13,6,FALSE)</x:f>
        <x:v>0.7823878069432684</x:v>
      </x:c>
      <x:c r="I197" s="20" t="n">
        <x:f>VLOOKUP(C197,'Governorate Master'!$A$2:$Q$13,15,FALSE)</x:f>
        <x:v>-0.18823529411764706</x:v>
      </x:c>
      <x:c r="J197" s="12" t="str">
        <x:v>Location model input - competition/saturation context</x:v>
      </x:c>
      <x:c r="K197" s="12" t="str">
        <x:v>Business count is from 2018 while population/context indicators are newer; use as a historical proxy, not a current market count.</x:v>
      </x:c>
    </x:row>
    <x:row r="198">
      <x:c r="A198" s="12" t="str">
        <x:v>1080</x:v>
      </x:c>
      <x:c r="B198" s="12" t="str">
        <x:v>Manufacture of prepared animal feeds</x:v>
      </x:c>
      <x:c r="C198" s="12" t="str">
        <x:v>إربد</x:v>
      </x:c>
      <x:c r="D198" s="14" t="n">
        <x:v>37</x:v>
      </x:c>
      <x:c r="E198" s="14" t="n">
        <x:f>VLOOKUP(C198,'Governorate Master'!$A$2:$Q$13,3,FALSE)</x:f>
        <x:v>2210500</x:v>
      </x:c>
      <x:c r="F198" s="66" t="n">
        <x:f>IF(E198=0,0,D198/E198*10000)</x:f>
        <x:v>0.16738294503505996</x:v>
      </x:c>
      <x:c r="G198" s="67" t="n">
        <x:f>VLOOKUP(C198,'Governorate Master'!$A$2:$Q$13,7,FALSE)</x:f>
        <x:v>1406.4</x:v>
      </x:c>
      <x:c r="H198" s="20" t="n">
        <x:f>VLOOKUP(C198,'Governorate Master'!$A$2:$Q$13,6,FALSE)</x:f>
        <x:v>0.9235014702555983</x:v>
      </x:c>
      <x:c r="I198" s="20" t="n">
        <x:f>VLOOKUP(C198,'Governorate Master'!$A$2:$Q$13,15,FALSE)</x:f>
        <x:v>0.07086922474549726</x:v>
      </x:c>
      <x:c r="J198" s="12" t="str">
        <x:v>Location model input - competition/saturation context</x:v>
      </x:c>
      <x:c r="K198" s="12" t="str">
        <x:v>Business count is from 2018 while population/context indicators are newer; use as a historical proxy, not a current market count.</x:v>
      </x:c>
    </x:row>
    <x:row r="199">
      <x:c r="A199" s="12" t="str">
        <x:v>1080</x:v>
      </x:c>
      <x:c r="B199" s="12" t="str">
        <x:v>Manufacture of prepared animal feeds</x:v>
      </x:c>
      <x:c r="C199" s="12" t="str">
        <x:v>المفرق</x:v>
      </x:c>
      <x:c r="D199" s="14" t="n">
        <x:v>11</x:v>
      </x:c>
      <x:c r="E199" s="14" t="n">
        <x:f>VLOOKUP(C199,'Governorate Master'!$A$2:$Q$13,3,FALSE)</x:f>
        <x:v>686800</x:v>
      </x:c>
      <x:c r="F199" s="66" t="n">
        <x:f>IF(E199=0,0,D199/E199*10000)</x:f>
        <x:v>0.16016307513104253</x:v>
      </x:c>
      <x:c r="G199" s="67" t="n">
        <x:f>VLOOKUP(C199,'Governorate Master'!$A$2:$Q$13,7,FALSE)</x:f>
        <x:v>25.9</x:v>
      </x:c>
      <x:c r="H199" s="20" t="n">
        <x:f>VLOOKUP(C199,'Governorate Master'!$A$2:$Q$13,6,FALSE)</x:f>
        <x:v>0.6965637740244612</x:v>
      </x:c>
      <x:c r="I199" s="20" t="n">
        <x:f>VLOOKUP(C199,'Governorate Master'!$A$2:$Q$13,15,FALSE)</x:f>
        <x:v>-0.016638935108153077</x:v>
      </x:c>
      <x:c r="J199" s="12" t="str">
        <x:v>Location model input - competition/saturation context</x:v>
      </x:c>
      <x:c r="K199" s="12" t="str">
        <x:v>Business count is from 2018 while population/context indicators are newer; use as a historical proxy, not a current market count.</x:v>
      </x:c>
    </x:row>
    <x:row r="200">
      <x:c r="A200" s="12" t="str">
        <x:v>1080</x:v>
      </x:c>
      <x:c r="B200" s="12" t="str">
        <x:v>Manufacture of prepared animal feeds</x:v>
      </x:c>
      <x:c r="C200" s="12" t="str">
        <x:v>جرش</x:v>
      </x:c>
      <x:c r="D200" s="14" t="n">
        <x:v>6</x:v>
      </x:c>
      <x:c r="E200" s="14" t="n">
        <x:f>VLOOKUP(C200,'Governorate Master'!$A$2:$Q$13,3,FALSE)</x:f>
        <x:v>296000</x:v>
      </x:c>
      <x:c r="F200" s="66" t="n">
        <x:f>IF(E200=0,0,D200/E200*10000)</x:f>
        <x:v>0.2027027027027027</x:v>
      </x:c>
      <x:c r="G200" s="67" t="n">
        <x:f>VLOOKUP(C200,'Governorate Master'!$A$2:$Q$13,7,FALSE)</x:f>
        <x:v>722.3</x:v>
      </x:c>
      <x:c r="H200" s="20" t="n">
        <x:f>VLOOKUP(C200,'Governorate Master'!$A$2:$Q$13,6,FALSE)</x:f>
        <x:v>0.7695945945945946</x:v>
      </x:c>
      <x:c r="I200" s="20" t="n">
        <x:f>VLOOKUP(C200,'Governorate Master'!$A$2:$Q$13,15,FALSE)</x:f>
        <x:v>-0.06527415143603134</x:v>
      </x:c>
      <x:c r="J200" s="12" t="str">
        <x:v>Location model input - competition/saturation context</x:v>
      </x:c>
      <x:c r="K200" s="12" t="str">
        <x:v>Business count is from 2018 while population/context indicators are newer; use as a historical proxy, not a current market count.</x:v>
      </x:c>
    </x:row>
    <x:row r="201">
      <x:c r="A201" s="12" t="str">
        <x:v>1080</x:v>
      </x:c>
      <x:c r="B201" s="12" t="str">
        <x:v>Manufacture of prepared animal feeds</x:v>
      </x:c>
      <x:c r="C201" s="12" t="str">
        <x:v>عجلون</x:v>
      </x:c>
      <x:c r="D201" s="14" t="n">
        <x:v>6</x:v>
      </x:c>
      <x:c r="E201" s="14" t="n">
        <x:f>VLOOKUP(C201,'Governorate Master'!$A$2:$Q$13,3,FALSE)</x:f>
        <x:v>219900</x:v>
      </x:c>
      <x:c r="F201" s="66" t="n">
        <x:f>IF(E201=0,0,D201/E201*10000)</x:f>
        <x:v>0.2728512960436562</x:v>
      </x:c>
      <x:c r="G201" s="67" t="n">
        <x:f>VLOOKUP(C201,'Governorate Master'!$A$2:$Q$13,7,FALSE)</x:f>
        <x:v>524</x:v>
      </x:c>
      <x:c r="H201" s="20" t="n">
        <x:f>VLOOKUP(C201,'Governorate Master'!$A$2:$Q$13,6,FALSE)</x:f>
        <x:v>0.8390177353342428</x:v>
      </x:c>
      <x:c r="I201" s="20" t="n">
        <x:f>VLOOKUP(C201,'Governorate Master'!$A$2:$Q$13,15,FALSE)</x:f>
        <x:v>0.03614457831325301</x:v>
      </x:c>
      <x:c r="J201" s="12" t="str">
        <x:v>Location model input - competition/saturation context</x:v>
      </x:c>
      <x:c r="K201" s="12" t="str">
        <x:v>Business count is from 2018 while population/context indicators are newer; use as a historical proxy, not a current market count.</x:v>
      </x:c>
    </x:row>
    <x:row r="202">
      <x:c r="A202" s="12" t="str">
        <x:v>1080</x:v>
      </x:c>
      <x:c r="B202" s="12" t="str">
        <x:v>Manufacture of prepared animal feeds</x:v>
      </x:c>
      <x:c r="C202" s="12" t="str">
        <x:v>الكرك</x:v>
      </x:c>
      <x:c r="D202" s="14" t="n">
        <x:v>7</x:v>
      </x:c>
      <x:c r="E202" s="14" t="n">
        <x:f>VLOOKUP(C202,'Governorate Master'!$A$2:$Q$13,3,FALSE)</x:f>
        <x:v>395400</x:v>
      </x:c>
      <x:c r="F202" s="66" t="n">
        <x:f>IF(E202=0,0,D202/E202*10000)</x:f>
        <x:v>0.1770359129994942</x:v>
      </x:c>
      <x:c r="G202" s="67" t="n">
        <x:f>VLOOKUP(C202,'Governorate Master'!$A$2:$Q$13,7,FALSE)</x:f>
        <x:v>113.1</x:v>
      </x:c>
      <x:c r="H202" s="20" t="n">
        <x:f>VLOOKUP(C202,'Governorate Master'!$A$2:$Q$13,6,FALSE)</x:f>
        <x:v>0.5912999494183105</x:v>
      </x:c>
      <x:c r="I202" s="20" t="n">
        <x:f>VLOOKUP(C202,'Governorate Master'!$A$2:$Q$13,15,FALSE)</x:f>
        <x:v>0.08710801393728224</x:v>
      </x:c>
      <x:c r="J202" s="12" t="str">
        <x:v>Location model input - competition/saturation context</x:v>
      </x:c>
      <x:c r="K202" s="12" t="str">
        <x:v>Business count is from 2018 while population/context indicators are newer; use as a historical proxy, not a current market count.</x:v>
      </x:c>
    </x:row>
    <x:row r="203">
      <x:c r="A203" s="12" t="str">
        <x:v>1080</x:v>
      </x:c>
      <x:c r="B203" s="12" t="str">
        <x:v>Manufacture of prepared animal feeds</x:v>
      </x:c>
      <x:c r="C203" s="12" t="str">
        <x:v>الطفيلة</x:v>
      </x:c>
      <x:c r="D203" s="14" t="n">
        <x:v>0</x:v>
      </x:c>
      <x:c r="E203" s="14" t="n">
        <x:f>VLOOKUP(C203,'Governorate Master'!$A$2:$Q$13,3,FALSE)</x:f>
        <x:v>120300</x:v>
      </x:c>
      <x:c r="F203" s="66" t="n">
        <x:f>IF(E203=0,0,D203/E203*10000)</x:f>
        <x:v>0</x:v>
      </x:c>
      <x:c r="G203" s="67" t="n">
        <x:f>VLOOKUP(C203,'Governorate Master'!$A$2:$Q$13,7,FALSE)</x:f>
        <x:v>54.4</x:v>
      </x:c>
      <x:c r="H203" s="20" t="n">
        <x:f>VLOOKUP(C203,'Governorate Master'!$A$2:$Q$13,6,FALSE)</x:f>
        <x:v>0.7797173732335827</x:v>
      </x:c>
      <x:c r="I203" s="20" t="n">
        <x:f>VLOOKUP(C203,'Governorate Master'!$A$2:$Q$13,15,FALSE)</x:f>
        <x:v>0.18452380952380953</x:v>
      </x:c>
      <x:c r="J203" s="12" t="str">
        <x:v>Location model input - competition/saturation context</x:v>
      </x:c>
      <x:c r="K203" s="12" t="str">
        <x:v>Business count is from 2018 while population/context indicators are newer; use as a historical proxy, not a current market count.</x:v>
      </x:c>
    </x:row>
    <x:row r="204">
      <x:c r="A204" s="12" t="str">
        <x:v>1080</x:v>
      </x:c>
      <x:c r="B204" s="12" t="str">
        <x:v>Manufacture of prepared animal feeds</x:v>
      </x:c>
      <x:c r="C204" s="12" t="str">
        <x:v>معان</x:v>
      </x:c>
      <x:c r="D204" s="14" t="n">
        <x:v>5</x:v>
      </x:c>
      <x:c r="E204" s="14" t="n">
        <x:f>VLOOKUP(C204,'Governorate Master'!$A$2:$Q$13,3,FALSE)</x:f>
        <x:v>197900</x:v>
      </x:c>
      <x:c r="F204" s="66" t="n">
        <x:f>IF(E204=0,0,D204/E204*10000)</x:f>
        <x:v>0.25265285497726125</x:v>
      </x:c>
      <x:c r="G204" s="67" t="n">
        <x:f>VLOOKUP(C204,'Governorate Master'!$A$2:$Q$13,7,FALSE)</x:f>
        <x:v>6</x:v>
      </x:c>
      <x:c r="H204" s="20" t="n">
        <x:f>VLOOKUP(C204,'Governorate Master'!$A$2:$Q$13,6,FALSE)</x:f>
        <x:v>0.5406771096513391</x:v>
      </x:c>
      <x:c r="I204" s="20" t="n">
        <x:f>VLOOKUP(C204,'Governorate Master'!$A$2:$Q$13,15,FALSE)</x:f>
        <x:v>0.026845637583892617</x:v>
      </x:c>
      <x:c r="J204" s="12" t="str">
        <x:v>Location model input - competition/saturation context</x:v>
      </x:c>
      <x:c r="K204" s="12" t="str">
        <x:v>Business count is from 2018 while population/context indicators are newer; use as a historical proxy, not a current market count.</x:v>
      </x:c>
    </x:row>
    <x:row r="205">
      <x:c r="A205" s="12" t="str">
        <x:v>1080</x:v>
      </x:c>
      <x:c r="B205" s="12" t="str">
        <x:v>Manufacture of prepared animal feeds</x:v>
      </x:c>
      <x:c r="C205" s="12" t="str">
        <x:v>العقبة</x:v>
      </x:c>
      <x:c r="D205" s="14" t="n">
        <x:v>0</x:v>
      </x:c>
      <x:c r="E205" s="14" t="n">
        <x:f>VLOOKUP(C205,'Governorate Master'!$A$2:$Q$13,3,FALSE)</x:f>
        <x:v>250900</x:v>
      </x:c>
      <x:c r="F205" s="66" t="n">
        <x:f>IF(E205=0,0,D205/E205*10000)</x:f>
        <x:v>0</x:v>
      </x:c>
      <x:c r="G205" s="67" t="n">
        <x:f>VLOOKUP(C205,'Governorate Master'!$A$2:$Q$13,7,FALSE)</x:f>
        <x:v>36.3</x:v>
      </x:c>
      <x:c r="H205" s="20" t="n">
        <x:f>VLOOKUP(C205,'Governorate Master'!$A$2:$Q$13,6,FALSE)</x:f>
        <x:v>0.882024711040255</x:v>
      </x:c>
      <x:c r="I205" s="20" t="n">
        <x:f>VLOOKUP(C205,'Governorate Master'!$A$2:$Q$13,15,FALSE)</x:f>
        <x:v>-0.09</x:v>
      </x:c>
      <x:c r="J205" s="12" t="str">
        <x:v>Location model input - competition/saturation context</x:v>
      </x:c>
      <x:c r="K205" s="12" t="str">
        <x:v>Business count is from 2018 while population/context indicators are newer; use as a historical proxy, not a current market count.</x:v>
      </x:c>
    </x:row>
    <x:row r="206">
      <x:c r="A206" s="12" t="str">
        <x:v>1101</x:v>
      </x:c>
      <x:c r="B206" s="12" t="str">
        <x:v>Distilling, rectifying and blending of spirits</x:v>
      </x:c>
      <x:c r="C206" s="12" t="str">
        <x:v>عمان</x:v>
      </x:c>
      <x:c r="D206" s="14" t="n">
        <x:v>3</x:v>
      </x:c>
      <x:c r="E206" s="14" t="n">
        <x:f>VLOOKUP(C206,'Governorate Master'!$A$2:$Q$13,3,FALSE)</x:f>
        <x:v>5004600</x:v>
      </x:c>
      <x:c r="F206" s="66" t="n">
        <x:f>IF(E206=0,0,D206/E206*10000)</x:f>
        <x:v>0.005994485073732166</x:v>
      </x:c>
      <x:c r="G206" s="67" t="n">
        <x:f>VLOOKUP(C206,'Governorate Master'!$A$2:$Q$13,7,FALSE)</x:f>
        <x:v>660.3</x:v>
      </x:c>
      <x:c r="H206" s="20" t="n">
        <x:f>VLOOKUP(C206,'Governorate Master'!$A$2:$Q$13,6,FALSE)</x:f>
        <x:v>0.9721656076409703</x:v>
      </x:c>
      <x:c r="I206" s="20" t="n">
        <x:f>VLOOKUP(C206,'Governorate Master'!$A$2:$Q$13,15,FALSE)</x:f>
        <x:v>0.06367041198501873</x:v>
      </x:c>
      <x:c r="J206" s="12" t="str">
        <x:v>Location model input - competition/saturation context</x:v>
      </x:c>
      <x:c r="K206" s="12" t="str">
        <x:v>Business count is from 2018 while population/context indicators are newer; use as a historical proxy, not a current market count.</x:v>
      </x:c>
    </x:row>
    <x:row r="207">
      <x:c r="A207" s="12" t="str">
        <x:v>1101</x:v>
      </x:c>
      <x:c r="B207" s="12" t="str">
        <x:v>Distilling, rectifying and blending of spirits</x:v>
      </x:c>
      <x:c r="C207" s="12" t="str">
        <x:v>البلقاء</x:v>
      </x:c>
      <x:c r="D207" s="14" t="n">
        <x:v>0</x:v>
      </x:c>
      <x:c r="E207" s="14" t="n">
        <x:f>VLOOKUP(C207,'Governorate Master'!$A$2:$Q$13,3,FALSE)</x:f>
        <x:v>614000</x:v>
      </x:c>
      <x:c r="F207" s="66" t="n">
        <x:f>IF(E207=0,0,D207/E207*10000)</x:f>
        <x:v>0</x:v>
      </x:c>
      <x:c r="G207" s="67" t="n">
        <x:f>VLOOKUP(C207,'Governorate Master'!$A$2:$Q$13,7,FALSE)</x:f>
        <x:v>548</x:v>
      </x:c>
      <x:c r="H207" s="20" t="n">
        <x:f>VLOOKUP(C207,'Governorate Master'!$A$2:$Q$13,6,FALSE)</x:f>
        <x:v>0.8210097719869707</x:v>
      </x:c>
      <x:c r="I207" s="20" t="n">
        <x:f>VLOOKUP(C207,'Governorate Master'!$A$2:$Q$13,15,FALSE)</x:f>
        <x:v>0.10794044665012408</x:v>
      </x:c>
      <x:c r="J207" s="12" t="str">
        <x:v>Location model input - competition/saturation context</x:v>
      </x:c>
      <x:c r="K207" s="12" t="str">
        <x:v>Business count is from 2018 while population/context indicators are newer; use as a historical proxy, not a current market count.</x:v>
      </x:c>
    </x:row>
    <x:row r="208">
      <x:c r="A208" s="12" t="str">
        <x:v>1101</x:v>
      </x:c>
      <x:c r="B208" s="12" t="str">
        <x:v>Distilling, rectifying and blending of spirits</x:v>
      </x:c>
      <x:c r="C208" s="12" t="str">
        <x:v>الزرقاء</x:v>
      </x:c>
      <x:c r="D208" s="14" t="n">
        <x:v>1</x:v>
      </x:c>
      <x:c r="E208" s="14" t="n">
        <x:f>VLOOKUP(C208,'Governorate Master'!$A$2:$Q$13,3,FALSE)</x:f>
        <x:v>1704500</x:v>
      </x:c>
      <x:c r="F208" s="66" t="n">
        <x:f>IF(E208=0,0,D208/E208*10000)</x:f>
        <x:v>0.005866823115283074</x:v>
      </x:c>
      <x:c r="G208" s="67" t="n">
        <x:f>VLOOKUP(C208,'Governorate Master'!$A$2:$Q$13,7,FALSE)</x:f>
        <x:v>358</x:v>
      </x:c>
      <x:c r="H208" s="20" t="n">
        <x:f>VLOOKUP(C208,'Governorate Master'!$A$2:$Q$13,6,FALSE)</x:f>
        <x:v>0.9636256966852449</x:v>
      </x:c>
      <x:c r="I208" s="20" t="n">
        <x:f>VLOOKUP(C208,'Governorate Master'!$A$2:$Q$13,15,FALSE)</x:f>
        <x:v>-0.06808762581409118</x:v>
      </x:c>
      <x:c r="J208" s="12" t="str">
        <x:v>Location model input - competition/saturation context</x:v>
      </x:c>
      <x:c r="K208" s="12" t="str">
        <x:v>Business count is from 2018 while population/context indicators are newer; use as a historical proxy, not a current market count.</x:v>
      </x:c>
    </x:row>
    <x:row r="209">
      <x:c r="A209" s="12" t="str">
        <x:v>1101</x:v>
      </x:c>
      <x:c r="B209" s="12" t="str">
        <x:v>Distilling, rectifying and blending of spirits</x:v>
      </x:c>
      <x:c r="C209" s="12" t="str">
        <x:v>مادبا</x:v>
      </x:c>
      <x:c r="D209" s="14" t="n">
        <x:v>0</x:v>
      </x:c>
      <x:c r="E209" s="14" t="n">
        <x:f>VLOOKUP(C209,'Governorate Master'!$A$2:$Q$13,3,FALSE)</x:f>
        <x:v>236200</x:v>
      </x:c>
      <x:c r="F209" s="66" t="n">
        <x:f>IF(E209=0,0,D209/E209*10000)</x:f>
        <x:v>0</x:v>
      </x:c>
      <x:c r="G209" s="67" t="n">
        <x:f>VLOOKUP(C209,'Governorate Master'!$A$2:$Q$13,7,FALSE)</x:f>
        <x:v>251.4</x:v>
      </x:c>
      <x:c r="H209" s="20" t="n">
        <x:f>VLOOKUP(C209,'Governorate Master'!$A$2:$Q$13,6,FALSE)</x:f>
        <x:v>0.7823878069432684</x:v>
      </x:c>
      <x:c r="I209" s="20" t="n">
        <x:f>VLOOKUP(C209,'Governorate Master'!$A$2:$Q$13,15,FALSE)</x:f>
        <x:v>-0.18823529411764706</x:v>
      </x:c>
      <x:c r="J209" s="12" t="str">
        <x:v>Location model input - competition/saturation context</x:v>
      </x:c>
      <x:c r="K209" s="12" t="str">
        <x:v>Business count is from 2018 while population/context indicators are newer; use as a historical proxy, not a current market count.</x:v>
      </x:c>
    </x:row>
    <x:row r="210">
      <x:c r="A210" s="12" t="str">
        <x:v>1101</x:v>
      </x:c>
      <x:c r="B210" s="12" t="str">
        <x:v>Distilling, rectifying and blending of spirits</x:v>
      </x:c>
      <x:c r="C210" s="12" t="str">
        <x:v>إربد</x:v>
      </x:c>
      <x:c r="D210" s="14" t="n">
        <x:v>0</x:v>
      </x:c>
      <x:c r="E210" s="14" t="n">
        <x:f>VLOOKUP(C210,'Governorate Master'!$A$2:$Q$13,3,FALSE)</x:f>
        <x:v>2210500</x:v>
      </x:c>
      <x:c r="F210" s="66" t="n">
        <x:f>IF(E210=0,0,D210/E210*10000)</x:f>
        <x:v>0</x:v>
      </x:c>
      <x:c r="G210" s="67" t="n">
        <x:f>VLOOKUP(C210,'Governorate Master'!$A$2:$Q$13,7,FALSE)</x:f>
        <x:v>1406.4</x:v>
      </x:c>
      <x:c r="H210" s="20" t="n">
        <x:f>VLOOKUP(C210,'Governorate Master'!$A$2:$Q$13,6,FALSE)</x:f>
        <x:v>0.9235014702555983</x:v>
      </x:c>
      <x:c r="I210" s="20" t="n">
        <x:f>VLOOKUP(C210,'Governorate Master'!$A$2:$Q$13,15,FALSE)</x:f>
        <x:v>0.07086922474549726</x:v>
      </x:c>
      <x:c r="J210" s="12" t="str">
        <x:v>Location model input - competition/saturation context</x:v>
      </x:c>
      <x:c r="K210" s="12" t="str">
        <x:v>Business count is from 2018 while population/context indicators are newer; use as a historical proxy, not a current market count.</x:v>
      </x:c>
    </x:row>
    <x:row r="211">
      <x:c r="A211" s="12" t="str">
        <x:v>1101</x:v>
      </x:c>
      <x:c r="B211" s="12" t="str">
        <x:v>Distilling, rectifying and blending of spirits</x:v>
      </x:c>
      <x:c r="C211" s="12" t="str">
        <x:v>المفرق</x:v>
      </x:c>
      <x:c r="D211" s="14" t="n">
        <x:v>0</x:v>
      </x:c>
      <x:c r="E211" s="14" t="n">
        <x:f>VLOOKUP(C211,'Governorate Master'!$A$2:$Q$13,3,FALSE)</x:f>
        <x:v>686800</x:v>
      </x:c>
      <x:c r="F211" s="66" t="n">
        <x:f>IF(E211=0,0,D211/E211*10000)</x:f>
        <x:v>0</x:v>
      </x:c>
      <x:c r="G211" s="67" t="n">
        <x:f>VLOOKUP(C211,'Governorate Master'!$A$2:$Q$13,7,FALSE)</x:f>
        <x:v>25.9</x:v>
      </x:c>
      <x:c r="H211" s="20" t="n">
        <x:f>VLOOKUP(C211,'Governorate Master'!$A$2:$Q$13,6,FALSE)</x:f>
        <x:v>0.6965637740244612</x:v>
      </x:c>
      <x:c r="I211" s="20" t="n">
        <x:f>VLOOKUP(C211,'Governorate Master'!$A$2:$Q$13,15,FALSE)</x:f>
        <x:v>-0.016638935108153077</x:v>
      </x:c>
      <x:c r="J211" s="12" t="str">
        <x:v>Location model input - competition/saturation context</x:v>
      </x:c>
      <x:c r="K211" s="12" t="str">
        <x:v>Business count is from 2018 while population/context indicators are newer; use as a historical proxy, not a current market count.</x:v>
      </x:c>
    </x:row>
    <x:row r="212">
      <x:c r="A212" s="12" t="str">
        <x:v>1101</x:v>
      </x:c>
      <x:c r="B212" s="12" t="str">
        <x:v>Distilling, rectifying and blending of spirits</x:v>
      </x:c>
      <x:c r="C212" s="12" t="str">
        <x:v>جرش</x:v>
      </x:c>
      <x:c r="D212" s="14" t="n">
        <x:v>0</x:v>
      </x:c>
      <x:c r="E212" s="14" t="n">
        <x:f>VLOOKUP(C212,'Governorate Master'!$A$2:$Q$13,3,FALSE)</x:f>
        <x:v>296000</x:v>
      </x:c>
      <x:c r="F212" s="66" t="n">
        <x:f>IF(E212=0,0,D212/E212*10000)</x:f>
        <x:v>0</x:v>
      </x:c>
      <x:c r="G212" s="67" t="n">
        <x:f>VLOOKUP(C212,'Governorate Master'!$A$2:$Q$13,7,FALSE)</x:f>
        <x:v>722.3</x:v>
      </x:c>
      <x:c r="H212" s="20" t="n">
        <x:f>VLOOKUP(C212,'Governorate Master'!$A$2:$Q$13,6,FALSE)</x:f>
        <x:v>0.7695945945945946</x:v>
      </x:c>
      <x:c r="I212" s="20" t="n">
        <x:f>VLOOKUP(C212,'Governorate Master'!$A$2:$Q$13,15,FALSE)</x:f>
        <x:v>-0.06527415143603134</x:v>
      </x:c>
      <x:c r="J212" s="12" t="str">
        <x:v>Location model input - competition/saturation context</x:v>
      </x:c>
      <x:c r="K212" s="12" t="str">
        <x:v>Business count is from 2018 while population/context indicators are newer; use as a historical proxy, not a current market count.</x:v>
      </x:c>
    </x:row>
    <x:row r="213">
      <x:c r="A213" s="12" t="str">
        <x:v>1101</x:v>
      </x:c>
      <x:c r="B213" s="12" t="str">
        <x:v>Distilling, rectifying and blending of spirits</x:v>
      </x:c>
      <x:c r="C213" s="12" t="str">
        <x:v>عجلون</x:v>
      </x:c>
      <x:c r="D213" s="14" t="n">
        <x:v>0</x:v>
      </x:c>
      <x:c r="E213" s="14" t="n">
        <x:f>VLOOKUP(C213,'Governorate Master'!$A$2:$Q$13,3,FALSE)</x:f>
        <x:v>219900</x:v>
      </x:c>
      <x:c r="F213" s="66" t="n">
        <x:f>IF(E213=0,0,D213/E213*10000)</x:f>
        <x:v>0</x:v>
      </x:c>
      <x:c r="G213" s="67" t="n">
        <x:f>VLOOKUP(C213,'Governorate Master'!$A$2:$Q$13,7,FALSE)</x:f>
        <x:v>524</x:v>
      </x:c>
      <x:c r="H213" s="20" t="n">
        <x:f>VLOOKUP(C213,'Governorate Master'!$A$2:$Q$13,6,FALSE)</x:f>
        <x:v>0.8390177353342428</x:v>
      </x:c>
      <x:c r="I213" s="20" t="n">
        <x:f>VLOOKUP(C213,'Governorate Master'!$A$2:$Q$13,15,FALSE)</x:f>
        <x:v>0.03614457831325301</x:v>
      </x:c>
      <x:c r="J213" s="12" t="str">
        <x:v>Location model input - competition/saturation context</x:v>
      </x:c>
      <x:c r="K213" s="12" t="str">
        <x:v>Business count is from 2018 while population/context indicators are newer; use as a historical proxy, not a current market count.</x:v>
      </x:c>
    </x:row>
    <x:row r="214">
      <x:c r="A214" s="12" t="str">
        <x:v>1101</x:v>
      </x:c>
      <x:c r="B214" s="12" t="str">
        <x:v>Distilling, rectifying and blending of spirits</x:v>
      </x:c>
      <x:c r="C214" s="12" t="str">
        <x:v>الكرك</x:v>
      </x:c>
      <x:c r="D214" s="14" t="n">
        <x:v>0</x:v>
      </x:c>
      <x:c r="E214" s="14" t="n">
        <x:f>VLOOKUP(C214,'Governorate Master'!$A$2:$Q$13,3,FALSE)</x:f>
        <x:v>395400</x:v>
      </x:c>
      <x:c r="F214" s="66" t="n">
        <x:f>IF(E214=0,0,D214/E214*10000)</x:f>
        <x:v>0</x:v>
      </x:c>
      <x:c r="G214" s="67" t="n">
        <x:f>VLOOKUP(C214,'Governorate Master'!$A$2:$Q$13,7,FALSE)</x:f>
        <x:v>113.1</x:v>
      </x:c>
      <x:c r="H214" s="20" t="n">
        <x:f>VLOOKUP(C214,'Governorate Master'!$A$2:$Q$13,6,FALSE)</x:f>
        <x:v>0.5912999494183105</x:v>
      </x:c>
      <x:c r="I214" s="20" t="n">
        <x:f>VLOOKUP(C214,'Governorate Master'!$A$2:$Q$13,15,FALSE)</x:f>
        <x:v>0.08710801393728224</x:v>
      </x:c>
      <x:c r="J214" s="12" t="str">
        <x:v>Location model input - competition/saturation context</x:v>
      </x:c>
      <x:c r="K214" s="12" t="str">
        <x:v>Business count is from 2018 while population/context indicators are newer; use as a historical proxy, not a current market count.</x:v>
      </x:c>
    </x:row>
    <x:row r="215">
      <x:c r="A215" s="12" t="str">
        <x:v>1101</x:v>
      </x:c>
      <x:c r="B215" s="12" t="str">
        <x:v>Distilling, rectifying and blending of spirits</x:v>
      </x:c>
      <x:c r="C215" s="12" t="str">
        <x:v>الطفيلة</x:v>
      </x:c>
      <x:c r="D215" s="14" t="n">
        <x:v>0</x:v>
      </x:c>
      <x:c r="E215" s="14" t="n">
        <x:f>VLOOKUP(C215,'Governorate Master'!$A$2:$Q$13,3,FALSE)</x:f>
        <x:v>120300</x:v>
      </x:c>
      <x:c r="F215" s="66" t="n">
        <x:f>IF(E215=0,0,D215/E215*10000)</x:f>
        <x:v>0</x:v>
      </x:c>
      <x:c r="G215" s="67" t="n">
        <x:f>VLOOKUP(C215,'Governorate Master'!$A$2:$Q$13,7,FALSE)</x:f>
        <x:v>54.4</x:v>
      </x:c>
      <x:c r="H215" s="20" t="n">
        <x:f>VLOOKUP(C215,'Governorate Master'!$A$2:$Q$13,6,FALSE)</x:f>
        <x:v>0.7797173732335827</x:v>
      </x:c>
      <x:c r="I215" s="20" t="n">
        <x:f>VLOOKUP(C215,'Governorate Master'!$A$2:$Q$13,15,FALSE)</x:f>
        <x:v>0.18452380952380953</x:v>
      </x:c>
      <x:c r="J215" s="12" t="str">
        <x:v>Location model input - competition/saturation context</x:v>
      </x:c>
      <x:c r="K215" s="12" t="str">
        <x:v>Business count is from 2018 while population/context indicators are newer; use as a historical proxy, not a current market count.</x:v>
      </x:c>
    </x:row>
    <x:row r="216">
      <x:c r="A216" s="12" t="str">
        <x:v>1101</x:v>
      </x:c>
      <x:c r="B216" s="12" t="str">
        <x:v>Distilling, rectifying and blending of spirits</x:v>
      </x:c>
      <x:c r="C216" s="12" t="str">
        <x:v>معان</x:v>
      </x:c>
      <x:c r="D216" s="14" t="n">
        <x:v>0</x:v>
      </x:c>
      <x:c r="E216" s="14" t="n">
        <x:f>VLOOKUP(C216,'Governorate Master'!$A$2:$Q$13,3,FALSE)</x:f>
        <x:v>197900</x:v>
      </x:c>
      <x:c r="F216" s="66" t="n">
        <x:f>IF(E216=0,0,D216/E216*10000)</x:f>
        <x:v>0</x:v>
      </x:c>
      <x:c r="G216" s="67" t="n">
        <x:f>VLOOKUP(C216,'Governorate Master'!$A$2:$Q$13,7,FALSE)</x:f>
        <x:v>6</x:v>
      </x:c>
      <x:c r="H216" s="20" t="n">
        <x:f>VLOOKUP(C216,'Governorate Master'!$A$2:$Q$13,6,FALSE)</x:f>
        <x:v>0.5406771096513391</x:v>
      </x:c>
      <x:c r="I216" s="20" t="n">
        <x:f>VLOOKUP(C216,'Governorate Master'!$A$2:$Q$13,15,FALSE)</x:f>
        <x:v>0.026845637583892617</x:v>
      </x:c>
      <x:c r="J216" s="12" t="str">
        <x:v>Location model input - competition/saturation context</x:v>
      </x:c>
      <x:c r="K216" s="12" t="str">
        <x:v>Business count is from 2018 while population/context indicators are newer; use as a historical proxy, not a current market count.</x:v>
      </x:c>
    </x:row>
    <x:row r="217">
      <x:c r="A217" s="12" t="str">
        <x:v>1101</x:v>
      </x:c>
      <x:c r="B217" s="12" t="str">
        <x:v>Distilling, rectifying and blending of spirits</x:v>
      </x:c>
      <x:c r="C217" s="12" t="str">
        <x:v>العقبة</x:v>
      </x:c>
      <x:c r="D217" s="14" t="n">
        <x:v>0</x:v>
      </x:c>
      <x:c r="E217" s="14" t="n">
        <x:f>VLOOKUP(C217,'Governorate Master'!$A$2:$Q$13,3,FALSE)</x:f>
        <x:v>250900</x:v>
      </x:c>
      <x:c r="F217" s="66" t="n">
        <x:f>IF(E217=0,0,D217/E217*10000)</x:f>
        <x:v>0</x:v>
      </x:c>
      <x:c r="G217" s="67" t="n">
        <x:f>VLOOKUP(C217,'Governorate Master'!$A$2:$Q$13,7,FALSE)</x:f>
        <x:v>36.3</x:v>
      </x:c>
      <x:c r="H217" s="20" t="n">
        <x:f>VLOOKUP(C217,'Governorate Master'!$A$2:$Q$13,6,FALSE)</x:f>
        <x:v>0.882024711040255</x:v>
      </x:c>
      <x:c r="I217" s="20" t="n">
        <x:f>VLOOKUP(C217,'Governorate Master'!$A$2:$Q$13,15,FALSE)</x:f>
        <x:v>-0.09</x:v>
      </x:c>
      <x:c r="J217" s="12" t="str">
        <x:v>Location model input - competition/saturation context</x:v>
      </x:c>
      <x:c r="K217" s="12" t="str">
        <x:v>Business count is from 2018 while population/context indicators are newer; use as a historical proxy, not a current market count.</x:v>
      </x:c>
    </x:row>
    <x:row r="218">
      <x:c r="A218" s="12" t="str">
        <x:v>1103</x:v>
      </x:c>
      <x:c r="B218" s="12" t="str">
        <x:v>Manufacture of malt liquors and malt</x:v>
      </x:c>
      <x:c r="C218" s="12" t="str">
        <x:v>عمان</x:v>
      </x:c>
      <x:c r="D218" s="14" t="n">
        <x:v>1</x:v>
      </x:c>
      <x:c r="E218" s="14" t="n">
        <x:f>VLOOKUP(C218,'Governorate Master'!$A$2:$Q$13,3,FALSE)</x:f>
        <x:v>5004600</x:v>
      </x:c>
      <x:c r="F218" s="66" t="n">
        <x:f>IF(E218=0,0,D218/E218*10000)</x:f>
        <x:v>0.0019981616912440555</x:v>
      </x:c>
      <x:c r="G218" s="67" t="n">
        <x:f>VLOOKUP(C218,'Governorate Master'!$A$2:$Q$13,7,FALSE)</x:f>
        <x:v>660.3</x:v>
      </x:c>
      <x:c r="H218" s="20" t="n">
        <x:f>VLOOKUP(C218,'Governorate Master'!$A$2:$Q$13,6,FALSE)</x:f>
        <x:v>0.9721656076409703</x:v>
      </x:c>
      <x:c r="I218" s="20" t="n">
        <x:f>VLOOKUP(C218,'Governorate Master'!$A$2:$Q$13,15,FALSE)</x:f>
        <x:v>0.06367041198501873</x:v>
      </x:c>
      <x:c r="J218" s="12" t="str">
        <x:v>Location model input - competition/saturation context</x:v>
      </x:c>
      <x:c r="K218" s="12" t="str">
        <x:v>Business count is from 2018 while population/context indicators are newer; use as a historical proxy, not a current market count.</x:v>
      </x:c>
    </x:row>
    <x:row r="219">
      <x:c r="A219" s="12" t="str">
        <x:v>1103</x:v>
      </x:c>
      <x:c r="B219" s="12" t="str">
        <x:v>Manufacture of malt liquors and malt</x:v>
      </x:c>
      <x:c r="C219" s="12" t="str">
        <x:v>البلقاء</x:v>
      </x:c>
      <x:c r="D219" s="14" t="n">
        <x:v>1</x:v>
      </x:c>
      <x:c r="E219" s="14" t="n">
        <x:f>VLOOKUP(C219,'Governorate Master'!$A$2:$Q$13,3,FALSE)</x:f>
        <x:v>614000</x:v>
      </x:c>
      <x:c r="F219" s="66" t="n">
        <x:f>IF(E219=0,0,D219/E219*10000)</x:f>
        <x:v>0.016286644951140065</x:v>
      </x:c>
      <x:c r="G219" s="67" t="n">
        <x:f>VLOOKUP(C219,'Governorate Master'!$A$2:$Q$13,7,FALSE)</x:f>
        <x:v>548</x:v>
      </x:c>
      <x:c r="H219" s="20" t="n">
        <x:f>VLOOKUP(C219,'Governorate Master'!$A$2:$Q$13,6,FALSE)</x:f>
        <x:v>0.8210097719869707</x:v>
      </x:c>
      <x:c r="I219" s="20" t="n">
        <x:f>VLOOKUP(C219,'Governorate Master'!$A$2:$Q$13,15,FALSE)</x:f>
        <x:v>0.10794044665012408</x:v>
      </x:c>
      <x:c r="J219" s="12" t="str">
        <x:v>Location model input - competition/saturation context</x:v>
      </x:c>
      <x:c r="K219" s="12" t="str">
        <x:v>Business count is from 2018 while population/context indicators are newer; use as a historical proxy, not a current market count.</x:v>
      </x:c>
    </x:row>
    <x:row r="220">
      <x:c r="A220" s="12" t="str">
        <x:v>1103</x:v>
      </x:c>
      <x:c r="B220" s="12" t="str">
        <x:v>Manufacture of malt liquors and malt</x:v>
      </x:c>
      <x:c r="C220" s="12" t="str">
        <x:v>الزرقاء</x:v>
      </x:c>
      <x:c r="D220" s="14" t="n">
        <x:v>0</x:v>
      </x:c>
      <x:c r="E220" s="14" t="n">
        <x:f>VLOOKUP(C220,'Governorate Master'!$A$2:$Q$13,3,FALSE)</x:f>
        <x:v>1704500</x:v>
      </x:c>
      <x:c r="F220" s="66" t="n">
        <x:f>IF(E220=0,0,D220/E220*10000)</x:f>
        <x:v>0</x:v>
      </x:c>
      <x:c r="G220" s="67" t="n">
        <x:f>VLOOKUP(C220,'Governorate Master'!$A$2:$Q$13,7,FALSE)</x:f>
        <x:v>358</x:v>
      </x:c>
      <x:c r="H220" s="20" t="n">
        <x:f>VLOOKUP(C220,'Governorate Master'!$A$2:$Q$13,6,FALSE)</x:f>
        <x:v>0.9636256966852449</x:v>
      </x:c>
      <x:c r="I220" s="20" t="n">
        <x:f>VLOOKUP(C220,'Governorate Master'!$A$2:$Q$13,15,FALSE)</x:f>
        <x:v>-0.06808762581409118</x:v>
      </x:c>
      <x:c r="J220" s="12" t="str">
        <x:v>Location model input - competition/saturation context</x:v>
      </x:c>
      <x:c r="K220" s="12" t="str">
        <x:v>Business count is from 2018 while population/context indicators are newer; use as a historical proxy, not a current market count.</x:v>
      </x:c>
    </x:row>
    <x:row r="221">
      <x:c r="A221" s="12" t="str">
        <x:v>1103</x:v>
      </x:c>
      <x:c r="B221" s="12" t="str">
        <x:v>Manufacture of malt liquors and malt</x:v>
      </x:c>
      <x:c r="C221" s="12" t="str">
        <x:v>مادبا</x:v>
      </x:c>
      <x:c r="D221" s="14" t="n">
        <x:v>0</x:v>
      </x:c>
      <x:c r="E221" s="14" t="n">
        <x:f>VLOOKUP(C221,'Governorate Master'!$A$2:$Q$13,3,FALSE)</x:f>
        <x:v>236200</x:v>
      </x:c>
      <x:c r="F221" s="66" t="n">
        <x:f>IF(E221=0,0,D221/E221*10000)</x:f>
        <x:v>0</x:v>
      </x:c>
      <x:c r="G221" s="67" t="n">
        <x:f>VLOOKUP(C221,'Governorate Master'!$A$2:$Q$13,7,FALSE)</x:f>
        <x:v>251.4</x:v>
      </x:c>
      <x:c r="H221" s="20" t="n">
        <x:f>VLOOKUP(C221,'Governorate Master'!$A$2:$Q$13,6,FALSE)</x:f>
        <x:v>0.7823878069432684</x:v>
      </x:c>
      <x:c r="I221" s="20" t="n">
        <x:f>VLOOKUP(C221,'Governorate Master'!$A$2:$Q$13,15,FALSE)</x:f>
        <x:v>-0.18823529411764706</x:v>
      </x:c>
      <x:c r="J221" s="12" t="str">
        <x:v>Location model input - competition/saturation context</x:v>
      </x:c>
      <x:c r="K221" s="12" t="str">
        <x:v>Business count is from 2018 while population/context indicators are newer; use as a historical proxy, not a current market count.</x:v>
      </x:c>
    </x:row>
    <x:row r="222">
      <x:c r="A222" s="12" t="str">
        <x:v>1103</x:v>
      </x:c>
      <x:c r="B222" s="12" t="str">
        <x:v>Manufacture of malt liquors and malt</x:v>
      </x:c>
      <x:c r="C222" s="12" t="str">
        <x:v>إربد</x:v>
      </x:c>
      <x:c r="D222" s="14" t="n">
        <x:v>0</x:v>
      </x:c>
      <x:c r="E222" s="14" t="n">
        <x:f>VLOOKUP(C222,'Governorate Master'!$A$2:$Q$13,3,FALSE)</x:f>
        <x:v>2210500</x:v>
      </x:c>
      <x:c r="F222" s="66" t="n">
        <x:f>IF(E222=0,0,D222/E222*10000)</x:f>
        <x:v>0</x:v>
      </x:c>
      <x:c r="G222" s="67" t="n">
        <x:f>VLOOKUP(C222,'Governorate Master'!$A$2:$Q$13,7,FALSE)</x:f>
        <x:v>1406.4</x:v>
      </x:c>
      <x:c r="H222" s="20" t="n">
        <x:f>VLOOKUP(C222,'Governorate Master'!$A$2:$Q$13,6,FALSE)</x:f>
        <x:v>0.9235014702555983</x:v>
      </x:c>
      <x:c r="I222" s="20" t="n">
        <x:f>VLOOKUP(C222,'Governorate Master'!$A$2:$Q$13,15,FALSE)</x:f>
        <x:v>0.07086922474549726</x:v>
      </x:c>
      <x:c r="J222" s="12" t="str">
        <x:v>Location model input - competition/saturation context</x:v>
      </x:c>
      <x:c r="K222" s="12" t="str">
        <x:v>Business count is from 2018 while population/context indicators are newer; use as a historical proxy, not a current market count.</x:v>
      </x:c>
    </x:row>
    <x:row r="223">
      <x:c r="A223" s="12" t="str">
        <x:v>1103</x:v>
      </x:c>
      <x:c r="B223" s="12" t="str">
        <x:v>Manufacture of malt liquors and malt</x:v>
      </x:c>
      <x:c r="C223" s="12" t="str">
        <x:v>المفرق</x:v>
      </x:c>
      <x:c r="D223" s="14" t="n">
        <x:v>0</x:v>
      </x:c>
      <x:c r="E223" s="14" t="n">
        <x:f>VLOOKUP(C223,'Governorate Master'!$A$2:$Q$13,3,FALSE)</x:f>
        <x:v>686800</x:v>
      </x:c>
      <x:c r="F223" s="66" t="n">
        <x:f>IF(E223=0,0,D223/E223*10000)</x:f>
        <x:v>0</x:v>
      </x:c>
      <x:c r="G223" s="67" t="n">
        <x:f>VLOOKUP(C223,'Governorate Master'!$A$2:$Q$13,7,FALSE)</x:f>
        <x:v>25.9</x:v>
      </x:c>
      <x:c r="H223" s="20" t="n">
        <x:f>VLOOKUP(C223,'Governorate Master'!$A$2:$Q$13,6,FALSE)</x:f>
        <x:v>0.6965637740244612</x:v>
      </x:c>
      <x:c r="I223" s="20" t="n">
        <x:f>VLOOKUP(C223,'Governorate Master'!$A$2:$Q$13,15,FALSE)</x:f>
        <x:v>-0.016638935108153077</x:v>
      </x:c>
      <x:c r="J223" s="12" t="str">
        <x:v>Location model input - competition/saturation context</x:v>
      </x:c>
      <x:c r="K223" s="12" t="str">
        <x:v>Business count is from 2018 while population/context indicators are newer; use as a historical proxy, not a current market count.</x:v>
      </x:c>
    </x:row>
    <x:row r="224">
      <x:c r="A224" s="12" t="str">
        <x:v>1103</x:v>
      </x:c>
      <x:c r="B224" s="12" t="str">
        <x:v>Manufacture of malt liquors and malt</x:v>
      </x:c>
      <x:c r="C224" s="12" t="str">
        <x:v>جرش</x:v>
      </x:c>
      <x:c r="D224" s="14" t="n">
        <x:v>0</x:v>
      </x:c>
      <x:c r="E224" s="14" t="n">
        <x:f>VLOOKUP(C224,'Governorate Master'!$A$2:$Q$13,3,FALSE)</x:f>
        <x:v>296000</x:v>
      </x:c>
      <x:c r="F224" s="66" t="n">
        <x:f>IF(E224=0,0,D224/E224*10000)</x:f>
        <x:v>0</x:v>
      </x:c>
      <x:c r="G224" s="67" t="n">
        <x:f>VLOOKUP(C224,'Governorate Master'!$A$2:$Q$13,7,FALSE)</x:f>
        <x:v>722.3</x:v>
      </x:c>
      <x:c r="H224" s="20" t="n">
        <x:f>VLOOKUP(C224,'Governorate Master'!$A$2:$Q$13,6,FALSE)</x:f>
        <x:v>0.7695945945945946</x:v>
      </x:c>
      <x:c r="I224" s="20" t="n">
        <x:f>VLOOKUP(C224,'Governorate Master'!$A$2:$Q$13,15,FALSE)</x:f>
        <x:v>-0.06527415143603134</x:v>
      </x:c>
      <x:c r="J224" s="12" t="str">
        <x:v>Location model input - competition/saturation context</x:v>
      </x:c>
      <x:c r="K224" s="12" t="str">
        <x:v>Business count is from 2018 while population/context indicators are newer; use as a historical proxy, not a current market count.</x:v>
      </x:c>
    </x:row>
    <x:row r="225">
      <x:c r="A225" s="12" t="str">
        <x:v>1103</x:v>
      </x:c>
      <x:c r="B225" s="12" t="str">
        <x:v>Manufacture of malt liquors and malt</x:v>
      </x:c>
      <x:c r="C225" s="12" t="str">
        <x:v>عجلون</x:v>
      </x:c>
      <x:c r="D225" s="14" t="n">
        <x:v>0</x:v>
      </x:c>
      <x:c r="E225" s="14" t="n">
        <x:f>VLOOKUP(C225,'Governorate Master'!$A$2:$Q$13,3,FALSE)</x:f>
        <x:v>219900</x:v>
      </x:c>
      <x:c r="F225" s="66" t="n">
        <x:f>IF(E225=0,0,D225/E225*10000)</x:f>
        <x:v>0</x:v>
      </x:c>
      <x:c r="G225" s="67" t="n">
        <x:f>VLOOKUP(C225,'Governorate Master'!$A$2:$Q$13,7,FALSE)</x:f>
        <x:v>524</x:v>
      </x:c>
      <x:c r="H225" s="20" t="n">
        <x:f>VLOOKUP(C225,'Governorate Master'!$A$2:$Q$13,6,FALSE)</x:f>
        <x:v>0.8390177353342428</x:v>
      </x:c>
      <x:c r="I225" s="20" t="n">
        <x:f>VLOOKUP(C225,'Governorate Master'!$A$2:$Q$13,15,FALSE)</x:f>
        <x:v>0.03614457831325301</x:v>
      </x:c>
      <x:c r="J225" s="12" t="str">
        <x:v>Location model input - competition/saturation context</x:v>
      </x:c>
      <x:c r="K225" s="12" t="str">
        <x:v>Business count is from 2018 while population/context indicators are newer; use as a historical proxy, not a current market count.</x:v>
      </x:c>
    </x:row>
    <x:row r="226">
      <x:c r="A226" s="12" t="str">
        <x:v>1103</x:v>
      </x:c>
      <x:c r="B226" s="12" t="str">
        <x:v>Manufacture of malt liquors and malt</x:v>
      </x:c>
      <x:c r="C226" s="12" t="str">
        <x:v>الكرك</x:v>
      </x:c>
      <x:c r="D226" s="14" t="n">
        <x:v>0</x:v>
      </x:c>
      <x:c r="E226" s="14" t="n">
        <x:f>VLOOKUP(C226,'Governorate Master'!$A$2:$Q$13,3,FALSE)</x:f>
        <x:v>395400</x:v>
      </x:c>
      <x:c r="F226" s="66" t="n">
        <x:f>IF(E226=0,0,D226/E226*10000)</x:f>
        <x:v>0</x:v>
      </x:c>
      <x:c r="G226" s="67" t="n">
        <x:f>VLOOKUP(C226,'Governorate Master'!$A$2:$Q$13,7,FALSE)</x:f>
        <x:v>113.1</x:v>
      </x:c>
      <x:c r="H226" s="20" t="n">
        <x:f>VLOOKUP(C226,'Governorate Master'!$A$2:$Q$13,6,FALSE)</x:f>
        <x:v>0.5912999494183105</x:v>
      </x:c>
      <x:c r="I226" s="20" t="n">
        <x:f>VLOOKUP(C226,'Governorate Master'!$A$2:$Q$13,15,FALSE)</x:f>
        <x:v>0.08710801393728224</x:v>
      </x:c>
      <x:c r="J226" s="12" t="str">
        <x:v>Location model input - competition/saturation context</x:v>
      </x:c>
      <x:c r="K226" s="12" t="str">
        <x:v>Business count is from 2018 while population/context indicators are newer; use as a historical proxy, not a current market count.</x:v>
      </x:c>
    </x:row>
    <x:row r="227">
      <x:c r="A227" s="12" t="str">
        <x:v>1103</x:v>
      </x:c>
      <x:c r="B227" s="12" t="str">
        <x:v>Manufacture of malt liquors and malt</x:v>
      </x:c>
      <x:c r="C227" s="12" t="str">
        <x:v>الطفيلة</x:v>
      </x:c>
      <x:c r="D227" s="14" t="n">
        <x:v>0</x:v>
      </x:c>
      <x:c r="E227" s="14" t="n">
        <x:f>VLOOKUP(C227,'Governorate Master'!$A$2:$Q$13,3,FALSE)</x:f>
        <x:v>120300</x:v>
      </x:c>
      <x:c r="F227" s="66" t="n">
        <x:f>IF(E227=0,0,D227/E227*10000)</x:f>
        <x:v>0</x:v>
      </x:c>
      <x:c r="G227" s="67" t="n">
        <x:f>VLOOKUP(C227,'Governorate Master'!$A$2:$Q$13,7,FALSE)</x:f>
        <x:v>54.4</x:v>
      </x:c>
      <x:c r="H227" s="20" t="n">
        <x:f>VLOOKUP(C227,'Governorate Master'!$A$2:$Q$13,6,FALSE)</x:f>
        <x:v>0.7797173732335827</x:v>
      </x:c>
      <x:c r="I227" s="20" t="n">
        <x:f>VLOOKUP(C227,'Governorate Master'!$A$2:$Q$13,15,FALSE)</x:f>
        <x:v>0.18452380952380953</x:v>
      </x:c>
      <x:c r="J227" s="12" t="str">
        <x:v>Location model input - competition/saturation context</x:v>
      </x:c>
      <x:c r="K227" s="12" t="str">
        <x:v>Business count is from 2018 while population/context indicators are newer; use as a historical proxy, not a current market count.</x:v>
      </x:c>
    </x:row>
    <x:row r="228">
      <x:c r="A228" s="12" t="str">
        <x:v>1103</x:v>
      </x:c>
      <x:c r="B228" s="12" t="str">
        <x:v>Manufacture of malt liquors and malt</x:v>
      </x:c>
      <x:c r="C228" s="12" t="str">
        <x:v>معان</x:v>
      </x:c>
      <x:c r="D228" s="14" t="n">
        <x:v>0</x:v>
      </x:c>
      <x:c r="E228" s="14" t="n">
        <x:f>VLOOKUP(C228,'Governorate Master'!$A$2:$Q$13,3,FALSE)</x:f>
        <x:v>197900</x:v>
      </x:c>
      <x:c r="F228" s="66" t="n">
        <x:f>IF(E228=0,0,D228/E228*10000)</x:f>
        <x:v>0</x:v>
      </x:c>
      <x:c r="G228" s="67" t="n">
        <x:f>VLOOKUP(C228,'Governorate Master'!$A$2:$Q$13,7,FALSE)</x:f>
        <x:v>6</x:v>
      </x:c>
      <x:c r="H228" s="20" t="n">
        <x:f>VLOOKUP(C228,'Governorate Master'!$A$2:$Q$13,6,FALSE)</x:f>
        <x:v>0.5406771096513391</x:v>
      </x:c>
      <x:c r="I228" s="20" t="n">
        <x:f>VLOOKUP(C228,'Governorate Master'!$A$2:$Q$13,15,FALSE)</x:f>
        <x:v>0.026845637583892617</x:v>
      </x:c>
      <x:c r="J228" s="12" t="str">
        <x:v>Location model input - competition/saturation context</x:v>
      </x:c>
      <x:c r="K228" s="12" t="str">
        <x:v>Business count is from 2018 while population/context indicators are newer; use as a historical proxy, not a current market count.</x:v>
      </x:c>
    </x:row>
    <x:row r="229">
      <x:c r="A229" s="12" t="str">
        <x:v>1103</x:v>
      </x:c>
      <x:c r="B229" s="12" t="str">
        <x:v>Manufacture of malt liquors and malt</x:v>
      </x:c>
      <x:c r="C229" s="12" t="str">
        <x:v>العقبة</x:v>
      </x:c>
      <x:c r="D229" s="14" t="n">
        <x:v>0</x:v>
      </x:c>
      <x:c r="E229" s="14" t="n">
        <x:f>VLOOKUP(C229,'Governorate Master'!$A$2:$Q$13,3,FALSE)</x:f>
        <x:v>250900</x:v>
      </x:c>
      <x:c r="F229" s="66" t="n">
        <x:f>IF(E229=0,0,D229/E229*10000)</x:f>
        <x:v>0</x:v>
      </x:c>
      <x:c r="G229" s="67" t="n">
        <x:f>VLOOKUP(C229,'Governorate Master'!$A$2:$Q$13,7,FALSE)</x:f>
        <x:v>36.3</x:v>
      </x:c>
      <x:c r="H229" s="20" t="n">
        <x:f>VLOOKUP(C229,'Governorate Master'!$A$2:$Q$13,6,FALSE)</x:f>
        <x:v>0.882024711040255</x:v>
      </x:c>
      <x:c r="I229" s="20" t="n">
        <x:f>VLOOKUP(C229,'Governorate Master'!$A$2:$Q$13,15,FALSE)</x:f>
        <x:v>-0.09</x:v>
      </x:c>
      <x:c r="J229" s="12" t="str">
        <x:v>Location model input - competition/saturation context</x:v>
      </x:c>
      <x:c r="K229" s="12" t="str">
        <x:v>Business count is from 2018 while population/context indicators are newer; use as a historical proxy, not a current market count.</x:v>
      </x:c>
    </x:row>
    <x:row r="230">
      <x:c r="A230" s="12" t="str">
        <x:v>1104</x:v>
      </x:c>
      <x:c r="B230" s="12" t="str">
        <x:v>Manufacture of soft drinks; production of mineral waters and other bottled waters</x:v>
      </x:c>
      <x:c r="C230" s="12" t="str">
        <x:v>عمان</x:v>
      </x:c>
      <x:c r="D230" s="14" t="n">
        <x:v>27</x:v>
      </x:c>
      <x:c r="E230" s="14" t="n">
        <x:f>VLOOKUP(C230,'Governorate Master'!$A$2:$Q$13,3,FALSE)</x:f>
        <x:v>5004600</x:v>
      </x:c>
      <x:c r="F230" s="66" t="n">
        <x:f>IF(E230=0,0,D230/E230*10000)</x:f>
        <x:v>0.053950365663589496</x:v>
      </x:c>
      <x:c r="G230" s="67" t="n">
        <x:f>VLOOKUP(C230,'Governorate Master'!$A$2:$Q$13,7,FALSE)</x:f>
        <x:v>660.3</x:v>
      </x:c>
      <x:c r="H230" s="20" t="n">
        <x:f>VLOOKUP(C230,'Governorate Master'!$A$2:$Q$13,6,FALSE)</x:f>
        <x:v>0.9721656076409703</x:v>
      </x:c>
      <x:c r="I230" s="20" t="n">
        <x:f>VLOOKUP(C230,'Governorate Master'!$A$2:$Q$13,15,FALSE)</x:f>
        <x:v>0.06367041198501873</x:v>
      </x:c>
      <x:c r="J230" s="12" t="str">
        <x:v>Location model input - competition/saturation context</x:v>
      </x:c>
      <x:c r="K230" s="12" t="str">
        <x:v>Business count is from 2018 while population/context indicators are newer; use as a historical proxy, not a current market count.</x:v>
      </x:c>
    </x:row>
    <x:row r="231">
      <x:c r="A231" s="12" t="str">
        <x:v>1104</x:v>
      </x:c>
      <x:c r="B231" s="12" t="str">
        <x:v>Manufacture of soft drinks; production of mineral waters and other bottled waters</x:v>
      </x:c>
      <x:c r="C231" s="12" t="str">
        <x:v>البلقاء</x:v>
      </x:c>
      <x:c r="D231" s="14" t="n">
        <x:v>11</x:v>
      </x:c>
      <x:c r="E231" s="14" t="n">
        <x:f>VLOOKUP(C231,'Governorate Master'!$A$2:$Q$13,3,FALSE)</x:f>
        <x:v>614000</x:v>
      </x:c>
      <x:c r="F231" s="66" t="n">
        <x:f>IF(E231=0,0,D231/E231*10000)</x:f>
        <x:v>0.1791530944625407</x:v>
      </x:c>
      <x:c r="G231" s="67" t="n">
        <x:f>VLOOKUP(C231,'Governorate Master'!$A$2:$Q$13,7,FALSE)</x:f>
        <x:v>548</x:v>
      </x:c>
      <x:c r="H231" s="20" t="n">
        <x:f>VLOOKUP(C231,'Governorate Master'!$A$2:$Q$13,6,FALSE)</x:f>
        <x:v>0.8210097719869707</x:v>
      </x:c>
      <x:c r="I231" s="20" t="n">
        <x:f>VLOOKUP(C231,'Governorate Master'!$A$2:$Q$13,15,FALSE)</x:f>
        <x:v>0.10794044665012408</x:v>
      </x:c>
      <x:c r="J231" s="12" t="str">
        <x:v>Location model input - competition/saturation context</x:v>
      </x:c>
      <x:c r="K231" s="12" t="str">
        <x:v>Business count is from 2018 while population/context indicators are newer; use as a historical proxy, not a current market count.</x:v>
      </x:c>
    </x:row>
    <x:row r="232">
      <x:c r="A232" s="12" t="str">
        <x:v>1104</x:v>
      </x:c>
      <x:c r="B232" s="12" t="str">
        <x:v>Manufacture of soft drinks; production of mineral waters and other bottled waters</x:v>
      </x:c>
      <x:c r="C232" s="12" t="str">
        <x:v>الزرقاء</x:v>
      </x:c>
      <x:c r="D232" s="14" t="n">
        <x:v>7</x:v>
      </x:c>
      <x:c r="E232" s="14" t="n">
        <x:f>VLOOKUP(C232,'Governorate Master'!$A$2:$Q$13,3,FALSE)</x:f>
        <x:v>1704500</x:v>
      </x:c>
      <x:c r="F232" s="66" t="n">
        <x:f>IF(E232=0,0,D232/E232*10000)</x:f>
        <x:v>0.041067761806981525</x:v>
      </x:c>
      <x:c r="G232" s="67" t="n">
        <x:f>VLOOKUP(C232,'Governorate Master'!$A$2:$Q$13,7,FALSE)</x:f>
        <x:v>358</x:v>
      </x:c>
      <x:c r="H232" s="20" t="n">
        <x:f>VLOOKUP(C232,'Governorate Master'!$A$2:$Q$13,6,FALSE)</x:f>
        <x:v>0.9636256966852449</x:v>
      </x:c>
      <x:c r="I232" s="20" t="n">
        <x:f>VLOOKUP(C232,'Governorate Master'!$A$2:$Q$13,15,FALSE)</x:f>
        <x:v>-0.06808762581409118</x:v>
      </x:c>
      <x:c r="J232" s="12" t="str">
        <x:v>Location model input - competition/saturation context</x:v>
      </x:c>
      <x:c r="K232" s="12" t="str">
        <x:v>Business count is from 2018 while population/context indicators are newer; use as a historical proxy, not a current market count.</x:v>
      </x:c>
    </x:row>
    <x:row r="233">
      <x:c r="A233" s="12" t="str">
        <x:v>1104</x:v>
      </x:c>
      <x:c r="B233" s="12" t="str">
        <x:v>Manufacture of soft drinks; production of mineral waters and other bottled waters</x:v>
      </x:c>
      <x:c r="C233" s="12" t="str">
        <x:v>مادبا</x:v>
      </x:c>
      <x:c r="D233" s="14" t="n">
        <x:v>0</x:v>
      </x:c>
      <x:c r="E233" s="14" t="n">
        <x:f>VLOOKUP(C233,'Governorate Master'!$A$2:$Q$13,3,FALSE)</x:f>
        <x:v>236200</x:v>
      </x:c>
      <x:c r="F233" s="66" t="n">
        <x:f>IF(E233=0,0,D233/E233*10000)</x:f>
        <x:v>0</x:v>
      </x:c>
      <x:c r="G233" s="67" t="n">
        <x:f>VLOOKUP(C233,'Governorate Master'!$A$2:$Q$13,7,FALSE)</x:f>
        <x:v>251.4</x:v>
      </x:c>
      <x:c r="H233" s="20" t="n">
        <x:f>VLOOKUP(C233,'Governorate Master'!$A$2:$Q$13,6,FALSE)</x:f>
        <x:v>0.7823878069432684</x:v>
      </x:c>
      <x:c r="I233" s="20" t="n">
        <x:f>VLOOKUP(C233,'Governorate Master'!$A$2:$Q$13,15,FALSE)</x:f>
        <x:v>-0.18823529411764706</x:v>
      </x:c>
      <x:c r="J233" s="12" t="str">
        <x:v>Location model input - competition/saturation context</x:v>
      </x:c>
      <x:c r="K233" s="12" t="str">
        <x:v>Business count is from 2018 while population/context indicators are newer; use as a historical proxy, not a current market count.</x:v>
      </x:c>
    </x:row>
    <x:row r="234">
      <x:c r="A234" s="12" t="str">
        <x:v>1104</x:v>
      </x:c>
      <x:c r="B234" s="12" t="str">
        <x:v>Manufacture of soft drinks; production of mineral waters and other bottled waters</x:v>
      </x:c>
      <x:c r="C234" s="12" t="str">
        <x:v>إربد</x:v>
      </x:c>
      <x:c r="D234" s="14" t="n">
        <x:v>3</x:v>
      </x:c>
      <x:c r="E234" s="14" t="n">
        <x:f>VLOOKUP(C234,'Governorate Master'!$A$2:$Q$13,3,FALSE)</x:f>
        <x:v>2210500</x:v>
      </x:c>
      <x:c r="F234" s="66" t="n">
        <x:f>IF(E234=0,0,D234/E234*10000)</x:f>
        <x:v>0.013571590137977832</x:v>
      </x:c>
      <x:c r="G234" s="67" t="n">
        <x:f>VLOOKUP(C234,'Governorate Master'!$A$2:$Q$13,7,FALSE)</x:f>
        <x:v>1406.4</x:v>
      </x:c>
      <x:c r="H234" s="20" t="n">
        <x:f>VLOOKUP(C234,'Governorate Master'!$A$2:$Q$13,6,FALSE)</x:f>
        <x:v>0.9235014702555983</x:v>
      </x:c>
      <x:c r="I234" s="20" t="n">
        <x:f>VLOOKUP(C234,'Governorate Master'!$A$2:$Q$13,15,FALSE)</x:f>
        <x:v>0.07086922474549726</x:v>
      </x:c>
      <x:c r="J234" s="12" t="str">
        <x:v>Location model input - competition/saturation context</x:v>
      </x:c>
      <x:c r="K234" s="12" t="str">
        <x:v>Business count is from 2018 while population/context indicators are newer; use as a historical proxy, not a current market count.</x:v>
      </x:c>
    </x:row>
    <x:row r="235">
      <x:c r="A235" s="12" t="str">
        <x:v>1104</x:v>
      </x:c>
      <x:c r="B235" s="12" t="str">
        <x:v>Manufacture of soft drinks; production of mineral waters and other bottled waters</x:v>
      </x:c>
      <x:c r="C235" s="12" t="str">
        <x:v>المفرق</x:v>
      </x:c>
      <x:c r="D235" s="14" t="n">
        <x:v>2</x:v>
      </x:c>
      <x:c r="E235" s="14" t="n">
        <x:f>VLOOKUP(C235,'Governorate Master'!$A$2:$Q$13,3,FALSE)</x:f>
        <x:v>686800</x:v>
      </x:c>
      <x:c r="F235" s="66" t="n">
        <x:f>IF(E235=0,0,D235/E235*10000)</x:f>
        <x:v>0.029120559114735003</x:v>
      </x:c>
      <x:c r="G235" s="67" t="n">
        <x:f>VLOOKUP(C235,'Governorate Master'!$A$2:$Q$13,7,FALSE)</x:f>
        <x:v>25.9</x:v>
      </x:c>
      <x:c r="H235" s="20" t="n">
        <x:f>VLOOKUP(C235,'Governorate Master'!$A$2:$Q$13,6,FALSE)</x:f>
        <x:v>0.6965637740244612</x:v>
      </x:c>
      <x:c r="I235" s="20" t="n">
        <x:f>VLOOKUP(C235,'Governorate Master'!$A$2:$Q$13,15,FALSE)</x:f>
        <x:v>-0.016638935108153077</x:v>
      </x:c>
      <x:c r="J235" s="12" t="str">
        <x:v>Location model input - competition/saturation context</x:v>
      </x:c>
      <x:c r="K235" s="12" t="str">
        <x:v>Business count is from 2018 while population/context indicators are newer; use as a historical proxy, not a current market count.</x:v>
      </x:c>
    </x:row>
    <x:row r="236">
      <x:c r="A236" s="12" t="str">
        <x:v>1104</x:v>
      </x:c>
      <x:c r="B236" s="12" t="str">
        <x:v>Manufacture of soft drinks; production of mineral waters and other bottled waters</x:v>
      </x:c>
      <x:c r="C236" s="12" t="str">
        <x:v>جرش</x:v>
      </x:c>
      <x:c r="D236" s="14" t="n">
        <x:v>1</x:v>
      </x:c>
      <x:c r="E236" s="14" t="n">
        <x:f>VLOOKUP(C236,'Governorate Master'!$A$2:$Q$13,3,FALSE)</x:f>
        <x:v>296000</x:v>
      </x:c>
      <x:c r="F236" s="66" t="n">
        <x:f>IF(E236=0,0,D236/E236*10000)</x:f>
        <x:v>0.033783783783783786</x:v>
      </x:c>
      <x:c r="G236" s="67" t="n">
        <x:f>VLOOKUP(C236,'Governorate Master'!$A$2:$Q$13,7,FALSE)</x:f>
        <x:v>722.3</x:v>
      </x:c>
      <x:c r="H236" s="20" t="n">
        <x:f>VLOOKUP(C236,'Governorate Master'!$A$2:$Q$13,6,FALSE)</x:f>
        <x:v>0.7695945945945946</x:v>
      </x:c>
      <x:c r="I236" s="20" t="n">
        <x:f>VLOOKUP(C236,'Governorate Master'!$A$2:$Q$13,15,FALSE)</x:f>
        <x:v>-0.06527415143603134</x:v>
      </x:c>
      <x:c r="J236" s="12" t="str">
        <x:v>Location model input - competition/saturation context</x:v>
      </x:c>
      <x:c r="K236" s="12" t="str">
        <x:v>Business count is from 2018 while population/context indicators are newer; use as a historical proxy, not a current market count.</x:v>
      </x:c>
    </x:row>
    <x:row r="237">
      <x:c r="A237" s="12" t="str">
        <x:v>1104</x:v>
      </x:c>
      <x:c r="B237" s="12" t="str">
        <x:v>Manufacture of soft drinks; production of mineral waters and other bottled waters</x:v>
      </x:c>
      <x:c r="C237" s="12" t="str">
        <x:v>عجلون</x:v>
      </x:c>
      <x:c r="D237" s="14" t="n">
        <x:v>1</x:v>
      </x:c>
      <x:c r="E237" s="14" t="n">
        <x:f>VLOOKUP(C237,'Governorate Master'!$A$2:$Q$13,3,FALSE)</x:f>
        <x:v>219900</x:v>
      </x:c>
      <x:c r="F237" s="66" t="n">
        <x:f>IF(E237=0,0,D237/E237*10000)</x:f>
        <x:v>0.04547521600727603</x:v>
      </x:c>
      <x:c r="G237" s="67" t="n">
        <x:f>VLOOKUP(C237,'Governorate Master'!$A$2:$Q$13,7,FALSE)</x:f>
        <x:v>524</x:v>
      </x:c>
      <x:c r="H237" s="20" t="n">
        <x:f>VLOOKUP(C237,'Governorate Master'!$A$2:$Q$13,6,FALSE)</x:f>
        <x:v>0.8390177353342428</x:v>
      </x:c>
      <x:c r="I237" s="20" t="n">
        <x:f>VLOOKUP(C237,'Governorate Master'!$A$2:$Q$13,15,FALSE)</x:f>
        <x:v>0.03614457831325301</x:v>
      </x:c>
      <x:c r="J237" s="12" t="str">
        <x:v>Location model input - competition/saturation context</x:v>
      </x:c>
      <x:c r="K237" s="12" t="str">
        <x:v>Business count is from 2018 while population/context indicators are newer; use as a historical proxy, not a current market count.</x:v>
      </x:c>
    </x:row>
    <x:row r="238">
      <x:c r="A238" s="12" t="str">
        <x:v>1104</x:v>
      </x:c>
      <x:c r="B238" s="12" t="str">
        <x:v>Manufacture of soft drinks; production of mineral waters and other bottled waters</x:v>
      </x:c>
      <x:c r="C238" s="12" t="str">
        <x:v>الكرك</x:v>
      </x:c>
      <x:c r="D238" s="14" t="n">
        <x:v>1</x:v>
      </x:c>
      <x:c r="E238" s="14" t="n">
        <x:f>VLOOKUP(C238,'Governorate Master'!$A$2:$Q$13,3,FALSE)</x:f>
        <x:v>395400</x:v>
      </x:c>
      <x:c r="F238" s="66" t="n">
        <x:f>IF(E238=0,0,D238/E238*10000)</x:f>
        <x:v>0.025290844714213452</x:v>
      </x:c>
      <x:c r="G238" s="67" t="n">
        <x:f>VLOOKUP(C238,'Governorate Master'!$A$2:$Q$13,7,FALSE)</x:f>
        <x:v>113.1</x:v>
      </x:c>
      <x:c r="H238" s="20" t="n">
        <x:f>VLOOKUP(C238,'Governorate Master'!$A$2:$Q$13,6,FALSE)</x:f>
        <x:v>0.5912999494183105</x:v>
      </x:c>
      <x:c r="I238" s="20" t="n">
        <x:f>VLOOKUP(C238,'Governorate Master'!$A$2:$Q$13,15,FALSE)</x:f>
        <x:v>0.08710801393728224</x:v>
      </x:c>
      <x:c r="J238" s="12" t="str">
        <x:v>Location model input - competition/saturation context</x:v>
      </x:c>
      <x:c r="K238" s="12" t="str">
        <x:v>Business count is from 2018 while population/context indicators are newer; use as a historical proxy, not a current market count.</x:v>
      </x:c>
    </x:row>
    <x:row r="239">
      <x:c r="A239" s="12" t="str">
        <x:v>1104</x:v>
      </x:c>
      <x:c r="B239" s="12" t="str">
        <x:v>Manufacture of soft drinks; production of mineral waters and other bottled waters</x:v>
      </x:c>
      <x:c r="C239" s="12" t="str">
        <x:v>الطفيلة</x:v>
      </x:c>
      <x:c r="D239" s="14" t="n">
        <x:v>0</x:v>
      </x:c>
      <x:c r="E239" s="14" t="n">
        <x:f>VLOOKUP(C239,'Governorate Master'!$A$2:$Q$13,3,FALSE)</x:f>
        <x:v>120300</x:v>
      </x:c>
      <x:c r="F239" s="66" t="n">
        <x:f>IF(E239=0,0,D239/E239*10000)</x:f>
        <x:v>0</x:v>
      </x:c>
      <x:c r="G239" s="67" t="n">
        <x:f>VLOOKUP(C239,'Governorate Master'!$A$2:$Q$13,7,FALSE)</x:f>
        <x:v>54.4</x:v>
      </x:c>
      <x:c r="H239" s="20" t="n">
        <x:f>VLOOKUP(C239,'Governorate Master'!$A$2:$Q$13,6,FALSE)</x:f>
        <x:v>0.7797173732335827</x:v>
      </x:c>
      <x:c r="I239" s="20" t="n">
        <x:f>VLOOKUP(C239,'Governorate Master'!$A$2:$Q$13,15,FALSE)</x:f>
        <x:v>0.18452380952380953</x:v>
      </x:c>
      <x:c r="J239" s="12" t="str">
        <x:v>Location model input - competition/saturation context</x:v>
      </x:c>
      <x:c r="K239" s="12" t="str">
        <x:v>Business count is from 2018 while population/context indicators are newer; use as a historical proxy, not a current market count.</x:v>
      </x:c>
    </x:row>
    <x:row r="240">
      <x:c r="A240" s="12" t="str">
        <x:v>1104</x:v>
      </x:c>
      <x:c r="B240" s="12" t="str">
        <x:v>Manufacture of soft drinks; production of mineral waters and other bottled waters</x:v>
      </x:c>
      <x:c r="C240" s="12" t="str">
        <x:v>معان</x:v>
      </x:c>
      <x:c r="D240" s="14" t="n">
        <x:v>1</x:v>
      </x:c>
      <x:c r="E240" s="14" t="n">
        <x:f>VLOOKUP(C240,'Governorate Master'!$A$2:$Q$13,3,FALSE)</x:f>
        <x:v>197900</x:v>
      </x:c>
      <x:c r="F240" s="66" t="n">
        <x:f>IF(E240=0,0,D240/E240*10000)</x:f>
        <x:v>0.05053057099545225</x:v>
      </x:c>
      <x:c r="G240" s="67" t="n">
        <x:f>VLOOKUP(C240,'Governorate Master'!$A$2:$Q$13,7,FALSE)</x:f>
        <x:v>6</x:v>
      </x:c>
      <x:c r="H240" s="20" t="n">
        <x:f>VLOOKUP(C240,'Governorate Master'!$A$2:$Q$13,6,FALSE)</x:f>
        <x:v>0.5406771096513391</x:v>
      </x:c>
      <x:c r="I240" s="20" t="n">
        <x:f>VLOOKUP(C240,'Governorate Master'!$A$2:$Q$13,15,FALSE)</x:f>
        <x:v>0.026845637583892617</x:v>
      </x:c>
      <x:c r="J240" s="12" t="str">
        <x:v>Location model input - competition/saturation context</x:v>
      </x:c>
      <x:c r="K240" s="12" t="str">
        <x:v>Business count is from 2018 while population/context indicators are newer; use as a historical proxy, not a current market count.</x:v>
      </x:c>
    </x:row>
    <x:row r="241">
      <x:c r="A241" s="12" t="str">
        <x:v>1104</x:v>
      </x:c>
      <x:c r="B241" s="12" t="str">
        <x:v>Manufacture of soft drinks; production of mineral waters and other bottled waters</x:v>
      </x:c>
      <x:c r="C241" s="12" t="str">
        <x:v>العقبة</x:v>
      </x:c>
      <x:c r="D241" s="14" t="n">
        <x:v>4</x:v>
      </x:c>
      <x:c r="E241" s="14" t="n">
        <x:f>VLOOKUP(C241,'Governorate Master'!$A$2:$Q$13,3,FALSE)</x:f>
        <x:v>250900</x:v>
      </x:c>
      <x:c r="F241" s="66" t="n">
        <x:f>IF(E241=0,0,D241/E241*10000)</x:f>
        <x:v>0.15942606616181745</x:v>
      </x:c>
      <x:c r="G241" s="67" t="n">
        <x:f>VLOOKUP(C241,'Governorate Master'!$A$2:$Q$13,7,FALSE)</x:f>
        <x:v>36.3</x:v>
      </x:c>
      <x:c r="H241" s="20" t="n">
        <x:f>VLOOKUP(C241,'Governorate Master'!$A$2:$Q$13,6,FALSE)</x:f>
        <x:v>0.882024711040255</x:v>
      </x:c>
      <x:c r="I241" s="20" t="n">
        <x:f>VLOOKUP(C241,'Governorate Master'!$A$2:$Q$13,15,FALSE)</x:f>
        <x:v>-0.09</x:v>
      </x:c>
      <x:c r="J241" s="12" t="str">
        <x:v>Location model input - competition/saturation context</x:v>
      </x:c>
      <x:c r="K241" s="12" t="str">
        <x:v>Business count is from 2018 while population/context indicators are newer; use as a historical proxy, not a current market count.</x:v>
      </x:c>
    </x:row>
    <x:row r="242">
      <x:c r="A242" s="12" t="str">
        <x:v>1200</x:v>
      </x:c>
      <x:c r="B242" s="12" t="str">
        <x:v>Manufacture of tobacco products</x:v>
      </x:c>
      <x:c r="C242" s="12" t="str">
        <x:v>عمان</x:v>
      </x:c>
      <x:c r="D242" s="14" t="n">
        <x:v>14</x:v>
      </x:c>
      <x:c r="E242" s="14" t="n">
        <x:f>VLOOKUP(C242,'Governorate Master'!$A$2:$Q$13,3,FALSE)</x:f>
        <x:v>5004600</x:v>
      </x:c>
      <x:c r="F242" s="66" t="n">
        <x:f>IF(E242=0,0,D242/E242*10000)</x:f>
        <x:v>0.027974263677416778</x:v>
      </x:c>
      <x:c r="G242" s="67" t="n">
        <x:f>VLOOKUP(C242,'Governorate Master'!$A$2:$Q$13,7,FALSE)</x:f>
        <x:v>660.3</x:v>
      </x:c>
      <x:c r="H242" s="20" t="n">
        <x:f>VLOOKUP(C242,'Governorate Master'!$A$2:$Q$13,6,FALSE)</x:f>
        <x:v>0.9721656076409703</x:v>
      </x:c>
      <x:c r="I242" s="20" t="n">
        <x:f>VLOOKUP(C242,'Governorate Master'!$A$2:$Q$13,15,FALSE)</x:f>
        <x:v>0.06367041198501873</x:v>
      </x:c>
      <x:c r="J242" s="12" t="str">
        <x:v>Location model input - competition/saturation context</x:v>
      </x:c>
      <x:c r="K242" s="12" t="str">
        <x:v>Business count is from 2018 while population/context indicators are newer; use as a historical proxy, not a current market count.</x:v>
      </x:c>
    </x:row>
    <x:row r="243">
      <x:c r="A243" s="12" t="str">
        <x:v>1200</x:v>
      </x:c>
      <x:c r="B243" s="12" t="str">
        <x:v>Manufacture of tobacco products</x:v>
      </x:c>
      <x:c r="C243" s="12" t="str">
        <x:v>البلقاء</x:v>
      </x:c>
      <x:c r="D243" s="14" t="n">
        <x:v>1</x:v>
      </x:c>
      <x:c r="E243" s="14" t="n">
        <x:f>VLOOKUP(C243,'Governorate Master'!$A$2:$Q$13,3,FALSE)</x:f>
        <x:v>614000</x:v>
      </x:c>
      <x:c r="F243" s="66" t="n">
        <x:f>IF(E243=0,0,D243/E243*10000)</x:f>
        <x:v>0.016286644951140065</x:v>
      </x:c>
      <x:c r="G243" s="67" t="n">
        <x:f>VLOOKUP(C243,'Governorate Master'!$A$2:$Q$13,7,FALSE)</x:f>
        <x:v>548</x:v>
      </x:c>
      <x:c r="H243" s="20" t="n">
        <x:f>VLOOKUP(C243,'Governorate Master'!$A$2:$Q$13,6,FALSE)</x:f>
        <x:v>0.8210097719869707</x:v>
      </x:c>
      <x:c r="I243" s="20" t="n">
        <x:f>VLOOKUP(C243,'Governorate Master'!$A$2:$Q$13,15,FALSE)</x:f>
        <x:v>0.10794044665012408</x:v>
      </x:c>
      <x:c r="J243" s="12" t="str">
        <x:v>Location model input - competition/saturation context</x:v>
      </x:c>
      <x:c r="K243" s="12" t="str">
        <x:v>Business count is from 2018 while population/context indicators are newer; use as a historical proxy, not a current market count.</x:v>
      </x:c>
    </x:row>
    <x:row r="244">
      <x:c r="A244" s="12" t="str">
        <x:v>1200</x:v>
      </x:c>
      <x:c r="B244" s="12" t="str">
        <x:v>Manufacture of tobacco products</x:v>
      </x:c>
      <x:c r="C244" s="12" t="str">
        <x:v>الزرقاء</x:v>
      </x:c>
      <x:c r="D244" s="14" t="n">
        <x:v>11</x:v>
      </x:c>
      <x:c r="E244" s="14" t="n">
        <x:f>VLOOKUP(C244,'Governorate Master'!$A$2:$Q$13,3,FALSE)</x:f>
        <x:v>1704500</x:v>
      </x:c>
      <x:c r="F244" s="66" t="n">
        <x:f>IF(E244=0,0,D244/E244*10000)</x:f>
        <x:v>0.06453505426811382</x:v>
      </x:c>
      <x:c r="G244" s="67" t="n">
        <x:f>VLOOKUP(C244,'Governorate Master'!$A$2:$Q$13,7,FALSE)</x:f>
        <x:v>358</x:v>
      </x:c>
      <x:c r="H244" s="20" t="n">
        <x:f>VLOOKUP(C244,'Governorate Master'!$A$2:$Q$13,6,FALSE)</x:f>
        <x:v>0.9636256966852449</x:v>
      </x:c>
      <x:c r="I244" s="20" t="n">
        <x:f>VLOOKUP(C244,'Governorate Master'!$A$2:$Q$13,15,FALSE)</x:f>
        <x:v>-0.06808762581409118</x:v>
      </x:c>
      <x:c r="J244" s="12" t="str">
        <x:v>Location model input - competition/saturation context</x:v>
      </x:c>
      <x:c r="K244" s="12" t="str">
        <x:v>Business count is from 2018 while population/context indicators are newer; use as a historical proxy, not a current market count.</x:v>
      </x:c>
    </x:row>
    <x:row r="245">
      <x:c r="A245" s="12" t="str">
        <x:v>1200</x:v>
      </x:c>
      <x:c r="B245" s="12" t="str">
        <x:v>Manufacture of tobacco products</x:v>
      </x:c>
      <x:c r="C245" s="12" t="str">
        <x:v>مادبا</x:v>
      </x:c>
      <x:c r="D245" s="14" t="n">
        <x:v>0</x:v>
      </x:c>
      <x:c r="E245" s="14" t="n">
        <x:f>VLOOKUP(C245,'Governorate Master'!$A$2:$Q$13,3,FALSE)</x:f>
        <x:v>236200</x:v>
      </x:c>
      <x:c r="F245" s="66" t="n">
        <x:f>IF(E245=0,0,D245/E245*10000)</x:f>
        <x:v>0</x:v>
      </x:c>
      <x:c r="G245" s="67" t="n">
        <x:f>VLOOKUP(C245,'Governorate Master'!$A$2:$Q$13,7,FALSE)</x:f>
        <x:v>251.4</x:v>
      </x:c>
      <x:c r="H245" s="20" t="n">
        <x:f>VLOOKUP(C245,'Governorate Master'!$A$2:$Q$13,6,FALSE)</x:f>
        <x:v>0.7823878069432684</x:v>
      </x:c>
      <x:c r="I245" s="20" t="n">
        <x:f>VLOOKUP(C245,'Governorate Master'!$A$2:$Q$13,15,FALSE)</x:f>
        <x:v>-0.18823529411764706</x:v>
      </x:c>
      <x:c r="J245" s="12" t="str">
        <x:v>Location model input - competition/saturation context</x:v>
      </x:c>
      <x:c r="K245" s="12" t="str">
        <x:v>Business count is from 2018 while population/context indicators are newer; use as a historical proxy, not a current market count.</x:v>
      </x:c>
    </x:row>
    <x:row r="246">
      <x:c r="A246" s="12" t="str">
        <x:v>1200</x:v>
      </x:c>
      <x:c r="B246" s="12" t="str">
        <x:v>Manufacture of tobacco products</x:v>
      </x:c>
      <x:c r="C246" s="12" t="str">
        <x:v>إربد</x:v>
      </x:c>
      <x:c r="D246" s="14" t="n">
        <x:v>2</x:v>
      </x:c>
      <x:c r="E246" s="14" t="n">
        <x:f>VLOOKUP(C246,'Governorate Master'!$A$2:$Q$13,3,FALSE)</x:f>
        <x:v>2210500</x:v>
      </x:c>
      <x:c r="F246" s="66" t="n">
        <x:f>IF(E246=0,0,D246/E246*10000)</x:f>
        <x:v>0.009047726758651889</x:v>
      </x:c>
      <x:c r="G246" s="67" t="n">
        <x:f>VLOOKUP(C246,'Governorate Master'!$A$2:$Q$13,7,FALSE)</x:f>
        <x:v>1406.4</x:v>
      </x:c>
      <x:c r="H246" s="20" t="n">
        <x:f>VLOOKUP(C246,'Governorate Master'!$A$2:$Q$13,6,FALSE)</x:f>
        <x:v>0.9235014702555983</x:v>
      </x:c>
      <x:c r="I246" s="20" t="n">
        <x:f>VLOOKUP(C246,'Governorate Master'!$A$2:$Q$13,15,FALSE)</x:f>
        <x:v>0.07086922474549726</x:v>
      </x:c>
      <x:c r="J246" s="12" t="str">
        <x:v>Location model input - competition/saturation context</x:v>
      </x:c>
      <x:c r="K246" s="12" t="str">
        <x:v>Business count is from 2018 while population/context indicators are newer; use as a historical proxy, not a current market count.</x:v>
      </x:c>
    </x:row>
    <x:row r="247">
      <x:c r="A247" s="12" t="str">
        <x:v>1200</x:v>
      </x:c>
      <x:c r="B247" s="12" t="str">
        <x:v>Manufacture of tobacco products</x:v>
      </x:c>
      <x:c r="C247" s="12" t="str">
        <x:v>المفرق</x:v>
      </x:c>
      <x:c r="D247" s="14" t="n">
        <x:v>0</x:v>
      </x:c>
      <x:c r="E247" s="14" t="n">
        <x:f>VLOOKUP(C247,'Governorate Master'!$A$2:$Q$13,3,FALSE)</x:f>
        <x:v>686800</x:v>
      </x:c>
      <x:c r="F247" s="66" t="n">
        <x:f>IF(E247=0,0,D247/E247*10000)</x:f>
        <x:v>0</x:v>
      </x:c>
      <x:c r="G247" s="67" t="n">
        <x:f>VLOOKUP(C247,'Governorate Master'!$A$2:$Q$13,7,FALSE)</x:f>
        <x:v>25.9</x:v>
      </x:c>
      <x:c r="H247" s="20" t="n">
        <x:f>VLOOKUP(C247,'Governorate Master'!$A$2:$Q$13,6,FALSE)</x:f>
        <x:v>0.6965637740244612</x:v>
      </x:c>
      <x:c r="I247" s="20" t="n">
        <x:f>VLOOKUP(C247,'Governorate Master'!$A$2:$Q$13,15,FALSE)</x:f>
        <x:v>-0.016638935108153077</x:v>
      </x:c>
      <x:c r="J247" s="12" t="str">
        <x:v>Location model input - competition/saturation context</x:v>
      </x:c>
      <x:c r="K247" s="12" t="str">
        <x:v>Business count is from 2018 while population/context indicators are newer; use as a historical proxy, not a current market count.</x:v>
      </x:c>
    </x:row>
    <x:row r="248">
      <x:c r="A248" s="12" t="str">
        <x:v>1200</x:v>
      </x:c>
      <x:c r="B248" s="12" t="str">
        <x:v>Manufacture of tobacco products</x:v>
      </x:c>
      <x:c r="C248" s="12" t="str">
        <x:v>جرش</x:v>
      </x:c>
      <x:c r="D248" s="14" t="n">
        <x:v>0</x:v>
      </x:c>
      <x:c r="E248" s="14" t="n">
        <x:f>VLOOKUP(C248,'Governorate Master'!$A$2:$Q$13,3,FALSE)</x:f>
        <x:v>296000</x:v>
      </x:c>
      <x:c r="F248" s="66" t="n">
        <x:f>IF(E248=0,0,D248/E248*10000)</x:f>
        <x:v>0</x:v>
      </x:c>
      <x:c r="G248" s="67" t="n">
        <x:f>VLOOKUP(C248,'Governorate Master'!$A$2:$Q$13,7,FALSE)</x:f>
        <x:v>722.3</x:v>
      </x:c>
      <x:c r="H248" s="20" t="n">
        <x:f>VLOOKUP(C248,'Governorate Master'!$A$2:$Q$13,6,FALSE)</x:f>
        <x:v>0.7695945945945946</x:v>
      </x:c>
      <x:c r="I248" s="20" t="n">
        <x:f>VLOOKUP(C248,'Governorate Master'!$A$2:$Q$13,15,FALSE)</x:f>
        <x:v>-0.06527415143603134</x:v>
      </x:c>
      <x:c r="J248" s="12" t="str">
        <x:v>Location model input - competition/saturation context</x:v>
      </x:c>
      <x:c r="K248" s="12" t="str">
        <x:v>Business count is from 2018 while population/context indicators are newer; use as a historical proxy, not a current market count.</x:v>
      </x:c>
    </x:row>
    <x:row r="249">
      <x:c r="A249" s="12" t="str">
        <x:v>1200</x:v>
      </x:c>
      <x:c r="B249" s="12" t="str">
        <x:v>Manufacture of tobacco products</x:v>
      </x:c>
      <x:c r="C249" s="12" t="str">
        <x:v>عجلون</x:v>
      </x:c>
      <x:c r="D249" s="14" t="n">
        <x:v>0</x:v>
      </x:c>
      <x:c r="E249" s="14" t="n">
        <x:f>VLOOKUP(C249,'Governorate Master'!$A$2:$Q$13,3,FALSE)</x:f>
        <x:v>219900</x:v>
      </x:c>
      <x:c r="F249" s="66" t="n">
        <x:f>IF(E249=0,0,D249/E249*10000)</x:f>
        <x:v>0</x:v>
      </x:c>
      <x:c r="G249" s="67" t="n">
        <x:f>VLOOKUP(C249,'Governorate Master'!$A$2:$Q$13,7,FALSE)</x:f>
        <x:v>524</x:v>
      </x:c>
      <x:c r="H249" s="20" t="n">
        <x:f>VLOOKUP(C249,'Governorate Master'!$A$2:$Q$13,6,FALSE)</x:f>
        <x:v>0.8390177353342428</x:v>
      </x:c>
      <x:c r="I249" s="20" t="n">
        <x:f>VLOOKUP(C249,'Governorate Master'!$A$2:$Q$13,15,FALSE)</x:f>
        <x:v>0.03614457831325301</x:v>
      </x:c>
      <x:c r="J249" s="12" t="str">
        <x:v>Location model input - competition/saturation context</x:v>
      </x:c>
      <x:c r="K249" s="12" t="str">
        <x:v>Business count is from 2018 while population/context indicators are newer; use as a historical proxy, not a current market count.</x:v>
      </x:c>
    </x:row>
    <x:row r="250">
      <x:c r="A250" s="12" t="str">
        <x:v>1200</x:v>
      </x:c>
      <x:c r="B250" s="12" t="str">
        <x:v>Manufacture of tobacco products</x:v>
      </x:c>
      <x:c r="C250" s="12" t="str">
        <x:v>الكرك</x:v>
      </x:c>
      <x:c r="D250" s="14" t="n">
        <x:v>0</x:v>
      </x:c>
      <x:c r="E250" s="14" t="n">
        <x:f>VLOOKUP(C250,'Governorate Master'!$A$2:$Q$13,3,FALSE)</x:f>
        <x:v>395400</x:v>
      </x:c>
      <x:c r="F250" s="66" t="n">
        <x:f>IF(E250=0,0,D250/E250*10000)</x:f>
        <x:v>0</x:v>
      </x:c>
      <x:c r="G250" s="67" t="n">
        <x:f>VLOOKUP(C250,'Governorate Master'!$A$2:$Q$13,7,FALSE)</x:f>
        <x:v>113.1</x:v>
      </x:c>
      <x:c r="H250" s="20" t="n">
        <x:f>VLOOKUP(C250,'Governorate Master'!$A$2:$Q$13,6,FALSE)</x:f>
        <x:v>0.5912999494183105</x:v>
      </x:c>
      <x:c r="I250" s="20" t="n">
        <x:f>VLOOKUP(C250,'Governorate Master'!$A$2:$Q$13,15,FALSE)</x:f>
        <x:v>0.08710801393728224</x:v>
      </x:c>
      <x:c r="J250" s="12" t="str">
        <x:v>Location model input - competition/saturation context</x:v>
      </x:c>
      <x:c r="K250" s="12" t="str">
        <x:v>Business count is from 2018 while population/context indicators are newer; use as a historical proxy, not a current market count.</x:v>
      </x:c>
    </x:row>
    <x:row r="251">
      <x:c r="A251" s="12" t="str">
        <x:v>1200</x:v>
      </x:c>
      <x:c r="B251" s="12" t="str">
        <x:v>Manufacture of tobacco products</x:v>
      </x:c>
      <x:c r="C251" s="12" t="str">
        <x:v>الطفيلة</x:v>
      </x:c>
      <x:c r="D251" s="14" t="n">
        <x:v>0</x:v>
      </x:c>
      <x:c r="E251" s="14" t="n">
        <x:f>VLOOKUP(C251,'Governorate Master'!$A$2:$Q$13,3,FALSE)</x:f>
        <x:v>120300</x:v>
      </x:c>
      <x:c r="F251" s="66" t="n">
        <x:f>IF(E251=0,0,D251/E251*10000)</x:f>
        <x:v>0</x:v>
      </x:c>
      <x:c r="G251" s="67" t="n">
        <x:f>VLOOKUP(C251,'Governorate Master'!$A$2:$Q$13,7,FALSE)</x:f>
        <x:v>54.4</x:v>
      </x:c>
      <x:c r="H251" s="20" t="n">
        <x:f>VLOOKUP(C251,'Governorate Master'!$A$2:$Q$13,6,FALSE)</x:f>
        <x:v>0.7797173732335827</x:v>
      </x:c>
      <x:c r="I251" s="20" t="n">
        <x:f>VLOOKUP(C251,'Governorate Master'!$A$2:$Q$13,15,FALSE)</x:f>
        <x:v>0.18452380952380953</x:v>
      </x:c>
      <x:c r="J251" s="12" t="str">
        <x:v>Location model input - competition/saturation context</x:v>
      </x:c>
      <x:c r="K251" s="12" t="str">
        <x:v>Business count is from 2018 while population/context indicators are newer; use as a historical proxy, not a current market count.</x:v>
      </x:c>
    </x:row>
    <x:row r="252">
      <x:c r="A252" s="12" t="str">
        <x:v>1200</x:v>
      </x:c>
      <x:c r="B252" s="12" t="str">
        <x:v>Manufacture of tobacco products</x:v>
      </x:c>
      <x:c r="C252" s="12" t="str">
        <x:v>معان</x:v>
      </x:c>
      <x:c r="D252" s="14" t="n">
        <x:v>1</x:v>
      </x:c>
      <x:c r="E252" s="14" t="n">
        <x:f>VLOOKUP(C252,'Governorate Master'!$A$2:$Q$13,3,FALSE)</x:f>
        <x:v>197900</x:v>
      </x:c>
      <x:c r="F252" s="66" t="n">
        <x:f>IF(E252=0,0,D252/E252*10000)</x:f>
        <x:v>0.05053057099545225</x:v>
      </x:c>
      <x:c r="G252" s="67" t="n">
        <x:f>VLOOKUP(C252,'Governorate Master'!$A$2:$Q$13,7,FALSE)</x:f>
        <x:v>6</x:v>
      </x:c>
      <x:c r="H252" s="20" t="n">
        <x:f>VLOOKUP(C252,'Governorate Master'!$A$2:$Q$13,6,FALSE)</x:f>
        <x:v>0.5406771096513391</x:v>
      </x:c>
      <x:c r="I252" s="20" t="n">
        <x:f>VLOOKUP(C252,'Governorate Master'!$A$2:$Q$13,15,FALSE)</x:f>
        <x:v>0.026845637583892617</x:v>
      </x:c>
      <x:c r="J252" s="12" t="str">
        <x:v>Location model input - competition/saturation context</x:v>
      </x:c>
      <x:c r="K252" s="12" t="str">
        <x:v>Business count is from 2018 while population/context indicators are newer; use as a historical proxy, not a current market count.</x:v>
      </x:c>
    </x:row>
    <x:row r="253">
      <x:c r="A253" s="12" t="str">
        <x:v>1200</x:v>
      </x:c>
      <x:c r="B253" s="12" t="str">
        <x:v>Manufacture of tobacco products</x:v>
      </x:c>
      <x:c r="C253" s="12" t="str">
        <x:v>العقبة</x:v>
      </x:c>
      <x:c r="D253" s="14" t="n">
        <x:v>0</x:v>
      </x:c>
      <x:c r="E253" s="14" t="n">
        <x:f>VLOOKUP(C253,'Governorate Master'!$A$2:$Q$13,3,FALSE)</x:f>
        <x:v>250900</x:v>
      </x:c>
      <x:c r="F253" s="66" t="n">
        <x:f>IF(E253=0,0,D253/E253*10000)</x:f>
        <x:v>0</x:v>
      </x:c>
      <x:c r="G253" s="67" t="n">
        <x:f>VLOOKUP(C253,'Governorate Master'!$A$2:$Q$13,7,FALSE)</x:f>
        <x:v>36.3</x:v>
      </x:c>
      <x:c r="H253" s="20" t="n">
        <x:f>VLOOKUP(C253,'Governorate Master'!$A$2:$Q$13,6,FALSE)</x:f>
        <x:v>0.882024711040255</x:v>
      </x:c>
      <x:c r="I253" s="20" t="n">
        <x:f>VLOOKUP(C253,'Governorate Master'!$A$2:$Q$13,15,FALSE)</x:f>
        <x:v>-0.09</x:v>
      </x:c>
      <x:c r="J253" s="12" t="str">
        <x:v>Location model input - competition/saturation context</x:v>
      </x:c>
      <x:c r="K253" s="12" t="str">
        <x:v>Business count is from 2018 while population/context indicators are newer; use as a historical proxy, not a current market count.</x:v>
      </x:c>
    </x:row>
    <x:row r="254">
      <x:c r="A254" s="12" t="str">
        <x:v>1312</x:v>
      </x:c>
      <x:c r="B254" s="12" t="str">
        <x:v>Weaving of textiles</x:v>
      </x:c>
      <x:c r="C254" s="12" t="str">
        <x:v>عمان</x:v>
      </x:c>
      <x:c r="D254" s="14" t="n">
        <x:v>4</x:v>
      </x:c>
      <x:c r="E254" s="14" t="n">
        <x:f>VLOOKUP(C254,'Governorate Master'!$A$2:$Q$13,3,FALSE)</x:f>
        <x:v>5004600</x:v>
      </x:c>
      <x:c r="F254" s="66" t="n">
        <x:f>IF(E254=0,0,D254/E254*10000)</x:f>
        <x:v>0.007992646764976222</x:v>
      </x:c>
      <x:c r="G254" s="67" t="n">
        <x:f>VLOOKUP(C254,'Governorate Master'!$A$2:$Q$13,7,FALSE)</x:f>
        <x:v>660.3</x:v>
      </x:c>
      <x:c r="H254" s="20" t="n">
        <x:f>VLOOKUP(C254,'Governorate Master'!$A$2:$Q$13,6,FALSE)</x:f>
        <x:v>0.9721656076409703</x:v>
      </x:c>
      <x:c r="I254" s="20" t="n">
        <x:f>VLOOKUP(C254,'Governorate Master'!$A$2:$Q$13,15,FALSE)</x:f>
        <x:v>0.06367041198501873</x:v>
      </x:c>
      <x:c r="J254" s="12" t="str">
        <x:v>Location model input - competition/saturation context</x:v>
      </x:c>
      <x:c r="K254" s="12" t="str">
        <x:v>Business count is from 2018 while population/context indicators are newer; use as a historical proxy, not a current market count.</x:v>
      </x:c>
    </x:row>
    <x:row r="255">
      <x:c r="A255" s="12" t="str">
        <x:v>1312</x:v>
      </x:c>
      <x:c r="B255" s="12" t="str">
        <x:v>Weaving of textiles</x:v>
      </x:c>
      <x:c r="C255" s="12" t="str">
        <x:v>البلقاء</x:v>
      </x:c>
      <x:c r="D255" s="14" t="n">
        <x:v>0</x:v>
      </x:c>
      <x:c r="E255" s="14" t="n">
        <x:f>VLOOKUP(C255,'Governorate Master'!$A$2:$Q$13,3,FALSE)</x:f>
        <x:v>614000</x:v>
      </x:c>
      <x:c r="F255" s="66" t="n">
        <x:f>IF(E255=0,0,D255/E255*10000)</x:f>
        <x:v>0</x:v>
      </x:c>
      <x:c r="G255" s="67" t="n">
        <x:f>VLOOKUP(C255,'Governorate Master'!$A$2:$Q$13,7,FALSE)</x:f>
        <x:v>548</x:v>
      </x:c>
      <x:c r="H255" s="20" t="n">
        <x:f>VLOOKUP(C255,'Governorate Master'!$A$2:$Q$13,6,FALSE)</x:f>
        <x:v>0.8210097719869707</x:v>
      </x:c>
      <x:c r="I255" s="20" t="n">
        <x:f>VLOOKUP(C255,'Governorate Master'!$A$2:$Q$13,15,FALSE)</x:f>
        <x:v>0.10794044665012408</x:v>
      </x:c>
      <x:c r="J255" s="12" t="str">
        <x:v>Location model input - competition/saturation context</x:v>
      </x:c>
      <x:c r="K255" s="12" t="str">
        <x:v>Business count is from 2018 while population/context indicators are newer; use as a historical proxy, not a current market count.</x:v>
      </x:c>
    </x:row>
    <x:row r="256">
      <x:c r="A256" s="12" t="str">
        <x:v>1312</x:v>
      </x:c>
      <x:c r="B256" s="12" t="str">
        <x:v>Weaving of textiles</x:v>
      </x:c>
      <x:c r="C256" s="12" t="str">
        <x:v>الزرقاء</x:v>
      </x:c>
      <x:c r="D256" s="14" t="n">
        <x:v>1</x:v>
      </x:c>
      <x:c r="E256" s="14" t="n">
        <x:f>VLOOKUP(C256,'Governorate Master'!$A$2:$Q$13,3,FALSE)</x:f>
        <x:v>1704500</x:v>
      </x:c>
      <x:c r="F256" s="66" t="n">
        <x:f>IF(E256=0,0,D256/E256*10000)</x:f>
        <x:v>0.005866823115283074</x:v>
      </x:c>
      <x:c r="G256" s="67" t="n">
        <x:f>VLOOKUP(C256,'Governorate Master'!$A$2:$Q$13,7,FALSE)</x:f>
        <x:v>358</x:v>
      </x:c>
      <x:c r="H256" s="20" t="n">
        <x:f>VLOOKUP(C256,'Governorate Master'!$A$2:$Q$13,6,FALSE)</x:f>
        <x:v>0.9636256966852449</x:v>
      </x:c>
      <x:c r="I256" s="20" t="n">
        <x:f>VLOOKUP(C256,'Governorate Master'!$A$2:$Q$13,15,FALSE)</x:f>
        <x:v>-0.06808762581409118</x:v>
      </x:c>
      <x:c r="J256" s="12" t="str">
        <x:v>Location model input - competition/saturation context</x:v>
      </x:c>
      <x:c r="K256" s="12" t="str">
        <x:v>Business count is from 2018 while population/context indicators are newer; use as a historical proxy, not a current market count.</x:v>
      </x:c>
    </x:row>
    <x:row r="257">
      <x:c r="A257" s="12" t="str">
        <x:v>1312</x:v>
      </x:c>
      <x:c r="B257" s="12" t="str">
        <x:v>Weaving of textiles</x:v>
      </x:c>
      <x:c r="C257" s="12" t="str">
        <x:v>مادبا</x:v>
      </x:c>
      <x:c r="D257" s="14" t="n">
        <x:v>0</x:v>
      </x:c>
      <x:c r="E257" s="14" t="n">
        <x:f>VLOOKUP(C257,'Governorate Master'!$A$2:$Q$13,3,FALSE)</x:f>
        <x:v>236200</x:v>
      </x:c>
      <x:c r="F257" s="66" t="n">
        <x:f>IF(E257=0,0,D257/E257*10000)</x:f>
        <x:v>0</x:v>
      </x:c>
      <x:c r="G257" s="67" t="n">
        <x:f>VLOOKUP(C257,'Governorate Master'!$A$2:$Q$13,7,FALSE)</x:f>
        <x:v>251.4</x:v>
      </x:c>
      <x:c r="H257" s="20" t="n">
        <x:f>VLOOKUP(C257,'Governorate Master'!$A$2:$Q$13,6,FALSE)</x:f>
        <x:v>0.7823878069432684</x:v>
      </x:c>
      <x:c r="I257" s="20" t="n">
        <x:f>VLOOKUP(C257,'Governorate Master'!$A$2:$Q$13,15,FALSE)</x:f>
        <x:v>-0.18823529411764706</x:v>
      </x:c>
      <x:c r="J257" s="12" t="str">
        <x:v>Location model input - competition/saturation context</x:v>
      </x:c>
      <x:c r="K257" s="12" t="str">
        <x:v>Business count is from 2018 while population/context indicators are newer; use as a historical proxy, not a current market count.</x:v>
      </x:c>
    </x:row>
    <x:row r="258">
      <x:c r="A258" s="12" t="str">
        <x:v>1312</x:v>
      </x:c>
      <x:c r="B258" s="12" t="str">
        <x:v>Weaving of textiles</x:v>
      </x:c>
      <x:c r="C258" s="12" t="str">
        <x:v>إربد</x:v>
      </x:c>
      <x:c r="D258" s="14" t="n">
        <x:v>0</x:v>
      </x:c>
      <x:c r="E258" s="14" t="n">
        <x:f>VLOOKUP(C258,'Governorate Master'!$A$2:$Q$13,3,FALSE)</x:f>
        <x:v>2210500</x:v>
      </x:c>
      <x:c r="F258" s="66" t="n">
        <x:f>IF(E258=0,0,D258/E258*10000)</x:f>
        <x:v>0</x:v>
      </x:c>
      <x:c r="G258" s="67" t="n">
        <x:f>VLOOKUP(C258,'Governorate Master'!$A$2:$Q$13,7,FALSE)</x:f>
        <x:v>1406.4</x:v>
      </x:c>
      <x:c r="H258" s="20" t="n">
        <x:f>VLOOKUP(C258,'Governorate Master'!$A$2:$Q$13,6,FALSE)</x:f>
        <x:v>0.9235014702555983</x:v>
      </x:c>
      <x:c r="I258" s="20" t="n">
        <x:f>VLOOKUP(C258,'Governorate Master'!$A$2:$Q$13,15,FALSE)</x:f>
        <x:v>0.07086922474549726</x:v>
      </x:c>
      <x:c r="J258" s="12" t="str">
        <x:v>Location model input - competition/saturation context</x:v>
      </x:c>
      <x:c r="K258" s="12" t="str">
        <x:v>Business count is from 2018 while population/context indicators are newer; use as a historical proxy, not a current market count.</x:v>
      </x:c>
    </x:row>
    <x:row r="259">
      <x:c r="A259" s="12" t="str">
        <x:v>1312</x:v>
      </x:c>
      <x:c r="B259" s="12" t="str">
        <x:v>Weaving of textiles</x:v>
      </x:c>
      <x:c r="C259" s="12" t="str">
        <x:v>المفرق</x:v>
      </x:c>
      <x:c r="D259" s="14" t="n">
        <x:v>0</x:v>
      </x:c>
      <x:c r="E259" s="14" t="n">
        <x:f>VLOOKUP(C259,'Governorate Master'!$A$2:$Q$13,3,FALSE)</x:f>
        <x:v>686800</x:v>
      </x:c>
      <x:c r="F259" s="66" t="n">
        <x:f>IF(E259=0,0,D259/E259*10000)</x:f>
        <x:v>0</x:v>
      </x:c>
      <x:c r="G259" s="67" t="n">
        <x:f>VLOOKUP(C259,'Governorate Master'!$A$2:$Q$13,7,FALSE)</x:f>
        <x:v>25.9</x:v>
      </x:c>
      <x:c r="H259" s="20" t="n">
        <x:f>VLOOKUP(C259,'Governorate Master'!$A$2:$Q$13,6,FALSE)</x:f>
        <x:v>0.6965637740244612</x:v>
      </x:c>
      <x:c r="I259" s="20" t="n">
        <x:f>VLOOKUP(C259,'Governorate Master'!$A$2:$Q$13,15,FALSE)</x:f>
        <x:v>-0.016638935108153077</x:v>
      </x:c>
      <x:c r="J259" s="12" t="str">
        <x:v>Location model input - competition/saturation context</x:v>
      </x:c>
      <x:c r="K259" s="12" t="str">
        <x:v>Business count is from 2018 while population/context indicators are newer; use as a historical proxy, not a current market count.</x:v>
      </x:c>
    </x:row>
    <x:row r="260">
      <x:c r="A260" s="12" t="str">
        <x:v>1312</x:v>
      </x:c>
      <x:c r="B260" s="12" t="str">
        <x:v>Weaving of textiles</x:v>
      </x:c>
      <x:c r="C260" s="12" t="str">
        <x:v>جرش</x:v>
      </x:c>
      <x:c r="D260" s="14" t="n">
        <x:v>0</x:v>
      </x:c>
      <x:c r="E260" s="14" t="n">
        <x:f>VLOOKUP(C260,'Governorate Master'!$A$2:$Q$13,3,FALSE)</x:f>
        <x:v>296000</x:v>
      </x:c>
      <x:c r="F260" s="66" t="n">
        <x:f>IF(E260=0,0,D260/E260*10000)</x:f>
        <x:v>0</x:v>
      </x:c>
      <x:c r="G260" s="67" t="n">
        <x:f>VLOOKUP(C260,'Governorate Master'!$A$2:$Q$13,7,FALSE)</x:f>
        <x:v>722.3</x:v>
      </x:c>
      <x:c r="H260" s="20" t="n">
        <x:f>VLOOKUP(C260,'Governorate Master'!$A$2:$Q$13,6,FALSE)</x:f>
        <x:v>0.7695945945945946</x:v>
      </x:c>
      <x:c r="I260" s="20" t="n">
        <x:f>VLOOKUP(C260,'Governorate Master'!$A$2:$Q$13,15,FALSE)</x:f>
        <x:v>-0.06527415143603134</x:v>
      </x:c>
      <x:c r="J260" s="12" t="str">
        <x:v>Location model input - competition/saturation context</x:v>
      </x:c>
      <x:c r="K260" s="12" t="str">
        <x:v>Business count is from 2018 while population/context indicators are newer; use as a historical proxy, not a current market count.</x:v>
      </x:c>
    </x:row>
    <x:row r="261">
      <x:c r="A261" s="12" t="str">
        <x:v>1312</x:v>
      </x:c>
      <x:c r="B261" s="12" t="str">
        <x:v>Weaving of textiles</x:v>
      </x:c>
      <x:c r="C261" s="12" t="str">
        <x:v>عجلون</x:v>
      </x:c>
      <x:c r="D261" s="14" t="n">
        <x:v>0</x:v>
      </x:c>
      <x:c r="E261" s="14" t="n">
        <x:f>VLOOKUP(C261,'Governorate Master'!$A$2:$Q$13,3,FALSE)</x:f>
        <x:v>219900</x:v>
      </x:c>
      <x:c r="F261" s="66" t="n">
        <x:f>IF(E261=0,0,D261/E261*10000)</x:f>
        <x:v>0</x:v>
      </x:c>
      <x:c r="G261" s="67" t="n">
        <x:f>VLOOKUP(C261,'Governorate Master'!$A$2:$Q$13,7,FALSE)</x:f>
        <x:v>524</x:v>
      </x:c>
      <x:c r="H261" s="20" t="n">
        <x:f>VLOOKUP(C261,'Governorate Master'!$A$2:$Q$13,6,FALSE)</x:f>
        <x:v>0.8390177353342428</x:v>
      </x:c>
      <x:c r="I261" s="20" t="n">
        <x:f>VLOOKUP(C261,'Governorate Master'!$A$2:$Q$13,15,FALSE)</x:f>
        <x:v>0.03614457831325301</x:v>
      </x:c>
      <x:c r="J261" s="12" t="str">
        <x:v>Location model input - competition/saturation context</x:v>
      </x:c>
      <x:c r="K261" s="12" t="str">
        <x:v>Business count is from 2018 while population/context indicators are newer; use as a historical proxy, not a current market count.</x:v>
      </x:c>
    </x:row>
    <x:row r="262">
      <x:c r="A262" s="12" t="str">
        <x:v>1312</x:v>
      </x:c>
      <x:c r="B262" s="12" t="str">
        <x:v>Weaving of textiles</x:v>
      </x:c>
      <x:c r="C262" s="12" t="str">
        <x:v>الكرك</x:v>
      </x:c>
      <x:c r="D262" s="14" t="n">
        <x:v>0</x:v>
      </x:c>
      <x:c r="E262" s="14" t="n">
        <x:f>VLOOKUP(C262,'Governorate Master'!$A$2:$Q$13,3,FALSE)</x:f>
        <x:v>395400</x:v>
      </x:c>
      <x:c r="F262" s="66" t="n">
        <x:f>IF(E262=0,0,D262/E262*10000)</x:f>
        <x:v>0</x:v>
      </x:c>
      <x:c r="G262" s="67" t="n">
        <x:f>VLOOKUP(C262,'Governorate Master'!$A$2:$Q$13,7,FALSE)</x:f>
        <x:v>113.1</x:v>
      </x:c>
      <x:c r="H262" s="20" t="n">
        <x:f>VLOOKUP(C262,'Governorate Master'!$A$2:$Q$13,6,FALSE)</x:f>
        <x:v>0.5912999494183105</x:v>
      </x:c>
      <x:c r="I262" s="20" t="n">
        <x:f>VLOOKUP(C262,'Governorate Master'!$A$2:$Q$13,15,FALSE)</x:f>
        <x:v>0.08710801393728224</x:v>
      </x:c>
      <x:c r="J262" s="12" t="str">
        <x:v>Location model input - competition/saturation context</x:v>
      </x:c>
      <x:c r="K262" s="12" t="str">
        <x:v>Business count is from 2018 while population/context indicators are newer; use as a historical proxy, not a current market count.</x:v>
      </x:c>
    </x:row>
    <x:row r="263">
      <x:c r="A263" s="12" t="str">
        <x:v>1312</x:v>
      </x:c>
      <x:c r="B263" s="12" t="str">
        <x:v>Weaving of textiles</x:v>
      </x:c>
      <x:c r="C263" s="12" t="str">
        <x:v>الطفيلة</x:v>
      </x:c>
      <x:c r="D263" s="14" t="n">
        <x:v>0</x:v>
      </x:c>
      <x:c r="E263" s="14" t="n">
        <x:f>VLOOKUP(C263,'Governorate Master'!$A$2:$Q$13,3,FALSE)</x:f>
        <x:v>120300</x:v>
      </x:c>
      <x:c r="F263" s="66" t="n">
        <x:f>IF(E263=0,0,D263/E263*10000)</x:f>
        <x:v>0</x:v>
      </x:c>
      <x:c r="G263" s="67" t="n">
        <x:f>VLOOKUP(C263,'Governorate Master'!$A$2:$Q$13,7,FALSE)</x:f>
        <x:v>54.4</x:v>
      </x:c>
      <x:c r="H263" s="20" t="n">
        <x:f>VLOOKUP(C263,'Governorate Master'!$A$2:$Q$13,6,FALSE)</x:f>
        <x:v>0.7797173732335827</x:v>
      </x:c>
      <x:c r="I263" s="20" t="n">
        <x:f>VLOOKUP(C263,'Governorate Master'!$A$2:$Q$13,15,FALSE)</x:f>
        <x:v>0.18452380952380953</x:v>
      </x:c>
      <x:c r="J263" s="12" t="str">
        <x:v>Location model input - competition/saturation context</x:v>
      </x:c>
      <x:c r="K263" s="12" t="str">
        <x:v>Business count is from 2018 while population/context indicators are newer; use as a historical proxy, not a current market count.</x:v>
      </x:c>
    </x:row>
    <x:row r="264">
      <x:c r="A264" s="12" t="str">
        <x:v>1312</x:v>
      </x:c>
      <x:c r="B264" s="12" t="str">
        <x:v>Weaving of textiles</x:v>
      </x:c>
      <x:c r="C264" s="12" t="str">
        <x:v>معان</x:v>
      </x:c>
      <x:c r="D264" s="14" t="n">
        <x:v>0</x:v>
      </x:c>
      <x:c r="E264" s="14" t="n">
        <x:f>VLOOKUP(C264,'Governorate Master'!$A$2:$Q$13,3,FALSE)</x:f>
        <x:v>197900</x:v>
      </x:c>
      <x:c r="F264" s="66" t="n">
        <x:f>IF(E264=0,0,D264/E264*10000)</x:f>
        <x:v>0</x:v>
      </x:c>
      <x:c r="G264" s="67" t="n">
        <x:f>VLOOKUP(C264,'Governorate Master'!$A$2:$Q$13,7,FALSE)</x:f>
        <x:v>6</x:v>
      </x:c>
      <x:c r="H264" s="20" t="n">
        <x:f>VLOOKUP(C264,'Governorate Master'!$A$2:$Q$13,6,FALSE)</x:f>
        <x:v>0.5406771096513391</x:v>
      </x:c>
      <x:c r="I264" s="20" t="n">
        <x:f>VLOOKUP(C264,'Governorate Master'!$A$2:$Q$13,15,FALSE)</x:f>
        <x:v>0.026845637583892617</x:v>
      </x:c>
      <x:c r="J264" s="12" t="str">
        <x:v>Location model input - competition/saturation context</x:v>
      </x:c>
      <x:c r="K264" s="12" t="str">
        <x:v>Business count is from 2018 while population/context indicators are newer; use as a historical proxy, not a current market count.</x:v>
      </x:c>
    </x:row>
    <x:row r="265">
      <x:c r="A265" s="12" t="str">
        <x:v>1312</x:v>
      </x:c>
      <x:c r="B265" s="12" t="str">
        <x:v>Weaving of textiles</x:v>
      </x:c>
      <x:c r="C265" s="12" t="str">
        <x:v>العقبة</x:v>
      </x:c>
      <x:c r="D265" s="14" t="n">
        <x:v>0</x:v>
      </x:c>
      <x:c r="E265" s="14" t="n">
        <x:f>VLOOKUP(C265,'Governorate Master'!$A$2:$Q$13,3,FALSE)</x:f>
        <x:v>250900</x:v>
      </x:c>
      <x:c r="F265" s="66" t="n">
        <x:f>IF(E265=0,0,D265/E265*10000)</x:f>
        <x:v>0</x:v>
      </x:c>
      <x:c r="G265" s="67" t="n">
        <x:f>VLOOKUP(C265,'Governorate Master'!$A$2:$Q$13,7,FALSE)</x:f>
        <x:v>36.3</x:v>
      </x:c>
      <x:c r="H265" s="20" t="n">
        <x:f>VLOOKUP(C265,'Governorate Master'!$A$2:$Q$13,6,FALSE)</x:f>
        <x:v>0.882024711040255</x:v>
      </x:c>
      <x:c r="I265" s="20" t="n">
        <x:f>VLOOKUP(C265,'Governorate Master'!$A$2:$Q$13,15,FALSE)</x:f>
        <x:v>-0.09</x:v>
      </x:c>
      <x:c r="J265" s="12" t="str">
        <x:v>Location model input - competition/saturation context</x:v>
      </x:c>
      <x:c r="K265" s="12" t="str">
        <x:v>Business count is from 2018 while population/context indicators are newer; use as a historical proxy, not a current market count.</x:v>
      </x:c>
    </x:row>
    <x:row r="266">
      <x:c r="A266" s="12" t="str">
        <x:v>1313</x:v>
      </x:c>
      <x:c r="B266" s="12" t="str">
        <x:v>Finishing of textiles</x:v>
      </x:c>
      <x:c r="C266" s="12" t="str">
        <x:v>عمان</x:v>
      </x:c>
      <x:c r="D266" s="14" t="n">
        <x:v>1</x:v>
      </x:c>
      <x:c r="E266" s="14" t="n">
        <x:f>VLOOKUP(C266,'Governorate Master'!$A$2:$Q$13,3,FALSE)</x:f>
        <x:v>5004600</x:v>
      </x:c>
      <x:c r="F266" s="66" t="n">
        <x:f>IF(E266=0,0,D266/E266*10000)</x:f>
        <x:v>0.0019981616912440555</x:v>
      </x:c>
      <x:c r="G266" s="67" t="n">
        <x:f>VLOOKUP(C266,'Governorate Master'!$A$2:$Q$13,7,FALSE)</x:f>
        <x:v>660.3</x:v>
      </x:c>
      <x:c r="H266" s="20" t="n">
        <x:f>VLOOKUP(C266,'Governorate Master'!$A$2:$Q$13,6,FALSE)</x:f>
        <x:v>0.9721656076409703</x:v>
      </x:c>
      <x:c r="I266" s="20" t="n">
        <x:f>VLOOKUP(C266,'Governorate Master'!$A$2:$Q$13,15,FALSE)</x:f>
        <x:v>0.06367041198501873</x:v>
      </x:c>
      <x:c r="J266" s="12" t="str">
        <x:v>Location model input - competition/saturation context</x:v>
      </x:c>
      <x:c r="K266" s="12" t="str">
        <x:v>Business count is from 2018 while population/context indicators are newer; use as a historical proxy, not a current market count.</x:v>
      </x:c>
    </x:row>
    <x:row r="267">
      <x:c r="A267" s="12" t="str">
        <x:v>1313</x:v>
      </x:c>
      <x:c r="B267" s="12" t="str">
        <x:v>Finishing of textiles</x:v>
      </x:c>
      <x:c r="C267" s="12" t="str">
        <x:v>البلقاء</x:v>
      </x:c>
      <x:c r="D267" s="14" t="n">
        <x:v>0</x:v>
      </x:c>
      <x:c r="E267" s="14" t="n">
        <x:f>VLOOKUP(C267,'Governorate Master'!$A$2:$Q$13,3,FALSE)</x:f>
        <x:v>614000</x:v>
      </x:c>
      <x:c r="F267" s="66" t="n">
        <x:f>IF(E267=0,0,D267/E267*10000)</x:f>
        <x:v>0</x:v>
      </x:c>
      <x:c r="G267" s="67" t="n">
        <x:f>VLOOKUP(C267,'Governorate Master'!$A$2:$Q$13,7,FALSE)</x:f>
        <x:v>548</x:v>
      </x:c>
      <x:c r="H267" s="20" t="n">
        <x:f>VLOOKUP(C267,'Governorate Master'!$A$2:$Q$13,6,FALSE)</x:f>
        <x:v>0.8210097719869707</x:v>
      </x:c>
      <x:c r="I267" s="20" t="n">
        <x:f>VLOOKUP(C267,'Governorate Master'!$A$2:$Q$13,15,FALSE)</x:f>
        <x:v>0.10794044665012408</x:v>
      </x:c>
      <x:c r="J267" s="12" t="str">
        <x:v>Location model input - competition/saturation context</x:v>
      </x:c>
      <x:c r="K267" s="12" t="str">
        <x:v>Business count is from 2018 while population/context indicators are newer; use as a historical proxy, not a current market count.</x:v>
      </x:c>
    </x:row>
    <x:row r="268">
      <x:c r="A268" s="12" t="str">
        <x:v>1313</x:v>
      </x:c>
      <x:c r="B268" s="12" t="str">
        <x:v>Finishing of textiles</x:v>
      </x:c>
      <x:c r="C268" s="12" t="str">
        <x:v>الزرقاء</x:v>
      </x:c>
      <x:c r="D268" s="14" t="n">
        <x:v>0</x:v>
      </x:c>
      <x:c r="E268" s="14" t="n">
        <x:f>VLOOKUP(C268,'Governorate Master'!$A$2:$Q$13,3,FALSE)</x:f>
        <x:v>1704500</x:v>
      </x:c>
      <x:c r="F268" s="66" t="n">
        <x:f>IF(E268=0,0,D268/E268*10000)</x:f>
        <x:v>0</x:v>
      </x:c>
      <x:c r="G268" s="67" t="n">
        <x:f>VLOOKUP(C268,'Governorate Master'!$A$2:$Q$13,7,FALSE)</x:f>
        <x:v>358</x:v>
      </x:c>
      <x:c r="H268" s="20" t="n">
        <x:f>VLOOKUP(C268,'Governorate Master'!$A$2:$Q$13,6,FALSE)</x:f>
        <x:v>0.9636256966852449</x:v>
      </x:c>
      <x:c r="I268" s="20" t="n">
        <x:f>VLOOKUP(C268,'Governorate Master'!$A$2:$Q$13,15,FALSE)</x:f>
        <x:v>-0.06808762581409118</x:v>
      </x:c>
      <x:c r="J268" s="12" t="str">
        <x:v>Location model input - competition/saturation context</x:v>
      </x:c>
      <x:c r="K268" s="12" t="str">
        <x:v>Business count is from 2018 while population/context indicators are newer; use as a historical proxy, not a current market count.</x:v>
      </x:c>
    </x:row>
    <x:row r="269">
      <x:c r="A269" s="12" t="str">
        <x:v>1313</x:v>
      </x:c>
      <x:c r="B269" s="12" t="str">
        <x:v>Finishing of textiles</x:v>
      </x:c>
      <x:c r="C269" s="12" t="str">
        <x:v>مادبا</x:v>
      </x:c>
      <x:c r="D269" s="14" t="n">
        <x:v>0</x:v>
      </x:c>
      <x:c r="E269" s="14" t="n">
        <x:f>VLOOKUP(C269,'Governorate Master'!$A$2:$Q$13,3,FALSE)</x:f>
        <x:v>236200</x:v>
      </x:c>
      <x:c r="F269" s="66" t="n">
        <x:f>IF(E269=0,0,D269/E269*10000)</x:f>
        <x:v>0</x:v>
      </x:c>
      <x:c r="G269" s="67" t="n">
        <x:f>VLOOKUP(C269,'Governorate Master'!$A$2:$Q$13,7,FALSE)</x:f>
        <x:v>251.4</x:v>
      </x:c>
      <x:c r="H269" s="20" t="n">
        <x:f>VLOOKUP(C269,'Governorate Master'!$A$2:$Q$13,6,FALSE)</x:f>
        <x:v>0.7823878069432684</x:v>
      </x:c>
      <x:c r="I269" s="20" t="n">
        <x:f>VLOOKUP(C269,'Governorate Master'!$A$2:$Q$13,15,FALSE)</x:f>
        <x:v>-0.18823529411764706</x:v>
      </x:c>
      <x:c r="J269" s="12" t="str">
        <x:v>Location model input - competition/saturation context</x:v>
      </x:c>
      <x:c r="K269" s="12" t="str">
        <x:v>Business count is from 2018 while population/context indicators are newer; use as a historical proxy, not a current market count.</x:v>
      </x:c>
    </x:row>
    <x:row r="270">
      <x:c r="A270" s="12" t="str">
        <x:v>1313</x:v>
      </x:c>
      <x:c r="B270" s="12" t="str">
        <x:v>Finishing of textiles</x:v>
      </x:c>
      <x:c r="C270" s="12" t="str">
        <x:v>إربد</x:v>
      </x:c>
      <x:c r="D270" s="14" t="n">
        <x:v>0</x:v>
      </x:c>
      <x:c r="E270" s="14" t="n">
        <x:f>VLOOKUP(C270,'Governorate Master'!$A$2:$Q$13,3,FALSE)</x:f>
        <x:v>2210500</x:v>
      </x:c>
      <x:c r="F270" s="66" t="n">
        <x:f>IF(E270=0,0,D270/E270*10000)</x:f>
        <x:v>0</x:v>
      </x:c>
      <x:c r="G270" s="67" t="n">
        <x:f>VLOOKUP(C270,'Governorate Master'!$A$2:$Q$13,7,FALSE)</x:f>
        <x:v>1406.4</x:v>
      </x:c>
      <x:c r="H270" s="20" t="n">
        <x:f>VLOOKUP(C270,'Governorate Master'!$A$2:$Q$13,6,FALSE)</x:f>
        <x:v>0.9235014702555983</x:v>
      </x:c>
      <x:c r="I270" s="20" t="n">
        <x:f>VLOOKUP(C270,'Governorate Master'!$A$2:$Q$13,15,FALSE)</x:f>
        <x:v>0.07086922474549726</x:v>
      </x:c>
      <x:c r="J270" s="12" t="str">
        <x:v>Location model input - competition/saturation context</x:v>
      </x:c>
      <x:c r="K270" s="12" t="str">
        <x:v>Business count is from 2018 while population/context indicators are newer; use as a historical proxy, not a current market count.</x:v>
      </x:c>
    </x:row>
    <x:row r="271">
      <x:c r="A271" s="12" t="str">
        <x:v>1313</x:v>
      </x:c>
      <x:c r="B271" s="12" t="str">
        <x:v>Finishing of textiles</x:v>
      </x:c>
      <x:c r="C271" s="12" t="str">
        <x:v>المفرق</x:v>
      </x:c>
      <x:c r="D271" s="14" t="n">
        <x:v>0</x:v>
      </x:c>
      <x:c r="E271" s="14" t="n">
        <x:f>VLOOKUP(C271,'Governorate Master'!$A$2:$Q$13,3,FALSE)</x:f>
        <x:v>686800</x:v>
      </x:c>
      <x:c r="F271" s="66" t="n">
        <x:f>IF(E271=0,0,D271/E271*10000)</x:f>
        <x:v>0</x:v>
      </x:c>
      <x:c r="G271" s="67" t="n">
        <x:f>VLOOKUP(C271,'Governorate Master'!$A$2:$Q$13,7,FALSE)</x:f>
        <x:v>25.9</x:v>
      </x:c>
      <x:c r="H271" s="20" t="n">
        <x:f>VLOOKUP(C271,'Governorate Master'!$A$2:$Q$13,6,FALSE)</x:f>
        <x:v>0.6965637740244612</x:v>
      </x:c>
      <x:c r="I271" s="20" t="n">
        <x:f>VLOOKUP(C271,'Governorate Master'!$A$2:$Q$13,15,FALSE)</x:f>
        <x:v>-0.016638935108153077</x:v>
      </x:c>
      <x:c r="J271" s="12" t="str">
        <x:v>Location model input - competition/saturation context</x:v>
      </x:c>
      <x:c r="K271" s="12" t="str">
        <x:v>Business count is from 2018 while population/context indicators are newer; use as a historical proxy, not a current market count.</x:v>
      </x:c>
    </x:row>
    <x:row r="272">
      <x:c r="A272" s="12" t="str">
        <x:v>1313</x:v>
      </x:c>
      <x:c r="B272" s="12" t="str">
        <x:v>Finishing of textiles</x:v>
      </x:c>
      <x:c r="C272" s="12" t="str">
        <x:v>جرش</x:v>
      </x:c>
      <x:c r="D272" s="14" t="n">
        <x:v>0</x:v>
      </x:c>
      <x:c r="E272" s="14" t="n">
        <x:f>VLOOKUP(C272,'Governorate Master'!$A$2:$Q$13,3,FALSE)</x:f>
        <x:v>296000</x:v>
      </x:c>
      <x:c r="F272" s="66" t="n">
        <x:f>IF(E272=0,0,D272/E272*10000)</x:f>
        <x:v>0</x:v>
      </x:c>
      <x:c r="G272" s="67" t="n">
        <x:f>VLOOKUP(C272,'Governorate Master'!$A$2:$Q$13,7,FALSE)</x:f>
        <x:v>722.3</x:v>
      </x:c>
      <x:c r="H272" s="20" t="n">
        <x:f>VLOOKUP(C272,'Governorate Master'!$A$2:$Q$13,6,FALSE)</x:f>
        <x:v>0.7695945945945946</x:v>
      </x:c>
      <x:c r="I272" s="20" t="n">
        <x:f>VLOOKUP(C272,'Governorate Master'!$A$2:$Q$13,15,FALSE)</x:f>
        <x:v>-0.06527415143603134</x:v>
      </x:c>
      <x:c r="J272" s="12" t="str">
        <x:v>Location model input - competition/saturation context</x:v>
      </x:c>
      <x:c r="K272" s="12" t="str">
        <x:v>Business count is from 2018 while population/context indicators are newer; use as a historical proxy, not a current market count.</x:v>
      </x:c>
    </x:row>
    <x:row r="273">
      <x:c r="A273" s="12" t="str">
        <x:v>1313</x:v>
      </x:c>
      <x:c r="B273" s="12" t="str">
        <x:v>Finishing of textiles</x:v>
      </x:c>
      <x:c r="C273" s="12" t="str">
        <x:v>عجلون</x:v>
      </x:c>
      <x:c r="D273" s="14" t="n">
        <x:v>0</x:v>
      </x:c>
      <x:c r="E273" s="14" t="n">
        <x:f>VLOOKUP(C273,'Governorate Master'!$A$2:$Q$13,3,FALSE)</x:f>
        <x:v>219900</x:v>
      </x:c>
      <x:c r="F273" s="66" t="n">
        <x:f>IF(E273=0,0,D273/E273*10000)</x:f>
        <x:v>0</x:v>
      </x:c>
      <x:c r="G273" s="67" t="n">
        <x:f>VLOOKUP(C273,'Governorate Master'!$A$2:$Q$13,7,FALSE)</x:f>
        <x:v>524</x:v>
      </x:c>
      <x:c r="H273" s="20" t="n">
        <x:f>VLOOKUP(C273,'Governorate Master'!$A$2:$Q$13,6,FALSE)</x:f>
        <x:v>0.8390177353342428</x:v>
      </x:c>
      <x:c r="I273" s="20" t="n">
        <x:f>VLOOKUP(C273,'Governorate Master'!$A$2:$Q$13,15,FALSE)</x:f>
        <x:v>0.03614457831325301</x:v>
      </x:c>
      <x:c r="J273" s="12" t="str">
        <x:v>Location model input - competition/saturation context</x:v>
      </x:c>
      <x:c r="K273" s="12" t="str">
        <x:v>Business count is from 2018 while population/context indicators are newer; use as a historical proxy, not a current market count.</x:v>
      </x:c>
    </x:row>
    <x:row r="274">
      <x:c r="A274" s="12" t="str">
        <x:v>1313</x:v>
      </x:c>
      <x:c r="B274" s="12" t="str">
        <x:v>Finishing of textiles</x:v>
      </x:c>
      <x:c r="C274" s="12" t="str">
        <x:v>الكرك</x:v>
      </x:c>
      <x:c r="D274" s="14" t="n">
        <x:v>0</x:v>
      </x:c>
      <x:c r="E274" s="14" t="n">
        <x:f>VLOOKUP(C274,'Governorate Master'!$A$2:$Q$13,3,FALSE)</x:f>
        <x:v>395400</x:v>
      </x:c>
      <x:c r="F274" s="66" t="n">
        <x:f>IF(E274=0,0,D274/E274*10000)</x:f>
        <x:v>0</x:v>
      </x:c>
      <x:c r="G274" s="67" t="n">
        <x:f>VLOOKUP(C274,'Governorate Master'!$A$2:$Q$13,7,FALSE)</x:f>
        <x:v>113.1</x:v>
      </x:c>
      <x:c r="H274" s="20" t="n">
        <x:f>VLOOKUP(C274,'Governorate Master'!$A$2:$Q$13,6,FALSE)</x:f>
        <x:v>0.5912999494183105</x:v>
      </x:c>
      <x:c r="I274" s="20" t="n">
        <x:f>VLOOKUP(C274,'Governorate Master'!$A$2:$Q$13,15,FALSE)</x:f>
        <x:v>0.08710801393728224</x:v>
      </x:c>
      <x:c r="J274" s="12" t="str">
        <x:v>Location model input - competition/saturation context</x:v>
      </x:c>
      <x:c r="K274" s="12" t="str">
        <x:v>Business count is from 2018 while population/context indicators are newer; use as a historical proxy, not a current market count.</x:v>
      </x:c>
    </x:row>
    <x:row r="275">
      <x:c r="A275" s="12" t="str">
        <x:v>1313</x:v>
      </x:c>
      <x:c r="B275" s="12" t="str">
        <x:v>Finishing of textiles</x:v>
      </x:c>
      <x:c r="C275" s="12" t="str">
        <x:v>الطفيلة</x:v>
      </x:c>
      <x:c r="D275" s="14" t="n">
        <x:v>0</x:v>
      </x:c>
      <x:c r="E275" s="14" t="n">
        <x:f>VLOOKUP(C275,'Governorate Master'!$A$2:$Q$13,3,FALSE)</x:f>
        <x:v>120300</x:v>
      </x:c>
      <x:c r="F275" s="66" t="n">
        <x:f>IF(E275=0,0,D275/E275*10000)</x:f>
        <x:v>0</x:v>
      </x:c>
      <x:c r="G275" s="67" t="n">
        <x:f>VLOOKUP(C275,'Governorate Master'!$A$2:$Q$13,7,FALSE)</x:f>
        <x:v>54.4</x:v>
      </x:c>
      <x:c r="H275" s="20" t="n">
        <x:f>VLOOKUP(C275,'Governorate Master'!$A$2:$Q$13,6,FALSE)</x:f>
        <x:v>0.7797173732335827</x:v>
      </x:c>
      <x:c r="I275" s="20" t="n">
        <x:f>VLOOKUP(C275,'Governorate Master'!$A$2:$Q$13,15,FALSE)</x:f>
        <x:v>0.18452380952380953</x:v>
      </x:c>
      <x:c r="J275" s="12" t="str">
        <x:v>Location model input - competition/saturation context</x:v>
      </x:c>
      <x:c r="K275" s="12" t="str">
        <x:v>Business count is from 2018 while population/context indicators are newer; use as a historical proxy, not a current market count.</x:v>
      </x:c>
    </x:row>
    <x:row r="276">
      <x:c r="A276" s="12" t="str">
        <x:v>1313</x:v>
      </x:c>
      <x:c r="B276" s="12" t="str">
        <x:v>Finishing of textiles</x:v>
      </x:c>
      <x:c r="C276" s="12" t="str">
        <x:v>معان</x:v>
      </x:c>
      <x:c r="D276" s="14" t="n">
        <x:v>0</x:v>
      </x:c>
      <x:c r="E276" s="14" t="n">
        <x:f>VLOOKUP(C276,'Governorate Master'!$A$2:$Q$13,3,FALSE)</x:f>
        <x:v>197900</x:v>
      </x:c>
      <x:c r="F276" s="66" t="n">
        <x:f>IF(E276=0,0,D276/E276*10000)</x:f>
        <x:v>0</x:v>
      </x:c>
      <x:c r="G276" s="67" t="n">
        <x:f>VLOOKUP(C276,'Governorate Master'!$A$2:$Q$13,7,FALSE)</x:f>
        <x:v>6</x:v>
      </x:c>
      <x:c r="H276" s="20" t="n">
        <x:f>VLOOKUP(C276,'Governorate Master'!$A$2:$Q$13,6,FALSE)</x:f>
        <x:v>0.5406771096513391</x:v>
      </x:c>
      <x:c r="I276" s="20" t="n">
        <x:f>VLOOKUP(C276,'Governorate Master'!$A$2:$Q$13,15,FALSE)</x:f>
        <x:v>0.026845637583892617</x:v>
      </x:c>
      <x:c r="J276" s="12" t="str">
        <x:v>Location model input - competition/saturation context</x:v>
      </x:c>
      <x:c r="K276" s="12" t="str">
        <x:v>Business count is from 2018 while population/context indicators are newer; use as a historical proxy, not a current market count.</x:v>
      </x:c>
    </x:row>
    <x:row r="277">
      <x:c r="A277" s="12" t="str">
        <x:v>1313</x:v>
      </x:c>
      <x:c r="B277" s="12" t="str">
        <x:v>Finishing of textiles</x:v>
      </x:c>
      <x:c r="C277" s="12" t="str">
        <x:v>العقبة</x:v>
      </x:c>
      <x:c r="D277" s="14" t="n">
        <x:v>0</x:v>
      </x:c>
      <x:c r="E277" s="14" t="n">
        <x:f>VLOOKUP(C277,'Governorate Master'!$A$2:$Q$13,3,FALSE)</x:f>
        <x:v>250900</x:v>
      </x:c>
      <x:c r="F277" s="66" t="n">
        <x:f>IF(E277=0,0,D277/E277*10000)</x:f>
        <x:v>0</x:v>
      </x:c>
      <x:c r="G277" s="67" t="n">
        <x:f>VLOOKUP(C277,'Governorate Master'!$A$2:$Q$13,7,FALSE)</x:f>
        <x:v>36.3</x:v>
      </x:c>
      <x:c r="H277" s="20" t="n">
        <x:f>VLOOKUP(C277,'Governorate Master'!$A$2:$Q$13,6,FALSE)</x:f>
        <x:v>0.882024711040255</x:v>
      </x:c>
      <x:c r="I277" s="20" t="n">
        <x:f>VLOOKUP(C277,'Governorate Master'!$A$2:$Q$13,15,FALSE)</x:f>
        <x:v>-0.09</x:v>
      </x:c>
      <x:c r="J277" s="12" t="str">
        <x:v>Location model input - competition/saturation context</x:v>
      </x:c>
      <x:c r="K277" s="12" t="str">
        <x:v>Business count is from 2018 while population/context indicators are newer; use as a historical proxy, not a current market count.</x:v>
      </x:c>
    </x:row>
    <x:row r="278">
      <x:c r="A278" s="12" t="str">
        <x:v>1392</x:v>
      </x:c>
      <x:c r="B278" s="12" t="str">
        <x:v>Manufacture of made-up textile articles, except apparel</x:v>
      </x:c>
      <x:c r="C278" s="12" t="str">
        <x:v>عمان</x:v>
      </x:c>
      <x:c r="D278" s="14" t="n">
        <x:v>202</x:v>
      </x:c>
      <x:c r="E278" s="14" t="n">
        <x:f>VLOOKUP(C278,'Governorate Master'!$A$2:$Q$13,3,FALSE)</x:f>
        <x:v>5004600</x:v>
      </x:c>
      <x:c r="F278" s="66" t="n">
        <x:f>IF(E278=0,0,D278/E278*10000)</x:f>
        <x:v>0.4036286616312992</x:v>
      </x:c>
      <x:c r="G278" s="67" t="n">
        <x:f>VLOOKUP(C278,'Governorate Master'!$A$2:$Q$13,7,FALSE)</x:f>
        <x:v>660.3</x:v>
      </x:c>
      <x:c r="H278" s="20" t="n">
        <x:f>VLOOKUP(C278,'Governorate Master'!$A$2:$Q$13,6,FALSE)</x:f>
        <x:v>0.9721656076409703</x:v>
      </x:c>
      <x:c r="I278" s="20" t="n">
        <x:f>VLOOKUP(C278,'Governorate Master'!$A$2:$Q$13,15,FALSE)</x:f>
        <x:v>0.06367041198501873</x:v>
      </x:c>
      <x:c r="J278" s="12" t="str">
        <x:v>Location model input - competition/saturation context</x:v>
      </x:c>
      <x:c r="K278" s="12" t="str">
        <x:v>Business count is from 2018 while population/context indicators are newer; use as a historical proxy, not a current market count.</x:v>
      </x:c>
    </x:row>
    <x:row r="279">
      <x:c r="A279" s="12" t="str">
        <x:v>1392</x:v>
      </x:c>
      <x:c r="B279" s="12" t="str">
        <x:v>Manufacture of made-up textile articles, except apparel</x:v>
      </x:c>
      <x:c r="C279" s="12" t="str">
        <x:v>البلقاء</x:v>
      </x:c>
      <x:c r="D279" s="14" t="n">
        <x:v>32</x:v>
      </x:c>
      <x:c r="E279" s="14" t="n">
        <x:f>VLOOKUP(C279,'Governorate Master'!$A$2:$Q$13,3,FALSE)</x:f>
        <x:v>614000</x:v>
      </x:c>
      <x:c r="F279" s="66" t="n">
        <x:f>IF(E279=0,0,D279/E279*10000)</x:f>
        <x:v>0.5211726384364821</x:v>
      </x:c>
      <x:c r="G279" s="67" t="n">
        <x:f>VLOOKUP(C279,'Governorate Master'!$A$2:$Q$13,7,FALSE)</x:f>
        <x:v>548</x:v>
      </x:c>
      <x:c r="H279" s="20" t="n">
        <x:f>VLOOKUP(C279,'Governorate Master'!$A$2:$Q$13,6,FALSE)</x:f>
        <x:v>0.8210097719869707</x:v>
      </x:c>
      <x:c r="I279" s="20" t="n">
        <x:f>VLOOKUP(C279,'Governorate Master'!$A$2:$Q$13,15,FALSE)</x:f>
        <x:v>0.10794044665012408</x:v>
      </x:c>
      <x:c r="J279" s="12" t="str">
        <x:v>Location model input - competition/saturation context</x:v>
      </x:c>
      <x:c r="K279" s="12" t="str">
        <x:v>Business count is from 2018 while population/context indicators are newer; use as a historical proxy, not a current market count.</x:v>
      </x:c>
    </x:row>
    <x:row r="280">
      <x:c r="A280" s="12" t="str">
        <x:v>1392</x:v>
      </x:c>
      <x:c r="B280" s="12" t="str">
        <x:v>Manufacture of made-up textile articles, except apparel</x:v>
      </x:c>
      <x:c r="C280" s="12" t="str">
        <x:v>الزرقاء</x:v>
      </x:c>
      <x:c r="D280" s="14" t="n">
        <x:v>75</x:v>
      </x:c>
      <x:c r="E280" s="14" t="n">
        <x:f>VLOOKUP(C280,'Governorate Master'!$A$2:$Q$13,3,FALSE)</x:f>
        <x:v>1704500</x:v>
      </x:c>
      <x:c r="F280" s="66" t="n">
        <x:f>IF(E280=0,0,D280/E280*10000)</x:f>
        <x:v>0.4400117336462306</x:v>
      </x:c>
      <x:c r="G280" s="67" t="n">
        <x:f>VLOOKUP(C280,'Governorate Master'!$A$2:$Q$13,7,FALSE)</x:f>
        <x:v>358</x:v>
      </x:c>
      <x:c r="H280" s="20" t="n">
        <x:f>VLOOKUP(C280,'Governorate Master'!$A$2:$Q$13,6,FALSE)</x:f>
        <x:v>0.9636256966852449</x:v>
      </x:c>
      <x:c r="I280" s="20" t="n">
        <x:f>VLOOKUP(C280,'Governorate Master'!$A$2:$Q$13,15,FALSE)</x:f>
        <x:v>-0.06808762581409118</x:v>
      </x:c>
      <x:c r="J280" s="12" t="str">
        <x:v>Location model input - competition/saturation context</x:v>
      </x:c>
      <x:c r="K280" s="12" t="str">
        <x:v>Business count is from 2018 while population/context indicators are newer; use as a historical proxy, not a current market count.</x:v>
      </x:c>
    </x:row>
    <x:row r="281">
      <x:c r="A281" s="12" t="str">
        <x:v>1392</x:v>
      </x:c>
      <x:c r="B281" s="12" t="str">
        <x:v>Manufacture of made-up textile articles, except apparel</x:v>
      </x:c>
      <x:c r="C281" s="12" t="str">
        <x:v>مادبا</x:v>
      </x:c>
      <x:c r="D281" s="14" t="n">
        <x:v>25</x:v>
      </x:c>
      <x:c r="E281" s="14" t="n">
        <x:f>VLOOKUP(C281,'Governorate Master'!$A$2:$Q$13,3,FALSE)</x:f>
        <x:v>236200</x:v>
      </x:c>
      <x:c r="F281" s="66" t="n">
        <x:f>IF(E281=0,0,D281/E281*10000)</x:f>
        <x:v>1.0584250635055037</x:v>
      </x:c>
      <x:c r="G281" s="67" t="n">
        <x:f>VLOOKUP(C281,'Governorate Master'!$A$2:$Q$13,7,FALSE)</x:f>
        <x:v>251.4</x:v>
      </x:c>
      <x:c r="H281" s="20" t="n">
        <x:f>VLOOKUP(C281,'Governorate Master'!$A$2:$Q$13,6,FALSE)</x:f>
        <x:v>0.7823878069432684</x:v>
      </x:c>
      <x:c r="I281" s="20" t="n">
        <x:f>VLOOKUP(C281,'Governorate Master'!$A$2:$Q$13,15,FALSE)</x:f>
        <x:v>-0.18823529411764706</x:v>
      </x:c>
      <x:c r="J281" s="12" t="str">
        <x:v>Location model input - competition/saturation context</x:v>
      </x:c>
      <x:c r="K281" s="12" t="str">
        <x:v>Business count is from 2018 while population/context indicators are newer; use as a historical proxy, not a current market count.</x:v>
      </x:c>
    </x:row>
    <x:row r="282">
      <x:c r="A282" s="12" t="str">
        <x:v>1392</x:v>
      </x:c>
      <x:c r="B282" s="12" t="str">
        <x:v>Manufacture of made-up textile articles, except apparel</x:v>
      </x:c>
      <x:c r="C282" s="12" t="str">
        <x:v>إربد</x:v>
      </x:c>
      <x:c r="D282" s="14" t="n">
        <x:v>88</x:v>
      </x:c>
      <x:c r="E282" s="14" t="n">
        <x:f>VLOOKUP(C282,'Governorate Master'!$A$2:$Q$13,3,FALSE)</x:f>
        <x:v>2210500</x:v>
      </x:c>
      <x:c r="F282" s="66" t="n">
        <x:f>IF(E282=0,0,D282/E282*10000)</x:f>
        <x:v>0.3980999773806831</x:v>
      </x:c>
      <x:c r="G282" s="67" t="n">
        <x:f>VLOOKUP(C282,'Governorate Master'!$A$2:$Q$13,7,FALSE)</x:f>
        <x:v>1406.4</x:v>
      </x:c>
      <x:c r="H282" s="20" t="n">
        <x:f>VLOOKUP(C282,'Governorate Master'!$A$2:$Q$13,6,FALSE)</x:f>
        <x:v>0.9235014702555983</x:v>
      </x:c>
      <x:c r="I282" s="20" t="n">
        <x:f>VLOOKUP(C282,'Governorate Master'!$A$2:$Q$13,15,FALSE)</x:f>
        <x:v>0.07086922474549726</x:v>
      </x:c>
      <x:c r="J282" s="12" t="str">
        <x:v>Location model input - competition/saturation context</x:v>
      </x:c>
      <x:c r="K282" s="12" t="str">
        <x:v>Business count is from 2018 while population/context indicators are newer; use as a historical proxy, not a current market count.</x:v>
      </x:c>
    </x:row>
    <x:row r="283">
      <x:c r="A283" s="12" t="str">
        <x:v>1392</x:v>
      </x:c>
      <x:c r="B283" s="12" t="str">
        <x:v>Manufacture of made-up textile articles, except apparel</x:v>
      </x:c>
      <x:c r="C283" s="12" t="str">
        <x:v>المفرق</x:v>
      </x:c>
      <x:c r="D283" s="14" t="n">
        <x:v>33</x:v>
      </x:c>
      <x:c r="E283" s="14" t="n">
        <x:f>VLOOKUP(C283,'Governorate Master'!$A$2:$Q$13,3,FALSE)</x:f>
        <x:v>686800</x:v>
      </x:c>
      <x:c r="F283" s="66" t="n">
        <x:f>IF(E283=0,0,D283/E283*10000)</x:f>
        <x:v>0.48048922539312755</x:v>
      </x:c>
      <x:c r="G283" s="67" t="n">
        <x:f>VLOOKUP(C283,'Governorate Master'!$A$2:$Q$13,7,FALSE)</x:f>
        <x:v>25.9</x:v>
      </x:c>
      <x:c r="H283" s="20" t="n">
        <x:f>VLOOKUP(C283,'Governorate Master'!$A$2:$Q$13,6,FALSE)</x:f>
        <x:v>0.6965637740244612</x:v>
      </x:c>
      <x:c r="I283" s="20" t="n">
        <x:f>VLOOKUP(C283,'Governorate Master'!$A$2:$Q$13,15,FALSE)</x:f>
        <x:v>-0.016638935108153077</x:v>
      </x:c>
      <x:c r="J283" s="12" t="str">
        <x:v>Location model input - competition/saturation context</x:v>
      </x:c>
      <x:c r="K283" s="12" t="str">
        <x:v>Business count is from 2018 while population/context indicators are newer; use as a historical proxy, not a current market count.</x:v>
      </x:c>
    </x:row>
    <x:row r="284">
      <x:c r="A284" s="12" t="str">
        <x:v>1392</x:v>
      </x:c>
      <x:c r="B284" s="12" t="str">
        <x:v>Manufacture of made-up textile articles, except apparel</x:v>
      </x:c>
      <x:c r="C284" s="12" t="str">
        <x:v>جرش</x:v>
      </x:c>
      <x:c r="D284" s="14" t="n">
        <x:v>6</x:v>
      </x:c>
      <x:c r="E284" s="14" t="n">
        <x:f>VLOOKUP(C284,'Governorate Master'!$A$2:$Q$13,3,FALSE)</x:f>
        <x:v>296000</x:v>
      </x:c>
      <x:c r="F284" s="66" t="n">
        <x:f>IF(E284=0,0,D284/E284*10000)</x:f>
        <x:v>0.2027027027027027</x:v>
      </x:c>
      <x:c r="G284" s="67" t="n">
        <x:f>VLOOKUP(C284,'Governorate Master'!$A$2:$Q$13,7,FALSE)</x:f>
        <x:v>722.3</x:v>
      </x:c>
      <x:c r="H284" s="20" t="n">
        <x:f>VLOOKUP(C284,'Governorate Master'!$A$2:$Q$13,6,FALSE)</x:f>
        <x:v>0.7695945945945946</x:v>
      </x:c>
      <x:c r="I284" s="20" t="n">
        <x:f>VLOOKUP(C284,'Governorate Master'!$A$2:$Q$13,15,FALSE)</x:f>
        <x:v>-0.06527415143603134</x:v>
      </x:c>
      <x:c r="J284" s="12" t="str">
        <x:v>Location model input - competition/saturation context</x:v>
      </x:c>
      <x:c r="K284" s="12" t="str">
        <x:v>Business count is from 2018 while population/context indicators are newer; use as a historical proxy, not a current market count.</x:v>
      </x:c>
    </x:row>
    <x:row r="285">
      <x:c r="A285" s="12" t="str">
        <x:v>1392</x:v>
      </x:c>
      <x:c r="B285" s="12" t="str">
        <x:v>Manufacture of made-up textile articles, except apparel</x:v>
      </x:c>
      <x:c r="C285" s="12" t="str">
        <x:v>عجلون</x:v>
      </x:c>
      <x:c r="D285" s="14" t="n">
        <x:v>12</x:v>
      </x:c>
      <x:c r="E285" s="14" t="n">
        <x:f>VLOOKUP(C285,'Governorate Master'!$A$2:$Q$13,3,FALSE)</x:f>
        <x:v>219900</x:v>
      </x:c>
      <x:c r="F285" s="66" t="n">
        <x:f>IF(E285=0,0,D285/E285*10000)</x:f>
        <x:v>0.5457025920873124</x:v>
      </x:c>
      <x:c r="G285" s="67" t="n">
        <x:f>VLOOKUP(C285,'Governorate Master'!$A$2:$Q$13,7,FALSE)</x:f>
        <x:v>524</x:v>
      </x:c>
      <x:c r="H285" s="20" t="n">
        <x:f>VLOOKUP(C285,'Governorate Master'!$A$2:$Q$13,6,FALSE)</x:f>
        <x:v>0.8390177353342428</x:v>
      </x:c>
      <x:c r="I285" s="20" t="n">
        <x:f>VLOOKUP(C285,'Governorate Master'!$A$2:$Q$13,15,FALSE)</x:f>
        <x:v>0.03614457831325301</x:v>
      </x:c>
      <x:c r="J285" s="12" t="str">
        <x:v>Location model input - competition/saturation context</x:v>
      </x:c>
      <x:c r="K285" s="12" t="str">
        <x:v>Business count is from 2018 while population/context indicators are newer; use as a historical proxy, not a current market count.</x:v>
      </x:c>
    </x:row>
    <x:row r="286">
      <x:c r="A286" s="12" t="str">
        <x:v>1392</x:v>
      </x:c>
      <x:c r="B286" s="12" t="str">
        <x:v>Manufacture of made-up textile articles, except apparel</x:v>
      </x:c>
      <x:c r="C286" s="12" t="str">
        <x:v>الكرك</x:v>
      </x:c>
      <x:c r="D286" s="14" t="n">
        <x:v>26</x:v>
      </x:c>
      <x:c r="E286" s="14" t="n">
        <x:f>VLOOKUP(C286,'Governorate Master'!$A$2:$Q$13,3,FALSE)</x:f>
        <x:v>395400</x:v>
      </x:c>
      <x:c r="F286" s="66" t="n">
        <x:f>IF(E286=0,0,D286/E286*10000)</x:f>
        <x:v>0.6575619625695498</x:v>
      </x:c>
      <x:c r="G286" s="67" t="n">
        <x:f>VLOOKUP(C286,'Governorate Master'!$A$2:$Q$13,7,FALSE)</x:f>
        <x:v>113.1</x:v>
      </x:c>
      <x:c r="H286" s="20" t="n">
        <x:f>VLOOKUP(C286,'Governorate Master'!$A$2:$Q$13,6,FALSE)</x:f>
        <x:v>0.5912999494183105</x:v>
      </x:c>
      <x:c r="I286" s="20" t="n">
        <x:f>VLOOKUP(C286,'Governorate Master'!$A$2:$Q$13,15,FALSE)</x:f>
        <x:v>0.08710801393728224</x:v>
      </x:c>
      <x:c r="J286" s="12" t="str">
        <x:v>Location model input - competition/saturation context</x:v>
      </x:c>
      <x:c r="K286" s="12" t="str">
        <x:v>Business count is from 2018 while population/context indicators are newer; use as a historical proxy, not a current market count.</x:v>
      </x:c>
    </x:row>
    <x:row r="287">
      <x:c r="A287" s="12" t="str">
        <x:v>1392</x:v>
      </x:c>
      <x:c r="B287" s="12" t="str">
        <x:v>Manufacture of made-up textile articles, except apparel</x:v>
      </x:c>
      <x:c r="C287" s="12" t="str">
        <x:v>الطفيلة</x:v>
      </x:c>
      <x:c r="D287" s="14" t="n">
        <x:v>17</x:v>
      </x:c>
      <x:c r="E287" s="14" t="n">
        <x:f>VLOOKUP(C287,'Governorate Master'!$A$2:$Q$13,3,FALSE)</x:f>
        <x:v>120300</x:v>
      </x:c>
      <x:c r="F287" s="66" t="n">
        <x:f>IF(E287=0,0,D287/E287*10000)</x:f>
        <x:v>1.4131338320864506</x:v>
      </x:c>
      <x:c r="G287" s="67" t="n">
        <x:f>VLOOKUP(C287,'Governorate Master'!$A$2:$Q$13,7,FALSE)</x:f>
        <x:v>54.4</x:v>
      </x:c>
      <x:c r="H287" s="20" t="n">
        <x:f>VLOOKUP(C287,'Governorate Master'!$A$2:$Q$13,6,FALSE)</x:f>
        <x:v>0.7797173732335827</x:v>
      </x:c>
      <x:c r="I287" s="20" t="n">
        <x:f>VLOOKUP(C287,'Governorate Master'!$A$2:$Q$13,15,FALSE)</x:f>
        <x:v>0.18452380952380953</x:v>
      </x:c>
      <x:c r="J287" s="12" t="str">
        <x:v>Location model input - competition/saturation context</x:v>
      </x:c>
      <x:c r="K287" s="12" t="str">
        <x:v>Business count is from 2018 while population/context indicators are newer; use as a historical proxy, not a current market count.</x:v>
      </x:c>
    </x:row>
    <x:row r="288">
      <x:c r="A288" s="12" t="str">
        <x:v>1392</x:v>
      </x:c>
      <x:c r="B288" s="12" t="str">
        <x:v>Manufacture of made-up textile articles, except apparel</x:v>
      </x:c>
      <x:c r="C288" s="12" t="str">
        <x:v>معان</x:v>
      </x:c>
      <x:c r="D288" s="14" t="n">
        <x:v>11</x:v>
      </x:c>
      <x:c r="E288" s="14" t="n">
        <x:f>VLOOKUP(C288,'Governorate Master'!$A$2:$Q$13,3,FALSE)</x:f>
        <x:v>197900</x:v>
      </x:c>
      <x:c r="F288" s="66" t="n">
        <x:f>IF(E288=0,0,D288/E288*10000)</x:f>
        <x:v>0.5558362809499747</x:v>
      </x:c>
      <x:c r="G288" s="67" t="n">
        <x:f>VLOOKUP(C288,'Governorate Master'!$A$2:$Q$13,7,FALSE)</x:f>
        <x:v>6</x:v>
      </x:c>
      <x:c r="H288" s="20" t="n">
        <x:f>VLOOKUP(C288,'Governorate Master'!$A$2:$Q$13,6,FALSE)</x:f>
        <x:v>0.5406771096513391</x:v>
      </x:c>
      <x:c r="I288" s="20" t="n">
        <x:f>VLOOKUP(C288,'Governorate Master'!$A$2:$Q$13,15,FALSE)</x:f>
        <x:v>0.026845637583892617</x:v>
      </x:c>
      <x:c r="J288" s="12" t="str">
        <x:v>Location model input - competition/saturation context</x:v>
      </x:c>
      <x:c r="K288" s="12" t="str">
        <x:v>Business count is from 2018 while population/context indicators are newer; use as a historical proxy, not a current market count.</x:v>
      </x:c>
    </x:row>
    <x:row r="289">
      <x:c r="A289" s="12" t="str">
        <x:v>1392</x:v>
      </x:c>
      <x:c r="B289" s="12" t="str">
        <x:v>Manufacture of made-up textile articles, except apparel</x:v>
      </x:c>
      <x:c r="C289" s="12" t="str">
        <x:v>العقبة</x:v>
      </x:c>
      <x:c r="D289" s="14" t="n">
        <x:v>12</x:v>
      </x:c>
      <x:c r="E289" s="14" t="n">
        <x:f>VLOOKUP(C289,'Governorate Master'!$A$2:$Q$13,3,FALSE)</x:f>
        <x:v>250900</x:v>
      </x:c>
      <x:c r="F289" s="66" t="n">
        <x:f>IF(E289=0,0,D289/E289*10000)</x:f>
        <x:v>0.47827819848545233</x:v>
      </x:c>
      <x:c r="G289" s="67" t="n">
        <x:f>VLOOKUP(C289,'Governorate Master'!$A$2:$Q$13,7,FALSE)</x:f>
        <x:v>36.3</x:v>
      </x:c>
      <x:c r="H289" s="20" t="n">
        <x:f>VLOOKUP(C289,'Governorate Master'!$A$2:$Q$13,6,FALSE)</x:f>
        <x:v>0.882024711040255</x:v>
      </x:c>
      <x:c r="I289" s="20" t="n">
        <x:f>VLOOKUP(C289,'Governorate Master'!$A$2:$Q$13,15,FALSE)</x:f>
        <x:v>-0.09</x:v>
      </x:c>
      <x:c r="J289" s="12" t="str">
        <x:v>Location model input - competition/saturation context</x:v>
      </x:c>
      <x:c r="K289" s="12" t="str">
        <x:v>Business count is from 2018 while population/context indicators are newer; use as a historical proxy, not a current market count.</x:v>
      </x:c>
    </x:row>
    <x:row r="290">
      <x:c r="A290" s="12" t="str">
        <x:v>1393</x:v>
      </x:c>
      <x:c r="B290" s="12" t="str">
        <x:v>Manufacture of carpets and rugs</x:v>
      </x:c>
      <x:c r="C290" s="12" t="str">
        <x:v>عمان</x:v>
      </x:c>
      <x:c r="D290" s="14" t="n">
        <x:v>13</x:v>
      </x:c>
      <x:c r="E290" s="14" t="n">
        <x:f>VLOOKUP(C290,'Governorate Master'!$A$2:$Q$13,3,FALSE)</x:f>
        <x:v>5004600</x:v>
      </x:c>
      <x:c r="F290" s="66" t="n">
        <x:f>IF(E290=0,0,D290/E290*10000)</x:f>
        <x:v>0.02597610198617272</x:v>
      </x:c>
      <x:c r="G290" s="67" t="n">
        <x:f>VLOOKUP(C290,'Governorate Master'!$A$2:$Q$13,7,FALSE)</x:f>
        <x:v>660.3</x:v>
      </x:c>
      <x:c r="H290" s="20" t="n">
        <x:f>VLOOKUP(C290,'Governorate Master'!$A$2:$Q$13,6,FALSE)</x:f>
        <x:v>0.9721656076409703</x:v>
      </x:c>
      <x:c r="I290" s="20" t="n">
        <x:f>VLOOKUP(C290,'Governorate Master'!$A$2:$Q$13,15,FALSE)</x:f>
        <x:v>0.06367041198501873</x:v>
      </x:c>
      <x:c r="J290" s="12" t="str">
        <x:v>Location model input - competition/saturation context</x:v>
      </x:c>
      <x:c r="K290" s="12" t="str">
        <x:v>Business count is from 2018 while population/context indicators are newer; use as a historical proxy, not a current market count.</x:v>
      </x:c>
    </x:row>
    <x:row r="291">
      <x:c r="A291" s="12" t="str">
        <x:v>1393</x:v>
      </x:c>
      <x:c r="B291" s="12" t="str">
        <x:v>Manufacture of carpets and rugs</x:v>
      </x:c>
      <x:c r="C291" s="12" t="str">
        <x:v>البلقاء</x:v>
      </x:c>
      <x:c r="D291" s="14" t="n">
        <x:v>0</x:v>
      </x:c>
      <x:c r="E291" s="14" t="n">
        <x:f>VLOOKUP(C291,'Governorate Master'!$A$2:$Q$13,3,FALSE)</x:f>
        <x:v>614000</x:v>
      </x:c>
      <x:c r="F291" s="66" t="n">
        <x:f>IF(E291=0,0,D291/E291*10000)</x:f>
        <x:v>0</x:v>
      </x:c>
      <x:c r="G291" s="67" t="n">
        <x:f>VLOOKUP(C291,'Governorate Master'!$A$2:$Q$13,7,FALSE)</x:f>
        <x:v>548</x:v>
      </x:c>
      <x:c r="H291" s="20" t="n">
        <x:f>VLOOKUP(C291,'Governorate Master'!$A$2:$Q$13,6,FALSE)</x:f>
        <x:v>0.8210097719869707</x:v>
      </x:c>
      <x:c r="I291" s="20" t="n">
        <x:f>VLOOKUP(C291,'Governorate Master'!$A$2:$Q$13,15,FALSE)</x:f>
        <x:v>0.10794044665012408</x:v>
      </x:c>
      <x:c r="J291" s="12" t="str">
        <x:v>Location model input - competition/saturation context</x:v>
      </x:c>
      <x:c r="K291" s="12" t="str">
        <x:v>Business count is from 2018 while population/context indicators are newer; use as a historical proxy, not a current market count.</x:v>
      </x:c>
    </x:row>
    <x:row r="292">
      <x:c r="A292" s="12" t="str">
        <x:v>1393</x:v>
      </x:c>
      <x:c r="B292" s="12" t="str">
        <x:v>Manufacture of carpets and rugs</x:v>
      </x:c>
      <x:c r="C292" s="12" t="str">
        <x:v>الزرقاء</x:v>
      </x:c>
      <x:c r="D292" s="14" t="n">
        <x:v>2</x:v>
      </x:c>
      <x:c r="E292" s="14" t="n">
        <x:f>VLOOKUP(C292,'Governorate Master'!$A$2:$Q$13,3,FALSE)</x:f>
        <x:v>1704500</x:v>
      </x:c>
      <x:c r="F292" s="66" t="n">
        <x:f>IF(E292=0,0,D292/E292*10000)</x:f>
        <x:v>0.011733646230566148</x:v>
      </x:c>
      <x:c r="G292" s="67" t="n">
        <x:f>VLOOKUP(C292,'Governorate Master'!$A$2:$Q$13,7,FALSE)</x:f>
        <x:v>358</x:v>
      </x:c>
      <x:c r="H292" s="20" t="n">
        <x:f>VLOOKUP(C292,'Governorate Master'!$A$2:$Q$13,6,FALSE)</x:f>
        <x:v>0.9636256966852449</x:v>
      </x:c>
      <x:c r="I292" s="20" t="n">
        <x:f>VLOOKUP(C292,'Governorate Master'!$A$2:$Q$13,15,FALSE)</x:f>
        <x:v>-0.06808762581409118</x:v>
      </x:c>
      <x:c r="J292" s="12" t="str">
        <x:v>Location model input - competition/saturation context</x:v>
      </x:c>
      <x:c r="K292" s="12" t="str">
        <x:v>Business count is from 2018 while population/context indicators are newer; use as a historical proxy, not a current market count.</x:v>
      </x:c>
    </x:row>
    <x:row r="293">
      <x:c r="A293" s="12" t="str">
        <x:v>1393</x:v>
      </x:c>
      <x:c r="B293" s="12" t="str">
        <x:v>Manufacture of carpets and rugs</x:v>
      </x:c>
      <x:c r="C293" s="12" t="str">
        <x:v>مادبا</x:v>
      </x:c>
      <x:c r="D293" s="14" t="n">
        <x:v>0</x:v>
      </x:c>
      <x:c r="E293" s="14" t="n">
        <x:f>VLOOKUP(C293,'Governorate Master'!$A$2:$Q$13,3,FALSE)</x:f>
        <x:v>236200</x:v>
      </x:c>
      <x:c r="F293" s="66" t="n">
        <x:f>IF(E293=0,0,D293/E293*10000)</x:f>
        <x:v>0</x:v>
      </x:c>
      <x:c r="G293" s="67" t="n">
        <x:f>VLOOKUP(C293,'Governorate Master'!$A$2:$Q$13,7,FALSE)</x:f>
        <x:v>251.4</x:v>
      </x:c>
      <x:c r="H293" s="20" t="n">
        <x:f>VLOOKUP(C293,'Governorate Master'!$A$2:$Q$13,6,FALSE)</x:f>
        <x:v>0.7823878069432684</x:v>
      </x:c>
      <x:c r="I293" s="20" t="n">
        <x:f>VLOOKUP(C293,'Governorate Master'!$A$2:$Q$13,15,FALSE)</x:f>
        <x:v>-0.18823529411764706</x:v>
      </x:c>
      <x:c r="J293" s="12" t="str">
        <x:v>Location model input - competition/saturation context</x:v>
      </x:c>
      <x:c r="K293" s="12" t="str">
        <x:v>Business count is from 2018 while population/context indicators are newer; use as a historical proxy, not a current market count.</x:v>
      </x:c>
    </x:row>
    <x:row r="294">
      <x:c r="A294" s="12" t="str">
        <x:v>1393</x:v>
      </x:c>
      <x:c r="B294" s="12" t="str">
        <x:v>Manufacture of carpets and rugs</x:v>
      </x:c>
      <x:c r="C294" s="12" t="str">
        <x:v>إربد</x:v>
      </x:c>
      <x:c r="D294" s="14" t="n">
        <x:v>0</x:v>
      </x:c>
      <x:c r="E294" s="14" t="n">
        <x:f>VLOOKUP(C294,'Governorate Master'!$A$2:$Q$13,3,FALSE)</x:f>
        <x:v>2210500</x:v>
      </x:c>
      <x:c r="F294" s="66" t="n">
        <x:f>IF(E294=0,0,D294/E294*10000)</x:f>
        <x:v>0</x:v>
      </x:c>
      <x:c r="G294" s="67" t="n">
        <x:f>VLOOKUP(C294,'Governorate Master'!$A$2:$Q$13,7,FALSE)</x:f>
        <x:v>1406.4</x:v>
      </x:c>
      <x:c r="H294" s="20" t="n">
        <x:f>VLOOKUP(C294,'Governorate Master'!$A$2:$Q$13,6,FALSE)</x:f>
        <x:v>0.9235014702555983</x:v>
      </x:c>
      <x:c r="I294" s="20" t="n">
        <x:f>VLOOKUP(C294,'Governorate Master'!$A$2:$Q$13,15,FALSE)</x:f>
        <x:v>0.07086922474549726</x:v>
      </x:c>
      <x:c r="J294" s="12" t="str">
        <x:v>Location model input - competition/saturation context</x:v>
      </x:c>
      <x:c r="K294" s="12" t="str">
        <x:v>Business count is from 2018 while population/context indicators are newer; use as a historical proxy, not a current market count.</x:v>
      </x:c>
    </x:row>
    <x:row r="295">
      <x:c r="A295" s="12" t="str">
        <x:v>1393</x:v>
      </x:c>
      <x:c r="B295" s="12" t="str">
        <x:v>Manufacture of carpets and rugs</x:v>
      </x:c>
      <x:c r="C295" s="12" t="str">
        <x:v>المفرق</x:v>
      </x:c>
      <x:c r="D295" s="14" t="n">
        <x:v>0</x:v>
      </x:c>
      <x:c r="E295" s="14" t="n">
        <x:f>VLOOKUP(C295,'Governorate Master'!$A$2:$Q$13,3,FALSE)</x:f>
        <x:v>686800</x:v>
      </x:c>
      <x:c r="F295" s="66" t="n">
        <x:f>IF(E295=0,0,D295/E295*10000)</x:f>
        <x:v>0</x:v>
      </x:c>
      <x:c r="G295" s="67" t="n">
        <x:f>VLOOKUP(C295,'Governorate Master'!$A$2:$Q$13,7,FALSE)</x:f>
        <x:v>25.9</x:v>
      </x:c>
      <x:c r="H295" s="20" t="n">
        <x:f>VLOOKUP(C295,'Governorate Master'!$A$2:$Q$13,6,FALSE)</x:f>
        <x:v>0.6965637740244612</x:v>
      </x:c>
      <x:c r="I295" s="20" t="n">
        <x:f>VLOOKUP(C295,'Governorate Master'!$A$2:$Q$13,15,FALSE)</x:f>
        <x:v>-0.016638935108153077</x:v>
      </x:c>
      <x:c r="J295" s="12" t="str">
        <x:v>Location model input - competition/saturation context</x:v>
      </x:c>
      <x:c r="K295" s="12" t="str">
        <x:v>Business count is from 2018 while population/context indicators are newer; use as a historical proxy, not a current market count.</x:v>
      </x:c>
    </x:row>
    <x:row r="296">
      <x:c r="A296" s="12" t="str">
        <x:v>1393</x:v>
      </x:c>
      <x:c r="B296" s="12" t="str">
        <x:v>Manufacture of carpets and rugs</x:v>
      </x:c>
      <x:c r="C296" s="12" t="str">
        <x:v>جرش</x:v>
      </x:c>
      <x:c r="D296" s="14" t="n">
        <x:v>0</x:v>
      </x:c>
      <x:c r="E296" s="14" t="n">
        <x:f>VLOOKUP(C296,'Governorate Master'!$A$2:$Q$13,3,FALSE)</x:f>
        <x:v>296000</x:v>
      </x:c>
      <x:c r="F296" s="66" t="n">
        <x:f>IF(E296=0,0,D296/E296*10000)</x:f>
        <x:v>0</x:v>
      </x:c>
      <x:c r="G296" s="67" t="n">
        <x:f>VLOOKUP(C296,'Governorate Master'!$A$2:$Q$13,7,FALSE)</x:f>
        <x:v>722.3</x:v>
      </x:c>
      <x:c r="H296" s="20" t="n">
        <x:f>VLOOKUP(C296,'Governorate Master'!$A$2:$Q$13,6,FALSE)</x:f>
        <x:v>0.7695945945945946</x:v>
      </x:c>
      <x:c r="I296" s="20" t="n">
        <x:f>VLOOKUP(C296,'Governorate Master'!$A$2:$Q$13,15,FALSE)</x:f>
        <x:v>-0.06527415143603134</x:v>
      </x:c>
      <x:c r="J296" s="12" t="str">
        <x:v>Location model input - competition/saturation context</x:v>
      </x:c>
      <x:c r="K296" s="12" t="str">
        <x:v>Business count is from 2018 while population/context indicators are newer; use as a historical proxy, not a current market count.</x:v>
      </x:c>
    </x:row>
    <x:row r="297">
      <x:c r="A297" s="12" t="str">
        <x:v>1393</x:v>
      </x:c>
      <x:c r="B297" s="12" t="str">
        <x:v>Manufacture of carpets and rugs</x:v>
      </x:c>
      <x:c r="C297" s="12" t="str">
        <x:v>عجلون</x:v>
      </x:c>
      <x:c r="D297" s="14" t="n">
        <x:v>0</x:v>
      </x:c>
      <x:c r="E297" s="14" t="n">
        <x:f>VLOOKUP(C297,'Governorate Master'!$A$2:$Q$13,3,FALSE)</x:f>
        <x:v>219900</x:v>
      </x:c>
      <x:c r="F297" s="66" t="n">
        <x:f>IF(E297=0,0,D297/E297*10000)</x:f>
        <x:v>0</x:v>
      </x:c>
      <x:c r="G297" s="67" t="n">
        <x:f>VLOOKUP(C297,'Governorate Master'!$A$2:$Q$13,7,FALSE)</x:f>
        <x:v>524</x:v>
      </x:c>
      <x:c r="H297" s="20" t="n">
        <x:f>VLOOKUP(C297,'Governorate Master'!$A$2:$Q$13,6,FALSE)</x:f>
        <x:v>0.8390177353342428</x:v>
      </x:c>
      <x:c r="I297" s="20" t="n">
        <x:f>VLOOKUP(C297,'Governorate Master'!$A$2:$Q$13,15,FALSE)</x:f>
        <x:v>0.03614457831325301</x:v>
      </x:c>
      <x:c r="J297" s="12" t="str">
        <x:v>Location model input - competition/saturation context</x:v>
      </x:c>
      <x:c r="K297" s="12" t="str">
        <x:v>Business count is from 2018 while population/context indicators are newer; use as a historical proxy, not a current market count.</x:v>
      </x:c>
    </x:row>
    <x:row r="298">
      <x:c r="A298" s="12" t="str">
        <x:v>1393</x:v>
      </x:c>
      <x:c r="B298" s="12" t="str">
        <x:v>Manufacture of carpets and rugs</x:v>
      </x:c>
      <x:c r="C298" s="12" t="str">
        <x:v>الكرك</x:v>
      </x:c>
      <x:c r="D298" s="14" t="n">
        <x:v>0</x:v>
      </x:c>
      <x:c r="E298" s="14" t="n">
        <x:f>VLOOKUP(C298,'Governorate Master'!$A$2:$Q$13,3,FALSE)</x:f>
        <x:v>395400</x:v>
      </x:c>
      <x:c r="F298" s="66" t="n">
        <x:f>IF(E298=0,0,D298/E298*10000)</x:f>
        <x:v>0</x:v>
      </x:c>
      <x:c r="G298" s="67" t="n">
        <x:f>VLOOKUP(C298,'Governorate Master'!$A$2:$Q$13,7,FALSE)</x:f>
        <x:v>113.1</x:v>
      </x:c>
      <x:c r="H298" s="20" t="n">
        <x:f>VLOOKUP(C298,'Governorate Master'!$A$2:$Q$13,6,FALSE)</x:f>
        <x:v>0.5912999494183105</x:v>
      </x:c>
      <x:c r="I298" s="20" t="n">
        <x:f>VLOOKUP(C298,'Governorate Master'!$A$2:$Q$13,15,FALSE)</x:f>
        <x:v>0.08710801393728224</x:v>
      </x:c>
      <x:c r="J298" s="12" t="str">
        <x:v>Location model input - competition/saturation context</x:v>
      </x:c>
      <x:c r="K298" s="12" t="str">
        <x:v>Business count is from 2018 while population/context indicators are newer; use as a historical proxy, not a current market count.</x:v>
      </x:c>
    </x:row>
    <x:row r="299">
      <x:c r="A299" s="12" t="str">
        <x:v>1393</x:v>
      </x:c>
      <x:c r="B299" s="12" t="str">
        <x:v>Manufacture of carpets and rugs</x:v>
      </x:c>
      <x:c r="C299" s="12" t="str">
        <x:v>الطفيلة</x:v>
      </x:c>
      <x:c r="D299" s="14" t="n">
        <x:v>0</x:v>
      </x:c>
      <x:c r="E299" s="14" t="n">
        <x:f>VLOOKUP(C299,'Governorate Master'!$A$2:$Q$13,3,FALSE)</x:f>
        <x:v>120300</x:v>
      </x:c>
      <x:c r="F299" s="66" t="n">
        <x:f>IF(E299=0,0,D299/E299*10000)</x:f>
        <x:v>0</x:v>
      </x:c>
      <x:c r="G299" s="67" t="n">
        <x:f>VLOOKUP(C299,'Governorate Master'!$A$2:$Q$13,7,FALSE)</x:f>
        <x:v>54.4</x:v>
      </x:c>
      <x:c r="H299" s="20" t="n">
        <x:f>VLOOKUP(C299,'Governorate Master'!$A$2:$Q$13,6,FALSE)</x:f>
        <x:v>0.7797173732335827</x:v>
      </x:c>
      <x:c r="I299" s="20" t="n">
        <x:f>VLOOKUP(C299,'Governorate Master'!$A$2:$Q$13,15,FALSE)</x:f>
        <x:v>0.18452380952380953</x:v>
      </x:c>
      <x:c r="J299" s="12" t="str">
        <x:v>Location model input - competition/saturation context</x:v>
      </x:c>
      <x:c r="K299" s="12" t="str">
        <x:v>Business count is from 2018 while population/context indicators are newer; use as a historical proxy, not a current market count.</x:v>
      </x:c>
    </x:row>
    <x:row r="300">
      <x:c r="A300" s="12" t="str">
        <x:v>1393</x:v>
      </x:c>
      <x:c r="B300" s="12" t="str">
        <x:v>Manufacture of carpets and rugs</x:v>
      </x:c>
      <x:c r="C300" s="12" t="str">
        <x:v>معان</x:v>
      </x:c>
      <x:c r="D300" s="14" t="n">
        <x:v>1</x:v>
      </x:c>
      <x:c r="E300" s="14" t="n">
        <x:f>VLOOKUP(C300,'Governorate Master'!$A$2:$Q$13,3,FALSE)</x:f>
        <x:v>197900</x:v>
      </x:c>
      <x:c r="F300" s="66" t="n">
        <x:f>IF(E300=0,0,D300/E300*10000)</x:f>
        <x:v>0.05053057099545225</x:v>
      </x:c>
      <x:c r="G300" s="67" t="n">
        <x:f>VLOOKUP(C300,'Governorate Master'!$A$2:$Q$13,7,FALSE)</x:f>
        <x:v>6</x:v>
      </x:c>
      <x:c r="H300" s="20" t="n">
        <x:f>VLOOKUP(C300,'Governorate Master'!$A$2:$Q$13,6,FALSE)</x:f>
        <x:v>0.5406771096513391</x:v>
      </x:c>
      <x:c r="I300" s="20" t="n">
        <x:f>VLOOKUP(C300,'Governorate Master'!$A$2:$Q$13,15,FALSE)</x:f>
        <x:v>0.026845637583892617</x:v>
      </x:c>
      <x:c r="J300" s="12" t="str">
        <x:v>Location model input - competition/saturation context</x:v>
      </x:c>
      <x:c r="K300" s="12" t="str">
        <x:v>Business count is from 2018 while population/context indicators are newer; use as a historical proxy, not a current market count.</x:v>
      </x:c>
    </x:row>
    <x:row r="301">
      <x:c r="A301" s="12" t="str">
        <x:v>1393</x:v>
      </x:c>
      <x:c r="B301" s="12" t="str">
        <x:v>Manufacture of carpets and rugs</x:v>
      </x:c>
      <x:c r="C301" s="12" t="str">
        <x:v>العقبة</x:v>
      </x:c>
      <x:c r="D301" s="14" t="n">
        <x:v>0</x:v>
      </x:c>
      <x:c r="E301" s="14" t="n">
        <x:f>VLOOKUP(C301,'Governorate Master'!$A$2:$Q$13,3,FALSE)</x:f>
        <x:v>250900</x:v>
      </x:c>
      <x:c r="F301" s="66" t="n">
        <x:f>IF(E301=0,0,D301/E301*10000)</x:f>
        <x:v>0</x:v>
      </x:c>
      <x:c r="G301" s="67" t="n">
        <x:f>VLOOKUP(C301,'Governorate Master'!$A$2:$Q$13,7,FALSE)</x:f>
        <x:v>36.3</x:v>
      </x:c>
      <x:c r="H301" s="20" t="n">
        <x:f>VLOOKUP(C301,'Governorate Master'!$A$2:$Q$13,6,FALSE)</x:f>
        <x:v>0.882024711040255</x:v>
      </x:c>
      <x:c r="I301" s="20" t="n">
        <x:f>VLOOKUP(C301,'Governorate Master'!$A$2:$Q$13,15,FALSE)</x:f>
        <x:v>-0.09</x:v>
      </x:c>
      <x:c r="J301" s="12" t="str">
        <x:v>Location model input - competition/saturation context</x:v>
      </x:c>
      <x:c r="K301" s="12" t="str">
        <x:v>Business count is from 2018 while population/context indicators are newer; use as a historical proxy, not a current market count.</x:v>
      </x:c>
    </x:row>
    <x:row r="302">
      <x:c r="A302" s="12" t="str">
        <x:v>1399</x:v>
      </x:c>
      <x:c r="B302" s="12" t="str">
        <x:v>Manufacture of other textiles n.e.c.</x:v>
      </x:c>
      <x:c r="C302" s="12" t="str">
        <x:v>عمان</x:v>
      </x:c>
      <x:c r="D302" s="14" t="n">
        <x:v>24</x:v>
      </x:c>
      <x:c r="E302" s="14" t="n">
        <x:f>VLOOKUP(C302,'Governorate Master'!$A$2:$Q$13,3,FALSE)</x:f>
        <x:v>5004600</x:v>
      </x:c>
      <x:c r="F302" s="66" t="n">
        <x:f>IF(E302=0,0,D302/E302*10000)</x:f>
        <x:v>0.04795588058985733</x:v>
      </x:c>
      <x:c r="G302" s="67" t="n">
        <x:f>VLOOKUP(C302,'Governorate Master'!$A$2:$Q$13,7,FALSE)</x:f>
        <x:v>660.3</x:v>
      </x:c>
      <x:c r="H302" s="20" t="n">
        <x:f>VLOOKUP(C302,'Governorate Master'!$A$2:$Q$13,6,FALSE)</x:f>
        <x:v>0.9721656076409703</x:v>
      </x:c>
      <x:c r="I302" s="20" t="n">
        <x:f>VLOOKUP(C302,'Governorate Master'!$A$2:$Q$13,15,FALSE)</x:f>
        <x:v>0.06367041198501873</x:v>
      </x:c>
      <x:c r="J302" s="12" t="str">
        <x:v>Location model input - competition/saturation context</x:v>
      </x:c>
      <x:c r="K302" s="12" t="str">
        <x:v>Business count is from 2018 while population/context indicators are newer; use as a historical proxy, not a current market count.</x:v>
      </x:c>
    </x:row>
    <x:row r="303">
      <x:c r="A303" s="12" t="str">
        <x:v>1399</x:v>
      </x:c>
      <x:c r="B303" s="12" t="str">
        <x:v>Manufacture of other textiles n.e.c.</x:v>
      </x:c>
      <x:c r="C303" s="12" t="str">
        <x:v>البلقاء</x:v>
      </x:c>
      <x:c r="D303" s="14" t="n">
        <x:v>0</x:v>
      </x:c>
      <x:c r="E303" s="14" t="n">
        <x:f>VLOOKUP(C303,'Governorate Master'!$A$2:$Q$13,3,FALSE)</x:f>
        <x:v>614000</x:v>
      </x:c>
      <x:c r="F303" s="66" t="n">
        <x:f>IF(E303=0,0,D303/E303*10000)</x:f>
        <x:v>0</x:v>
      </x:c>
      <x:c r="G303" s="67" t="n">
        <x:f>VLOOKUP(C303,'Governorate Master'!$A$2:$Q$13,7,FALSE)</x:f>
        <x:v>548</x:v>
      </x:c>
      <x:c r="H303" s="20" t="n">
        <x:f>VLOOKUP(C303,'Governorate Master'!$A$2:$Q$13,6,FALSE)</x:f>
        <x:v>0.8210097719869707</x:v>
      </x:c>
      <x:c r="I303" s="20" t="n">
        <x:f>VLOOKUP(C303,'Governorate Master'!$A$2:$Q$13,15,FALSE)</x:f>
        <x:v>0.10794044665012408</x:v>
      </x:c>
      <x:c r="J303" s="12" t="str">
        <x:v>Location model input - competition/saturation context</x:v>
      </x:c>
      <x:c r="K303" s="12" t="str">
        <x:v>Business count is from 2018 while population/context indicators are newer; use as a historical proxy, not a current market count.</x:v>
      </x:c>
    </x:row>
    <x:row r="304">
      <x:c r="A304" s="12" t="str">
        <x:v>1399</x:v>
      </x:c>
      <x:c r="B304" s="12" t="str">
        <x:v>Manufacture of other textiles n.e.c.</x:v>
      </x:c>
      <x:c r="C304" s="12" t="str">
        <x:v>الزرقاء</x:v>
      </x:c>
      <x:c r="D304" s="14" t="n">
        <x:v>0</x:v>
      </x:c>
      <x:c r="E304" s="14" t="n">
        <x:f>VLOOKUP(C304,'Governorate Master'!$A$2:$Q$13,3,FALSE)</x:f>
        <x:v>1704500</x:v>
      </x:c>
      <x:c r="F304" s="66" t="n">
        <x:f>IF(E304=0,0,D304/E304*10000)</x:f>
        <x:v>0</x:v>
      </x:c>
      <x:c r="G304" s="67" t="n">
        <x:f>VLOOKUP(C304,'Governorate Master'!$A$2:$Q$13,7,FALSE)</x:f>
        <x:v>358</x:v>
      </x:c>
      <x:c r="H304" s="20" t="n">
        <x:f>VLOOKUP(C304,'Governorate Master'!$A$2:$Q$13,6,FALSE)</x:f>
        <x:v>0.9636256966852449</x:v>
      </x:c>
      <x:c r="I304" s="20" t="n">
        <x:f>VLOOKUP(C304,'Governorate Master'!$A$2:$Q$13,15,FALSE)</x:f>
        <x:v>-0.06808762581409118</x:v>
      </x:c>
      <x:c r="J304" s="12" t="str">
        <x:v>Location model input - competition/saturation context</x:v>
      </x:c>
      <x:c r="K304" s="12" t="str">
        <x:v>Business count is from 2018 while population/context indicators are newer; use as a historical proxy, not a current market count.</x:v>
      </x:c>
    </x:row>
    <x:row r="305">
      <x:c r="A305" s="12" t="str">
        <x:v>1399</x:v>
      </x:c>
      <x:c r="B305" s="12" t="str">
        <x:v>Manufacture of other textiles n.e.c.</x:v>
      </x:c>
      <x:c r="C305" s="12" t="str">
        <x:v>مادبا</x:v>
      </x:c>
      <x:c r="D305" s="14" t="n">
        <x:v>1</x:v>
      </x:c>
      <x:c r="E305" s="14" t="n">
        <x:f>VLOOKUP(C305,'Governorate Master'!$A$2:$Q$13,3,FALSE)</x:f>
        <x:v>236200</x:v>
      </x:c>
      <x:c r="F305" s="66" t="n">
        <x:f>IF(E305=0,0,D305/E305*10000)</x:f>
        <x:v>0.04233700254022015</x:v>
      </x:c>
      <x:c r="G305" s="67" t="n">
        <x:f>VLOOKUP(C305,'Governorate Master'!$A$2:$Q$13,7,FALSE)</x:f>
        <x:v>251.4</x:v>
      </x:c>
      <x:c r="H305" s="20" t="n">
        <x:f>VLOOKUP(C305,'Governorate Master'!$A$2:$Q$13,6,FALSE)</x:f>
        <x:v>0.7823878069432684</x:v>
      </x:c>
      <x:c r="I305" s="20" t="n">
        <x:f>VLOOKUP(C305,'Governorate Master'!$A$2:$Q$13,15,FALSE)</x:f>
        <x:v>-0.18823529411764706</x:v>
      </x:c>
      <x:c r="J305" s="12" t="str">
        <x:v>Location model input - competition/saturation context</x:v>
      </x:c>
      <x:c r="K305" s="12" t="str">
        <x:v>Business count is from 2018 while population/context indicators are newer; use as a historical proxy, not a current market count.</x:v>
      </x:c>
    </x:row>
    <x:row r="306">
      <x:c r="A306" s="12" t="str">
        <x:v>1399</x:v>
      </x:c>
      <x:c r="B306" s="12" t="str">
        <x:v>Manufacture of other textiles n.e.c.</x:v>
      </x:c>
      <x:c r="C306" s="12" t="str">
        <x:v>إربد</x:v>
      </x:c>
      <x:c r="D306" s="14" t="n">
        <x:v>1</x:v>
      </x:c>
      <x:c r="E306" s="14" t="n">
        <x:f>VLOOKUP(C306,'Governorate Master'!$A$2:$Q$13,3,FALSE)</x:f>
        <x:v>2210500</x:v>
      </x:c>
      <x:c r="F306" s="66" t="n">
        <x:f>IF(E306=0,0,D306/E306*10000)</x:f>
        <x:v>0.004523863379325944</x:v>
      </x:c>
      <x:c r="G306" s="67" t="n">
        <x:f>VLOOKUP(C306,'Governorate Master'!$A$2:$Q$13,7,FALSE)</x:f>
        <x:v>1406.4</x:v>
      </x:c>
      <x:c r="H306" s="20" t="n">
        <x:f>VLOOKUP(C306,'Governorate Master'!$A$2:$Q$13,6,FALSE)</x:f>
        <x:v>0.9235014702555983</x:v>
      </x:c>
      <x:c r="I306" s="20" t="n">
        <x:f>VLOOKUP(C306,'Governorate Master'!$A$2:$Q$13,15,FALSE)</x:f>
        <x:v>0.07086922474549726</x:v>
      </x:c>
      <x:c r="J306" s="12" t="str">
        <x:v>Location model input - competition/saturation context</x:v>
      </x:c>
      <x:c r="K306" s="12" t="str">
        <x:v>Business count is from 2018 while population/context indicators are newer; use as a historical proxy, not a current market count.</x:v>
      </x:c>
    </x:row>
    <x:row r="307">
      <x:c r="A307" s="12" t="str">
        <x:v>1399</x:v>
      </x:c>
      <x:c r="B307" s="12" t="str">
        <x:v>Manufacture of other textiles n.e.c.</x:v>
      </x:c>
      <x:c r="C307" s="12" t="str">
        <x:v>المفرق</x:v>
      </x:c>
      <x:c r="D307" s="14" t="n">
        <x:v>0</x:v>
      </x:c>
      <x:c r="E307" s="14" t="n">
        <x:f>VLOOKUP(C307,'Governorate Master'!$A$2:$Q$13,3,FALSE)</x:f>
        <x:v>686800</x:v>
      </x:c>
      <x:c r="F307" s="66" t="n">
        <x:f>IF(E307=0,0,D307/E307*10000)</x:f>
        <x:v>0</x:v>
      </x:c>
      <x:c r="G307" s="67" t="n">
        <x:f>VLOOKUP(C307,'Governorate Master'!$A$2:$Q$13,7,FALSE)</x:f>
        <x:v>25.9</x:v>
      </x:c>
      <x:c r="H307" s="20" t="n">
        <x:f>VLOOKUP(C307,'Governorate Master'!$A$2:$Q$13,6,FALSE)</x:f>
        <x:v>0.6965637740244612</x:v>
      </x:c>
      <x:c r="I307" s="20" t="n">
        <x:f>VLOOKUP(C307,'Governorate Master'!$A$2:$Q$13,15,FALSE)</x:f>
        <x:v>-0.016638935108153077</x:v>
      </x:c>
      <x:c r="J307" s="12" t="str">
        <x:v>Location model input - competition/saturation context</x:v>
      </x:c>
      <x:c r="K307" s="12" t="str">
        <x:v>Business count is from 2018 while population/context indicators are newer; use as a historical proxy, not a current market count.</x:v>
      </x:c>
    </x:row>
    <x:row r="308">
      <x:c r="A308" s="12" t="str">
        <x:v>1399</x:v>
      </x:c>
      <x:c r="B308" s="12" t="str">
        <x:v>Manufacture of other textiles n.e.c.</x:v>
      </x:c>
      <x:c r="C308" s="12" t="str">
        <x:v>جرش</x:v>
      </x:c>
      <x:c r="D308" s="14" t="n">
        <x:v>0</x:v>
      </x:c>
      <x:c r="E308" s="14" t="n">
        <x:f>VLOOKUP(C308,'Governorate Master'!$A$2:$Q$13,3,FALSE)</x:f>
        <x:v>296000</x:v>
      </x:c>
      <x:c r="F308" s="66" t="n">
        <x:f>IF(E308=0,0,D308/E308*10000)</x:f>
        <x:v>0</x:v>
      </x:c>
      <x:c r="G308" s="67" t="n">
        <x:f>VLOOKUP(C308,'Governorate Master'!$A$2:$Q$13,7,FALSE)</x:f>
        <x:v>722.3</x:v>
      </x:c>
      <x:c r="H308" s="20" t="n">
        <x:f>VLOOKUP(C308,'Governorate Master'!$A$2:$Q$13,6,FALSE)</x:f>
        <x:v>0.7695945945945946</x:v>
      </x:c>
      <x:c r="I308" s="20" t="n">
        <x:f>VLOOKUP(C308,'Governorate Master'!$A$2:$Q$13,15,FALSE)</x:f>
        <x:v>-0.06527415143603134</x:v>
      </x:c>
      <x:c r="J308" s="12" t="str">
        <x:v>Location model input - competition/saturation context</x:v>
      </x:c>
      <x:c r="K308" s="12" t="str">
        <x:v>Business count is from 2018 while population/context indicators are newer; use as a historical proxy, not a current market count.</x:v>
      </x:c>
    </x:row>
    <x:row r="309">
      <x:c r="A309" s="12" t="str">
        <x:v>1399</x:v>
      </x:c>
      <x:c r="B309" s="12" t="str">
        <x:v>Manufacture of other textiles n.e.c.</x:v>
      </x:c>
      <x:c r="C309" s="12" t="str">
        <x:v>عجلون</x:v>
      </x:c>
      <x:c r="D309" s="14" t="n">
        <x:v>0</x:v>
      </x:c>
      <x:c r="E309" s="14" t="n">
        <x:f>VLOOKUP(C309,'Governorate Master'!$A$2:$Q$13,3,FALSE)</x:f>
        <x:v>219900</x:v>
      </x:c>
      <x:c r="F309" s="66" t="n">
        <x:f>IF(E309=0,0,D309/E309*10000)</x:f>
        <x:v>0</x:v>
      </x:c>
      <x:c r="G309" s="67" t="n">
        <x:f>VLOOKUP(C309,'Governorate Master'!$A$2:$Q$13,7,FALSE)</x:f>
        <x:v>524</x:v>
      </x:c>
      <x:c r="H309" s="20" t="n">
        <x:f>VLOOKUP(C309,'Governorate Master'!$A$2:$Q$13,6,FALSE)</x:f>
        <x:v>0.8390177353342428</x:v>
      </x:c>
      <x:c r="I309" s="20" t="n">
        <x:f>VLOOKUP(C309,'Governorate Master'!$A$2:$Q$13,15,FALSE)</x:f>
        <x:v>0.03614457831325301</x:v>
      </x:c>
      <x:c r="J309" s="12" t="str">
        <x:v>Location model input - competition/saturation context</x:v>
      </x:c>
      <x:c r="K309" s="12" t="str">
        <x:v>Business count is from 2018 while population/context indicators are newer; use as a historical proxy, not a current market count.</x:v>
      </x:c>
    </x:row>
    <x:row r="310">
      <x:c r="A310" s="12" t="str">
        <x:v>1399</x:v>
      </x:c>
      <x:c r="B310" s="12" t="str">
        <x:v>Manufacture of other textiles n.e.c.</x:v>
      </x:c>
      <x:c r="C310" s="12" t="str">
        <x:v>الكرك</x:v>
      </x:c>
      <x:c r="D310" s="14" t="n">
        <x:v>1</x:v>
      </x:c>
      <x:c r="E310" s="14" t="n">
        <x:f>VLOOKUP(C310,'Governorate Master'!$A$2:$Q$13,3,FALSE)</x:f>
        <x:v>395400</x:v>
      </x:c>
      <x:c r="F310" s="66" t="n">
        <x:f>IF(E310=0,0,D310/E310*10000)</x:f>
        <x:v>0.025290844714213452</x:v>
      </x:c>
      <x:c r="G310" s="67" t="n">
        <x:f>VLOOKUP(C310,'Governorate Master'!$A$2:$Q$13,7,FALSE)</x:f>
        <x:v>113.1</x:v>
      </x:c>
      <x:c r="H310" s="20" t="n">
        <x:f>VLOOKUP(C310,'Governorate Master'!$A$2:$Q$13,6,FALSE)</x:f>
        <x:v>0.5912999494183105</x:v>
      </x:c>
      <x:c r="I310" s="20" t="n">
        <x:f>VLOOKUP(C310,'Governorate Master'!$A$2:$Q$13,15,FALSE)</x:f>
        <x:v>0.08710801393728224</x:v>
      </x:c>
      <x:c r="J310" s="12" t="str">
        <x:v>Location model input - competition/saturation context</x:v>
      </x:c>
      <x:c r="K310" s="12" t="str">
        <x:v>Business count is from 2018 while population/context indicators are newer; use as a historical proxy, not a current market count.</x:v>
      </x:c>
    </x:row>
    <x:row r="311">
      <x:c r="A311" s="12" t="str">
        <x:v>1399</x:v>
      </x:c>
      <x:c r="B311" s="12" t="str">
        <x:v>Manufacture of other textiles n.e.c.</x:v>
      </x:c>
      <x:c r="C311" s="12" t="str">
        <x:v>الطفيلة</x:v>
      </x:c>
      <x:c r="D311" s="14" t="n">
        <x:v>0</x:v>
      </x:c>
      <x:c r="E311" s="14" t="n">
        <x:f>VLOOKUP(C311,'Governorate Master'!$A$2:$Q$13,3,FALSE)</x:f>
        <x:v>120300</x:v>
      </x:c>
      <x:c r="F311" s="66" t="n">
        <x:f>IF(E311=0,0,D311/E311*10000)</x:f>
        <x:v>0</x:v>
      </x:c>
      <x:c r="G311" s="67" t="n">
        <x:f>VLOOKUP(C311,'Governorate Master'!$A$2:$Q$13,7,FALSE)</x:f>
        <x:v>54.4</x:v>
      </x:c>
      <x:c r="H311" s="20" t="n">
        <x:f>VLOOKUP(C311,'Governorate Master'!$A$2:$Q$13,6,FALSE)</x:f>
        <x:v>0.7797173732335827</x:v>
      </x:c>
      <x:c r="I311" s="20" t="n">
        <x:f>VLOOKUP(C311,'Governorate Master'!$A$2:$Q$13,15,FALSE)</x:f>
        <x:v>0.18452380952380953</x:v>
      </x:c>
      <x:c r="J311" s="12" t="str">
        <x:v>Location model input - competition/saturation context</x:v>
      </x:c>
      <x:c r="K311" s="12" t="str">
        <x:v>Business count is from 2018 while population/context indicators are newer; use as a historical proxy, not a current market count.</x:v>
      </x:c>
    </x:row>
    <x:row r="312">
      <x:c r="A312" s="12" t="str">
        <x:v>1399</x:v>
      </x:c>
      <x:c r="B312" s="12" t="str">
        <x:v>Manufacture of other textiles n.e.c.</x:v>
      </x:c>
      <x:c r="C312" s="12" t="str">
        <x:v>معان</x:v>
      </x:c>
      <x:c r="D312" s="14" t="n">
        <x:v>0</x:v>
      </x:c>
      <x:c r="E312" s="14" t="n">
        <x:f>VLOOKUP(C312,'Governorate Master'!$A$2:$Q$13,3,FALSE)</x:f>
        <x:v>197900</x:v>
      </x:c>
      <x:c r="F312" s="66" t="n">
        <x:f>IF(E312=0,0,D312/E312*10000)</x:f>
        <x:v>0</x:v>
      </x:c>
      <x:c r="G312" s="67" t="n">
        <x:f>VLOOKUP(C312,'Governorate Master'!$A$2:$Q$13,7,FALSE)</x:f>
        <x:v>6</x:v>
      </x:c>
      <x:c r="H312" s="20" t="n">
        <x:f>VLOOKUP(C312,'Governorate Master'!$A$2:$Q$13,6,FALSE)</x:f>
        <x:v>0.5406771096513391</x:v>
      </x:c>
      <x:c r="I312" s="20" t="n">
        <x:f>VLOOKUP(C312,'Governorate Master'!$A$2:$Q$13,15,FALSE)</x:f>
        <x:v>0.026845637583892617</x:v>
      </x:c>
      <x:c r="J312" s="12" t="str">
        <x:v>Location model input - competition/saturation context</x:v>
      </x:c>
      <x:c r="K312" s="12" t="str">
        <x:v>Business count is from 2018 while population/context indicators are newer; use as a historical proxy, not a current market count.</x:v>
      </x:c>
    </x:row>
    <x:row r="313">
      <x:c r="A313" s="12" t="str">
        <x:v>1399</x:v>
      </x:c>
      <x:c r="B313" s="12" t="str">
        <x:v>Manufacture of other textiles n.e.c.</x:v>
      </x:c>
      <x:c r="C313" s="12" t="str">
        <x:v>العقبة</x:v>
      </x:c>
      <x:c r="D313" s="14" t="n">
        <x:v>0</x:v>
      </x:c>
      <x:c r="E313" s="14" t="n">
        <x:f>VLOOKUP(C313,'Governorate Master'!$A$2:$Q$13,3,FALSE)</x:f>
        <x:v>250900</x:v>
      </x:c>
      <x:c r="F313" s="66" t="n">
        <x:f>IF(E313=0,0,D313/E313*10000)</x:f>
        <x:v>0</x:v>
      </x:c>
      <x:c r="G313" s="67" t="n">
        <x:f>VLOOKUP(C313,'Governorate Master'!$A$2:$Q$13,7,FALSE)</x:f>
        <x:v>36.3</x:v>
      </x:c>
      <x:c r="H313" s="20" t="n">
        <x:f>VLOOKUP(C313,'Governorate Master'!$A$2:$Q$13,6,FALSE)</x:f>
        <x:v>0.882024711040255</x:v>
      </x:c>
      <x:c r="I313" s="20" t="n">
        <x:f>VLOOKUP(C313,'Governorate Master'!$A$2:$Q$13,15,FALSE)</x:f>
        <x:v>-0.09</x:v>
      </x:c>
      <x:c r="J313" s="12" t="str">
        <x:v>Location model input - competition/saturation context</x:v>
      </x:c>
      <x:c r="K313" s="12" t="str">
        <x:v>Business count is from 2018 while population/context indicators are newer; use as a historical proxy, not a current market count.</x:v>
      </x:c>
    </x:row>
    <x:row r="314">
      <x:c r="A314" s="12" t="str">
        <x:v>1410</x:v>
      </x:c>
      <x:c r="B314" s="12" t="str">
        <x:v>Manufacture of wearing apparel, except fur apparel</x:v>
      </x:c>
      <x:c r="C314" s="12" t="str">
        <x:v>عمان</x:v>
      </x:c>
      <x:c r="D314" s="14" t="n">
        <x:v>1009</x:v>
      </x:c>
      <x:c r="E314" s="14" t="n">
        <x:f>VLOOKUP(C314,'Governorate Master'!$A$2:$Q$13,3,FALSE)</x:f>
        <x:v>5004600</x:v>
      </x:c>
      <x:c r="F314" s="66" t="n">
        <x:f>IF(E314=0,0,D314/E314*10000)</x:f>
        <x:v>2.0161451464652522</x:v>
      </x:c>
      <x:c r="G314" s="67" t="n">
        <x:f>VLOOKUP(C314,'Governorate Master'!$A$2:$Q$13,7,FALSE)</x:f>
        <x:v>660.3</x:v>
      </x:c>
      <x:c r="H314" s="20" t="n">
        <x:f>VLOOKUP(C314,'Governorate Master'!$A$2:$Q$13,6,FALSE)</x:f>
        <x:v>0.9721656076409703</x:v>
      </x:c>
      <x:c r="I314" s="20" t="n">
        <x:f>VLOOKUP(C314,'Governorate Master'!$A$2:$Q$13,15,FALSE)</x:f>
        <x:v>0.06367041198501873</x:v>
      </x:c>
      <x:c r="J314" s="12" t="str">
        <x:v>Location model input - competition/saturation context</x:v>
      </x:c>
      <x:c r="K314" s="12" t="str">
        <x:v>Business count is from 2018 while population/context indicators are newer; use as a historical proxy, not a current market count.</x:v>
      </x:c>
    </x:row>
    <x:row r="315">
      <x:c r="A315" s="12" t="str">
        <x:v>1410</x:v>
      </x:c>
      <x:c r="B315" s="12" t="str">
        <x:v>Manufacture of wearing apparel, except fur apparel</x:v>
      </x:c>
      <x:c r="C315" s="12" t="str">
        <x:v>البلقاء</x:v>
      </x:c>
      <x:c r="D315" s="14" t="n">
        <x:v>184</x:v>
      </x:c>
      <x:c r="E315" s="14" t="n">
        <x:f>VLOOKUP(C315,'Governorate Master'!$A$2:$Q$13,3,FALSE)</x:f>
        <x:v>614000</x:v>
      </x:c>
      <x:c r="F315" s="66" t="n">
        <x:f>IF(E315=0,0,D315/E315*10000)</x:f>
        <x:v>2.996742671009772</x:v>
      </x:c>
      <x:c r="G315" s="67" t="n">
        <x:f>VLOOKUP(C315,'Governorate Master'!$A$2:$Q$13,7,FALSE)</x:f>
        <x:v>548</x:v>
      </x:c>
      <x:c r="H315" s="20" t="n">
        <x:f>VLOOKUP(C315,'Governorate Master'!$A$2:$Q$13,6,FALSE)</x:f>
        <x:v>0.8210097719869707</x:v>
      </x:c>
      <x:c r="I315" s="20" t="n">
        <x:f>VLOOKUP(C315,'Governorate Master'!$A$2:$Q$13,15,FALSE)</x:f>
        <x:v>0.10794044665012408</x:v>
      </x:c>
      <x:c r="J315" s="12" t="str">
        <x:v>Location model input - competition/saturation context</x:v>
      </x:c>
      <x:c r="K315" s="12" t="str">
        <x:v>Business count is from 2018 while population/context indicators are newer; use as a historical proxy, not a current market count.</x:v>
      </x:c>
    </x:row>
    <x:row r="316">
      <x:c r="A316" s="12" t="str">
        <x:v>1410</x:v>
      </x:c>
      <x:c r="B316" s="12" t="str">
        <x:v>Manufacture of wearing apparel, except fur apparel</x:v>
      </x:c>
      <x:c r="C316" s="12" t="str">
        <x:v>الزرقاء</x:v>
      </x:c>
      <x:c r="D316" s="14" t="n">
        <x:v>414</x:v>
      </x:c>
      <x:c r="E316" s="14" t="n">
        <x:f>VLOOKUP(C316,'Governorate Master'!$A$2:$Q$13,3,FALSE)</x:f>
        <x:v>1704500</x:v>
      </x:c>
      <x:c r="F316" s="66" t="n">
        <x:f>IF(E316=0,0,D316/E316*10000)</x:f>
        <x:v>2.4288647697271926</x:v>
      </x:c>
      <x:c r="G316" s="67" t="n">
        <x:f>VLOOKUP(C316,'Governorate Master'!$A$2:$Q$13,7,FALSE)</x:f>
        <x:v>358</x:v>
      </x:c>
      <x:c r="H316" s="20" t="n">
        <x:f>VLOOKUP(C316,'Governorate Master'!$A$2:$Q$13,6,FALSE)</x:f>
        <x:v>0.9636256966852449</x:v>
      </x:c>
      <x:c r="I316" s="20" t="n">
        <x:f>VLOOKUP(C316,'Governorate Master'!$A$2:$Q$13,15,FALSE)</x:f>
        <x:v>-0.06808762581409118</x:v>
      </x:c>
      <x:c r="J316" s="12" t="str">
        <x:v>Location model input - competition/saturation context</x:v>
      </x:c>
      <x:c r="K316" s="12" t="str">
        <x:v>Business count is from 2018 while population/context indicators are newer; use as a historical proxy, not a current market count.</x:v>
      </x:c>
    </x:row>
    <x:row r="317">
      <x:c r="A317" s="12" t="str">
        <x:v>1410</x:v>
      </x:c>
      <x:c r="B317" s="12" t="str">
        <x:v>Manufacture of wearing apparel, except fur apparel</x:v>
      </x:c>
      <x:c r="C317" s="12" t="str">
        <x:v>مادبا</x:v>
      </x:c>
      <x:c r="D317" s="14" t="n">
        <x:v>79</x:v>
      </x:c>
      <x:c r="E317" s="14" t="n">
        <x:f>VLOOKUP(C317,'Governorate Master'!$A$2:$Q$13,3,FALSE)</x:f>
        <x:v>236200</x:v>
      </x:c>
      <x:c r="F317" s="66" t="n">
        <x:f>IF(E317=0,0,D317/E317*10000)</x:f>
        <x:v>3.344623200677392</x:v>
      </x:c>
      <x:c r="G317" s="67" t="n">
        <x:f>VLOOKUP(C317,'Governorate Master'!$A$2:$Q$13,7,FALSE)</x:f>
        <x:v>251.4</x:v>
      </x:c>
      <x:c r="H317" s="20" t="n">
        <x:f>VLOOKUP(C317,'Governorate Master'!$A$2:$Q$13,6,FALSE)</x:f>
        <x:v>0.7823878069432684</x:v>
      </x:c>
      <x:c r="I317" s="20" t="n">
        <x:f>VLOOKUP(C317,'Governorate Master'!$A$2:$Q$13,15,FALSE)</x:f>
        <x:v>-0.18823529411764706</x:v>
      </x:c>
      <x:c r="J317" s="12" t="str">
        <x:v>Location model input - competition/saturation context</x:v>
      </x:c>
      <x:c r="K317" s="12" t="str">
        <x:v>Business count is from 2018 while population/context indicators are newer; use as a historical proxy, not a current market count.</x:v>
      </x:c>
    </x:row>
    <x:row r="318">
      <x:c r="A318" s="12" t="str">
        <x:v>1410</x:v>
      </x:c>
      <x:c r="B318" s="12" t="str">
        <x:v>Manufacture of wearing apparel, except fur apparel</x:v>
      </x:c>
      <x:c r="C318" s="12" t="str">
        <x:v>إربد</x:v>
      </x:c>
      <x:c r="D318" s="14" t="n">
        <x:v>391</x:v>
      </x:c>
      <x:c r="E318" s="14" t="n">
        <x:f>VLOOKUP(C318,'Governorate Master'!$A$2:$Q$13,3,FALSE)</x:f>
        <x:v>2210500</x:v>
      </x:c>
      <x:c r="F318" s="66" t="n">
        <x:f>IF(E318=0,0,D318/E318*10000)</x:f>
        <x:v>1.7688305813164442</x:v>
      </x:c>
      <x:c r="G318" s="67" t="n">
        <x:f>VLOOKUP(C318,'Governorate Master'!$A$2:$Q$13,7,FALSE)</x:f>
        <x:v>1406.4</x:v>
      </x:c>
      <x:c r="H318" s="20" t="n">
        <x:f>VLOOKUP(C318,'Governorate Master'!$A$2:$Q$13,6,FALSE)</x:f>
        <x:v>0.9235014702555983</x:v>
      </x:c>
      <x:c r="I318" s="20" t="n">
        <x:f>VLOOKUP(C318,'Governorate Master'!$A$2:$Q$13,15,FALSE)</x:f>
        <x:v>0.07086922474549726</x:v>
      </x:c>
      <x:c r="J318" s="12" t="str">
        <x:v>Location model input - competition/saturation context</x:v>
      </x:c>
      <x:c r="K318" s="12" t="str">
        <x:v>Business count is from 2018 while population/context indicators are newer; use as a historical proxy, not a current market count.</x:v>
      </x:c>
    </x:row>
    <x:row r="319">
      <x:c r="A319" s="12" t="str">
        <x:v>1410</x:v>
      </x:c>
      <x:c r="B319" s="12" t="str">
        <x:v>Manufacture of wearing apparel, except fur apparel</x:v>
      </x:c>
      <x:c r="C319" s="12" t="str">
        <x:v>المفرق</x:v>
      </x:c>
      <x:c r="D319" s="14" t="n">
        <x:v>86</x:v>
      </x:c>
      <x:c r="E319" s="14" t="n">
        <x:f>VLOOKUP(C319,'Governorate Master'!$A$2:$Q$13,3,FALSE)</x:f>
        <x:v>686800</x:v>
      </x:c>
      <x:c r="F319" s="66" t="n">
        <x:f>IF(E319=0,0,D319/E319*10000)</x:f>
        <x:v>1.2521840419336052</x:v>
      </x:c>
      <x:c r="G319" s="67" t="n">
        <x:f>VLOOKUP(C319,'Governorate Master'!$A$2:$Q$13,7,FALSE)</x:f>
        <x:v>25.9</x:v>
      </x:c>
      <x:c r="H319" s="20" t="n">
        <x:f>VLOOKUP(C319,'Governorate Master'!$A$2:$Q$13,6,FALSE)</x:f>
        <x:v>0.6965637740244612</x:v>
      </x:c>
      <x:c r="I319" s="20" t="n">
        <x:f>VLOOKUP(C319,'Governorate Master'!$A$2:$Q$13,15,FALSE)</x:f>
        <x:v>-0.016638935108153077</x:v>
      </x:c>
      <x:c r="J319" s="12" t="str">
        <x:v>Location model input - competition/saturation context</x:v>
      </x:c>
      <x:c r="K319" s="12" t="str">
        <x:v>Business count is from 2018 while population/context indicators are newer; use as a historical proxy, not a current market count.</x:v>
      </x:c>
    </x:row>
    <x:row r="320">
      <x:c r="A320" s="12" t="str">
        <x:v>1410</x:v>
      </x:c>
      <x:c r="B320" s="12" t="str">
        <x:v>Manufacture of wearing apparel, except fur apparel</x:v>
      </x:c>
      <x:c r="C320" s="12" t="str">
        <x:v>جرش</x:v>
      </x:c>
      <x:c r="D320" s="14" t="n">
        <x:v>48</x:v>
      </x:c>
      <x:c r="E320" s="14" t="n">
        <x:f>VLOOKUP(C320,'Governorate Master'!$A$2:$Q$13,3,FALSE)</x:f>
        <x:v>296000</x:v>
      </x:c>
      <x:c r="F320" s="66" t="n">
        <x:f>IF(E320=0,0,D320/E320*10000)</x:f>
        <x:v>1.6216216216216215</x:v>
      </x:c>
      <x:c r="G320" s="67" t="n">
        <x:f>VLOOKUP(C320,'Governorate Master'!$A$2:$Q$13,7,FALSE)</x:f>
        <x:v>722.3</x:v>
      </x:c>
      <x:c r="H320" s="20" t="n">
        <x:f>VLOOKUP(C320,'Governorate Master'!$A$2:$Q$13,6,FALSE)</x:f>
        <x:v>0.7695945945945946</x:v>
      </x:c>
      <x:c r="I320" s="20" t="n">
        <x:f>VLOOKUP(C320,'Governorate Master'!$A$2:$Q$13,15,FALSE)</x:f>
        <x:v>-0.06527415143603134</x:v>
      </x:c>
      <x:c r="J320" s="12" t="str">
        <x:v>Location model input - competition/saturation context</x:v>
      </x:c>
      <x:c r="K320" s="12" t="str">
        <x:v>Business count is from 2018 while population/context indicators are newer; use as a historical proxy, not a current market count.</x:v>
      </x:c>
    </x:row>
    <x:row r="321">
      <x:c r="A321" s="12" t="str">
        <x:v>1410</x:v>
      </x:c>
      <x:c r="B321" s="12" t="str">
        <x:v>Manufacture of wearing apparel, except fur apparel</x:v>
      </x:c>
      <x:c r="C321" s="12" t="str">
        <x:v>عجلون</x:v>
      </x:c>
      <x:c r="D321" s="14" t="n">
        <x:v>48</x:v>
      </x:c>
      <x:c r="E321" s="14" t="n">
        <x:f>VLOOKUP(C321,'Governorate Master'!$A$2:$Q$13,3,FALSE)</x:f>
        <x:v>219900</x:v>
      </x:c>
      <x:c r="F321" s="66" t="n">
        <x:f>IF(E321=0,0,D321/E321*10000)</x:f>
        <x:v>2.1828103683492497</x:v>
      </x:c>
      <x:c r="G321" s="67" t="n">
        <x:f>VLOOKUP(C321,'Governorate Master'!$A$2:$Q$13,7,FALSE)</x:f>
        <x:v>524</x:v>
      </x:c>
      <x:c r="H321" s="20" t="n">
        <x:f>VLOOKUP(C321,'Governorate Master'!$A$2:$Q$13,6,FALSE)</x:f>
        <x:v>0.8390177353342428</x:v>
      </x:c>
      <x:c r="I321" s="20" t="n">
        <x:f>VLOOKUP(C321,'Governorate Master'!$A$2:$Q$13,15,FALSE)</x:f>
        <x:v>0.03614457831325301</x:v>
      </x:c>
      <x:c r="J321" s="12" t="str">
        <x:v>Location model input - competition/saturation context</x:v>
      </x:c>
      <x:c r="K321" s="12" t="str">
        <x:v>Business count is from 2018 while population/context indicators are newer; use as a historical proxy, not a current market count.</x:v>
      </x:c>
    </x:row>
    <x:row r="322">
      <x:c r="A322" s="12" t="str">
        <x:v>1410</x:v>
      </x:c>
      <x:c r="B322" s="12" t="str">
        <x:v>Manufacture of wearing apparel, except fur apparel</x:v>
      </x:c>
      <x:c r="C322" s="12" t="str">
        <x:v>الكرك</x:v>
      </x:c>
      <x:c r="D322" s="14" t="n">
        <x:v>117</x:v>
      </x:c>
      <x:c r="E322" s="14" t="n">
        <x:f>VLOOKUP(C322,'Governorate Master'!$A$2:$Q$13,3,FALSE)</x:f>
        <x:v>395400</x:v>
      </x:c>
      <x:c r="F322" s="66" t="n">
        <x:f>IF(E322=0,0,D322/E322*10000)</x:f>
        <x:v>2.959028831562974</x:v>
      </x:c>
      <x:c r="G322" s="67" t="n">
        <x:f>VLOOKUP(C322,'Governorate Master'!$A$2:$Q$13,7,FALSE)</x:f>
        <x:v>113.1</x:v>
      </x:c>
      <x:c r="H322" s="20" t="n">
        <x:f>VLOOKUP(C322,'Governorate Master'!$A$2:$Q$13,6,FALSE)</x:f>
        <x:v>0.5912999494183105</x:v>
      </x:c>
      <x:c r="I322" s="20" t="n">
        <x:f>VLOOKUP(C322,'Governorate Master'!$A$2:$Q$13,15,FALSE)</x:f>
        <x:v>0.08710801393728224</x:v>
      </x:c>
      <x:c r="J322" s="12" t="str">
        <x:v>Location model input - competition/saturation context</x:v>
      </x:c>
      <x:c r="K322" s="12" t="str">
        <x:v>Business count is from 2018 while population/context indicators are newer; use as a historical proxy, not a current market count.</x:v>
      </x:c>
    </x:row>
    <x:row r="323">
      <x:c r="A323" s="12" t="str">
        <x:v>1410</x:v>
      </x:c>
      <x:c r="B323" s="12" t="str">
        <x:v>Manufacture of wearing apparel, except fur apparel</x:v>
      </x:c>
      <x:c r="C323" s="12" t="str">
        <x:v>الطفيلة</x:v>
      </x:c>
      <x:c r="D323" s="14" t="n">
        <x:v>28</x:v>
      </x:c>
      <x:c r="E323" s="14" t="n">
        <x:f>VLOOKUP(C323,'Governorate Master'!$A$2:$Q$13,3,FALSE)</x:f>
        <x:v>120300</x:v>
      </x:c>
      <x:c r="F323" s="66" t="n">
        <x:f>IF(E323=0,0,D323/E323*10000)</x:f>
        <x:v>2.3275145469659186</x:v>
      </x:c>
      <x:c r="G323" s="67" t="n">
        <x:f>VLOOKUP(C323,'Governorate Master'!$A$2:$Q$13,7,FALSE)</x:f>
        <x:v>54.4</x:v>
      </x:c>
      <x:c r="H323" s="20" t="n">
        <x:f>VLOOKUP(C323,'Governorate Master'!$A$2:$Q$13,6,FALSE)</x:f>
        <x:v>0.7797173732335827</x:v>
      </x:c>
      <x:c r="I323" s="20" t="n">
        <x:f>VLOOKUP(C323,'Governorate Master'!$A$2:$Q$13,15,FALSE)</x:f>
        <x:v>0.18452380952380953</x:v>
      </x:c>
      <x:c r="J323" s="12" t="str">
        <x:v>Location model input - competition/saturation context</x:v>
      </x:c>
      <x:c r="K323" s="12" t="str">
        <x:v>Business count is from 2018 while population/context indicators are newer; use as a historical proxy, not a current market count.</x:v>
      </x:c>
    </x:row>
    <x:row r="324">
      <x:c r="A324" s="12" t="str">
        <x:v>1410</x:v>
      </x:c>
      <x:c r="B324" s="12" t="str">
        <x:v>Manufacture of wearing apparel, except fur apparel</x:v>
      </x:c>
      <x:c r="C324" s="12" t="str">
        <x:v>معان</x:v>
      </x:c>
      <x:c r="D324" s="14" t="n">
        <x:v>67</x:v>
      </x:c>
      <x:c r="E324" s="14" t="n">
        <x:f>VLOOKUP(C324,'Governorate Master'!$A$2:$Q$13,3,FALSE)</x:f>
        <x:v>197900</x:v>
      </x:c>
      <x:c r="F324" s="66" t="n">
        <x:f>IF(E324=0,0,D324/E324*10000)</x:f>
        <x:v>3.3855482566953006</x:v>
      </x:c>
      <x:c r="G324" s="67" t="n">
        <x:f>VLOOKUP(C324,'Governorate Master'!$A$2:$Q$13,7,FALSE)</x:f>
        <x:v>6</x:v>
      </x:c>
      <x:c r="H324" s="20" t="n">
        <x:f>VLOOKUP(C324,'Governorate Master'!$A$2:$Q$13,6,FALSE)</x:f>
        <x:v>0.5406771096513391</x:v>
      </x:c>
      <x:c r="I324" s="20" t="n">
        <x:f>VLOOKUP(C324,'Governorate Master'!$A$2:$Q$13,15,FALSE)</x:f>
        <x:v>0.026845637583892617</x:v>
      </x:c>
      <x:c r="J324" s="12" t="str">
        <x:v>Location model input - competition/saturation context</x:v>
      </x:c>
      <x:c r="K324" s="12" t="str">
        <x:v>Business count is from 2018 while population/context indicators are newer; use as a historical proxy, not a current market count.</x:v>
      </x:c>
    </x:row>
    <x:row r="325">
      <x:c r="A325" s="12" t="str">
        <x:v>1410</x:v>
      </x:c>
      <x:c r="B325" s="12" t="str">
        <x:v>Manufacture of wearing apparel, except fur apparel</x:v>
      </x:c>
      <x:c r="C325" s="12" t="str">
        <x:v>العقبة</x:v>
      </x:c>
      <x:c r="D325" s="14" t="n">
        <x:v>55</x:v>
      </x:c>
      <x:c r="E325" s="14" t="n">
        <x:f>VLOOKUP(C325,'Governorate Master'!$A$2:$Q$13,3,FALSE)</x:f>
        <x:v>250900</x:v>
      </x:c>
      <x:c r="F325" s="66" t="n">
        <x:f>IF(E325=0,0,D325/E325*10000)</x:f>
        <x:v>2.19210840972499</x:v>
      </x:c>
      <x:c r="G325" s="67" t="n">
        <x:f>VLOOKUP(C325,'Governorate Master'!$A$2:$Q$13,7,FALSE)</x:f>
        <x:v>36.3</x:v>
      </x:c>
      <x:c r="H325" s="20" t="n">
        <x:f>VLOOKUP(C325,'Governorate Master'!$A$2:$Q$13,6,FALSE)</x:f>
        <x:v>0.882024711040255</x:v>
      </x:c>
      <x:c r="I325" s="20" t="n">
        <x:f>VLOOKUP(C325,'Governorate Master'!$A$2:$Q$13,15,FALSE)</x:f>
        <x:v>-0.09</x:v>
      </x:c>
      <x:c r="J325" s="12" t="str">
        <x:v>Location model input - competition/saturation context</x:v>
      </x:c>
      <x:c r="K325" s="12" t="str">
        <x:v>Business count is from 2018 while population/context indicators are newer; use as a historical proxy, not a current market count.</x:v>
      </x:c>
    </x:row>
    <x:row r="326">
      <x:c r="A326" s="12" t="str">
        <x:v>1420</x:v>
      </x:c>
      <x:c r="B326" s="12" t="str">
        <x:v>Manufacture of articles of fur</x:v>
      </x:c>
      <x:c r="C326" s="12" t="str">
        <x:v>عمان</x:v>
      </x:c>
      <x:c r="D326" s="14" t="n">
        <x:v>1</x:v>
      </x:c>
      <x:c r="E326" s="14" t="n">
        <x:f>VLOOKUP(C326,'Governorate Master'!$A$2:$Q$13,3,FALSE)</x:f>
        <x:v>5004600</x:v>
      </x:c>
      <x:c r="F326" s="66" t="n">
        <x:f>IF(E326=0,0,D326/E326*10000)</x:f>
        <x:v>0.0019981616912440555</x:v>
      </x:c>
      <x:c r="G326" s="67" t="n">
        <x:f>VLOOKUP(C326,'Governorate Master'!$A$2:$Q$13,7,FALSE)</x:f>
        <x:v>660.3</x:v>
      </x:c>
      <x:c r="H326" s="20" t="n">
        <x:f>VLOOKUP(C326,'Governorate Master'!$A$2:$Q$13,6,FALSE)</x:f>
        <x:v>0.9721656076409703</x:v>
      </x:c>
      <x:c r="I326" s="20" t="n">
        <x:f>VLOOKUP(C326,'Governorate Master'!$A$2:$Q$13,15,FALSE)</x:f>
        <x:v>0.06367041198501873</x:v>
      </x:c>
      <x:c r="J326" s="12" t="str">
        <x:v>Location model input - competition/saturation context</x:v>
      </x:c>
      <x:c r="K326" s="12" t="str">
        <x:v>Business count is from 2018 while population/context indicators are newer; use as a historical proxy, not a current market count.</x:v>
      </x:c>
    </x:row>
    <x:row r="327">
      <x:c r="A327" s="12" t="str">
        <x:v>1420</x:v>
      </x:c>
      <x:c r="B327" s="12" t="str">
        <x:v>Manufacture of articles of fur</x:v>
      </x:c>
      <x:c r="C327" s="12" t="str">
        <x:v>البلقاء</x:v>
      </x:c>
      <x:c r="D327" s="14" t="n">
        <x:v>0</x:v>
      </x:c>
      <x:c r="E327" s="14" t="n">
        <x:f>VLOOKUP(C327,'Governorate Master'!$A$2:$Q$13,3,FALSE)</x:f>
        <x:v>614000</x:v>
      </x:c>
      <x:c r="F327" s="66" t="n">
        <x:f>IF(E327=0,0,D327/E327*10000)</x:f>
        <x:v>0</x:v>
      </x:c>
      <x:c r="G327" s="67" t="n">
        <x:f>VLOOKUP(C327,'Governorate Master'!$A$2:$Q$13,7,FALSE)</x:f>
        <x:v>548</x:v>
      </x:c>
      <x:c r="H327" s="20" t="n">
        <x:f>VLOOKUP(C327,'Governorate Master'!$A$2:$Q$13,6,FALSE)</x:f>
        <x:v>0.8210097719869707</x:v>
      </x:c>
      <x:c r="I327" s="20" t="n">
        <x:f>VLOOKUP(C327,'Governorate Master'!$A$2:$Q$13,15,FALSE)</x:f>
        <x:v>0.10794044665012408</x:v>
      </x:c>
      <x:c r="J327" s="12" t="str">
        <x:v>Location model input - competition/saturation context</x:v>
      </x:c>
      <x:c r="K327" s="12" t="str">
        <x:v>Business count is from 2018 while population/context indicators are newer; use as a historical proxy, not a current market count.</x:v>
      </x:c>
    </x:row>
    <x:row r="328">
      <x:c r="A328" s="12" t="str">
        <x:v>1420</x:v>
      </x:c>
      <x:c r="B328" s="12" t="str">
        <x:v>Manufacture of articles of fur</x:v>
      </x:c>
      <x:c r="C328" s="12" t="str">
        <x:v>الزرقاء</x:v>
      </x:c>
      <x:c r="D328" s="14" t="n">
        <x:v>0</x:v>
      </x:c>
      <x:c r="E328" s="14" t="n">
        <x:f>VLOOKUP(C328,'Governorate Master'!$A$2:$Q$13,3,FALSE)</x:f>
        <x:v>1704500</x:v>
      </x:c>
      <x:c r="F328" s="66" t="n">
        <x:f>IF(E328=0,0,D328/E328*10000)</x:f>
        <x:v>0</x:v>
      </x:c>
      <x:c r="G328" s="67" t="n">
        <x:f>VLOOKUP(C328,'Governorate Master'!$A$2:$Q$13,7,FALSE)</x:f>
        <x:v>358</x:v>
      </x:c>
      <x:c r="H328" s="20" t="n">
        <x:f>VLOOKUP(C328,'Governorate Master'!$A$2:$Q$13,6,FALSE)</x:f>
        <x:v>0.9636256966852449</x:v>
      </x:c>
      <x:c r="I328" s="20" t="n">
        <x:f>VLOOKUP(C328,'Governorate Master'!$A$2:$Q$13,15,FALSE)</x:f>
        <x:v>-0.06808762581409118</x:v>
      </x:c>
      <x:c r="J328" s="12" t="str">
        <x:v>Location model input - competition/saturation context</x:v>
      </x:c>
      <x:c r="K328" s="12" t="str">
        <x:v>Business count is from 2018 while population/context indicators are newer; use as a historical proxy, not a current market count.</x:v>
      </x:c>
    </x:row>
    <x:row r="329">
      <x:c r="A329" s="12" t="str">
        <x:v>1420</x:v>
      </x:c>
      <x:c r="B329" s="12" t="str">
        <x:v>Manufacture of articles of fur</x:v>
      </x:c>
      <x:c r="C329" s="12" t="str">
        <x:v>مادبا</x:v>
      </x:c>
      <x:c r="D329" s="14" t="n">
        <x:v>0</x:v>
      </x:c>
      <x:c r="E329" s="14" t="n">
        <x:f>VLOOKUP(C329,'Governorate Master'!$A$2:$Q$13,3,FALSE)</x:f>
        <x:v>236200</x:v>
      </x:c>
      <x:c r="F329" s="66" t="n">
        <x:f>IF(E329=0,0,D329/E329*10000)</x:f>
        <x:v>0</x:v>
      </x:c>
      <x:c r="G329" s="67" t="n">
        <x:f>VLOOKUP(C329,'Governorate Master'!$A$2:$Q$13,7,FALSE)</x:f>
        <x:v>251.4</x:v>
      </x:c>
      <x:c r="H329" s="20" t="n">
        <x:f>VLOOKUP(C329,'Governorate Master'!$A$2:$Q$13,6,FALSE)</x:f>
        <x:v>0.7823878069432684</x:v>
      </x:c>
      <x:c r="I329" s="20" t="n">
        <x:f>VLOOKUP(C329,'Governorate Master'!$A$2:$Q$13,15,FALSE)</x:f>
        <x:v>-0.18823529411764706</x:v>
      </x:c>
      <x:c r="J329" s="12" t="str">
        <x:v>Location model input - competition/saturation context</x:v>
      </x:c>
      <x:c r="K329" s="12" t="str">
        <x:v>Business count is from 2018 while population/context indicators are newer; use as a historical proxy, not a current market count.</x:v>
      </x:c>
    </x:row>
    <x:row r="330">
      <x:c r="A330" s="12" t="str">
        <x:v>1420</x:v>
      </x:c>
      <x:c r="B330" s="12" t="str">
        <x:v>Manufacture of articles of fur</x:v>
      </x:c>
      <x:c r="C330" s="12" t="str">
        <x:v>إربد</x:v>
      </x:c>
      <x:c r="D330" s="14" t="n">
        <x:v>0</x:v>
      </x:c>
      <x:c r="E330" s="14" t="n">
        <x:f>VLOOKUP(C330,'Governorate Master'!$A$2:$Q$13,3,FALSE)</x:f>
        <x:v>2210500</x:v>
      </x:c>
      <x:c r="F330" s="66" t="n">
        <x:f>IF(E330=0,0,D330/E330*10000)</x:f>
        <x:v>0</x:v>
      </x:c>
      <x:c r="G330" s="67" t="n">
        <x:f>VLOOKUP(C330,'Governorate Master'!$A$2:$Q$13,7,FALSE)</x:f>
        <x:v>1406.4</x:v>
      </x:c>
      <x:c r="H330" s="20" t="n">
        <x:f>VLOOKUP(C330,'Governorate Master'!$A$2:$Q$13,6,FALSE)</x:f>
        <x:v>0.9235014702555983</x:v>
      </x:c>
      <x:c r="I330" s="20" t="n">
        <x:f>VLOOKUP(C330,'Governorate Master'!$A$2:$Q$13,15,FALSE)</x:f>
        <x:v>0.07086922474549726</x:v>
      </x:c>
      <x:c r="J330" s="12" t="str">
        <x:v>Location model input - competition/saturation context</x:v>
      </x:c>
      <x:c r="K330" s="12" t="str">
        <x:v>Business count is from 2018 while population/context indicators are newer; use as a historical proxy, not a current market count.</x:v>
      </x:c>
    </x:row>
    <x:row r="331">
      <x:c r="A331" s="12" t="str">
        <x:v>1420</x:v>
      </x:c>
      <x:c r="B331" s="12" t="str">
        <x:v>Manufacture of articles of fur</x:v>
      </x:c>
      <x:c r="C331" s="12" t="str">
        <x:v>المفرق</x:v>
      </x:c>
      <x:c r="D331" s="14" t="n">
        <x:v>0</x:v>
      </x:c>
      <x:c r="E331" s="14" t="n">
        <x:f>VLOOKUP(C331,'Governorate Master'!$A$2:$Q$13,3,FALSE)</x:f>
        <x:v>686800</x:v>
      </x:c>
      <x:c r="F331" s="66" t="n">
        <x:f>IF(E331=0,0,D331/E331*10000)</x:f>
        <x:v>0</x:v>
      </x:c>
      <x:c r="G331" s="67" t="n">
        <x:f>VLOOKUP(C331,'Governorate Master'!$A$2:$Q$13,7,FALSE)</x:f>
        <x:v>25.9</x:v>
      </x:c>
      <x:c r="H331" s="20" t="n">
        <x:f>VLOOKUP(C331,'Governorate Master'!$A$2:$Q$13,6,FALSE)</x:f>
        <x:v>0.6965637740244612</x:v>
      </x:c>
      <x:c r="I331" s="20" t="n">
        <x:f>VLOOKUP(C331,'Governorate Master'!$A$2:$Q$13,15,FALSE)</x:f>
        <x:v>-0.016638935108153077</x:v>
      </x:c>
      <x:c r="J331" s="12" t="str">
        <x:v>Location model input - competition/saturation context</x:v>
      </x:c>
      <x:c r="K331" s="12" t="str">
        <x:v>Business count is from 2018 while population/context indicators are newer; use as a historical proxy, not a current market count.</x:v>
      </x:c>
    </x:row>
    <x:row r="332">
      <x:c r="A332" s="12" t="str">
        <x:v>1420</x:v>
      </x:c>
      <x:c r="B332" s="12" t="str">
        <x:v>Manufacture of articles of fur</x:v>
      </x:c>
      <x:c r="C332" s="12" t="str">
        <x:v>جرش</x:v>
      </x:c>
      <x:c r="D332" s="14" t="n">
        <x:v>0</x:v>
      </x:c>
      <x:c r="E332" s="14" t="n">
        <x:f>VLOOKUP(C332,'Governorate Master'!$A$2:$Q$13,3,FALSE)</x:f>
        <x:v>296000</x:v>
      </x:c>
      <x:c r="F332" s="66" t="n">
        <x:f>IF(E332=0,0,D332/E332*10000)</x:f>
        <x:v>0</x:v>
      </x:c>
      <x:c r="G332" s="67" t="n">
        <x:f>VLOOKUP(C332,'Governorate Master'!$A$2:$Q$13,7,FALSE)</x:f>
        <x:v>722.3</x:v>
      </x:c>
      <x:c r="H332" s="20" t="n">
        <x:f>VLOOKUP(C332,'Governorate Master'!$A$2:$Q$13,6,FALSE)</x:f>
        <x:v>0.7695945945945946</x:v>
      </x:c>
      <x:c r="I332" s="20" t="n">
        <x:f>VLOOKUP(C332,'Governorate Master'!$A$2:$Q$13,15,FALSE)</x:f>
        <x:v>-0.06527415143603134</x:v>
      </x:c>
      <x:c r="J332" s="12" t="str">
        <x:v>Location model input - competition/saturation context</x:v>
      </x:c>
      <x:c r="K332" s="12" t="str">
        <x:v>Business count is from 2018 while population/context indicators are newer; use as a historical proxy, not a current market count.</x:v>
      </x:c>
    </x:row>
    <x:row r="333">
      <x:c r="A333" s="12" t="str">
        <x:v>1420</x:v>
      </x:c>
      <x:c r="B333" s="12" t="str">
        <x:v>Manufacture of articles of fur</x:v>
      </x:c>
      <x:c r="C333" s="12" t="str">
        <x:v>عجلون</x:v>
      </x:c>
      <x:c r="D333" s="14" t="n">
        <x:v>0</x:v>
      </x:c>
      <x:c r="E333" s="14" t="n">
        <x:f>VLOOKUP(C333,'Governorate Master'!$A$2:$Q$13,3,FALSE)</x:f>
        <x:v>219900</x:v>
      </x:c>
      <x:c r="F333" s="66" t="n">
        <x:f>IF(E333=0,0,D333/E333*10000)</x:f>
        <x:v>0</x:v>
      </x:c>
      <x:c r="G333" s="67" t="n">
        <x:f>VLOOKUP(C333,'Governorate Master'!$A$2:$Q$13,7,FALSE)</x:f>
        <x:v>524</x:v>
      </x:c>
      <x:c r="H333" s="20" t="n">
        <x:f>VLOOKUP(C333,'Governorate Master'!$A$2:$Q$13,6,FALSE)</x:f>
        <x:v>0.8390177353342428</x:v>
      </x:c>
      <x:c r="I333" s="20" t="n">
        <x:f>VLOOKUP(C333,'Governorate Master'!$A$2:$Q$13,15,FALSE)</x:f>
        <x:v>0.03614457831325301</x:v>
      </x:c>
      <x:c r="J333" s="12" t="str">
        <x:v>Location model input - competition/saturation context</x:v>
      </x:c>
      <x:c r="K333" s="12" t="str">
        <x:v>Business count is from 2018 while population/context indicators are newer; use as a historical proxy, not a current market count.</x:v>
      </x:c>
    </x:row>
    <x:row r="334">
      <x:c r="A334" s="12" t="str">
        <x:v>1420</x:v>
      </x:c>
      <x:c r="B334" s="12" t="str">
        <x:v>Manufacture of articles of fur</x:v>
      </x:c>
      <x:c r="C334" s="12" t="str">
        <x:v>الكرك</x:v>
      </x:c>
      <x:c r="D334" s="14" t="n">
        <x:v>0</x:v>
      </x:c>
      <x:c r="E334" s="14" t="n">
        <x:f>VLOOKUP(C334,'Governorate Master'!$A$2:$Q$13,3,FALSE)</x:f>
        <x:v>395400</x:v>
      </x:c>
      <x:c r="F334" s="66" t="n">
        <x:f>IF(E334=0,0,D334/E334*10000)</x:f>
        <x:v>0</x:v>
      </x:c>
      <x:c r="G334" s="67" t="n">
        <x:f>VLOOKUP(C334,'Governorate Master'!$A$2:$Q$13,7,FALSE)</x:f>
        <x:v>113.1</x:v>
      </x:c>
      <x:c r="H334" s="20" t="n">
        <x:f>VLOOKUP(C334,'Governorate Master'!$A$2:$Q$13,6,FALSE)</x:f>
        <x:v>0.5912999494183105</x:v>
      </x:c>
      <x:c r="I334" s="20" t="n">
        <x:f>VLOOKUP(C334,'Governorate Master'!$A$2:$Q$13,15,FALSE)</x:f>
        <x:v>0.08710801393728224</x:v>
      </x:c>
      <x:c r="J334" s="12" t="str">
        <x:v>Location model input - competition/saturation context</x:v>
      </x:c>
      <x:c r="K334" s="12" t="str">
        <x:v>Business count is from 2018 while population/context indicators are newer; use as a historical proxy, not a current market count.</x:v>
      </x:c>
    </x:row>
    <x:row r="335">
      <x:c r="A335" s="12" t="str">
        <x:v>1420</x:v>
      </x:c>
      <x:c r="B335" s="12" t="str">
        <x:v>Manufacture of articles of fur</x:v>
      </x:c>
      <x:c r="C335" s="12" t="str">
        <x:v>الطفيلة</x:v>
      </x:c>
      <x:c r="D335" s="14" t="n">
        <x:v>0</x:v>
      </x:c>
      <x:c r="E335" s="14" t="n">
        <x:f>VLOOKUP(C335,'Governorate Master'!$A$2:$Q$13,3,FALSE)</x:f>
        <x:v>120300</x:v>
      </x:c>
      <x:c r="F335" s="66" t="n">
        <x:f>IF(E335=0,0,D335/E335*10000)</x:f>
        <x:v>0</x:v>
      </x:c>
      <x:c r="G335" s="67" t="n">
        <x:f>VLOOKUP(C335,'Governorate Master'!$A$2:$Q$13,7,FALSE)</x:f>
        <x:v>54.4</x:v>
      </x:c>
      <x:c r="H335" s="20" t="n">
        <x:f>VLOOKUP(C335,'Governorate Master'!$A$2:$Q$13,6,FALSE)</x:f>
        <x:v>0.7797173732335827</x:v>
      </x:c>
      <x:c r="I335" s="20" t="n">
        <x:f>VLOOKUP(C335,'Governorate Master'!$A$2:$Q$13,15,FALSE)</x:f>
        <x:v>0.18452380952380953</x:v>
      </x:c>
      <x:c r="J335" s="12" t="str">
        <x:v>Location model input - competition/saturation context</x:v>
      </x:c>
      <x:c r="K335" s="12" t="str">
        <x:v>Business count is from 2018 while population/context indicators are newer; use as a historical proxy, not a current market count.</x:v>
      </x:c>
    </x:row>
    <x:row r="336">
      <x:c r="A336" s="12" t="str">
        <x:v>1420</x:v>
      </x:c>
      <x:c r="B336" s="12" t="str">
        <x:v>Manufacture of articles of fur</x:v>
      </x:c>
      <x:c r="C336" s="12" t="str">
        <x:v>معان</x:v>
      </x:c>
      <x:c r="D336" s="14" t="n">
        <x:v>0</x:v>
      </x:c>
      <x:c r="E336" s="14" t="n">
        <x:f>VLOOKUP(C336,'Governorate Master'!$A$2:$Q$13,3,FALSE)</x:f>
        <x:v>197900</x:v>
      </x:c>
      <x:c r="F336" s="66" t="n">
        <x:f>IF(E336=0,0,D336/E336*10000)</x:f>
        <x:v>0</x:v>
      </x:c>
      <x:c r="G336" s="67" t="n">
        <x:f>VLOOKUP(C336,'Governorate Master'!$A$2:$Q$13,7,FALSE)</x:f>
        <x:v>6</x:v>
      </x:c>
      <x:c r="H336" s="20" t="n">
        <x:f>VLOOKUP(C336,'Governorate Master'!$A$2:$Q$13,6,FALSE)</x:f>
        <x:v>0.5406771096513391</x:v>
      </x:c>
      <x:c r="I336" s="20" t="n">
        <x:f>VLOOKUP(C336,'Governorate Master'!$A$2:$Q$13,15,FALSE)</x:f>
        <x:v>0.026845637583892617</x:v>
      </x:c>
      <x:c r="J336" s="12" t="str">
        <x:v>Location model input - competition/saturation context</x:v>
      </x:c>
      <x:c r="K336" s="12" t="str">
        <x:v>Business count is from 2018 while population/context indicators are newer; use as a historical proxy, not a current market count.</x:v>
      </x:c>
    </x:row>
    <x:row r="337">
      <x:c r="A337" s="12" t="str">
        <x:v>1420</x:v>
      </x:c>
      <x:c r="B337" s="12" t="str">
        <x:v>Manufacture of articles of fur</x:v>
      </x:c>
      <x:c r="C337" s="12" t="str">
        <x:v>العقبة</x:v>
      </x:c>
      <x:c r="D337" s="14" t="n">
        <x:v>0</x:v>
      </x:c>
      <x:c r="E337" s="14" t="n">
        <x:f>VLOOKUP(C337,'Governorate Master'!$A$2:$Q$13,3,FALSE)</x:f>
        <x:v>250900</x:v>
      </x:c>
      <x:c r="F337" s="66" t="n">
        <x:f>IF(E337=0,0,D337/E337*10000)</x:f>
        <x:v>0</x:v>
      </x:c>
      <x:c r="G337" s="67" t="n">
        <x:f>VLOOKUP(C337,'Governorate Master'!$A$2:$Q$13,7,FALSE)</x:f>
        <x:v>36.3</x:v>
      </x:c>
      <x:c r="H337" s="20" t="n">
        <x:f>VLOOKUP(C337,'Governorate Master'!$A$2:$Q$13,6,FALSE)</x:f>
        <x:v>0.882024711040255</x:v>
      </x:c>
      <x:c r="I337" s="20" t="n">
        <x:f>VLOOKUP(C337,'Governorate Master'!$A$2:$Q$13,15,FALSE)</x:f>
        <x:v>-0.09</x:v>
      </x:c>
      <x:c r="J337" s="12" t="str">
        <x:v>Location model input - competition/saturation context</x:v>
      </x:c>
      <x:c r="K337" s="12" t="str">
        <x:v>Business count is from 2018 while population/context indicators are newer; use as a historical proxy, not a current market count.</x:v>
      </x:c>
    </x:row>
    <x:row r="338">
      <x:c r="A338" s="12" t="str">
        <x:v>1430</x:v>
      </x:c>
      <x:c r="B338" s="12" t="str">
        <x:v>Manufacture of knitted and crocheted apparel</x:v>
      </x:c>
      <x:c r="C338" s="12" t="str">
        <x:v>عمان</x:v>
      </x:c>
      <x:c r="D338" s="14" t="n">
        <x:v>16</x:v>
      </x:c>
      <x:c r="E338" s="14" t="n">
        <x:f>VLOOKUP(C338,'Governorate Master'!$A$2:$Q$13,3,FALSE)</x:f>
        <x:v>5004600</x:v>
      </x:c>
      <x:c r="F338" s="66" t="n">
        <x:f>IF(E338=0,0,D338/E338*10000)</x:f>
        <x:v>0.03197058705990489</x:v>
      </x:c>
      <x:c r="G338" s="67" t="n">
        <x:f>VLOOKUP(C338,'Governorate Master'!$A$2:$Q$13,7,FALSE)</x:f>
        <x:v>660.3</x:v>
      </x:c>
      <x:c r="H338" s="20" t="n">
        <x:f>VLOOKUP(C338,'Governorate Master'!$A$2:$Q$13,6,FALSE)</x:f>
        <x:v>0.9721656076409703</x:v>
      </x:c>
      <x:c r="I338" s="20" t="n">
        <x:f>VLOOKUP(C338,'Governorate Master'!$A$2:$Q$13,15,FALSE)</x:f>
        <x:v>0.06367041198501873</x:v>
      </x:c>
      <x:c r="J338" s="12" t="str">
        <x:v>Location model input - competition/saturation context</x:v>
      </x:c>
      <x:c r="K338" s="12" t="str">
        <x:v>Business count is from 2018 while population/context indicators are newer; use as a historical proxy, not a current market count.</x:v>
      </x:c>
    </x:row>
    <x:row r="339">
      <x:c r="A339" s="12" t="str">
        <x:v>1430</x:v>
      </x:c>
      <x:c r="B339" s="12" t="str">
        <x:v>Manufacture of knitted and crocheted apparel</x:v>
      </x:c>
      <x:c r="C339" s="12" t="str">
        <x:v>البلقاء</x:v>
      </x:c>
      <x:c r="D339" s="14" t="n">
        <x:v>0</x:v>
      </x:c>
      <x:c r="E339" s="14" t="n">
        <x:f>VLOOKUP(C339,'Governorate Master'!$A$2:$Q$13,3,FALSE)</x:f>
        <x:v>614000</x:v>
      </x:c>
      <x:c r="F339" s="66" t="n">
        <x:f>IF(E339=0,0,D339/E339*10000)</x:f>
        <x:v>0</x:v>
      </x:c>
      <x:c r="G339" s="67" t="n">
        <x:f>VLOOKUP(C339,'Governorate Master'!$A$2:$Q$13,7,FALSE)</x:f>
        <x:v>548</x:v>
      </x:c>
      <x:c r="H339" s="20" t="n">
        <x:f>VLOOKUP(C339,'Governorate Master'!$A$2:$Q$13,6,FALSE)</x:f>
        <x:v>0.8210097719869707</x:v>
      </x:c>
      <x:c r="I339" s="20" t="n">
        <x:f>VLOOKUP(C339,'Governorate Master'!$A$2:$Q$13,15,FALSE)</x:f>
        <x:v>0.10794044665012408</x:v>
      </x:c>
      <x:c r="J339" s="12" t="str">
        <x:v>Location model input - competition/saturation context</x:v>
      </x:c>
      <x:c r="K339" s="12" t="str">
        <x:v>Business count is from 2018 while population/context indicators are newer; use as a historical proxy, not a current market count.</x:v>
      </x:c>
    </x:row>
    <x:row r="340">
      <x:c r="A340" s="12" t="str">
        <x:v>1430</x:v>
      </x:c>
      <x:c r="B340" s="12" t="str">
        <x:v>Manufacture of knitted and crocheted apparel</x:v>
      </x:c>
      <x:c r="C340" s="12" t="str">
        <x:v>الزرقاء</x:v>
      </x:c>
      <x:c r="D340" s="14" t="n">
        <x:v>2</x:v>
      </x:c>
      <x:c r="E340" s="14" t="n">
        <x:f>VLOOKUP(C340,'Governorate Master'!$A$2:$Q$13,3,FALSE)</x:f>
        <x:v>1704500</x:v>
      </x:c>
      <x:c r="F340" s="66" t="n">
        <x:f>IF(E340=0,0,D340/E340*10000)</x:f>
        <x:v>0.011733646230566148</x:v>
      </x:c>
      <x:c r="G340" s="67" t="n">
        <x:f>VLOOKUP(C340,'Governorate Master'!$A$2:$Q$13,7,FALSE)</x:f>
        <x:v>358</x:v>
      </x:c>
      <x:c r="H340" s="20" t="n">
        <x:f>VLOOKUP(C340,'Governorate Master'!$A$2:$Q$13,6,FALSE)</x:f>
        <x:v>0.9636256966852449</x:v>
      </x:c>
      <x:c r="I340" s="20" t="n">
        <x:f>VLOOKUP(C340,'Governorate Master'!$A$2:$Q$13,15,FALSE)</x:f>
        <x:v>-0.06808762581409118</x:v>
      </x:c>
      <x:c r="J340" s="12" t="str">
        <x:v>Location model input - competition/saturation context</x:v>
      </x:c>
      <x:c r="K340" s="12" t="str">
        <x:v>Business count is from 2018 while population/context indicators are newer; use as a historical proxy, not a current market count.</x:v>
      </x:c>
    </x:row>
    <x:row r="341">
      <x:c r="A341" s="12" t="str">
        <x:v>1430</x:v>
      </x:c>
      <x:c r="B341" s="12" t="str">
        <x:v>Manufacture of knitted and crocheted apparel</x:v>
      </x:c>
      <x:c r="C341" s="12" t="str">
        <x:v>مادبا</x:v>
      </x:c>
      <x:c r="D341" s="14" t="n">
        <x:v>0</x:v>
      </x:c>
      <x:c r="E341" s="14" t="n">
        <x:f>VLOOKUP(C341,'Governorate Master'!$A$2:$Q$13,3,FALSE)</x:f>
        <x:v>236200</x:v>
      </x:c>
      <x:c r="F341" s="66" t="n">
        <x:f>IF(E341=0,0,D341/E341*10000)</x:f>
        <x:v>0</x:v>
      </x:c>
      <x:c r="G341" s="67" t="n">
        <x:f>VLOOKUP(C341,'Governorate Master'!$A$2:$Q$13,7,FALSE)</x:f>
        <x:v>251.4</x:v>
      </x:c>
      <x:c r="H341" s="20" t="n">
        <x:f>VLOOKUP(C341,'Governorate Master'!$A$2:$Q$13,6,FALSE)</x:f>
        <x:v>0.7823878069432684</x:v>
      </x:c>
      <x:c r="I341" s="20" t="n">
        <x:f>VLOOKUP(C341,'Governorate Master'!$A$2:$Q$13,15,FALSE)</x:f>
        <x:v>-0.18823529411764706</x:v>
      </x:c>
      <x:c r="J341" s="12" t="str">
        <x:v>Location model input - competition/saturation context</x:v>
      </x:c>
      <x:c r="K341" s="12" t="str">
        <x:v>Business count is from 2018 while population/context indicators are newer; use as a historical proxy, not a current market count.</x:v>
      </x:c>
    </x:row>
    <x:row r="342">
      <x:c r="A342" s="12" t="str">
        <x:v>1430</x:v>
      </x:c>
      <x:c r="B342" s="12" t="str">
        <x:v>Manufacture of knitted and crocheted apparel</x:v>
      </x:c>
      <x:c r="C342" s="12" t="str">
        <x:v>إربد</x:v>
      </x:c>
      <x:c r="D342" s="14" t="n">
        <x:v>0</x:v>
      </x:c>
      <x:c r="E342" s="14" t="n">
        <x:f>VLOOKUP(C342,'Governorate Master'!$A$2:$Q$13,3,FALSE)</x:f>
        <x:v>2210500</x:v>
      </x:c>
      <x:c r="F342" s="66" t="n">
        <x:f>IF(E342=0,0,D342/E342*10000)</x:f>
        <x:v>0</x:v>
      </x:c>
      <x:c r="G342" s="67" t="n">
        <x:f>VLOOKUP(C342,'Governorate Master'!$A$2:$Q$13,7,FALSE)</x:f>
        <x:v>1406.4</x:v>
      </x:c>
      <x:c r="H342" s="20" t="n">
        <x:f>VLOOKUP(C342,'Governorate Master'!$A$2:$Q$13,6,FALSE)</x:f>
        <x:v>0.9235014702555983</x:v>
      </x:c>
      <x:c r="I342" s="20" t="n">
        <x:f>VLOOKUP(C342,'Governorate Master'!$A$2:$Q$13,15,FALSE)</x:f>
        <x:v>0.07086922474549726</x:v>
      </x:c>
      <x:c r="J342" s="12" t="str">
        <x:v>Location model input - competition/saturation context</x:v>
      </x:c>
      <x:c r="K342" s="12" t="str">
        <x:v>Business count is from 2018 while population/context indicators are newer; use as a historical proxy, not a current market count.</x:v>
      </x:c>
    </x:row>
    <x:row r="343">
      <x:c r="A343" s="12" t="str">
        <x:v>1430</x:v>
      </x:c>
      <x:c r="B343" s="12" t="str">
        <x:v>Manufacture of knitted and crocheted apparel</x:v>
      </x:c>
      <x:c r="C343" s="12" t="str">
        <x:v>المفرق</x:v>
      </x:c>
      <x:c r="D343" s="14" t="n">
        <x:v>0</x:v>
      </x:c>
      <x:c r="E343" s="14" t="n">
        <x:f>VLOOKUP(C343,'Governorate Master'!$A$2:$Q$13,3,FALSE)</x:f>
        <x:v>686800</x:v>
      </x:c>
      <x:c r="F343" s="66" t="n">
        <x:f>IF(E343=0,0,D343/E343*10000)</x:f>
        <x:v>0</x:v>
      </x:c>
      <x:c r="G343" s="67" t="n">
        <x:f>VLOOKUP(C343,'Governorate Master'!$A$2:$Q$13,7,FALSE)</x:f>
        <x:v>25.9</x:v>
      </x:c>
      <x:c r="H343" s="20" t="n">
        <x:f>VLOOKUP(C343,'Governorate Master'!$A$2:$Q$13,6,FALSE)</x:f>
        <x:v>0.6965637740244612</x:v>
      </x:c>
      <x:c r="I343" s="20" t="n">
        <x:f>VLOOKUP(C343,'Governorate Master'!$A$2:$Q$13,15,FALSE)</x:f>
        <x:v>-0.016638935108153077</x:v>
      </x:c>
      <x:c r="J343" s="12" t="str">
        <x:v>Location model input - competition/saturation context</x:v>
      </x:c>
      <x:c r="K343" s="12" t="str">
        <x:v>Business count is from 2018 while population/context indicators are newer; use as a historical proxy, not a current market count.</x:v>
      </x:c>
    </x:row>
    <x:row r="344">
      <x:c r="A344" s="12" t="str">
        <x:v>1430</x:v>
      </x:c>
      <x:c r="B344" s="12" t="str">
        <x:v>Manufacture of knitted and crocheted apparel</x:v>
      </x:c>
      <x:c r="C344" s="12" t="str">
        <x:v>جرش</x:v>
      </x:c>
      <x:c r="D344" s="14" t="n">
        <x:v>0</x:v>
      </x:c>
      <x:c r="E344" s="14" t="n">
        <x:f>VLOOKUP(C344,'Governorate Master'!$A$2:$Q$13,3,FALSE)</x:f>
        <x:v>296000</x:v>
      </x:c>
      <x:c r="F344" s="66" t="n">
        <x:f>IF(E344=0,0,D344/E344*10000)</x:f>
        <x:v>0</x:v>
      </x:c>
      <x:c r="G344" s="67" t="n">
        <x:f>VLOOKUP(C344,'Governorate Master'!$A$2:$Q$13,7,FALSE)</x:f>
        <x:v>722.3</x:v>
      </x:c>
      <x:c r="H344" s="20" t="n">
        <x:f>VLOOKUP(C344,'Governorate Master'!$A$2:$Q$13,6,FALSE)</x:f>
        <x:v>0.7695945945945946</x:v>
      </x:c>
      <x:c r="I344" s="20" t="n">
        <x:f>VLOOKUP(C344,'Governorate Master'!$A$2:$Q$13,15,FALSE)</x:f>
        <x:v>-0.06527415143603134</x:v>
      </x:c>
      <x:c r="J344" s="12" t="str">
        <x:v>Location model input - competition/saturation context</x:v>
      </x:c>
      <x:c r="K344" s="12" t="str">
        <x:v>Business count is from 2018 while population/context indicators are newer; use as a historical proxy, not a current market count.</x:v>
      </x:c>
    </x:row>
    <x:row r="345">
      <x:c r="A345" s="12" t="str">
        <x:v>1430</x:v>
      </x:c>
      <x:c r="B345" s="12" t="str">
        <x:v>Manufacture of knitted and crocheted apparel</x:v>
      </x:c>
      <x:c r="C345" s="12" t="str">
        <x:v>عجلون</x:v>
      </x:c>
      <x:c r="D345" s="14" t="n">
        <x:v>0</x:v>
      </x:c>
      <x:c r="E345" s="14" t="n">
        <x:f>VLOOKUP(C345,'Governorate Master'!$A$2:$Q$13,3,FALSE)</x:f>
        <x:v>219900</x:v>
      </x:c>
      <x:c r="F345" s="66" t="n">
        <x:f>IF(E345=0,0,D345/E345*10000)</x:f>
        <x:v>0</x:v>
      </x:c>
      <x:c r="G345" s="67" t="n">
        <x:f>VLOOKUP(C345,'Governorate Master'!$A$2:$Q$13,7,FALSE)</x:f>
        <x:v>524</x:v>
      </x:c>
      <x:c r="H345" s="20" t="n">
        <x:f>VLOOKUP(C345,'Governorate Master'!$A$2:$Q$13,6,FALSE)</x:f>
        <x:v>0.8390177353342428</x:v>
      </x:c>
      <x:c r="I345" s="20" t="n">
        <x:f>VLOOKUP(C345,'Governorate Master'!$A$2:$Q$13,15,FALSE)</x:f>
        <x:v>0.03614457831325301</x:v>
      </x:c>
      <x:c r="J345" s="12" t="str">
        <x:v>Location model input - competition/saturation context</x:v>
      </x:c>
      <x:c r="K345" s="12" t="str">
        <x:v>Business count is from 2018 while population/context indicators are newer; use as a historical proxy, not a current market count.</x:v>
      </x:c>
    </x:row>
    <x:row r="346">
      <x:c r="A346" s="12" t="str">
        <x:v>1430</x:v>
      </x:c>
      <x:c r="B346" s="12" t="str">
        <x:v>Manufacture of knitted and crocheted apparel</x:v>
      </x:c>
      <x:c r="C346" s="12" t="str">
        <x:v>الكرك</x:v>
      </x:c>
      <x:c r="D346" s="14" t="n">
        <x:v>0</x:v>
      </x:c>
      <x:c r="E346" s="14" t="n">
        <x:f>VLOOKUP(C346,'Governorate Master'!$A$2:$Q$13,3,FALSE)</x:f>
        <x:v>395400</x:v>
      </x:c>
      <x:c r="F346" s="66" t="n">
        <x:f>IF(E346=0,0,D346/E346*10000)</x:f>
        <x:v>0</x:v>
      </x:c>
      <x:c r="G346" s="67" t="n">
        <x:f>VLOOKUP(C346,'Governorate Master'!$A$2:$Q$13,7,FALSE)</x:f>
        <x:v>113.1</x:v>
      </x:c>
      <x:c r="H346" s="20" t="n">
        <x:f>VLOOKUP(C346,'Governorate Master'!$A$2:$Q$13,6,FALSE)</x:f>
        <x:v>0.5912999494183105</x:v>
      </x:c>
      <x:c r="I346" s="20" t="n">
        <x:f>VLOOKUP(C346,'Governorate Master'!$A$2:$Q$13,15,FALSE)</x:f>
        <x:v>0.08710801393728224</x:v>
      </x:c>
      <x:c r="J346" s="12" t="str">
        <x:v>Location model input - competition/saturation context</x:v>
      </x:c>
      <x:c r="K346" s="12" t="str">
        <x:v>Business count is from 2018 while population/context indicators are newer; use as a historical proxy, not a current market count.</x:v>
      </x:c>
    </x:row>
    <x:row r="347">
      <x:c r="A347" s="12" t="str">
        <x:v>1430</x:v>
      </x:c>
      <x:c r="B347" s="12" t="str">
        <x:v>Manufacture of knitted and crocheted apparel</x:v>
      </x:c>
      <x:c r="C347" s="12" t="str">
        <x:v>الطفيلة</x:v>
      </x:c>
      <x:c r="D347" s="14" t="n">
        <x:v>0</x:v>
      </x:c>
      <x:c r="E347" s="14" t="n">
        <x:f>VLOOKUP(C347,'Governorate Master'!$A$2:$Q$13,3,FALSE)</x:f>
        <x:v>120300</x:v>
      </x:c>
      <x:c r="F347" s="66" t="n">
        <x:f>IF(E347=0,0,D347/E347*10000)</x:f>
        <x:v>0</x:v>
      </x:c>
      <x:c r="G347" s="67" t="n">
        <x:f>VLOOKUP(C347,'Governorate Master'!$A$2:$Q$13,7,FALSE)</x:f>
        <x:v>54.4</x:v>
      </x:c>
      <x:c r="H347" s="20" t="n">
        <x:f>VLOOKUP(C347,'Governorate Master'!$A$2:$Q$13,6,FALSE)</x:f>
        <x:v>0.7797173732335827</x:v>
      </x:c>
      <x:c r="I347" s="20" t="n">
        <x:f>VLOOKUP(C347,'Governorate Master'!$A$2:$Q$13,15,FALSE)</x:f>
        <x:v>0.18452380952380953</x:v>
      </x:c>
      <x:c r="J347" s="12" t="str">
        <x:v>Location model input - competition/saturation context</x:v>
      </x:c>
      <x:c r="K347" s="12" t="str">
        <x:v>Business count is from 2018 while population/context indicators are newer; use as a historical proxy, not a current market count.</x:v>
      </x:c>
    </x:row>
    <x:row r="348">
      <x:c r="A348" s="12" t="str">
        <x:v>1430</x:v>
      </x:c>
      <x:c r="B348" s="12" t="str">
        <x:v>Manufacture of knitted and crocheted apparel</x:v>
      </x:c>
      <x:c r="C348" s="12" t="str">
        <x:v>معان</x:v>
      </x:c>
      <x:c r="D348" s="14" t="n">
        <x:v>0</x:v>
      </x:c>
      <x:c r="E348" s="14" t="n">
        <x:f>VLOOKUP(C348,'Governorate Master'!$A$2:$Q$13,3,FALSE)</x:f>
        <x:v>197900</x:v>
      </x:c>
      <x:c r="F348" s="66" t="n">
        <x:f>IF(E348=0,0,D348/E348*10000)</x:f>
        <x:v>0</x:v>
      </x:c>
      <x:c r="G348" s="67" t="n">
        <x:f>VLOOKUP(C348,'Governorate Master'!$A$2:$Q$13,7,FALSE)</x:f>
        <x:v>6</x:v>
      </x:c>
      <x:c r="H348" s="20" t="n">
        <x:f>VLOOKUP(C348,'Governorate Master'!$A$2:$Q$13,6,FALSE)</x:f>
        <x:v>0.5406771096513391</x:v>
      </x:c>
      <x:c r="I348" s="20" t="n">
        <x:f>VLOOKUP(C348,'Governorate Master'!$A$2:$Q$13,15,FALSE)</x:f>
        <x:v>0.026845637583892617</x:v>
      </x:c>
      <x:c r="J348" s="12" t="str">
        <x:v>Location model input - competition/saturation context</x:v>
      </x:c>
      <x:c r="K348" s="12" t="str">
        <x:v>Business count is from 2018 while population/context indicators are newer; use as a historical proxy, not a current market count.</x:v>
      </x:c>
    </x:row>
    <x:row r="349">
      <x:c r="A349" s="12" t="str">
        <x:v>1430</x:v>
      </x:c>
      <x:c r="B349" s="12" t="str">
        <x:v>Manufacture of knitted and crocheted apparel</x:v>
      </x:c>
      <x:c r="C349" s="12" t="str">
        <x:v>العقبة</x:v>
      </x:c>
      <x:c r="D349" s="14" t="n">
        <x:v>0</x:v>
      </x:c>
      <x:c r="E349" s="14" t="n">
        <x:f>VLOOKUP(C349,'Governorate Master'!$A$2:$Q$13,3,FALSE)</x:f>
        <x:v>250900</x:v>
      </x:c>
      <x:c r="F349" s="66" t="n">
        <x:f>IF(E349=0,0,D349/E349*10000)</x:f>
        <x:v>0</x:v>
      </x:c>
      <x:c r="G349" s="67" t="n">
        <x:f>VLOOKUP(C349,'Governorate Master'!$A$2:$Q$13,7,FALSE)</x:f>
        <x:v>36.3</x:v>
      </x:c>
      <x:c r="H349" s="20" t="n">
        <x:f>VLOOKUP(C349,'Governorate Master'!$A$2:$Q$13,6,FALSE)</x:f>
        <x:v>0.882024711040255</x:v>
      </x:c>
      <x:c r="I349" s="20" t="n">
        <x:f>VLOOKUP(C349,'Governorate Master'!$A$2:$Q$13,15,FALSE)</x:f>
        <x:v>-0.09</x:v>
      </x:c>
      <x:c r="J349" s="12" t="str">
        <x:v>Location model input - competition/saturation context</x:v>
      </x:c>
      <x:c r="K349" s="12" t="str">
        <x:v>Business count is from 2018 while population/context indicators are newer; use as a historical proxy, not a current market count.</x:v>
      </x:c>
    </x:row>
    <x:row r="350">
      <x:c r="A350" s="12" t="str">
        <x:v>1511</x:v>
      </x:c>
      <x:c r="B350" s="12" t="str">
        <x:v>Tanning and dressing of leather; dressing and dyeing of fur</x:v>
      </x:c>
      <x:c r="C350" s="12" t="str">
        <x:v>عمان</x:v>
      </x:c>
      <x:c r="D350" s="14" t="n">
        <x:v>3</x:v>
      </x:c>
      <x:c r="E350" s="14" t="n">
        <x:f>VLOOKUP(C350,'Governorate Master'!$A$2:$Q$13,3,FALSE)</x:f>
        <x:v>5004600</x:v>
      </x:c>
      <x:c r="F350" s="66" t="n">
        <x:f>IF(E350=0,0,D350/E350*10000)</x:f>
        <x:v>0.005994485073732166</x:v>
      </x:c>
      <x:c r="G350" s="67" t="n">
        <x:f>VLOOKUP(C350,'Governorate Master'!$A$2:$Q$13,7,FALSE)</x:f>
        <x:v>660.3</x:v>
      </x:c>
      <x:c r="H350" s="20" t="n">
        <x:f>VLOOKUP(C350,'Governorate Master'!$A$2:$Q$13,6,FALSE)</x:f>
        <x:v>0.9721656076409703</x:v>
      </x:c>
      <x:c r="I350" s="20" t="n">
        <x:f>VLOOKUP(C350,'Governorate Master'!$A$2:$Q$13,15,FALSE)</x:f>
        <x:v>0.06367041198501873</x:v>
      </x:c>
      <x:c r="J350" s="12" t="str">
        <x:v>Location model input - competition/saturation context</x:v>
      </x:c>
      <x:c r="K350" s="12" t="str">
        <x:v>Business count is from 2018 while population/context indicators are newer; use as a historical proxy, not a current market count.</x:v>
      </x:c>
    </x:row>
    <x:row r="351">
      <x:c r="A351" s="12" t="str">
        <x:v>1511</x:v>
      </x:c>
      <x:c r="B351" s="12" t="str">
        <x:v>Tanning and dressing of leather; dressing and dyeing of fur</x:v>
      </x:c>
      <x:c r="C351" s="12" t="str">
        <x:v>البلقاء</x:v>
      </x:c>
      <x:c r="D351" s="14" t="n">
        <x:v>1</x:v>
      </x:c>
      <x:c r="E351" s="14" t="n">
        <x:f>VLOOKUP(C351,'Governorate Master'!$A$2:$Q$13,3,FALSE)</x:f>
        <x:v>614000</x:v>
      </x:c>
      <x:c r="F351" s="66" t="n">
        <x:f>IF(E351=0,0,D351/E351*10000)</x:f>
        <x:v>0.016286644951140065</x:v>
      </x:c>
      <x:c r="G351" s="67" t="n">
        <x:f>VLOOKUP(C351,'Governorate Master'!$A$2:$Q$13,7,FALSE)</x:f>
        <x:v>548</x:v>
      </x:c>
      <x:c r="H351" s="20" t="n">
        <x:f>VLOOKUP(C351,'Governorate Master'!$A$2:$Q$13,6,FALSE)</x:f>
        <x:v>0.8210097719869707</x:v>
      </x:c>
      <x:c r="I351" s="20" t="n">
        <x:f>VLOOKUP(C351,'Governorate Master'!$A$2:$Q$13,15,FALSE)</x:f>
        <x:v>0.10794044665012408</x:v>
      </x:c>
      <x:c r="J351" s="12" t="str">
        <x:v>Location model input - competition/saturation context</x:v>
      </x:c>
      <x:c r="K351" s="12" t="str">
        <x:v>Business count is from 2018 while population/context indicators are newer; use as a historical proxy, not a current market count.</x:v>
      </x:c>
    </x:row>
    <x:row r="352">
      <x:c r="A352" s="12" t="str">
        <x:v>1511</x:v>
      </x:c>
      <x:c r="B352" s="12" t="str">
        <x:v>Tanning and dressing of leather; dressing and dyeing of fur</x:v>
      </x:c>
      <x:c r="C352" s="12" t="str">
        <x:v>الزرقاء</x:v>
      </x:c>
      <x:c r="D352" s="14" t="n">
        <x:v>1</x:v>
      </x:c>
      <x:c r="E352" s="14" t="n">
        <x:f>VLOOKUP(C352,'Governorate Master'!$A$2:$Q$13,3,FALSE)</x:f>
        <x:v>1704500</x:v>
      </x:c>
      <x:c r="F352" s="66" t="n">
        <x:f>IF(E352=0,0,D352/E352*10000)</x:f>
        <x:v>0.005866823115283074</x:v>
      </x:c>
      <x:c r="G352" s="67" t="n">
        <x:f>VLOOKUP(C352,'Governorate Master'!$A$2:$Q$13,7,FALSE)</x:f>
        <x:v>358</x:v>
      </x:c>
      <x:c r="H352" s="20" t="n">
        <x:f>VLOOKUP(C352,'Governorate Master'!$A$2:$Q$13,6,FALSE)</x:f>
        <x:v>0.9636256966852449</x:v>
      </x:c>
      <x:c r="I352" s="20" t="n">
        <x:f>VLOOKUP(C352,'Governorate Master'!$A$2:$Q$13,15,FALSE)</x:f>
        <x:v>-0.06808762581409118</x:v>
      </x:c>
      <x:c r="J352" s="12" t="str">
        <x:v>Location model input - competition/saturation context</x:v>
      </x:c>
      <x:c r="K352" s="12" t="str">
        <x:v>Business count is from 2018 while population/context indicators are newer; use as a historical proxy, not a current market count.</x:v>
      </x:c>
    </x:row>
    <x:row r="353">
      <x:c r="A353" s="12" t="str">
        <x:v>1511</x:v>
      </x:c>
      <x:c r="B353" s="12" t="str">
        <x:v>Tanning and dressing of leather; dressing and dyeing of fur</x:v>
      </x:c>
      <x:c r="C353" s="12" t="str">
        <x:v>مادبا</x:v>
      </x:c>
      <x:c r="D353" s="14" t="n">
        <x:v>0</x:v>
      </x:c>
      <x:c r="E353" s="14" t="n">
        <x:f>VLOOKUP(C353,'Governorate Master'!$A$2:$Q$13,3,FALSE)</x:f>
        <x:v>236200</x:v>
      </x:c>
      <x:c r="F353" s="66" t="n">
        <x:f>IF(E353=0,0,D353/E353*10000)</x:f>
        <x:v>0</x:v>
      </x:c>
      <x:c r="G353" s="67" t="n">
        <x:f>VLOOKUP(C353,'Governorate Master'!$A$2:$Q$13,7,FALSE)</x:f>
        <x:v>251.4</x:v>
      </x:c>
      <x:c r="H353" s="20" t="n">
        <x:f>VLOOKUP(C353,'Governorate Master'!$A$2:$Q$13,6,FALSE)</x:f>
        <x:v>0.7823878069432684</x:v>
      </x:c>
      <x:c r="I353" s="20" t="n">
        <x:f>VLOOKUP(C353,'Governorate Master'!$A$2:$Q$13,15,FALSE)</x:f>
        <x:v>-0.18823529411764706</x:v>
      </x:c>
      <x:c r="J353" s="12" t="str">
        <x:v>Location model input - competition/saturation context</x:v>
      </x:c>
      <x:c r="K353" s="12" t="str">
        <x:v>Business count is from 2018 while population/context indicators are newer; use as a historical proxy, not a current market count.</x:v>
      </x:c>
    </x:row>
    <x:row r="354">
      <x:c r="A354" s="12" t="str">
        <x:v>1511</x:v>
      </x:c>
      <x:c r="B354" s="12" t="str">
        <x:v>Tanning and dressing of leather; dressing and dyeing of fur</x:v>
      </x:c>
      <x:c r="C354" s="12" t="str">
        <x:v>إربد</x:v>
      </x:c>
      <x:c r="D354" s="14" t="n">
        <x:v>0</x:v>
      </x:c>
      <x:c r="E354" s="14" t="n">
        <x:f>VLOOKUP(C354,'Governorate Master'!$A$2:$Q$13,3,FALSE)</x:f>
        <x:v>2210500</x:v>
      </x:c>
      <x:c r="F354" s="66" t="n">
        <x:f>IF(E354=0,0,D354/E354*10000)</x:f>
        <x:v>0</x:v>
      </x:c>
      <x:c r="G354" s="67" t="n">
        <x:f>VLOOKUP(C354,'Governorate Master'!$A$2:$Q$13,7,FALSE)</x:f>
        <x:v>1406.4</x:v>
      </x:c>
      <x:c r="H354" s="20" t="n">
        <x:f>VLOOKUP(C354,'Governorate Master'!$A$2:$Q$13,6,FALSE)</x:f>
        <x:v>0.9235014702555983</x:v>
      </x:c>
      <x:c r="I354" s="20" t="n">
        <x:f>VLOOKUP(C354,'Governorate Master'!$A$2:$Q$13,15,FALSE)</x:f>
        <x:v>0.07086922474549726</x:v>
      </x:c>
      <x:c r="J354" s="12" t="str">
        <x:v>Location model input - competition/saturation context</x:v>
      </x:c>
      <x:c r="K354" s="12" t="str">
        <x:v>Business count is from 2018 while population/context indicators are newer; use as a historical proxy, not a current market count.</x:v>
      </x:c>
    </x:row>
    <x:row r="355">
      <x:c r="A355" s="12" t="str">
        <x:v>1511</x:v>
      </x:c>
      <x:c r="B355" s="12" t="str">
        <x:v>Tanning and dressing of leather; dressing and dyeing of fur</x:v>
      </x:c>
      <x:c r="C355" s="12" t="str">
        <x:v>المفرق</x:v>
      </x:c>
      <x:c r="D355" s="14" t="n">
        <x:v>1</x:v>
      </x:c>
      <x:c r="E355" s="14" t="n">
        <x:f>VLOOKUP(C355,'Governorate Master'!$A$2:$Q$13,3,FALSE)</x:f>
        <x:v>686800</x:v>
      </x:c>
      <x:c r="F355" s="66" t="n">
        <x:f>IF(E355=0,0,D355/E355*10000)</x:f>
        <x:v>0.014560279557367502</x:v>
      </x:c>
      <x:c r="G355" s="67" t="n">
        <x:f>VLOOKUP(C355,'Governorate Master'!$A$2:$Q$13,7,FALSE)</x:f>
        <x:v>25.9</x:v>
      </x:c>
      <x:c r="H355" s="20" t="n">
        <x:f>VLOOKUP(C355,'Governorate Master'!$A$2:$Q$13,6,FALSE)</x:f>
        <x:v>0.6965637740244612</x:v>
      </x:c>
      <x:c r="I355" s="20" t="n">
        <x:f>VLOOKUP(C355,'Governorate Master'!$A$2:$Q$13,15,FALSE)</x:f>
        <x:v>-0.016638935108153077</x:v>
      </x:c>
      <x:c r="J355" s="12" t="str">
        <x:v>Location model input - competition/saturation context</x:v>
      </x:c>
      <x:c r="K355" s="12" t="str">
        <x:v>Business count is from 2018 while population/context indicators are newer; use as a historical proxy, not a current market count.</x:v>
      </x:c>
    </x:row>
    <x:row r="356">
      <x:c r="A356" s="12" t="str">
        <x:v>1511</x:v>
      </x:c>
      <x:c r="B356" s="12" t="str">
        <x:v>Tanning and dressing of leather; dressing and dyeing of fur</x:v>
      </x:c>
      <x:c r="C356" s="12" t="str">
        <x:v>جرش</x:v>
      </x:c>
      <x:c r="D356" s="14" t="n">
        <x:v>0</x:v>
      </x:c>
      <x:c r="E356" s="14" t="n">
        <x:f>VLOOKUP(C356,'Governorate Master'!$A$2:$Q$13,3,FALSE)</x:f>
        <x:v>296000</x:v>
      </x:c>
      <x:c r="F356" s="66" t="n">
        <x:f>IF(E356=0,0,D356/E356*10000)</x:f>
        <x:v>0</x:v>
      </x:c>
      <x:c r="G356" s="67" t="n">
        <x:f>VLOOKUP(C356,'Governorate Master'!$A$2:$Q$13,7,FALSE)</x:f>
        <x:v>722.3</x:v>
      </x:c>
      <x:c r="H356" s="20" t="n">
        <x:f>VLOOKUP(C356,'Governorate Master'!$A$2:$Q$13,6,FALSE)</x:f>
        <x:v>0.7695945945945946</x:v>
      </x:c>
      <x:c r="I356" s="20" t="n">
        <x:f>VLOOKUP(C356,'Governorate Master'!$A$2:$Q$13,15,FALSE)</x:f>
        <x:v>-0.06527415143603134</x:v>
      </x:c>
      <x:c r="J356" s="12" t="str">
        <x:v>Location model input - competition/saturation context</x:v>
      </x:c>
      <x:c r="K356" s="12" t="str">
        <x:v>Business count is from 2018 while population/context indicators are newer; use as a historical proxy, not a current market count.</x:v>
      </x:c>
    </x:row>
    <x:row r="357">
      <x:c r="A357" s="12" t="str">
        <x:v>1511</x:v>
      </x:c>
      <x:c r="B357" s="12" t="str">
        <x:v>Tanning and dressing of leather; dressing and dyeing of fur</x:v>
      </x:c>
      <x:c r="C357" s="12" t="str">
        <x:v>عجلون</x:v>
      </x:c>
      <x:c r="D357" s="14" t="n">
        <x:v>0</x:v>
      </x:c>
      <x:c r="E357" s="14" t="n">
        <x:f>VLOOKUP(C357,'Governorate Master'!$A$2:$Q$13,3,FALSE)</x:f>
        <x:v>219900</x:v>
      </x:c>
      <x:c r="F357" s="66" t="n">
        <x:f>IF(E357=0,0,D357/E357*10000)</x:f>
        <x:v>0</x:v>
      </x:c>
      <x:c r="G357" s="67" t="n">
        <x:f>VLOOKUP(C357,'Governorate Master'!$A$2:$Q$13,7,FALSE)</x:f>
        <x:v>524</x:v>
      </x:c>
      <x:c r="H357" s="20" t="n">
        <x:f>VLOOKUP(C357,'Governorate Master'!$A$2:$Q$13,6,FALSE)</x:f>
        <x:v>0.8390177353342428</x:v>
      </x:c>
      <x:c r="I357" s="20" t="n">
        <x:f>VLOOKUP(C357,'Governorate Master'!$A$2:$Q$13,15,FALSE)</x:f>
        <x:v>0.03614457831325301</x:v>
      </x:c>
      <x:c r="J357" s="12" t="str">
        <x:v>Location model input - competition/saturation context</x:v>
      </x:c>
      <x:c r="K357" s="12" t="str">
        <x:v>Business count is from 2018 while population/context indicators are newer; use as a historical proxy, not a current market count.</x:v>
      </x:c>
    </x:row>
    <x:row r="358">
      <x:c r="A358" s="12" t="str">
        <x:v>1511</x:v>
      </x:c>
      <x:c r="B358" s="12" t="str">
        <x:v>Tanning and dressing of leather; dressing and dyeing of fur</x:v>
      </x:c>
      <x:c r="C358" s="12" t="str">
        <x:v>الكرك</x:v>
      </x:c>
      <x:c r="D358" s="14" t="n">
        <x:v>0</x:v>
      </x:c>
      <x:c r="E358" s="14" t="n">
        <x:f>VLOOKUP(C358,'Governorate Master'!$A$2:$Q$13,3,FALSE)</x:f>
        <x:v>395400</x:v>
      </x:c>
      <x:c r="F358" s="66" t="n">
        <x:f>IF(E358=0,0,D358/E358*10000)</x:f>
        <x:v>0</x:v>
      </x:c>
      <x:c r="G358" s="67" t="n">
        <x:f>VLOOKUP(C358,'Governorate Master'!$A$2:$Q$13,7,FALSE)</x:f>
        <x:v>113.1</x:v>
      </x:c>
      <x:c r="H358" s="20" t="n">
        <x:f>VLOOKUP(C358,'Governorate Master'!$A$2:$Q$13,6,FALSE)</x:f>
        <x:v>0.5912999494183105</x:v>
      </x:c>
      <x:c r="I358" s="20" t="n">
        <x:f>VLOOKUP(C358,'Governorate Master'!$A$2:$Q$13,15,FALSE)</x:f>
        <x:v>0.08710801393728224</x:v>
      </x:c>
      <x:c r="J358" s="12" t="str">
        <x:v>Location model input - competition/saturation context</x:v>
      </x:c>
      <x:c r="K358" s="12" t="str">
        <x:v>Business count is from 2018 while population/context indicators are newer; use as a historical proxy, not a current market count.</x:v>
      </x:c>
    </x:row>
    <x:row r="359">
      <x:c r="A359" s="12" t="str">
        <x:v>1511</x:v>
      </x:c>
      <x:c r="B359" s="12" t="str">
        <x:v>Tanning and dressing of leather; dressing and dyeing of fur</x:v>
      </x:c>
      <x:c r="C359" s="12" t="str">
        <x:v>الطفيلة</x:v>
      </x:c>
      <x:c r="D359" s="14" t="n">
        <x:v>0</x:v>
      </x:c>
      <x:c r="E359" s="14" t="n">
        <x:f>VLOOKUP(C359,'Governorate Master'!$A$2:$Q$13,3,FALSE)</x:f>
        <x:v>120300</x:v>
      </x:c>
      <x:c r="F359" s="66" t="n">
        <x:f>IF(E359=0,0,D359/E359*10000)</x:f>
        <x:v>0</x:v>
      </x:c>
      <x:c r="G359" s="67" t="n">
        <x:f>VLOOKUP(C359,'Governorate Master'!$A$2:$Q$13,7,FALSE)</x:f>
        <x:v>54.4</x:v>
      </x:c>
      <x:c r="H359" s="20" t="n">
        <x:f>VLOOKUP(C359,'Governorate Master'!$A$2:$Q$13,6,FALSE)</x:f>
        <x:v>0.7797173732335827</x:v>
      </x:c>
      <x:c r="I359" s="20" t="n">
        <x:f>VLOOKUP(C359,'Governorate Master'!$A$2:$Q$13,15,FALSE)</x:f>
        <x:v>0.18452380952380953</x:v>
      </x:c>
      <x:c r="J359" s="12" t="str">
        <x:v>Location model input - competition/saturation context</x:v>
      </x:c>
      <x:c r="K359" s="12" t="str">
        <x:v>Business count is from 2018 while population/context indicators are newer; use as a historical proxy, not a current market count.</x:v>
      </x:c>
    </x:row>
    <x:row r="360">
      <x:c r="A360" s="12" t="str">
        <x:v>1511</x:v>
      </x:c>
      <x:c r="B360" s="12" t="str">
        <x:v>Tanning and dressing of leather; dressing and dyeing of fur</x:v>
      </x:c>
      <x:c r="C360" s="12" t="str">
        <x:v>معان</x:v>
      </x:c>
      <x:c r="D360" s="14" t="n">
        <x:v>0</x:v>
      </x:c>
      <x:c r="E360" s="14" t="n">
        <x:f>VLOOKUP(C360,'Governorate Master'!$A$2:$Q$13,3,FALSE)</x:f>
        <x:v>197900</x:v>
      </x:c>
      <x:c r="F360" s="66" t="n">
        <x:f>IF(E360=0,0,D360/E360*10000)</x:f>
        <x:v>0</x:v>
      </x:c>
      <x:c r="G360" s="67" t="n">
        <x:f>VLOOKUP(C360,'Governorate Master'!$A$2:$Q$13,7,FALSE)</x:f>
        <x:v>6</x:v>
      </x:c>
      <x:c r="H360" s="20" t="n">
        <x:f>VLOOKUP(C360,'Governorate Master'!$A$2:$Q$13,6,FALSE)</x:f>
        <x:v>0.5406771096513391</x:v>
      </x:c>
      <x:c r="I360" s="20" t="n">
        <x:f>VLOOKUP(C360,'Governorate Master'!$A$2:$Q$13,15,FALSE)</x:f>
        <x:v>0.026845637583892617</x:v>
      </x:c>
      <x:c r="J360" s="12" t="str">
        <x:v>Location model input - competition/saturation context</x:v>
      </x:c>
      <x:c r="K360" s="12" t="str">
        <x:v>Business count is from 2018 while population/context indicators are newer; use as a historical proxy, not a current market count.</x:v>
      </x:c>
    </x:row>
    <x:row r="361">
      <x:c r="A361" s="12" t="str">
        <x:v>1511</x:v>
      </x:c>
      <x:c r="B361" s="12" t="str">
        <x:v>Tanning and dressing of leather; dressing and dyeing of fur</x:v>
      </x:c>
      <x:c r="C361" s="12" t="str">
        <x:v>العقبة</x:v>
      </x:c>
      <x:c r="D361" s="14" t="n">
        <x:v>0</x:v>
      </x:c>
      <x:c r="E361" s="14" t="n">
        <x:f>VLOOKUP(C361,'Governorate Master'!$A$2:$Q$13,3,FALSE)</x:f>
        <x:v>250900</x:v>
      </x:c>
      <x:c r="F361" s="66" t="n">
        <x:f>IF(E361=0,0,D361/E361*10000)</x:f>
        <x:v>0</x:v>
      </x:c>
      <x:c r="G361" s="67" t="n">
        <x:f>VLOOKUP(C361,'Governorate Master'!$A$2:$Q$13,7,FALSE)</x:f>
        <x:v>36.3</x:v>
      </x:c>
      <x:c r="H361" s="20" t="n">
        <x:f>VLOOKUP(C361,'Governorate Master'!$A$2:$Q$13,6,FALSE)</x:f>
        <x:v>0.882024711040255</x:v>
      </x:c>
      <x:c r="I361" s="20" t="n">
        <x:f>VLOOKUP(C361,'Governorate Master'!$A$2:$Q$13,15,FALSE)</x:f>
        <x:v>-0.09</x:v>
      </x:c>
      <x:c r="J361" s="12" t="str">
        <x:v>Location model input - competition/saturation context</x:v>
      </x:c>
      <x:c r="K361" s="12" t="str">
        <x:v>Business count is from 2018 while population/context indicators are newer; use as a historical proxy, not a current market count.</x:v>
      </x:c>
    </x:row>
    <x:row r="362">
      <x:c r="A362" s="12" t="str">
        <x:v>1512</x:v>
      </x:c>
      <x:c r="B362" s="12" t="str">
        <x:v>Manufacture of luggage, handbags and the like, saddlery and harness</x:v>
      </x:c>
      <x:c r="C362" s="12" t="str">
        <x:v>عمان</x:v>
      </x:c>
      <x:c r="D362" s="14" t="n">
        <x:v>9</x:v>
      </x:c>
      <x:c r="E362" s="14" t="n">
        <x:f>VLOOKUP(C362,'Governorate Master'!$A$2:$Q$13,3,FALSE)</x:f>
        <x:v>5004600</x:v>
      </x:c>
      <x:c r="F362" s="66" t="n">
        <x:f>IF(E362=0,0,D362/E362*10000)</x:f>
        <x:v>0.0179834552211965</x:v>
      </x:c>
      <x:c r="G362" s="67" t="n">
        <x:f>VLOOKUP(C362,'Governorate Master'!$A$2:$Q$13,7,FALSE)</x:f>
        <x:v>660.3</x:v>
      </x:c>
      <x:c r="H362" s="20" t="n">
        <x:f>VLOOKUP(C362,'Governorate Master'!$A$2:$Q$13,6,FALSE)</x:f>
        <x:v>0.9721656076409703</x:v>
      </x:c>
      <x:c r="I362" s="20" t="n">
        <x:f>VLOOKUP(C362,'Governorate Master'!$A$2:$Q$13,15,FALSE)</x:f>
        <x:v>0.06367041198501873</x:v>
      </x:c>
      <x:c r="J362" s="12" t="str">
        <x:v>Location model input - competition/saturation context</x:v>
      </x:c>
      <x:c r="K362" s="12" t="str">
        <x:v>Business count is from 2018 while population/context indicators are newer; use as a historical proxy, not a current market count.</x:v>
      </x:c>
    </x:row>
    <x:row r="363">
      <x:c r="A363" s="12" t="str">
        <x:v>1512</x:v>
      </x:c>
      <x:c r="B363" s="12" t="str">
        <x:v>Manufacture of luggage, handbags and the like, saddlery and harness</x:v>
      </x:c>
      <x:c r="C363" s="12" t="str">
        <x:v>البلقاء</x:v>
      </x:c>
      <x:c r="D363" s="14" t="n">
        <x:v>0</x:v>
      </x:c>
      <x:c r="E363" s="14" t="n">
        <x:f>VLOOKUP(C363,'Governorate Master'!$A$2:$Q$13,3,FALSE)</x:f>
        <x:v>614000</x:v>
      </x:c>
      <x:c r="F363" s="66" t="n">
        <x:f>IF(E363=0,0,D363/E363*10000)</x:f>
        <x:v>0</x:v>
      </x:c>
      <x:c r="G363" s="67" t="n">
        <x:f>VLOOKUP(C363,'Governorate Master'!$A$2:$Q$13,7,FALSE)</x:f>
        <x:v>548</x:v>
      </x:c>
      <x:c r="H363" s="20" t="n">
        <x:f>VLOOKUP(C363,'Governorate Master'!$A$2:$Q$13,6,FALSE)</x:f>
        <x:v>0.8210097719869707</x:v>
      </x:c>
      <x:c r="I363" s="20" t="n">
        <x:f>VLOOKUP(C363,'Governorate Master'!$A$2:$Q$13,15,FALSE)</x:f>
        <x:v>0.10794044665012408</x:v>
      </x:c>
      <x:c r="J363" s="12" t="str">
        <x:v>Location model input - competition/saturation context</x:v>
      </x:c>
      <x:c r="K363" s="12" t="str">
        <x:v>Business count is from 2018 while population/context indicators are newer; use as a historical proxy, not a current market count.</x:v>
      </x:c>
    </x:row>
    <x:row r="364">
      <x:c r="A364" s="12" t="str">
        <x:v>1512</x:v>
      </x:c>
      <x:c r="B364" s="12" t="str">
        <x:v>Manufacture of luggage, handbags and the like, saddlery and harness</x:v>
      </x:c>
      <x:c r="C364" s="12" t="str">
        <x:v>الزرقاء</x:v>
      </x:c>
      <x:c r="D364" s="14" t="n">
        <x:v>1</x:v>
      </x:c>
      <x:c r="E364" s="14" t="n">
        <x:f>VLOOKUP(C364,'Governorate Master'!$A$2:$Q$13,3,FALSE)</x:f>
        <x:v>1704500</x:v>
      </x:c>
      <x:c r="F364" s="66" t="n">
        <x:f>IF(E364=0,0,D364/E364*10000)</x:f>
        <x:v>0.005866823115283074</x:v>
      </x:c>
      <x:c r="G364" s="67" t="n">
        <x:f>VLOOKUP(C364,'Governorate Master'!$A$2:$Q$13,7,FALSE)</x:f>
        <x:v>358</x:v>
      </x:c>
      <x:c r="H364" s="20" t="n">
        <x:f>VLOOKUP(C364,'Governorate Master'!$A$2:$Q$13,6,FALSE)</x:f>
        <x:v>0.9636256966852449</x:v>
      </x:c>
      <x:c r="I364" s="20" t="n">
        <x:f>VLOOKUP(C364,'Governorate Master'!$A$2:$Q$13,15,FALSE)</x:f>
        <x:v>-0.06808762581409118</x:v>
      </x:c>
      <x:c r="J364" s="12" t="str">
        <x:v>Location model input - competition/saturation context</x:v>
      </x:c>
      <x:c r="K364" s="12" t="str">
        <x:v>Business count is from 2018 while population/context indicators are newer; use as a historical proxy, not a current market count.</x:v>
      </x:c>
    </x:row>
    <x:row r="365">
      <x:c r="A365" s="12" t="str">
        <x:v>1512</x:v>
      </x:c>
      <x:c r="B365" s="12" t="str">
        <x:v>Manufacture of luggage, handbags and the like, saddlery and harness</x:v>
      </x:c>
      <x:c r="C365" s="12" t="str">
        <x:v>مادبا</x:v>
      </x:c>
      <x:c r="D365" s="14" t="n">
        <x:v>0</x:v>
      </x:c>
      <x:c r="E365" s="14" t="n">
        <x:f>VLOOKUP(C365,'Governorate Master'!$A$2:$Q$13,3,FALSE)</x:f>
        <x:v>236200</x:v>
      </x:c>
      <x:c r="F365" s="66" t="n">
        <x:f>IF(E365=0,0,D365/E365*10000)</x:f>
        <x:v>0</x:v>
      </x:c>
      <x:c r="G365" s="67" t="n">
        <x:f>VLOOKUP(C365,'Governorate Master'!$A$2:$Q$13,7,FALSE)</x:f>
        <x:v>251.4</x:v>
      </x:c>
      <x:c r="H365" s="20" t="n">
        <x:f>VLOOKUP(C365,'Governorate Master'!$A$2:$Q$13,6,FALSE)</x:f>
        <x:v>0.7823878069432684</x:v>
      </x:c>
      <x:c r="I365" s="20" t="n">
        <x:f>VLOOKUP(C365,'Governorate Master'!$A$2:$Q$13,15,FALSE)</x:f>
        <x:v>-0.18823529411764706</x:v>
      </x:c>
      <x:c r="J365" s="12" t="str">
        <x:v>Location model input - competition/saturation context</x:v>
      </x:c>
      <x:c r="K365" s="12" t="str">
        <x:v>Business count is from 2018 while population/context indicators are newer; use as a historical proxy, not a current market count.</x:v>
      </x:c>
    </x:row>
    <x:row r="366">
      <x:c r="A366" s="12" t="str">
        <x:v>1512</x:v>
      </x:c>
      <x:c r="B366" s="12" t="str">
        <x:v>Manufacture of luggage, handbags and the like, saddlery and harness</x:v>
      </x:c>
      <x:c r="C366" s="12" t="str">
        <x:v>إربد</x:v>
      </x:c>
      <x:c r="D366" s="14" t="n">
        <x:v>0</x:v>
      </x:c>
      <x:c r="E366" s="14" t="n">
        <x:f>VLOOKUP(C366,'Governorate Master'!$A$2:$Q$13,3,FALSE)</x:f>
        <x:v>2210500</x:v>
      </x:c>
      <x:c r="F366" s="66" t="n">
        <x:f>IF(E366=0,0,D366/E366*10000)</x:f>
        <x:v>0</x:v>
      </x:c>
      <x:c r="G366" s="67" t="n">
        <x:f>VLOOKUP(C366,'Governorate Master'!$A$2:$Q$13,7,FALSE)</x:f>
        <x:v>1406.4</x:v>
      </x:c>
      <x:c r="H366" s="20" t="n">
        <x:f>VLOOKUP(C366,'Governorate Master'!$A$2:$Q$13,6,FALSE)</x:f>
        <x:v>0.9235014702555983</x:v>
      </x:c>
      <x:c r="I366" s="20" t="n">
        <x:f>VLOOKUP(C366,'Governorate Master'!$A$2:$Q$13,15,FALSE)</x:f>
        <x:v>0.07086922474549726</x:v>
      </x:c>
      <x:c r="J366" s="12" t="str">
        <x:v>Location model input - competition/saturation context</x:v>
      </x:c>
      <x:c r="K366" s="12" t="str">
        <x:v>Business count is from 2018 while population/context indicators are newer; use as a historical proxy, not a current market count.</x:v>
      </x:c>
    </x:row>
    <x:row r="367">
      <x:c r="A367" s="12" t="str">
        <x:v>1512</x:v>
      </x:c>
      <x:c r="B367" s="12" t="str">
        <x:v>Manufacture of luggage, handbags and the like, saddlery and harness</x:v>
      </x:c>
      <x:c r="C367" s="12" t="str">
        <x:v>المفرق</x:v>
      </x:c>
      <x:c r="D367" s="14" t="n">
        <x:v>1</x:v>
      </x:c>
      <x:c r="E367" s="14" t="n">
        <x:f>VLOOKUP(C367,'Governorate Master'!$A$2:$Q$13,3,FALSE)</x:f>
        <x:v>686800</x:v>
      </x:c>
      <x:c r="F367" s="66" t="n">
        <x:f>IF(E367=0,0,D367/E367*10000)</x:f>
        <x:v>0.014560279557367502</x:v>
      </x:c>
      <x:c r="G367" s="67" t="n">
        <x:f>VLOOKUP(C367,'Governorate Master'!$A$2:$Q$13,7,FALSE)</x:f>
        <x:v>25.9</x:v>
      </x:c>
      <x:c r="H367" s="20" t="n">
        <x:f>VLOOKUP(C367,'Governorate Master'!$A$2:$Q$13,6,FALSE)</x:f>
        <x:v>0.6965637740244612</x:v>
      </x:c>
      <x:c r="I367" s="20" t="n">
        <x:f>VLOOKUP(C367,'Governorate Master'!$A$2:$Q$13,15,FALSE)</x:f>
        <x:v>-0.016638935108153077</x:v>
      </x:c>
      <x:c r="J367" s="12" t="str">
        <x:v>Location model input - competition/saturation context</x:v>
      </x:c>
      <x:c r="K367" s="12" t="str">
        <x:v>Business count is from 2018 while population/context indicators are newer; use as a historical proxy, not a current market count.</x:v>
      </x:c>
    </x:row>
    <x:row r="368">
      <x:c r="A368" s="12" t="str">
        <x:v>1512</x:v>
      </x:c>
      <x:c r="B368" s="12" t="str">
        <x:v>Manufacture of luggage, handbags and the like, saddlery and harness</x:v>
      </x:c>
      <x:c r="C368" s="12" t="str">
        <x:v>جرش</x:v>
      </x:c>
      <x:c r="D368" s="14" t="n">
        <x:v>0</x:v>
      </x:c>
      <x:c r="E368" s="14" t="n">
        <x:f>VLOOKUP(C368,'Governorate Master'!$A$2:$Q$13,3,FALSE)</x:f>
        <x:v>296000</x:v>
      </x:c>
      <x:c r="F368" s="66" t="n">
        <x:f>IF(E368=0,0,D368/E368*10000)</x:f>
        <x:v>0</x:v>
      </x:c>
      <x:c r="G368" s="67" t="n">
        <x:f>VLOOKUP(C368,'Governorate Master'!$A$2:$Q$13,7,FALSE)</x:f>
        <x:v>722.3</x:v>
      </x:c>
      <x:c r="H368" s="20" t="n">
        <x:f>VLOOKUP(C368,'Governorate Master'!$A$2:$Q$13,6,FALSE)</x:f>
        <x:v>0.7695945945945946</x:v>
      </x:c>
      <x:c r="I368" s="20" t="n">
        <x:f>VLOOKUP(C368,'Governorate Master'!$A$2:$Q$13,15,FALSE)</x:f>
        <x:v>-0.06527415143603134</x:v>
      </x:c>
      <x:c r="J368" s="12" t="str">
        <x:v>Location model input - competition/saturation context</x:v>
      </x:c>
      <x:c r="K368" s="12" t="str">
        <x:v>Business count is from 2018 while population/context indicators are newer; use as a historical proxy, not a current market count.</x:v>
      </x:c>
    </x:row>
    <x:row r="369">
      <x:c r="A369" s="12" t="str">
        <x:v>1512</x:v>
      </x:c>
      <x:c r="B369" s="12" t="str">
        <x:v>Manufacture of luggage, handbags and the like, saddlery and harness</x:v>
      </x:c>
      <x:c r="C369" s="12" t="str">
        <x:v>عجلون</x:v>
      </x:c>
      <x:c r="D369" s="14" t="n">
        <x:v>0</x:v>
      </x:c>
      <x:c r="E369" s="14" t="n">
        <x:f>VLOOKUP(C369,'Governorate Master'!$A$2:$Q$13,3,FALSE)</x:f>
        <x:v>219900</x:v>
      </x:c>
      <x:c r="F369" s="66" t="n">
        <x:f>IF(E369=0,0,D369/E369*10000)</x:f>
        <x:v>0</x:v>
      </x:c>
      <x:c r="G369" s="67" t="n">
        <x:f>VLOOKUP(C369,'Governorate Master'!$A$2:$Q$13,7,FALSE)</x:f>
        <x:v>524</x:v>
      </x:c>
      <x:c r="H369" s="20" t="n">
        <x:f>VLOOKUP(C369,'Governorate Master'!$A$2:$Q$13,6,FALSE)</x:f>
        <x:v>0.8390177353342428</x:v>
      </x:c>
      <x:c r="I369" s="20" t="n">
        <x:f>VLOOKUP(C369,'Governorate Master'!$A$2:$Q$13,15,FALSE)</x:f>
        <x:v>0.03614457831325301</x:v>
      </x:c>
      <x:c r="J369" s="12" t="str">
        <x:v>Location model input - competition/saturation context</x:v>
      </x:c>
      <x:c r="K369" s="12" t="str">
        <x:v>Business count is from 2018 while population/context indicators are newer; use as a historical proxy, not a current market count.</x:v>
      </x:c>
    </x:row>
    <x:row r="370">
      <x:c r="A370" s="12" t="str">
        <x:v>1512</x:v>
      </x:c>
      <x:c r="B370" s="12" t="str">
        <x:v>Manufacture of luggage, handbags and the like, saddlery and harness</x:v>
      </x:c>
      <x:c r="C370" s="12" t="str">
        <x:v>الكرك</x:v>
      </x:c>
      <x:c r="D370" s="14" t="n">
        <x:v>0</x:v>
      </x:c>
      <x:c r="E370" s="14" t="n">
        <x:f>VLOOKUP(C370,'Governorate Master'!$A$2:$Q$13,3,FALSE)</x:f>
        <x:v>395400</x:v>
      </x:c>
      <x:c r="F370" s="66" t="n">
        <x:f>IF(E370=0,0,D370/E370*10000)</x:f>
        <x:v>0</x:v>
      </x:c>
      <x:c r="G370" s="67" t="n">
        <x:f>VLOOKUP(C370,'Governorate Master'!$A$2:$Q$13,7,FALSE)</x:f>
        <x:v>113.1</x:v>
      </x:c>
      <x:c r="H370" s="20" t="n">
        <x:f>VLOOKUP(C370,'Governorate Master'!$A$2:$Q$13,6,FALSE)</x:f>
        <x:v>0.5912999494183105</x:v>
      </x:c>
      <x:c r="I370" s="20" t="n">
        <x:f>VLOOKUP(C370,'Governorate Master'!$A$2:$Q$13,15,FALSE)</x:f>
        <x:v>0.08710801393728224</x:v>
      </x:c>
      <x:c r="J370" s="12" t="str">
        <x:v>Location model input - competition/saturation context</x:v>
      </x:c>
      <x:c r="K370" s="12" t="str">
        <x:v>Business count is from 2018 while population/context indicators are newer; use as a historical proxy, not a current market count.</x:v>
      </x:c>
    </x:row>
    <x:row r="371">
      <x:c r="A371" s="12" t="str">
        <x:v>1512</x:v>
      </x:c>
      <x:c r="B371" s="12" t="str">
        <x:v>Manufacture of luggage, handbags and the like, saddlery and harness</x:v>
      </x:c>
      <x:c r="C371" s="12" t="str">
        <x:v>الطفيلة</x:v>
      </x:c>
      <x:c r="D371" s="14" t="n">
        <x:v>0</x:v>
      </x:c>
      <x:c r="E371" s="14" t="n">
        <x:f>VLOOKUP(C371,'Governorate Master'!$A$2:$Q$13,3,FALSE)</x:f>
        <x:v>120300</x:v>
      </x:c>
      <x:c r="F371" s="66" t="n">
        <x:f>IF(E371=0,0,D371/E371*10000)</x:f>
        <x:v>0</x:v>
      </x:c>
      <x:c r="G371" s="67" t="n">
        <x:f>VLOOKUP(C371,'Governorate Master'!$A$2:$Q$13,7,FALSE)</x:f>
        <x:v>54.4</x:v>
      </x:c>
      <x:c r="H371" s="20" t="n">
        <x:f>VLOOKUP(C371,'Governorate Master'!$A$2:$Q$13,6,FALSE)</x:f>
        <x:v>0.7797173732335827</x:v>
      </x:c>
      <x:c r="I371" s="20" t="n">
        <x:f>VLOOKUP(C371,'Governorate Master'!$A$2:$Q$13,15,FALSE)</x:f>
        <x:v>0.18452380952380953</x:v>
      </x:c>
      <x:c r="J371" s="12" t="str">
        <x:v>Location model input - competition/saturation context</x:v>
      </x:c>
      <x:c r="K371" s="12" t="str">
        <x:v>Business count is from 2018 while population/context indicators are newer; use as a historical proxy, not a current market count.</x:v>
      </x:c>
    </x:row>
    <x:row r="372">
      <x:c r="A372" s="12" t="str">
        <x:v>1512</x:v>
      </x:c>
      <x:c r="B372" s="12" t="str">
        <x:v>Manufacture of luggage, handbags and the like, saddlery and harness</x:v>
      </x:c>
      <x:c r="C372" s="12" t="str">
        <x:v>معان</x:v>
      </x:c>
      <x:c r="D372" s="14" t="n">
        <x:v>0</x:v>
      </x:c>
      <x:c r="E372" s="14" t="n">
        <x:f>VLOOKUP(C372,'Governorate Master'!$A$2:$Q$13,3,FALSE)</x:f>
        <x:v>197900</x:v>
      </x:c>
      <x:c r="F372" s="66" t="n">
        <x:f>IF(E372=0,0,D372/E372*10000)</x:f>
        <x:v>0</x:v>
      </x:c>
      <x:c r="G372" s="67" t="n">
        <x:f>VLOOKUP(C372,'Governorate Master'!$A$2:$Q$13,7,FALSE)</x:f>
        <x:v>6</x:v>
      </x:c>
      <x:c r="H372" s="20" t="n">
        <x:f>VLOOKUP(C372,'Governorate Master'!$A$2:$Q$13,6,FALSE)</x:f>
        <x:v>0.5406771096513391</x:v>
      </x:c>
      <x:c r="I372" s="20" t="n">
        <x:f>VLOOKUP(C372,'Governorate Master'!$A$2:$Q$13,15,FALSE)</x:f>
        <x:v>0.026845637583892617</x:v>
      </x:c>
      <x:c r="J372" s="12" t="str">
        <x:v>Location model input - competition/saturation context</x:v>
      </x:c>
      <x:c r="K372" s="12" t="str">
        <x:v>Business count is from 2018 while population/context indicators are newer; use as a historical proxy, not a current market count.</x:v>
      </x:c>
    </x:row>
    <x:row r="373">
      <x:c r="A373" s="12" t="str">
        <x:v>1512</x:v>
      </x:c>
      <x:c r="B373" s="12" t="str">
        <x:v>Manufacture of luggage, handbags and the like, saddlery and harness</x:v>
      </x:c>
      <x:c r="C373" s="12" t="str">
        <x:v>العقبة</x:v>
      </x:c>
      <x:c r="D373" s="14" t="n">
        <x:v>0</x:v>
      </x:c>
      <x:c r="E373" s="14" t="n">
        <x:f>VLOOKUP(C373,'Governorate Master'!$A$2:$Q$13,3,FALSE)</x:f>
        <x:v>250900</x:v>
      </x:c>
      <x:c r="F373" s="66" t="n">
        <x:f>IF(E373=0,0,D373/E373*10000)</x:f>
        <x:v>0</x:v>
      </x:c>
      <x:c r="G373" s="67" t="n">
        <x:f>VLOOKUP(C373,'Governorate Master'!$A$2:$Q$13,7,FALSE)</x:f>
        <x:v>36.3</x:v>
      </x:c>
      <x:c r="H373" s="20" t="n">
        <x:f>VLOOKUP(C373,'Governorate Master'!$A$2:$Q$13,6,FALSE)</x:f>
        <x:v>0.882024711040255</x:v>
      </x:c>
      <x:c r="I373" s="20" t="n">
        <x:f>VLOOKUP(C373,'Governorate Master'!$A$2:$Q$13,15,FALSE)</x:f>
        <x:v>-0.09</x:v>
      </x:c>
      <x:c r="J373" s="12" t="str">
        <x:v>Location model input - competition/saturation context</x:v>
      </x:c>
      <x:c r="K373" s="12" t="str">
        <x:v>Business count is from 2018 while population/context indicators are newer; use as a historical proxy, not a current market count.</x:v>
      </x:c>
    </x:row>
    <x:row r="374">
      <x:c r="A374" s="12" t="str">
        <x:v>1520</x:v>
      </x:c>
      <x:c r="B374" s="12" t="str">
        <x:v>Manufacture of footwear</x:v>
      </x:c>
      <x:c r="C374" s="12" t="str">
        <x:v>عمان</x:v>
      </x:c>
      <x:c r="D374" s="14" t="n">
        <x:v>18</x:v>
      </x:c>
      <x:c r="E374" s="14" t="n">
        <x:f>VLOOKUP(C374,'Governorate Master'!$A$2:$Q$13,3,FALSE)</x:f>
        <x:v>5004600</x:v>
      </x:c>
      <x:c r="F374" s="66" t="n">
        <x:f>IF(E374=0,0,D374/E374*10000)</x:f>
        <x:v>0.035966910442393</x:v>
      </x:c>
      <x:c r="G374" s="67" t="n">
        <x:f>VLOOKUP(C374,'Governorate Master'!$A$2:$Q$13,7,FALSE)</x:f>
        <x:v>660.3</x:v>
      </x:c>
      <x:c r="H374" s="20" t="n">
        <x:f>VLOOKUP(C374,'Governorate Master'!$A$2:$Q$13,6,FALSE)</x:f>
        <x:v>0.9721656076409703</x:v>
      </x:c>
      <x:c r="I374" s="20" t="n">
        <x:f>VLOOKUP(C374,'Governorate Master'!$A$2:$Q$13,15,FALSE)</x:f>
        <x:v>0.06367041198501873</x:v>
      </x:c>
      <x:c r="J374" s="12" t="str">
        <x:v>Location model input - competition/saturation context</x:v>
      </x:c>
      <x:c r="K374" s="12" t="str">
        <x:v>Business count is from 2018 while population/context indicators are newer; use as a historical proxy, not a current market count.</x:v>
      </x:c>
    </x:row>
    <x:row r="375">
      <x:c r="A375" s="12" t="str">
        <x:v>1520</x:v>
      </x:c>
      <x:c r="B375" s="12" t="str">
        <x:v>Manufacture of footwear</x:v>
      </x:c>
      <x:c r="C375" s="12" t="str">
        <x:v>البلقاء</x:v>
      </x:c>
      <x:c r="D375" s="14" t="n">
        <x:v>0</x:v>
      </x:c>
      <x:c r="E375" s="14" t="n">
        <x:f>VLOOKUP(C375,'Governorate Master'!$A$2:$Q$13,3,FALSE)</x:f>
        <x:v>614000</x:v>
      </x:c>
      <x:c r="F375" s="66" t="n">
        <x:f>IF(E375=0,0,D375/E375*10000)</x:f>
        <x:v>0</x:v>
      </x:c>
      <x:c r="G375" s="67" t="n">
        <x:f>VLOOKUP(C375,'Governorate Master'!$A$2:$Q$13,7,FALSE)</x:f>
        <x:v>548</x:v>
      </x:c>
      <x:c r="H375" s="20" t="n">
        <x:f>VLOOKUP(C375,'Governorate Master'!$A$2:$Q$13,6,FALSE)</x:f>
        <x:v>0.8210097719869707</x:v>
      </x:c>
      <x:c r="I375" s="20" t="n">
        <x:f>VLOOKUP(C375,'Governorate Master'!$A$2:$Q$13,15,FALSE)</x:f>
        <x:v>0.10794044665012408</x:v>
      </x:c>
      <x:c r="J375" s="12" t="str">
        <x:v>Location model input - competition/saturation context</x:v>
      </x:c>
      <x:c r="K375" s="12" t="str">
        <x:v>Business count is from 2018 while population/context indicators are newer; use as a historical proxy, not a current market count.</x:v>
      </x:c>
    </x:row>
    <x:row r="376">
      <x:c r="A376" s="12" t="str">
        <x:v>1520</x:v>
      </x:c>
      <x:c r="B376" s="12" t="str">
        <x:v>Manufacture of footwear</x:v>
      </x:c>
      <x:c r="C376" s="12" t="str">
        <x:v>الزرقاء</x:v>
      </x:c>
      <x:c r="D376" s="14" t="n">
        <x:v>3</x:v>
      </x:c>
      <x:c r="E376" s="14" t="n">
        <x:f>VLOOKUP(C376,'Governorate Master'!$A$2:$Q$13,3,FALSE)</x:f>
        <x:v>1704500</x:v>
      </x:c>
      <x:c r="F376" s="66" t="n">
        <x:f>IF(E376=0,0,D376/E376*10000)</x:f>
        <x:v>0.01760046934584922</x:v>
      </x:c>
      <x:c r="G376" s="67" t="n">
        <x:f>VLOOKUP(C376,'Governorate Master'!$A$2:$Q$13,7,FALSE)</x:f>
        <x:v>358</x:v>
      </x:c>
      <x:c r="H376" s="20" t="n">
        <x:f>VLOOKUP(C376,'Governorate Master'!$A$2:$Q$13,6,FALSE)</x:f>
        <x:v>0.9636256966852449</x:v>
      </x:c>
      <x:c r="I376" s="20" t="n">
        <x:f>VLOOKUP(C376,'Governorate Master'!$A$2:$Q$13,15,FALSE)</x:f>
        <x:v>-0.06808762581409118</x:v>
      </x:c>
      <x:c r="J376" s="12" t="str">
        <x:v>Location model input - competition/saturation context</x:v>
      </x:c>
      <x:c r="K376" s="12" t="str">
        <x:v>Business count is from 2018 while population/context indicators are newer; use as a historical proxy, not a current market count.</x:v>
      </x:c>
    </x:row>
    <x:row r="377">
      <x:c r="A377" s="12" t="str">
        <x:v>1520</x:v>
      </x:c>
      <x:c r="B377" s="12" t="str">
        <x:v>Manufacture of footwear</x:v>
      </x:c>
      <x:c r="C377" s="12" t="str">
        <x:v>مادبا</x:v>
      </x:c>
      <x:c r="D377" s="14" t="n">
        <x:v>0</x:v>
      </x:c>
      <x:c r="E377" s="14" t="n">
        <x:f>VLOOKUP(C377,'Governorate Master'!$A$2:$Q$13,3,FALSE)</x:f>
        <x:v>236200</x:v>
      </x:c>
      <x:c r="F377" s="66" t="n">
        <x:f>IF(E377=0,0,D377/E377*10000)</x:f>
        <x:v>0</x:v>
      </x:c>
      <x:c r="G377" s="67" t="n">
        <x:f>VLOOKUP(C377,'Governorate Master'!$A$2:$Q$13,7,FALSE)</x:f>
        <x:v>251.4</x:v>
      </x:c>
      <x:c r="H377" s="20" t="n">
        <x:f>VLOOKUP(C377,'Governorate Master'!$A$2:$Q$13,6,FALSE)</x:f>
        <x:v>0.7823878069432684</x:v>
      </x:c>
      <x:c r="I377" s="20" t="n">
        <x:f>VLOOKUP(C377,'Governorate Master'!$A$2:$Q$13,15,FALSE)</x:f>
        <x:v>-0.18823529411764706</x:v>
      </x:c>
      <x:c r="J377" s="12" t="str">
        <x:v>Location model input - competition/saturation context</x:v>
      </x:c>
      <x:c r="K377" s="12" t="str">
        <x:v>Business count is from 2018 while population/context indicators are newer; use as a historical proxy, not a current market count.</x:v>
      </x:c>
    </x:row>
    <x:row r="378">
      <x:c r="A378" s="12" t="str">
        <x:v>1520</x:v>
      </x:c>
      <x:c r="B378" s="12" t="str">
        <x:v>Manufacture of footwear</x:v>
      </x:c>
      <x:c r="C378" s="12" t="str">
        <x:v>إربد</x:v>
      </x:c>
      <x:c r="D378" s="14" t="n">
        <x:v>6</x:v>
      </x:c>
      <x:c r="E378" s="14" t="n">
        <x:f>VLOOKUP(C378,'Governorate Master'!$A$2:$Q$13,3,FALSE)</x:f>
        <x:v>2210500</x:v>
      </x:c>
      <x:c r="F378" s="66" t="n">
        <x:f>IF(E378=0,0,D378/E378*10000)</x:f>
        <x:v>0.027143180275955664</x:v>
      </x:c>
      <x:c r="G378" s="67" t="n">
        <x:f>VLOOKUP(C378,'Governorate Master'!$A$2:$Q$13,7,FALSE)</x:f>
        <x:v>1406.4</x:v>
      </x:c>
      <x:c r="H378" s="20" t="n">
        <x:f>VLOOKUP(C378,'Governorate Master'!$A$2:$Q$13,6,FALSE)</x:f>
        <x:v>0.9235014702555983</x:v>
      </x:c>
      <x:c r="I378" s="20" t="n">
        <x:f>VLOOKUP(C378,'Governorate Master'!$A$2:$Q$13,15,FALSE)</x:f>
        <x:v>0.07086922474549726</x:v>
      </x:c>
      <x:c r="J378" s="12" t="str">
        <x:v>Location model input - competition/saturation context</x:v>
      </x:c>
      <x:c r="K378" s="12" t="str">
        <x:v>Business count is from 2018 while population/context indicators are newer; use as a historical proxy, not a current market count.</x:v>
      </x:c>
    </x:row>
    <x:row r="379">
      <x:c r="A379" s="12" t="str">
        <x:v>1520</x:v>
      </x:c>
      <x:c r="B379" s="12" t="str">
        <x:v>Manufacture of footwear</x:v>
      </x:c>
      <x:c r="C379" s="12" t="str">
        <x:v>المفرق</x:v>
      </x:c>
      <x:c r="D379" s="14" t="n">
        <x:v>3</x:v>
      </x:c>
      <x:c r="E379" s="14" t="n">
        <x:f>VLOOKUP(C379,'Governorate Master'!$A$2:$Q$13,3,FALSE)</x:f>
        <x:v>686800</x:v>
      </x:c>
      <x:c r="F379" s="66" t="n">
        <x:f>IF(E379=0,0,D379/E379*10000)</x:f>
        <x:v>0.043680838672102505</x:v>
      </x:c>
      <x:c r="G379" s="67" t="n">
        <x:f>VLOOKUP(C379,'Governorate Master'!$A$2:$Q$13,7,FALSE)</x:f>
        <x:v>25.9</x:v>
      </x:c>
      <x:c r="H379" s="20" t="n">
        <x:f>VLOOKUP(C379,'Governorate Master'!$A$2:$Q$13,6,FALSE)</x:f>
        <x:v>0.6965637740244612</x:v>
      </x:c>
      <x:c r="I379" s="20" t="n">
        <x:f>VLOOKUP(C379,'Governorate Master'!$A$2:$Q$13,15,FALSE)</x:f>
        <x:v>-0.016638935108153077</x:v>
      </x:c>
      <x:c r="J379" s="12" t="str">
        <x:v>Location model input - competition/saturation context</x:v>
      </x:c>
      <x:c r="K379" s="12" t="str">
        <x:v>Business count is from 2018 while population/context indicators are newer; use as a historical proxy, not a current market count.</x:v>
      </x:c>
    </x:row>
    <x:row r="380">
      <x:c r="A380" s="12" t="str">
        <x:v>1520</x:v>
      </x:c>
      <x:c r="B380" s="12" t="str">
        <x:v>Manufacture of footwear</x:v>
      </x:c>
      <x:c r="C380" s="12" t="str">
        <x:v>جرش</x:v>
      </x:c>
      <x:c r="D380" s="14" t="n">
        <x:v>0</x:v>
      </x:c>
      <x:c r="E380" s="14" t="n">
        <x:f>VLOOKUP(C380,'Governorate Master'!$A$2:$Q$13,3,FALSE)</x:f>
        <x:v>296000</x:v>
      </x:c>
      <x:c r="F380" s="66" t="n">
        <x:f>IF(E380=0,0,D380/E380*10000)</x:f>
        <x:v>0</x:v>
      </x:c>
      <x:c r="G380" s="67" t="n">
        <x:f>VLOOKUP(C380,'Governorate Master'!$A$2:$Q$13,7,FALSE)</x:f>
        <x:v>722.3</x:v>
      </x:c>
      <x:c r="H380" s="20" t="n">
        <x:f>VLOOKUP(C380,'Governorate Master'!$A$2:$Q$13,6,FALSE)</x:f>
        <x:v>0.7695945945945946</x:v>
      </x:c>
      <x:c r="I380" s="20" t="n">
        <x:f>VLOOKUP(C380,'Governorate Master'!$A$2:$Q$13,15,FALSE)</x:f>
        <x:v>-0.06527415143603134</x:v>
      </x:c>
      <x:c r="J380" s="12" t="str">
        <x:v>Location model input - competition/saturation context</x:v>
      </x:c>
      <x:c r="K380" s="12" t="str">
        <x:v>Business count is from 2018 while population/context indicators are newer; use as a historical proxy, not a current market count.</x:v>
      </x:c>
    </x:row>
    <x:row r="381">
      <x:c r="A381" s="12" t="str">
        <x:v>1520</x:v>
      </x:c>
      <x:c r="B381" s="12" t="str">
        <x:v>Manufacture of footwear</x:v>
      </x:c>
      <x:c r="C381" s="12" t="str">
        <x:v>عجلون</x:v>
      </x:c>
      <x:c r="D381" s="14" t="n">
        <x:v>0</x:v>
      </x:c>
      <x:c r="E381" s="14" t="n">
        <x:f>VLOOKUP(C381,'Governorate Master'!$A$2:$Q$13,3,FALSE)</x:f>
        <x:v>219900</x:v>
      </x:c>
      <x:c r="F381" s="66" t="n">
        <x:f>IF(E381=0,0,D381/E381*10000)</x:f>
        <x:v>0</x:v>
      </x:c>
      <x:c r="G381" s="67" t="n">
        <x:f>VLOOKUP(C381,'Governorate Master'!$A$2:$Q$13,7,FALSE)</x:f>
        <x:v>524</x:v>
      </x:c>
      <x:c r="H381" s="20" t="n">
        <x:f>VLOOKUP(C381,'Governorate Master'!$A$2:$Q$13,6,FALSE)</x:f>
        <x:v>0.8390177353342428</x:v>
      </x:c>
      <x:c r="I381" s="20" t="n">
        <x:f>VLOOKUP(C381,'Governorate Master'!$A$2:$Q$13,15,FALSE)</x:f>
        <x:v>0.03614457831325301</x:v>
      </x:c>
      <x:c r="J381" s="12" t="str">
        <x:v>Location model input - competition/saturation context</x:v>
      </x:c>
      <x:c r="K381" s="12" t="str">
        <x:v>Business count is from 2018 while population/context indicators are newer; use as a historical proxy, not a current market count.</x:v>
      </x:c>
    </x:row>
    <x:row r="382">
      <x:c r="A382" s="12" t="str">
        <x:v>1520</x:v>
      </x:c>
      <x:c r="B382" s="12" t="str">
        <x:v>Manufacture of footwear</x:v>
      </x:c>
      <x:c r="C382" s="12" t="str">
        <x:v>الكرك</x:v>
      </x:c>
      <x:c r="D382" s="14" t="n">
        <x:v>0</x:v>
      </x:c>
      <x:c r="E382" s="14" t="n">
        <x:f>VLOOKUP(C382,'Governorate Master'!$A$2:$Q$13,3,FALSE)</x:f>
        <x:v>395400</x:v>
      </x:c>
      <x:c r="F382" s="66" t="n">
        <x:f>IF(E382=0,0,D382/E382*10000)</x:f>
        <x:v>0</x:v>
      </x:c>
      <x:c r="G382" s="67" t="n">
        <x:f>VLOOKUP(C382,'Governorate Master'!$A$2:$Q$13,7,FALSE)</x:f>
        <x:v>113.1</x:v>
      </x:c>
      <x:c r="H382" s="20" t="n">
        <x:f>VLOOKUP(C382,'Governorate Master'!$A$2:$Q$13,6,FALSE)</x:f>
        <x:v>0.5912999494183105</x:v>
      </x:c>
      <x:c r="I382" s="20" t="n">
        <x:f>VLOOKUP(C382,'Governorate Master'!$A$2:$Q$13,15,FALSE)</x:f>
        <x:v>0.08710801393728224</x:v>
      </x:c>
      <x:c r="J382" s="12" t="str">
        <x:v>Location model input - competition/saturation context</x:v>
      </x:c>
      <x:c r="K382" s="12" t="str">
        <x:v>Business count is from 2018 while population/context indicators are newer; use as a historical proxy, not a current market count.</x:v>
      </x:c>
    </x:row>
    <x:row r="383">
      <x:c r="A383" s="12" t="str">
        <x:v>1520</x:v>
      </x:c>
      <x:c r="B383" s="12" t="str">
        <x:v>Manufacture of footwear</x:v>
      </x:c>
      <x:c r="C383" s="12" t="str">
        <x:v>الطفيلة</x:v>
      </x:c>
      <x:c r="D383" s="14" t="n">
        <x:v>0</x:v>
      </x:c>
      <x:c r="E383" s="14" t="n">
        <x:f>VLOOKUP(C383,'Governorate Master'!$A$2:$Q$13,3,FALSE)</x:f>
        <x:v>120300</x:v>
      </x:c>
      <x:c r="F383" s="66" t="n">
        <x:f>IF(E383=0,0,D383/E383*10000)</x:f>
        <x:v>0</x:v>
      </x:c>
      <x:c r="G383" s="67" t="n">
        <x:f>VLOOKUP(C383,'Governorate Master'!$A$2:$Q$13,7,FALSE)</x:f>
        <x:v>54.4</x:v>
      </x:c>
      <x:c r="H383" s="20" t="n">
        <x:f>VLOOKUP(C383,'Governorate Master'!$A$2:$Q$13,6,FALSE)</x:f>
        <x:v>0.7797173732335827</x:v>
      </x:c>
      <x:c r="I383" s="20" t="n">
        <x:f>VLOOKUP(C383,'Governorate Master'!$A$2:$Q$13,15,FALSE)</x:f>
        <x:v>0.18452380952380953</x:v>
      </x:c>
      <x:c r="J383" s="12" t="str">
        <x:v>Location model input - competition/saturation context</x:v>
      </x:c>
      <x:c r="K383" s="12" t="str">
        <x:v>Business count is from 2018 while population/context indicators are newer; use as a historical proxy, not a current market count.</x:v>
      </x:c>
    </x:row>
    <x:row r="384">
      <x:c r="A384" s="12" t="str">
        <x:v>1520</x:v>
      </x:c>
      <x:c r="B384" s="12" t="str">
        <x:v>Manufacture of footwear</x:v>
      </x:c>
      <x:c r="C384" s="12" t="str">
        <x:v>معان</x:v>
      </x:c>
      <x:c r="D384" s="14" t="n">
        <x:v>0</x:v>
      </x:c>
      <x:c r="E384" s="14" t="n">
        <x:f>VLOOKUP(C384,'Governorate Master'!$A$2:$Q$13,3,FALSE)</x:f>
        <x:v>197900</x:v>
      </x:c>
      <x:c r="F384" s="66" t="n">
        <x:f>IF(E384=0,0,D384/E384*10000)</x:f>
        <x:v>0</x:v>
      </x:c>
      <x:c r="G384" s="67" t="n">
        <x:f>VLOOKUP(C384,'Governorate Master'!$A$2:$Q$13,7,FALSE)</x:f>
        <x:v>6</x:v>
      </x:c>
      <x:c r="H384" s="20" t="n">
        <x:f>VLOOKUP(C384,'Governorate Master'!$A$2:$Q$13,6,FALSE)</x:f>
        <x:v>0.5406771096513391</x:v>
      </x:c>
      <x:c r="I384" s="20" t="n">
        <x:f>VLOOKUP(C384,'Governorate Master'!$A$2:$Q$13,15,FALSE)</x:f>
        <x:v>0.026845637583892617</x:v>
      </x:c>
      <x:c r="J384" s="12" t="str">
        <x:v>Location model input - competition/saturation context</x:v>
      </x:c>
      <x:c r="K384" s="12" t="str">
        <x:v>Business count is from 2018 while population/context indicators are newer; use as a historical proxy, not a current market count.</x:v>
      </x:c>
    </x:row>
    <x:row r="385">
      <x:c r="A385" s="12" t="str">
        <x:v>1520</x:v>
      </x:c>
      <x:c r="B385" s="12" t="str">
        <x:v>Manufacture of footwear</x:v>
      </x:c>
      <x:c r="C385" s="12" t="str">
        <x:v>العقبة</x:v>
      </x:c>
      <x:c r="D385" s="14" t="n">
        <x:v>0</x:v>
      </x:c>
      <x:c r="E385" s="14" t="n">
        <x:f>VLOOKUP(C385,'Governorate Master'!$A$2:$Q$13,3,FALSE)</x:f>
        <x:v>250900</x:v>
      </x:c>
      <x:c r="F385" s="66" t="n">
        <x:f>IF(E385=0,0,D385/E385*10000)</x:f>
        <x:v>0</x:v>
      </x:c>
      <x:c r="G385" s="67" t="n">
        <x:f>VLOOKUP(C385,'Governorate Master'!$A$2:$Q$13,7,FALSE)</x:f>
        <x:v>36.3</x:v>
      </x:c>
      <x:c r="H385" s="20" t="n">
        <x:f>VLOOKUP(C385,'Governorate Master'!$A$2:$Q$13,6,FALSE)</x:f>
        <x:v>0.882024711040255</x:v>
      </x:c>
      <x:c r="I385" s="20" t="n">
        <x:f>VLOOKUP(C385,'Governorate Master'!$A$2:$Q$13,15,FALSE)</x:f>
        <x:v>-0.09</x:v>
      </x:c>
      <x:c r="J385" s="12" t="str">
        <x:v>Location model input - competition/saturation context</x:v>
      </x:c>
      <x:c r="K385" s="12" t="str">
        <x:v>Business count is from 2018 while population/context indicators are newer; use as a historical proxy, not a current market count.</x:v>
      </x:c>
    </x:row>
    <x:row r="386">
      <x:c r="A386" s="12" t="str">
        <x:v>1610</x:v>
      </x:c>
      <x:c r="B386" s="12" t="str">
        <x:v>Sawmilling and planing of wood</x:v>
      </x:c>
      <x:c r="C386" s="12" t="str">
        <x:v>عمان</x:v>
      </x:c>
      <x:c r="D386" s="14" t="n">
        <x:v>9</x:v>
      </x:c>
      <x:c r="E386" s="14" t="n">
        <x:f>VLOOKUP(C386,'Governorate Master'!$A$2:$Q$13,3,FALSE)</x:f>
        <x:v>5004600</x:v>
      </x:c>
      <x:c r="F386" s="66" t="n">
        <x:f>IF(E386=0,0,D386/E386*10000)</x:f>
        <x:v>0.0179834552211965</x:v>
      </x:c>
      <x:c r="G386" s="67" t="n">
        <x:f>VLOOKUP(C386,'Governorate Master'!$A$2:$Q$13,7,FALSE)</x:f>
        <x:v>660.3</x:v>
      </x:c>
      <x:c r="H386" s="20" t="n">
        <x:f>VLOOKUP(C386,'Governorate Master'!$A$2:$Q$13,6,FALSE)</x:f>
        <x:v>0.9721656076409703</x:v>
      </x:c>
      <x:c r="I386" s="20" t="n">
        <x:f>VLOOKUP(C386,'Governorate Master'!$A$2:$Q$13,15,FALSE)</x:f>
        <x:v>0.06367041198501873</x:v>
      </x:c>
      <x:c r="J386" s="12" t="str">
        <x:v>Location model input - competition/saturation context</x:v>
      </x:c>
      <x:c r="K386" s="12" t="str">
        <x:v>Business count is from 2018 while population/context indicators are newer; use as a historical proxy, not a current market count.</x:v>
      </x:c>
    </x:row>
    <x:row r="387">
      <x:c r="A387" s="12" t="str">
        <x:v>1610</x:v>
      </x:c>
      <x:c r="B387" s="12" t="str">
        <x:v>Sawmilling and planing of wood</x:v>
      </x:c>
      <x:c r="C387" s="12" t="str">
        <x:v>البلقاء</x:v>
      </x:c>
      <x:c r="D387" s="14" t="n">
        <x:v>1</x:v>
      </x:c>
      <x:c r="E387" s="14" t="n">
        <x:f>VLOOKUP(C387,'Governorate Master'!$A$2:$Q$13,3,FALSE)</x:f>
        <x:v>614000</x:v>
      </x:c>
      <x:c r="F387" s="66" t="n">
        <x:f>IF(E387=0,0,D387/E387*10000)</x:f>
        <x:v>0.016286644951140065</x:v>
      </x:c>
      <x:c r="G387" s="67" t="n">
        <x:f>VLOOKUP(C387,'Governorate Master'!$A$2:$Q$13,7,FALSE)</x:f>
        <x:v>548</x:v>
      </x:c>
      <x:c r="H387" s="20" t="n">
        <x:f>VLOOKUP(C387,'Governorate Master'!$A$2:$Q$13,6,FALSE)</x:f>
        <x:v>0.8210097719869707</x:v>
      </x:c>
      <x:c r="I387" s="20" t="n">
        <x:f>VLOOKUP(C387,'Governorate Master'!$A$2:$Q$13,15,FALSE)</x:f>
        <x:v>0.10794044665012408</x:v>
      </x:c>
      <x:c r="J387" s="12" t="str">
        <x:v>Location model input - competition/saturation context</x:v>
      </x:c>
      <x:c r="K387" s="12" t="str">
        <x:v>Business count is from 2018 while population/context indicators are newer; use as a historical proxy, not a current market count.</x:v>
      </x:c>
    </x:row>
    <x:row r="388">
      <x:c r="A388" s="12" t="str">
        <x:v>1610</x:v>
      </x:c>
      <x:c r="B388" s="12" t="str">
        <x:v>Sawmilling and planing of wood</x:v>
      </x:c>
      <x:c r="C388" s="12" t="str">
        <x:v>الزرقاء</x:v>
      </x:c>
      <x:c r="D388" s="14" t="n">
        <x:v>2</x:v>
      </x:c>
      <x:c r="E388" s="14" t="n">
        <x:f>VLOOKUP(C388,'Governorate Master'!$A$2:$Q$13,3,FALSE)</x:f>
        <x:v>1704500</x:v>
      </x:c>
      <x:c r="F388" s="66" t="n">
        <x:f>IF(E388=0,0,D388/E388*10000)</x:f>
        <x:v>0.011733646230566148</x:v>
      </x:c>
      <x:c r="G388" s="67" t="n">
        <x:f>VLOOKUP(C388,'Governorate Master'!$A$2:$Q$13,7,FALSE)</x:f>
        <x:v>358</x:v>
      </x:c>
      <x:c r="H388" s="20" t="n">
        <x:f>VLOOKUP(C388,'Governorate Master'!$A$2:$Q$13,6,FALSE)</x:f>
        <x:v>0.9636256966852449</x:v>
      </x:c>
      <x:c r="I388" s="20" t="n">
        <x:f>VLOOKUP(C388,'Governorate Master'!$A$2:$Q$13,15,FALSE)</x:f>
        <x:v>-0.06808762581409118</x:v>
      </x:c>
      <x:c r="J388" s="12" t="str">
        <x:v>Location model input - competition/saturation context</x:v>
      </x:c>
      <x:c r="K388" s="12" t="str">
        <x:v>Business count is from 2018 while population/context indicators are newer; use as a historical proxy, not a current market count.</x:v>
      </x:c>
    </x:row>
    <x:row r="389">
      <x:c r="A389" s="12" t="str">
        <x:v>1610</x:v>
      </x:c>
      <x:c r="B389" s="12" t="str">
        <x:v>Sawmilling and planing of wood</x:v>
      </x:c>
      <x:c r="C389" s="12" t="str">
        <x:v>مادبا</x:v>
      </x:c>
      <x:c r="D389" s="14" t="n">
        <x:v>0</x:v>
      </x:c>
      <x:c r="E389" s="14" t="n">
        <x:f>VLOOKUP(C389,'Governorate Master'!$A$2:$Q$13,3,FALSE)</x:f>
        <x:v>236200</x:v>
      </x:c>
      <x:c r="F389" s="66" t="n">
        <x:f>IF(E389=0,0,D389/E389*10000)</x:f>
        <x:v>0</x:v>
      </x:c>
      <x:c r="G389" s="67" t="n">
        <x:f>VLOOKUP(C389,'Governorate Master'!$A$2:$Q$13,7,FALSE)</x:f>
        <x:v>251.4</x:v>
      </x:c>
      <x:c r="H389" s="20" t="n">
        <x:f>VLOOKUP(C389,'Governorate Master'!$A$2:$Q$13,6,FALSE)</x:f>
        <x:v>0.7823878069432684</x:v>
      </x:c>
      <x:c r="I389" s="20" t="n">
        <x:f>VLOOKUP(C389,'Governorate Master'!$A$2:$Q$13,15,FALSE)</x:f>
        <x:v>-0.18823529411764706</x:v>
      </x:c>
      <x:c r="J389" s="12" t="str">
        <x:v>Location model input - competition/saturation context</x:v>
      </x:c>
      <x:c r="K389" s="12" t="str">
        <x:v>Business count is from 2018 while population/context indicators are newer; use as a historical proxy, not a current market count.</x:v>
      </x:c>
    </x:row>
    <x:row r="390">
      <x:c r="A390" s="12" t="str">
        <x:v>1610</x:v>
      </x:c>
      <x:c r="B390" s="12" t="str">
        <x:v>Sawmilling and planing of wood</x:v>
      </x:c>
      <x:c r="C390" s="12" t="str">
        <x:v>إربد</x:v>
      </x:c>
      <x:c r="D390" s="14" t="n">
        <x:v>4</x:v>
      </x:c>
      <x:c r="E390" s="14" t="n">
        <x:f>VLOOKUP(C390,'Governorate Master'!$A$2:$Q$13,3,FALSE)</x:f>
        <x:v>2210500</x:v>
      </x:c>
      <x:c r="F390" s="66" t="n">
        <x:f>IF(E390=0,0,D390/E390*10000)</x:f>
        <x:v>0.018095453517303777</x:v>
      </x:c>
      <x:c r="G390" s="67" t="n">
        <x:f>VLOOKUP(C390,'Governorate Master'!$A$2:$Q$13,7,FALSE)</x:f>
        <x:v>1406.4</x:v>
      </x:c>
      <x:c r="H390" s="20" t="n">
        <x:f>VLOOKUP(C390,'Governorate Master'!$A$2:$Q$13,6,FALSE)</x:f>
        <x:v>0.9235014702555983</x:v>
      </x:c>
      <x:c r="I390" s="20" t="n">
        <x:f>VLOOKUP(C390,'Governorate Master'!$A$2:$Q$13,15,FALSE)</x:f>
        <x:v>0.07086922474549726</x:v>
      </x:c>
      <x:c r="J390" s="12" t="str">
        <x:v>Location model input - competition/saturation context</x:v>
      </x:c>
      <x:c r="K390" s="12" t="str">
        <x:v>Business count is from 2018 while population/context indicators are newer; use as a historical proxy, not a current market count.</x:v>
      </x:c>
    </x:row>
    <x:row r="391">
      <x:c r="A391" s="12" t="str">
        <x:v>1610</x:v>
      </x:c>
      <x:c r="B391" s="12" t="str">
        <x:v>Sawmilling and planing of wood</x:v>
      </x:c>
      <x:c r="C391" s="12" t="str">
        <x:v>المفرق</x:v>
      </x:c>
      <x:c r="D391" s="14" t="n">
        <x:v>0</x:v>
      </x:c>
      <x:c r="E391" s="14" t="n">
        <x:f>VLOOKUP(C391,'Governorate Master'!$A$2:$Q$13,3,FALSE)</x:f>
        <x:v>686800</x:v>
      </x:c>
      <x:c r="F391" s="66" t="n">
        <x:f>IF(E391=0,0,D391/E391*10000)</x:f>
        <x:v>0</x:v>
      </x:c>
      <x:c r="G391" s="67" t="n">
        <x:f>VLOOKUP(C391,'Governorate Master'!$A$2:$Q$13,7,FALSE)</x:f>
        <x:v>25.9</x:v>
      </x:c>
      <x:c r="H391" s="20" t="n">
        <x:f>VLOOKUP(C391,'Governorate Master'!$A$2:$Q$13,6,FALSE)</x:f>
        <x:v>0.6965637740244612</x:v>
      </x:c>
      <x:c r="I391" s="20" t="n">
        <x:f>VLOOKUP(C391,'Governorate Master'!$A$2:$Q$13,15,FALSE)</x:f>
        <x:v>-0.016638935108153077</x:v>
      </x:c>
      <x:c r="J391" s="12" t="str">
        <x:v>Location model input - competition/saturation context</x:v>
      </x:c>
      <x:c r="K391" s="12" t="str">
        <x:v>Business count is from 2018 while population/context indicators are newer; use as a historical proxy, not a current market count.</x:v>
      </x:c>
    </x:row>
    <x:row r="392">
      <x:c r="A392" s="12" t="str">
        <x:v>1610</x:v>
      </x:c>
      <x:c r="B392" s="12" t="str">
        <x:v>Sawmilling and planing of wood</x:v>
      </x:c>
      <x:c r="C392" s="12" t="str">
        <x:v>جرش</x:v>
      </x:c>
      <x:c r="D392" s="14" t="n">
        <x:v>0</x:v>
      </x:c>
      <x:c r="E392" s="14" t="n">
        <x:f>VLOOKUP(C392,'Governorate Master'!$A$2:$Q$13,3,FALSE)</x:f>
        <x:v>296000</x:v>
      </x:c>
      <x:c r="F392" s="66" t="n">
        <x:f>IF(E392=0,0,D392/E392*10000)</x:f>
        <x:v>0</x:v>
      </x:c>
      <x:c r="G392" s="67" t="n">
        <x:f>VLOOKUP(C392,'Governorate Master'!$A$2:$Q$13,7,FALSE)</x:f>
        <x:v>722.3</x:v>
      </x:c>
      <x:c r="H392" s="20" t="n">
        <x:f>VLOOKUP(C392,'Governorate Master'!$A$2:$Q$13,6,FALSE)</x:f>
        <x:v>0.7695945945945946</x:v>
      </x:c>
      <x:c r="I392" s="20" t="n">
        <x:f>VLOOKUP(C392,'Governorate Master'!$A$2:$Q$13,15,FALSE)</x:f>
        <x:v>-0.06527415143603134</x:v>
      </x:c>
      <x:c r="J392" s="12" t="str">
        <x:v>Location model input - competition/saturation context</x:v>
      </x:c>
      <x:c r="K392" s="12" t="str">
        <x:v>Business count is from 2018 while population/context indicators are newer; use as a historical proxy, not a current market count.</x:v>
      </x:c>
    </x:row>
    <x:row r="393">
      <x:c r="A393" s="12" t="str">
        <x:v>1610</x:v>
      </x:c>
      <x:c r="B393" s="12" t="str">
        <x:v>Sawmilling and planing of wood</x:v>
      </x:c>
      <x:c r="C393" s="12" t="str">
        <x:v>عجلون</x:v>
      </x:c>
      <x:c r="D393" s="14" t="n">
        <x:v>0</x:v>
      </x:c>
      <x:c r="E393" s="14" t="n">
        <x:f>VLOOKUP(C393,'Governorate Master'!$A$2:$Q$13,3,FALSE)</x:f>
        <x:v>219900</x:v>
      </x:c>
      <x:c r="F393" s="66" t="n">
        <x:f>IF(E393=0,0,D393/E393*10000)</x:f>
        <x:v>0</x:v>
      </x:c>
      <x:c r="G393" s="67" t="n">
        <x:f>VLOOKUP(C393,'Governorate Master'!$A$2:$Q$13,7,FALSE)</x:f>
        <x:v>524</x:v>
      </x:c>
      <x:c r="H393" s="20" t="n">
        <x:f>VLOOKUP(C393,'Governorate Master'!$A$2:$Q$13,6,FALSE)</x:f>
        <x:v>0.8390177353342428</x:v>
      </x:c>
      <x:c r="I393" s="20" t="n">
        <x:f>VLOOKUP(C393,'Governorate Master'!$A$2:$Q$13,15,FALSE)</x:f>
        <x:v>0.03614457831325301</x:v>
      </x:c>
      <x:c r="J393" s="12" t="str">
        <x:v>Location model input - competition/saturation context</x:v>
      </x:c>
      <x:c r="K393" s="12" t="str">
        <x:v>Business count is from 2018 while population/context indicators are newer; use as a historical proxy, not a current market count.</x:v>
      </x:c>
    </x:row>
    <x:row r="394">
      <x:c r="A394" s="12" t="str">
        <x:v>1610</x:v>
      </x:c>
      <x:c r="B394" s="12" t="str">
        <x:v>Sawmilling and planing of wood</x:v>
      </x:c>
      <x:c r="C394" s="12" t="str">
        <x:v>الكرك</x:v>
      </x:c>
      <x:c r="D394" s="14" t="n">
        <x:v>0</x:v>
      </x:c>
      <x:c r="E394" s="14" t="n">
        <x:f>VLOOKUP(C394,'Governorate Master'!$A$2:$Q$13,3,FALSE)</x:f>
        <x:v>395400</x:v>
      </x:c>
      <x:c r="F394" s="66" t="n">
        <x:f>IF(E394=0,0,D394/E394*10000)</x:f>
        <x:v>0</x:v>
      </x:c>
      <x:c r="G394" s="67" t="n">
        <x:f>VLOOKUP(C394,'Governorate Master'!$A$2:$Q$13,7,FALSE)</x:f>
        <x:v>113.1</x:v>
      </x:c>
      <x:c r="H394" s="20" t="n">
        <x:f>VLOOKUP(C394,'Governorate Master'!$A$2:$Q$13,6,FALSE)</x:f>
        <x:v>0.5912999494183105</x:v>
      </x:c>
      <x:c r="I394" s="20" t="n">
        <x:f>VLOOKUP(C394,'Governorate Master'!$A$2:$Q$13,15,FALSE)</x:f>
        <x:v>0.08710801393728224</x:v>
      </x:c>
      <x:c r="J394" s="12" t="str">
        <x:v>Location model input - competition/saturation context</x:v>
      </x:c>
      <x:c r="K394" s="12" t="str">
        <x:v>Business count is from 2018 while population/context indicators are newer; use as a historical proxy, not a current market count.</x:v>
      </x:c>
    </x:row>
    <x:row r="395">
      <x:c r="A395" s="12" t="str">
        <x:v>1610</x:v>
      </x:c>
      <x:c r="B395" s="12" t="str">
        <x:v>Sawmilling and planing of wood</x:v>
      </x:c>
      <x:c r="C395" s="12" t="str">
        <x:v>الطفيلة</x:v>
      </x:c>
      <x:c r="D395" s="14" t="n">
        <x:v>0</x:v>
      </x:c>
      <x:c r="E395" s="14" t="n">
        <x:f>VLOOKUP(C395,'Governorate Master'!$A$2:$Q$13,3,FALSE)</x:f>
        <x:v>120300</x:v>
      </x:c>
      <x:c r="F395" s="66" t="n">
        <x:f>IF(E395=0,0,D395/E395*10000)</x:f>
        <x:v>0</x:v>
      </x:c>
      <x:c r="G395" s="67" t="n">
        <x:f>VLOOKUP(C395,'Governorate Master'!$A$2:$Q$13,7,FALSE)</x:f>
        <x:v>54.4</x:v>
      </x:c>
      <x:c r="H395" s="20" t="n">
        <x:f>VLOOKUP(C395,'Governorate Master'!$A$2:$Q$13,6,FALSE)</x:f>
        <x:v>0.7797173732335827</x:v>
      </x:c>
      <x:c r="I395" s="20" t="n">
        <x:f>VLOOKUP(C395,'Governorate Master'!$A$2:$Q$13,15,FALSE)</x:f>
        <x:v>0.18452380952380953</x:v>
      </x:c>
      <x:c r="J395" s="12" t="str">
        <x:v>Location model input - competition/saturation context</x:v>
      </x:c>
      <x:c r="K395" s="12" t="str">
        <x:v>Business count is from 2018 while population/context indicators are newer; use as a historical proxy, not a current market count.</x:v>
      </x:c>
    </x:row>
    <x:row r="396">
      <x:c r="A396" s="12" t="str">
        <x:v>1610</x:v>
      </x:c>
      <x:c r="B396" s="12" t="str">
        <x:v>Sawmilling and planing of wood</x:v>
      </x:c>
      <x:c r="C396" s="12" t="str">
        <x:v>معان</x:v>
      </x:c>
      <x:c r="D396" s="14" t="n">
        <x:v>0</x:v>
      </x:c>
      <x:c r="E396" s="14" t="n">
        <x:f>VLOOKUP(C396,'Governorate Master'!$A$2:$Q$13,3,FALSE)</x:f>
        <x:v>197900</x:v>
      </x:c>
      <x:c r="F396" s="66" t="n">
        <x:f>IF(E396=0,0,D396/E396*10000)</x:f>
        <x:v>0</x:v>
      </x:c>
      <x:c r="G396" s="67" t="n">
        <x:f>VLOOKUP(C396,'Governorate Master'!$A$2:$Q$13,7,FALSE)</x:f>
        <x:v>6</x:v>
      </x:c>
      <x:c r="H396" s="20" t="n">
        <x:f>VLOOKUP(C396,'Governorate Master'!$A$2:$Q$13,6,FALSE)</x:f>
        <x:v>0.5406771096513391</x:v>
      </x:c>
      <x:c r="I396" s="20" t="n">
        <x:f>VLOOKUP(C396,'Governorate Master'!$A$2:$Q$13,15,FALSE)</x:f>
        <x:v>0.026845637583892617</x:v>
      </x:c>
      <x:c r="J396" s="12" t="str">
        <x:v>Location model input - competition/saturation context</x:v>
      </x:c>
      <x:c r="K396" s="12" t="str">
        <x:v>Business count is from 2018 while population/context indicators are newer; use as a historical proxy, not a current market count.</x:v>
      </x:c>
    </x:row>
    <x:row r="397">
      <x:c r="A397" s="12" t="str">
        <x:v>1610</x:v>
      </x:c>
      <x:c r="B397" s="12" t="str">
        <x:v>Sawmilling and planing of wood</x:v>
      </x:c>
      <x:c r="C397" s="12" t="str">
        <x:v>العقبة</x:v>
      </x:c>
      <x:c r="D397" s="14" t="n">
        <x:v>0</x:v>
      </x:c>
      <x:c r="E397" s="14" t="n">
        <x:f>VLOOKUP(C397,'Governorate Master'!$A$2:$Q$13,3,FALSE)</x:f>
        <x:v>250900</x:v>
      </x:c>
      <x:c r="F397" s="66" t="n">
        <x:f>IF(E397=0,0,D397/E397*10000)</x:f>
        <x:v>0</x:v>
      </x:c>
      <x:c r="G397" s="67" t="n">
        <x:f>VLOOKUP(C397,'Governorate Master'!$A$2:$Q$13,7,FALSE)</x:f>
        <x:v>36.3</x:v>
      </x:c>
      <x:c r="H397" s="20" t="n">
        <x:f>VLOOKUP(C397,'Governorate Master'!$A$2:$Q$13,6,FALSE)</x:f>
        <x:v>0.882024711040255</x:v>
      </x:c>
      <x:c r="I397" s="20" t="n">
        <x:f>VLOOKUP(C397,'Governorate Master'!$A$2:$Q$13,15,FALSE)</x:f>
        <x:v>-0.09</x:v>
      </x:c>
      <x:c r="J397" s="12" t="str">
        <x:v>Location model input - competition/saturation context</x:v>
      </x:c>
      <x:c r="K397" s="12" t="str">
        <x:v>Business count is from 2018 while population/context indicators are newer; use as a historical proxy, not a current market count.</x:v>
      </x:c>
    </x:row>
    <x:row r="398">
      <x:c r="A398" s="12" t="str">
        <x:v>1621</x:v>
      </x:c>
      <x:c r="B398" s="12" t="str">
        <x:v>Manufacture of veneer sheets and wood-based panels</x:v>
      </x:c>
      <x:c r="C398" s="12" t="str">
        <x:v>عمان</x:v>
      </x:c>
      <x:c r="D398" s="14" t="n">
        <x:v>18</x:v>
      </x:c>
      <x:c r="E398" s="14" t="n">
        <x:f>VLOOKUP(C398,'Governorate Master'!$A$2:$Q$13,3,FALSE)</x:f>
        <x:v>5004600</x:v>
      </x:c>
      <x:c r="F398" s="66" t="n">
        <x:f>IF(E398=0,0,D398/E398*10000)</x:f>
        <x:v>0.035966910442393</x:v>
      </x:c>
      <x:c r="G398" s="67" t="n">
        <x:f>VLOOKUP(C398,'Governorate Master'!$A$2:$Q$13,7,FALSE)</x:f>
        <x:v>660.3</x:v>
      </x:c>
      <x:c r="H398" s="20" t="n">
        <x:f>VLOOKUP(C398,'Governorate Master'!$A$2:$Q$13,6,FALSE)</x:f>
        <x:v>0.9721656076409703</x:v>
      </x:c>
      <x:c r="I398" s="20" t="n">
        <x:f>VLOOKUP(C398,'Governorate Master'!$A$2:$Q$13,15,FALSE)</x:f>
        <x:v>0.06367041198501873</x:v>
      </x:c>
      <x:c r="J398" s="12" t="str">
        <x:v>Location model input - competition/saturation context</x:v>
      </x:c>
      <x:c r="K398" s="12" t="str">
        <x:v>Business count is from 2018 while population/context indicators are newer; use as a historical proxy, not a current market count.</x:v>
      </x:c>
    </x:row>
    <x:row r="399">
      <x:c r="A399" s="12" t="str">
        <x:v>1621</x:v>
      </x:c>
      <x:c r="B399" s="12" t="str">
        <x:v>Manufacture of veneer sheets and wood-based panels</x:v>
      </x:c>
      <x:c r="C399" s="12" t="str">
        <x:v>البلقاء</x:v>
      </x:c>
      <x:c r="D399" s="14" t="n">
        <x:v>1</x:v>
      </x:c>
      <x:c r="E399" s="14" t="n">
        <x:f>VLOOKUP(C399,'Governorate Master'!$A$2:$Q$13,3,FALSE)</x:f>
        <x:v>614000</x:v>
      </x:c>
      <x:c r="F399" s="66" t="n">
        <x:f>IF(E399=0,0,D399/E399*10000)</x:f>
        <x:v>0.016286644951140065</x:v>
      </x:c>
      <x:c r="G399" s="67" t="n">
        <x:f>VLOOKUP(C399,'Governorate Master'!$A$2:$Q$13,7,FALSE)</x:f>
        <x:v>548</x:v>
      </x:c>
      <x:c r="H399" s="20" t="n">
        <x:f>VLOOKUP(C399,'Governorate Master'!$A$2:$Q$13,6,FALSE)</x:f>
        <x:v>0.8210097719869707</x:v>
      </x:c>
      <x:c r="I399" s="20" t="n">
        <x:f>VLOOKUP(C399,'Governorate Master'!$A$2:$Q$13,15,FALSE)</x:f>
        <x:v>0.10794044665012408</x:v>
      </x:c>
      <x:c r="J399" s="12" t="str">
        <x:v>Location model input - competition/saturation context</x:v>
      </x:c>
      <x:c r="K399" s="12" t="str">
        <x:v>Business count is from 2018 while population/context indicators are newer; use as a historical proxy, not a current market count.</x:v>
      </x:c>
    </x:row>
    <x:row r="400">
      <x:c r="A400" s="12" t="str">
        <x:v>1621</x:v>
      </x:c>
      <x:c r="B400" s="12" t="str">
        <x:v>Manufacture of veneer sheets and wood-based panels</x:v>
      </x:c>
      <x:c r="C400" s="12" t="str">
        <x:v>الزرقاء</x:v>
      </x:c>
      <x:c r="D400" s="14" t="n">
        <x:v>2</x:v>
      </x:c>
      <x:c r="E400" s="14" t="n">
        <x:f>VLOOKUP(C400,'Governorate Master'!$A$2:$Q$13,3,FALSE)</x:f>
        <x:v>1704500</x:v>
      </x:c>
      <x:c r="F400" s="66" t="n">
        <x:f>IF(E400=0,0,D400/E400*10000)</x:f>
        <x:v>0.011733646230566148</x:v>
      </x:c>
      <x:c r="G400" s="67" t="n">
        <x:f>VLOOKUP(C400,'Governorate Master'!$A$2:$Q$13,7,FALSE)</x:f>
        <x:v>358</x:v>
      </x:c>
      <x:c r="H400" s="20" t="n">
        <x:f>VLOOKUP(C400,'Governorate Master'!$A$2:$Q$13,6,FALSE)</x:f>
        <x:v>0.9636256966852449</x:v>
      </x:c>
      <x:c r="I400" s="20" t="n">
        <x:f>VLOOKUP(C400,'Governorate Master'!$A$2:$Q$13,15,FALSE)</x:f>
        <x:v>-0.06808762581409118</x:v>
      </x:c>
      <x:c r="J400" s="12" t="str">
        <x:v>Location model input - competition/saturation context</x:v>
      </x:c>
      <x:c r="K400" s="12" t="str">
        <x:v>Business count is from 2018 while population/context indicators are newer; use as a historical proxy, not a current market count.</x:v>
      </x:c>
    </x:row>
    <x:row r="401">
      <x:c r="A401" s="12" t="str">
        <x:v>1621</x:v>
      </x:c>
      <x:c r="B401" s="12" t="str">
        <x:v>Manufacture of veneer sheets and wood-based panels</x:v>
      </x:c>
      <x:c r="C401" s="12" t="str">
        <x:v>مادبا</x:v>
      </x:c>
      <x:c r="D401" s="14" t="n">
        <x:v>0</x:v>
      </x:c>
      <x:c r="E401" s="14" t="n">
        <x:f>VLOOKUP(C401,'Governorate Master'!$A$2:$Q$13,3,FALSE)</x:f>
        <x:v>236200</x:v>
      </x:c>
      <x:c r="F401" s="66" t="n">
        <x:f>IF(E401=0,0,D401/E401*10000)</x:f>
        <x:v>0</x:v>
      </x:c>
      <x:c r="G401" s="67" t="n">
        <x:f>VLOOKUP(C401,'Governorate Master'!$A$2:$Q$13,7,FALSE)</x:f>
        <x:v>251.4</x:v>
      </x:c>
      <x:c r="H401" s="20" t="n">
        <x:f>VLOOKUP(C401,'Governorate Master'!$A$2:$Q$13,6,FALSE)</x:f>
        <x:v>0.7823878069432684</x:v>
      </x:c>
      <x:c r="I401" s="20" t="n">
        <x:f>VLOOKUP(C401,'Governorate Master'!$A$2:$Q$13,15,FALSE)</x:f>
        <x:v>-0.18823529411764706</x:v>
      </x:c>
      <x:c r="J401" s="12" t="str">
        <x:v>Location model input - competition/saturation context</x:v>
      </x:c>
      <x:c r="K401" s="12" t="str">
        <x:v>Business count is from 2018 while population/context indicators are newer; use as a historical proxy, not a current market count.</x:v>
      </x:c>
    </x:row>
    <x:row r="402">
      <x:c r="A402" s="12" t="str">
        <x:v>1621</x:v>
      </x:c>
      <x:c r="B402" s="12" t="str">
        <x:v>Manufacture of veneer sheets and wood-based panels</x:v>
      </x:c>
      <x:c r="C402" s="12" t="str">
        <x:v>إربد</x:v>
      </x:c>
      <x:c r="D402" s="14" t="n">
        <x:v>1</x:v>
      </x:c>
      <x:c r="E402" s="14" t="n">
        <x:f>VLOOKUP(C402,'Governorate Master'!$A$2:$Q$13,3,FALSE)</x:f>
        <x:v>2210500</x:v>
      </x:c>
      <x:c r="F402" s="66" t="n">
        <x:f>IF(E402=0,0,D402/E402*10000)</x:f>
        <x:v>0.004523863379325944</x:v>
      </x:c>
      <x:c r="G402" s="67" t="n">
        <x:f>VLOOKUP(C402,'Governorate Master'!$A$2:$Q$13,7,FALSE)</x:f>
        <x:v>1406.4</x:v>
      </x:c>
      <x:c r="H402" s="20" t="n">
        <x:f>VLOOKUP(C402,'Governorate Master'!$A$2:$Q$13,6,FALSE)</x:f>
        <x:v>0.9235014702555983</x:v>
      </x:c>
      <x:c r="I402" s="20" t="n">
        <x:f>VLOOKUP(C402,'Governorate Master'!$A$2:$Q$13,15,FALSE)</x:f>
        <x:v>0.07086922474549726</x:v>
      </x:c>
      <x:c r="J402" s="12" t="str">
        <x:v>Location model input - competition/saturation context</x:v>
      </x:c>
      <x:c r="K402" s="12" t="str">
        <x:v>Business count is from 2018 while population/context indicators are newer; use as a historical proxy, not a current market count.</x:v>
      </x:c>
    </x:row>
    <x:row r="403">
      <x:c r="A403" s="12" t="str">
        <x:v>1621</x:v>
      </x:c>
      <x:c r="B403" s="12" t="str">
        <x:v>Manufacture of veneer sheets and wood-based panels</x:v>
      </x:c>
      <x:c r="C403" s="12" t="str">
        <x:v>المفرق</x:v>
      </x:c>
      <x:c r="D403" s="14" t="n">
        <x:v>0</x:v>
      </x:c>
      <x:c r="E403" s="14" t="n">
        <x:f>VLOOKUP(C403,'Governorate Master'!$A$2:$Q$13,3,FALSE)</x:f>
        <x:v>686800</x:v>
      </x:c>
      <x:c r="F403" s="66" t="n">
        <x:f>IF(E403=0,0,D403/E403*10000)</x:f>
        <x:v>0</x:v>
      </x:c>
      <x:c r="G403" s="67" t="n">
        <x:f>VLOOKUP(C403,'Governorate Master'!$A$2:$Q$13,7,FALSE)</x:f>
        <x:v>25.9</x:v>
      </x:c>
      <x:c r="H403" s="20" t="n">
        <x:f>VLOOKUP(C403,'Governorate Master'!$A$2:$Q$13,6,FALSE)</x:f>
        <x:v>0.6965637740244612</x:v>
      </x:c>
      <x:c r="I403" s="20" t="n">
        <x:f>VLOOKUP(C403,'Governorate Master'!$A$2:$Q$13,15,FALSE)</x:f>
        <x:v>-0.016638935108153077</x:v>
      </x:c>
      <x:c r="J403" s="12" t="str">
        <x:v>Location model input - competition/saturation context</x:v>
      </x:c>
      <x:c r="K403" s="12" t="str">
        <x:v>Business count is from 2018 while population/context indicators are newer; use as a historical proxy, not a current market count.</x:v>
      </x:c>
    </x:row>
    <x:row r="404">
      <x:c r="A404" s="12" t="str">
        <x:v>1621</x:v>
      </x:c>
      <x:c r="B404" s="12" t="str">
        <x:v>Manufacture of veneer sheets and wood-based panels</x:v>
      </x:c>
      <x:c r="C404" s="12" t="str">
        <x:v>جرش</x:v>
      </x:c>
      <x:c r="D404" s="14" t="n">
        <x:v>0</x:v>
      </x:c>
      <x:c r="E404" s="14" t="n">
        <x:f>VLOOKUP(C404,'Governorate Master'!$A$2:$Q$13,3,FALSE)</x:f>
        <x:v>296000</x:v>
      </x:c>
      <x:c r="F404" s="66" t="n">
        <x:f>IF(E404=0,0,D404/E404*10000)</x:f>
        <x:v>0</x:v>
      </x:c>
      <x:c r="G404" s="67" t="n">
        <x:f>VLOOKUP(C404,'Governorate Master'!$A$2:$Q$13,7,FALSE)</x:f>
        <x:v>722.3</x:v>
      </x:c>
      <x:c r="H404" s="20" t="n">
        <x:f>VLOOKUP(C404,'Governorate Master'!$A$2:$Q$13,6,FALSE)</x:f>
        <x:v>0.7695945945945946</x:v>
      </x:c>
      <x:c r="I404" s="20" t="n">
        <x:f>VLOOKUP(C404,'Governorate Master'!$A$2:$Q$13,15,FALSE)</x:f>
        <x:v>-0.06527415143603134</x:v>
      </x:c>
      <x:c r="J404" s="12" t="str">
        <x:v>Location model input - competition/saturation context</x:v>
      </x:c>
      <x:c r="K404" s="12" t="str">
        <x:v>Business count is from 2018 while population/context indicators are newer; use as a historical proxy, not a current market count.</x:v>
      </x:c>
    </x:row>
    <x:row r="405">
      <x:c r="A405" s="12" t="str">
        <x:v>1621</x:v>
      </x:c>
      <x:c r="B405" s="12" t="str">
        <x:v>Manufacture of veneer sheets and wood-based panels</x:v>
      </x:c>
      <x:c r="C405" s="12" t="str">
        <x:v>عجلون</x:v>
      </x:c>
      <x:c r="D405" s="14" t="n">
        <x:v>0</x:v>
      </x:c>
      <x:c r="E405" s="14" t="n">
        <x:f>VLOOKUP(C405,'Governorate Master'!$A$2:$Q$13,3,FALSE)</x:f>
        <x:v>219900</x:v>
      </x:c>
      <x:c r="F405" s="66" t="n">
        <x:f>IF(E405=0,0,D405/E405*10000)</x:f>
        <x:v>0</x:v>
      </x:c>
      <x:c r="G405" s="67" t="n">
        <x:f>VLOOKUP(C405,'Governorate Master'!$A$2:$Q$13,7,FALSE)</x:f>
        <x:v>524</x:v>
      </x:c>
      <x:c r="H405" s="20" t="n">
        <x:f>VLOOKUP(C405,'Governorate Master'!$A$2:$Q$13,6,FALSE)</x:f>
        <x:v>0.8390177353342428</x:v>
      </x:c>
      <x:c r="I405" s="20" t="n">
        <x:f>VLOOKUP(C405,'Governorate Master'!$A$2:$Q$13,15,FALSE)</x:f>
        <x:v>0.03614457831325301</x:v>
      </x:c>
      <x:c r="J405" s="12" t="str">
        <x:v>Location model input - competition/saturation context</x:v>
      </x:c>
      <x:c r="K405" s="12" t="str">
        <x:v>Business count is from 2018 while population/context indicators are newer; use as a historical proxy, not a current market count.</x:v>
      </x:c>
    </x:row>
    <x:row r="406">
      <x:c r="A406" s="12" t="str">
        <x:v>1621</x:v>
      </x:c>
      <x:c r="B406" s="12" t="str">
        <x:v>Manufacture of veneer sheets and wood-based panels</x:v>
      </x:c>
      <x:c r="C406" s="12" t="str">
        <x:v>الكرك</x:v>
      </x:c>
      <x:c r="D406" s="14" t="n">
        <x:v>0</x:v>
      </x:c>
      <x:c r="E406" s="14" t="n">
        <x:f>VLOOKUP(C406,'Governorate Master'!$A$2:$Q$13,3,FALSE)</x:f>
        <x:v>395400</x:v>
      </x:c>
      <x:c r="F406" s="66" t="n">
        <x:f>IF(E406=0,0,D406/E406*10000)</x:f>
        <x:v>0</x:v>
      </x:c>
      <x:c r="G406" s="67" t="n">
        <x:f>VLOOKUP(C406,'Governorate Master'!$A$2:$Q$13,7,FALSE)</x:f>
        <x:v>113.1</x:v>
      </x:c>
      <x:c r="H406" s="20" t="n">
        <x:f>VLOOKUP(C406,'Governorate Master'!$A$2:$Q$13,6,FALSE)</x:f>
        <x:v>0.5912999494183105</x:v>
      </x:c>
      <x:c r="I406" s="20" t="n">
        <x:f>VLOOKUP(C406,'Governorate Master'!$A$2:$Q$13,15,FALSE)</x:f>
        <x:v>0.08710801393728224</x:v>
      </x:c>
      <x:c r="J406" s="12" t="str">
        <x:v>Location model input - competition/saturation context</x:v>
      </x:c>
      <x:c r="K406" s="12" t="str">
        <x:v>Business count is from 2018 while population/context indicators are newer; use as a historical proxy, not a current market count.</x:v>
      </x:c>
    </x:row>
    <x:row r="407">
      <x:c r="A407" s="12" t="str">
        <x:v>1621</x:v>
      </x:c>
      <x:c r="B407" s="12" t="str">
        <x:v>Manufacture of veneer sheets and wood-based panels</x:v>
      </x:c>
      <x:c r="C407" s="12" t="str">
        <x:v>الطفيلة</x:v>
      </x:c>
      <x:c r="D407" s="14" t="n">
        <x:v>0</x:v>
      </x:c>
      <x:c r="E407" s="14" t="n">
        <x:f>VLOOKUP(C407,'Governorate Master'!$A$2:$Q$13,3,FALSE)</x:f>
        <x:v>120300</x:v>
      </x:c>
      <x:c r="F407" s="66" t="n">
        <x:f>IF(E407=0,0,D407/E407*10000)</x:f>
        <x:v>0</x:v>
      </x:c>
      <x:c r="G407" s="67" t="n">
        <x:f>VLOOKUP(C407,'Governorate Master'!$A$2:$Q$13,7,FALSE)</x:f>
        <x:v>54.4</x:v>
      </x:c>
      <x:c r="H407" s="20" t="n">
        <x:f>VLOOKUP(C407,'Governorate Master'!$A$2:$Q$13,6,FALSE)</x:f>
        <x:v>0.7797173732335827</x:v>
      </x:c>
      <x:c r="I407" s="20" t="n">
        <x:f>VLOOKUP(C407,'Governorate Master'!$A$2:$Q$13,15,FALSE)</x:f>
        <x:v>0.18452380952380953</x:v>
      </x:c>
      <x:c r="J407" s="12" t="str">
        <x:v>Location model input - competition/saturation context</x:v>
      </x:c>
      <x:c r="K407" s="12" t="str">
        <x:v>Business count is from 2018 while population/context indicators are newer; use as a historical proxy, not a current market count.</x:v>
      </x:c>
    </x:row>
    <x:row r="408">
      <x:c r="A408" s="12" t="str">
        <x:v>1621</x:v>
      </x:c>
      <x:c r="B408" s="12" t="str">
        <x:v>Manufacture of veneer sheets and wood-based panels</x:v>
      </x:c>
      <x:c r="C408" s="12" t="str">
        <x:v>معان</x:v>
      </x:c>
      <x:c r="D408" s="14" t="n">
        <x:v>0</x:v>
      </x:c>
      <x:c r="E408" s="14" t="n">
        <x:f>VLOOKUP(C408,'Governorate Master'!$A$2:$Q$13,3,FALSE)</x:f>
        <x:v>197900</x:v>
      </x:c>
      <x:c r="F408" s="66" t="n">
        <x:f>IF(E408=0,0,D408/E408*10000)</x:f>
        <x:v>0</x:v>
      </x:c>
      <x:c r="G408" s="67" t="n">
        <x:f>VLOOKUP(C408,'Governorate Master'!$A$2:$Q$13,7,FALSE)</x:f>
        <x:v>6</x:v>
      </x:c>
      <x:c r="H408" s="20" t="n">
        <x:f>VLOOKUP(C408,'Governorate Master'!$A$2:$Q$13,6,FALSE)</x:f>
        <x:v>0.5406771096513391</x:v>
      </x:c>
      <x:c r="I408" s="20" t="n">
        <x:f>VLOOKUP(C408,'Governorate Master'!$A$2:$Q$13,15,FALSE)</x:f>
        <x:v>0.026845637583892617</x:v>
      </x:c>
      <x:c r="J408" s="12" t="str">
        <x:v>Location model input - competition/saturation context</x:v>
      </x:c>
      <x:c r="K408" s="12" t="str">
        <x:v>Business count is from 2018 while population/context indicators are newer; use as a historical proxy, not a current market count.</x:v>
      </x:c>
    </x:row>
    <x:row r="409">
      <x:c r="A409" s="12" t="str">
        <x:v>1621</x:v>
      </x:c>
      <x:c r="B409" s="12" t="str">
        <x:v>Manufacture of veneer sheets and wood-based panels</x:v>
      </x:c>
      <x:c r="C409" s="12" t="str">
        <x:v>العقبة</x:v>
      </x:c>
      <x:c r="D409" s="14" t="n">
        <x:v>0</x:v>
      </x:c>
      <x:c r="E409" s="14" t="n">
        <x:f>VLOOKUP(C409,'Governorate Master'!$A$2:$Q$13,3,FALSE)</x:f>
        <x:v>250900</x:v>
      </x:c>
      <x:c r="F409" s="66" t="n">
        <x:f>IF(E409=0,0,D409/E409*10000)</x:f>
        <x:v>0</x:v>
      </x:c>
      <x:c r="G409" s="67" t="n">
        <x:f>VLOOKUP(C409,'Governorate Master'!$A$2:$Q$13,7,FALSE)</x:f>
        <x:v>36.3</x:v>
      </x:c>
      <x:c r="H409" s="20" t="n">
        <x:f>VLOOKUP(C409,'Governorate Master'!$A$2:$Q$13,6,FALSE)</x:f>
        <x:v>0.882024711040255</x:v>
      </x:c>
      <x:c r="I409" s="20" t="n">
        <x:f>VLOOKUP(C409,'Governorate Master'!$A$2:$Q$13,15,FALSE)</x:f>
        <x:v>-0.09</x:v>
      </x:c>
      <x:c r="J409" s="12" t="str">
        <x:v>Location model input - competition/saturation context</x:v>
      </x:c>
      <x:c r="K409" s="12" t="str">
        <x:v>Business count is from 2018 while population/context indicators are newer; use as a historical proxy, not a current market count.</x:v>
      </x:c>
    </x:row>
    <x:row r="410">
      <x:c r="A410" s="12" t="str">
        <x:v>1622</x:v>
      </x:c>
      <x:c r="B410" s="12" t="str">
        <x:v>Manufacture of builders' carpentry and joinery</x:v>
      </x:c>
      <x:c r="C410" s="12" t="str">
        <x:v>عمان</x:v>
      </x:c>
      <x:c r="D410" s="14" t="n">
        <x:v>442</x:v>
      </x:c>
      <x:c r="E410" s="14" t="n">
        <x:f>VLOOKUP(C410,'Governorate Master'!$A$2:$Q$13,3,FALSE)</x:f>
        <x:v>5004600</x:v>
      </x:c>
      <x:c r="F410" s="66" t="n">
        <x:f>IF(E410=0,0,D410/E410*10000)</x:f>
        <x:v>0.8831874675298725</x:v>
      </x:c>
      <x:c r="G410" s="67" t="n">
        <x:f>VLOOKUP(C410,'Governorate Master'!$A$2:$Q$13,7,FALSE)</x:f>
        <x:v>660.3</x:v>
      </x:c>
      <x:c r="H410" s="20" t="n">
        <x:f>VLOOKUP(C410,'Governorate Master'!$A$2:$Q$13,6,FALSE)</x:f>
        <x:v>0.9721656076409703</x:v>
      </x:c>
      <x:c r="I410" s="20" t="n">
        <x:f>VLOOKUP(C410,'Governorate Master'!$A$2:$Q$13,15,FALSE)</x:f>
        <x:v>0.06367041198501873</x:v>
      </x:c>
      <x:c r="J410" s="12" t="str">
        <x:v>Location model input - competition/saturation context</x:v>
      </x:c>
      <x:c r="K410" s="12" t="str">
        <x:v>Business count is from 2018 while population/context indicators are newer; use as a historical proxy, not a current market count.</x:v>
      </x:c>
    </x:row>
    <x:row r="411">
      <x:c r="A411" s="12" t="str">
        <x:v>1622</x:v>
      </x:c>
      <x:c r="B411" s="12" t="str">
        <x:v>Manufacture of builders' carpentry and joinery</x:v>
      </x:c>
      <x:c r="C411" s="12" t="str">
        <x:v>البلقاء</x:v>
      </x:c>
      <x:c r="D411" s="14" t="n">
        <x:v>112</x:v>
      </x:c>
      <x:c r="E411" s="14" t="n">
        <x:f>VLOOKUP(C411,'Governorate Master'!$A$2:$Q$13,3,FALSE)</x:f>
        <x:v>614000</x:v>
      </x:c>
      <x:c r="F411" s="66" t="n">
        <x:f>IF(E411=0,0,D411/E411*10000)</x:f>
        <x:v>1.8241042345276874</x:v>
      </x:c>
      <x:c r="G411" s="67" t="n">
        <x:f>VLOOKUP(C411,'Governorate Master'!$A$2:$Q$13,7,FALSE)</x:f>
        <x:v>548</x:v>
      </x:c>
      <x:c r="H411" s="20" t="n">
        <x:f>VLOOKUP(C411,'Governorate Master'!$A$2:$Q$13,6,FALSE)</x:f>
        <x:v>0.8210097719869707</x:v>
      </x:c>
      <x:c r="I411" s="20" t="n">
        <x:f>VLOOKUP(C411,'Governorate Master'!$A$2:$Q$13,15,FALSE)</x:f>
        <x:v>0.10794044665012408</x:v>
      </x:c>
      <x:c r="J411" s="12" t="str">
        <x:v>Location model input - competition/saturation context</x:v>
      </x:c>
      <x:c r="K411" s="12" t="str">
        <x:v>Business count is from 2018 while population/context indicators are newer; use as a historical proxy, not a current market count.</x:v>
      </x:c>
    </x:row>
    <x:row r="412">
      <x:c r="A412" s="12" t="str">
        <x:v>1622</x:v>
      </x:c>
      <x:c r="B412" s="12" t="str">
        <x:v>Manufacture of builders' carpentry and joinery</x:v>
      </x:c>
      <x:c r="C412" s="12" t="str">
        <x:v>الزرقاء</x:v>
      </x:c>
      <x:c r="D412" s="14" t="n">
        <x:v>164</x:v>
      </x:c>
      <x:c r="E412" s="14" t="n">
        <x:f>VLOOKUP(C412,'Governorate Master'!$A$2:$Q$13,3,FALSE)</x:f>
        <x:v>1704500</x:v>
      </x:c>
      <x:c r="F412" s="66" t="n">
        <x:f>IF(E412=0,0,D412/E412*10000)</x:f>
        <x:v>0.9621589909064242</x:v>
      </x:c>
      <x:c r="G412" s="67" t="n">
        <x:f>VLOOKUP(C412,'Governorate Master'!$A$2:$Q$13,7,FALSE)</x:f>
        <x:v>358</x:v>
      </x:c>
      <x:c r="H412" s="20" t="n">
        <x:f>VLOOKUP(C412,'Governorate Master'!$A$2:$Q$13,6,FALSE)</x:f>
        <x:v>0.9636256966852449</x:v>
      </x:c>
      <x:c r="I412" s="20" t="n">
        <x:f>VLOOKUP(C412,'Governorate Master'!$A$2:$Q$13,15,FALSE)</x:f>
        <x:v>-0.06808762581409118</x:v>
      </x:c>
      <x:c r="J412" s="12" t="str">
        <x:v>Location model input - competition/saturation context</x:v>
      </x:c>
      <x:c r="K412" s="12" t="str">
        <x:v>Business count is from 2018 while population/context indicators are newer; use as a historical proxy, not a current market count.</x:v>
      </x:c>
    </x:row>
    <x:row r="413">
      <x:c r="A413" s="12" t="str">
        <x:v>1622</x:v>
      </x:c>
      <x:c r="B413" s="12" t="str">
        <x:v>Manufacture of builders' carpentry and joinery</x:v>
      </x:c>
      <x:c r="C413" s="12" t="str">
        <x:v>مادبا</x:v>
      </x:c>
      <x:c r="D413" s="14" t="n">
        <x:v>18</x:v>
      </x:c>
      <x:c r="E413" s="14" t="n">
        <x:f>VLOOKUP(C413,'Governorate Master'!$A$2:$Q$13,3,FALSE)</x:f>
        <x:v>236200</x:v>
      </x:c>
      <x:c r="F413" s="66" t="n">
        <x:f>IF(E413=0,0,D413/E413*10000)</x:f>
        <x:v>0.7620660457239627</x:v>
      </x:c>
      <x:c r="G413" s="67" t="n">
        <x:f>VLOOKUP(C413,'Governorate Master'!$A$2:$Q$13,7,FALSE)</x:f>
        <x:v>251.4</x:v>
      </x:c>
      <x:c r="H413" s="20" t="n">
        <x:f>VLOOKUP(C413,'Governorate Master'!$A$2:$Q$13,6,FALSE)</x:f>
        <x:v>0.7823878069432684</x:v>
      </x:c>
      <x:c r="I413" s="20" t="n">
        <x:f>VLOOKUP(C413,'Governorate Master'!$A$2:$Q$13,15,FALSE)</x:f>
        <x:v>-0.18823529411764706</x:v>
      </x:c>
      <x:c r="J413" s="12" t="str">
        <x:v>Location model input - competition/saturation context</x:v>
      </x:c>
      <x:c r="K413" s="12" t="str">
        <x:v>Business count is from 2018 while population/context indicators are newer; use as a historical proxy, not a current market count.</x:v>
      </x:c>
    </x:row>
    <x:row r="414">
      <x:c r="A414" s="12" t="str">
        <x:v>1622</x:v>
      </x:c>
      <x:c r="B414" s="12" t="str">
        <x:v>Manufacture of builders' carpentry and joinery</x:v>
      </x:c>
      <x:c r="C414" s="12" t="str">
        <x:v>إربد</x:v>
      </x:c>
      <x:c r="D414" s="14" t="n">
        <x:v>190</x:v>
      </x:c>
      <x:c r="E414" s="14" t="n">
        <x:f>VLOOKUP(C414,'Governorate Master'!$A$2:$Q$13,3,FALSE)</x:f>
        <x:v>2210500</x:v>
      </x:c>
      <x:c r="F414" s="66" t="n">
        <x:f>IF(E414=0,0,D414/E414*10000)</x:f>
        <x:v>0.8595340420719294</x:v>
      </x:c>
      <x:c r="G414" s="67" t="n">
        <x:f>VLOOKUP(C414,'Governorate Master'!$A$2:$Q$13,7,FALSE)</x:f>
        <x:v>1406.4</x:v>
      </x:c>
      <x:c r="H414" s="20" t="n">
        <x:f>VLOOKUP(C414,'Governorate Master'!$A$2:$Q$13,6,FALSE)</x:f>
        <x:v>0.9235014702555983</x:v>
      </x:c>
      <x:c r="I414" s="20" t="n">
        <x:f>VLOOKUP(C414,'Governorate Master'!$A$2:$Q$13,15,FALSE)</x:f>
        <x:v>0.07086922474549726</x:v>
      </x:c>
      <x:c r="J414" s="12" t="str">
        <x:v>Location model input - competition/saturation context</x:v>
      </x:c>
      <x:c r="K414" s="12" t="str">
        <x:v>Business count is from 2018 while population/context indicators are newer; use as a historical proxy, not a current market count.</x:v>
      </x:c>
    </x:row>
    <x:row r="415">
      <x:c r="A415" s="12" t="str">
        <x:v>1622</x:v>
      </x:c>
      <x:c r="B415" s="12" t="str">
        <x:v>Manufacture of builders' carpentry and joinery</x:v>
      </x:c>
      <x:c r="C415" s="12" t="str">
        <x:v>المفرق</x:v>
      </x:c>
      <x:c r="D415" s="14" t="n">
        <x:v>27</x:v>
      </x:c>
      <x:c r="E415" s="14" t="n">
        <x:f>VLOOKUP(C415,'Governorate Master'!$A$2:$Q$13,3,FALSE)</x:f>
        <x:v>686800</x:v>
      </x:c>
      <x:c r="F415" s="66" t="n">
        <x:f>IF(E415=0,0,D415/E415*10000)</x:f>
        <x:v>0.3931275480489225</x:v>
      </x:c>
      <x:c r="G415" s="67" t="n">
        <x:f>VLOOKUP(C415,'Governorate Master'!$A$2:$Q$13,7,FALSE)</x:f>
        <x:v>25.9</x:v>
      </x:c>
      <x:c r="H415" s="20" t="n">
        <x:f>VLOOKUP(C415,'Governorate Master'!$A$2:$Q$13,6,FALSE)</x:f>
        <x:v>0.6965637740244612</x:v>
      </x:c>
      <x:c r="I415" s="20" t="n">
        <x:f>VLOOKUP(C415,'Governorate Master'!$A$2:$Q$13,15,FALSE)</x:f>
        <x:v>-0.016638935108153077</x:v>
      </x:c>
      <x:c r="J415" s="12" t="str">
        <x:v>Location model input - competition/saturation context</x:v>
      </x:c>
      <x:c r="K415" s="12" t="str">
        <x:v>Business count is from 2018 while population/context indicators are newer; use as a historical proxy, not a current market count.</x:v>
      </x:c>
    </x:row>
    <x:row r="416">
      <x:c r="A416" s="12" t="str">
        <x:v>1622</x:v>
      </x:c>
      <x:c r="B416" s="12" t="str">
        <x:v>Manufacture of builders' carpentry and joinery</x:v>
      </x:c>
      <x:c r="C416" s="12" t="str">
        <x:v>جرش</x:v>
      </x:c>
      <x:c r="D416" s="14" t="n">
        <x:v>32</x:v>
      </x:c>
      <x:c r="E416" s="14" t="n">
        <x:f>VLOOKUP(C416,'Governorate Master'!$A$2:$Q$13,3,FALSE)</x:f>
        <x:v>296000</x:v>
      </x:c>
      <x:c r="F416" s="66" t="n">
        <x:f>IF(E416=0,0,D416/E416*10000)</x:f>
        <x:v>1.0810810810810811</x:v>
      </x:c>
      <x:c r="G416" s="67" t="n">
        <x:f>VLOOKUP(C416,'Governorate Master'!$A$2:$Q$13,7,FALSE)</x:f>
        <x:v>722.3</x:v>
      </x:c>
      <x:c r="H416" s="20" t="n">
        <x:f>VLOOKUP(C416,'Governorate Master'!$A$2:$Q$13,6,FALSE)</x:f>
        <x:v>0.7695945945945946</x:v>
      </x:c>
      <x:c r="I416" s="20" t="n">
        <x:f>VLOOKUP(C416,'Governorate Master'!$A$2:$Q$13,15,FALSE)</x:f>
        <x:v>-0.06527415143603134</x:v>
      </x:c>
      <x:c r="J416" s="12" t="str">
        <x:v>Location model input - competition/saturation context</x:v>
      </x:c>
      <x:c r="K416" s="12" t="str">
        <x:v>Business count is from 2018 while population/context indicators are newer; use as a historical proxy, not a current market count.</x:v>
      </x:c>
    </x:row>
    <x:row r="417">
      <x:c r="A417" s="12" t="str">
        <x:v>1622</x:v>
      </x:c>
      <x:c r="B417" s="12" t="str">
        <x:v>Manufacture of builders' carpentry and joinery</x:v>
      </x:c>
      <x:c r="C417" s="12" t="str">
        <x:v>عجلون</x:v>
      </x:c>
      <x:c r="D417" s="14" t="n">
        <x:v>21</x:v>
      </x:c>
      <x:c r="E417" s="14" t="n">
        <x:f>VLOOKUP(C417,'Governorate Master'!$A$2:$Q$13,3,FALSE)</x:f>
        <x:v>219900</x:v>
      </x:c>
      <x:c r="F417" s="66" t="n">
        <x:f>IF(E417=0,0,D417/E417*10000)</x:f>
        <x:v>0.9549795361527967</x:v>
      </x:c>
      <x:c r="G417" s="67" t="n">
        <x:f>VLOOKUP(C417,'Governorate Master'!$A$2:$Q$13,7,FALSE)</x:f>
        <x:v>524</x:v>
      </x:c>
      <x:c r="H417" s="20" t="n">
        <x:f>VLOOKUP(C417,'Governorate Master'!$A$2:$Q$13,6,FALSE)</x:f>
        <x:v>0.8390177353342428</x:v>
      </x:c>
      <x:c r="I417" s="20" t="n">
        <x:f>VLOOKUP(C417,'Governorate Master'!$A$2:$Q$13,15,FALSE)</x:f>
        <x:v>0.03614457831325301</x:v>
      </x:c>
      <x:c r="J417" s="12" t="str">
        <x:v>Location model input - competition/saturation context</x:v>
      </x:c>
      <x:c r="K417" s="12" t="str">
        <x:v>Business count is from 2018 while population/context indicators are newer; use as a historical proxy, not a current market count.</x:v>
      </x:c>
    </x:row>
    <x:row r="418">
      <x:c r="A418" s="12" t="str">
        <x:v>1622</x:v>
      </x:c>
      <x:c r="B418" s="12" t="str">
        <x:v>Manufacture of builders' carpentry and joinery</x:v>
      </x:c>
      <x:c r="C418" s="12" t="str">
        <x:v>الكرك</x:v>
      </x:c>
      <x:c r="D418" s="14" t="n">
        <x:v>46</x:v>
      </x:c>
      <x:c r="E418" s="14" t="n">
        <x:f>VLOOKUP(C418,'Governorate Master'!$A$2:$Q$13,3,FALSE)</x:f>
        <x:v>395400</x:v>
      </x:c>
      <x:c r="F418" s="66" t="n">
        <x:f>IF(E418=0,0,D418/E418*10000)</x:f>
        <x:v>1.163378856853819</x:v>
      </x:c>
      <x:c r="G418" s="67" t="n">
        <x:f>VLOOKUP(C418,'Governorate Master'!$A$2:$Q$13,7,FALSE)</x:f>
        <x:v>113.1</x:v>
      </x:c>
      <x:c r="H418" s="20" t="n">
        <x:f>VLOOKUP(C418,'Governorate Master'!$A$2:$Q$13,6,FALSE)</x:f>
        <x:v>0.5912999494183105</x:v>
      </x:c>
      <x:c r="I418" s="20" t="n">
        <x:f>VLOOKUP(C418,'Governorate Master'!$A$2:$Q$13,15,FALSE)</x:f>
        <x:v>0.08710801393728224</x:v>
      </x:c>
      <x:c r="J418" s="12" t="str">
        <x:v>Location model input - competition/saturation context</x:v>
      </x:c>
      <x:c r="K418" s="12" t="str">
        <x:v>Business count is from 2018 while population/context indicators are newer; use as a historical proxy, not a current market count.</x:v>
      </x:c>
    </x:row>
    <x:row r="419">
      <x:c r="A419" s="12" t="str">
        <x:v>1622</x:v>
      </x:c>
      <x:c r="B419" s="12" t="str">
        <x:v>Manufacture of builders' carpentry and joinery</x:v>
      </x:c>
      <x:c r="C419" s="12" t="str">
        <x:v>الطفيلة</x:v>
      </x:c>
      <x:c r="D419" s="14" t="n">
        <x:v>3</x:v>
      </x:c>
      <x:c r="E419" s="14" t="n">
        <x:f>VLOOKUP(C419,'Governorate Master'!$A$2:$Q$13,3,FALSE)</x:f>
        <x:v>120300</x:v>
      </x:c>
      <x:c r="F419" s="66" t="n">
        <x:f>IF(E419=0,0,D419/E419*10000)</x:f>
        <x:v>0.24937655860349128</x:v>
      </x:c>
      <x:c r="G419" s="67" t="n">
        <x:f>VLOOKUP(C419,'Governorate Master'!$A$2:$Q$13,7,FALSE)</x:f>
        <x:v>54.4</x:v>
      </x:c>
      <x:c r="H419" s="20" t="n">
        <x:f>VLOOKUP(C419,'Governorate Master'!$A$2:$Q$13,6,FALSE)</x:f>
        <x:v>0.7797173732335827</x:v>
      </x:c>
      <x:c r="I419" s="20" t="n">
        <x:f>VLOOKUP(C419,'Governorate Master'!$A$2:$Q$13,15,FALSE)</x:f>
        <x:v>0.18452380952380953</x:v>
      </x:c>
      <x:c r="J419" s="12" t="str">
        <x:v>Location model input - competition/saturation context</x:v>
      </x:c>
      <x:c r="K419" s="12" t="str">
        <x:v>Business count is from 2018 while population/context indicators are newer; use as a historical proxy, not a current market count.</x:v>
      </x:c>
    </x:row>
    <x:row r="420">
      <x:c r="A420" s="12" t="str">
        <x:v>1622</x:v>
      </x:c>
      <x:c r="B420" s="12" t="str">
        <x:v>Manufacture of builders' carpentry and joinery</x:v>
      </x:c>
      <x:c r="C420" s="12" t="str">
        <x:v>معان</x:v>
      </x:c>
      <x:c r="D420" s="14" t="n">
        <x:v>13</x:v>
      </x:c>
      <x:c r="E420" s="14" t="n">
        <x:f>VLOOKUP(C420,'Governorate Master'!$A$2:$Q$13,3,FALSE)</x:f>
        <x:v>197900</x:v>
      </x:c>
      <x:c r="F420" s="66" t="n">
        <x:f>IF(E420=0,0,D420/E420*10000)</x:f>
        <x:v>0.6568974229408792</x:v>
      </x:c>
      <x:c r="G420" s="67" t="n">
        <x:f>VLOOKUP(C420,'Governorate Master'!$A$2:$Q$13,7,FALSE)</x:f>
        <x:v>6</x:v>
      </x:c>
      <x:c r="H420" s="20" t="n">
        <x:f>VLOOKUP(C420,'Governorate Master'!$A$2:$Q$13,6,FALSE)</x:f>
        <x:v>0.5406771096513391</x:v>
      </x:c>
      <x:c r="I420" s="20" t="n">
        <x:f>VLOOKUP(C420,'Governorate Master'!$A$2:$Q$13,15,FALSE)</x:f>
        <x:v>0.026845637583892617</x:v>
      </x:c>
      <x:c r="J420" s="12" t="str">
        <x:v>Location model input - competition/saturation context</x:v>
      </x:c>
      <x:c r="K420" s="12" t="str">
        <x:v>Business count is from 2018 while population/context indicators are newer; use as a historical proxy, not a current market count.</x:v>
      </x:c>
    </x:row>
    <x:row r="421">
      <x:c r="A421" s="12" t="str">
        <x:v>1622</x:v>
      </x:c>
      <x:c r="B421" s="12" t="str">
        <x:v>Manufacture of builders' carpentry and joinery</x:v>
      </x:c>
      <x:c r="C421" s="12" t="str">
        <x:v>العقبة</x:v>
      </x:c>
      <x:c r="D421" s="14" t="n">
        <x:v>24</x:v>
      </x:c>
      <x:c r="E421" s="14" t="n">
        <x:f>VLOOKUP(C421,'Governorate Master'!$A$2:$Q$13,3,FALSE)</x:f>
        <x:v>250900</x:v>
      </x:c>
      <x:c r="F421" s="66" t="n">
        <x:f>IF(E421=0,0,D421/E421*10000)</x:f>
        <x:v>0.9565563969709047</x:v>
      </x:c>
      <x:c r="G421" s="67" t="n">
        <x:f>VLOOKUP(C421,'Governorate Master'!$A$2:$Q$13,7,FALSE)</x:f>
        <x:v>36.3</x:v>
      </x:c>
      <x:c r="H421" s="20" t="n">
        <x:f>VLOOKUP(C421,'Governorate Master'!$A$2:$Q$13,6,FALSE)</x:f>
        <x:v>0.882024711040255</x:v>
      </x:c>
      <x:c r="I421" s="20" t="n">
        <x:f>VLOOKUP(C421,'Governorate Master'!$A$2:$Q$13,15,FALSE)</x:f>
        <x:v>-0.09</x:v>
      </x:c>
      <x:c r="J421" s="12" t="str">
        <x:v>Location model input - competition/saturation context</x:v>
      </x:c>
      <x:c r="K421" s="12" t="str">
        <x:v>Business count is from 2018 while population/context indicators are newer; use as a historical proxy, not a current market count.</x:v>
      </x:c>
    </x:row>
    <x:row r="422">
      <x:c r="A422" s="12" t="str">
        <x:v>1623</x:v>
      </x:c>
      <x:c r="B422" s="12" t="str">
        <x:v>Manufacture of wooden containers</x:v>
      </x:c>
      <x:c r="C422" s="12" t="str">
        <x:v>عمان</x:v>
      </x:c>
      <x:c r="D422" s="14" t="n">
        <x:v>17</x:v>
      </x:c>
      <x:c r="E422" s="14" t="n">
        <x:f>VLOOKUP(C422,'Governorate Master'!$A$2:$Q$13,3,FALSE)</x:f>
        <x:v>5004600</x:v>
      </x:c>
      <x:c r="F422" s="66" t="n">
        <x:f>IF(E422=0,0,D422/E422*10000)</x:f>
        <x:v>0.03396874875114894</x:v>
      </x:c>
      <x:c r="G422" s="67" t="n">
        <x:f>VLOOKUP(C422,'Governorate Master'!$A$2:$Q$13,7,FALSE)</x:f>
        <x:v>660.3</x:v>
      </x:c>
      <x:c r="H422" s="20" t="n">
        <x:f>VLOOKUP(C422,'Governorate Master'!$A$2:$Q$13,6,FALSE)</x:f>
        <x:v>0.9721656076409703</x:v>
      </x:c>
      <x:c r="I422" s="20" t="n">
        <x:f>VLOOKUP(C422,'Governorate Master'!$A$2:$Q$13,15,FALSE)</x:f>
        <x:v>0.06367041198501873</x:v>
      </x:c>
      <x:c r="J422" s="12" t="str">
        <x:v>Location model input - competition/saturation context</x:v>
      </x:c>
      <x:c r="K422" s="12" t="str">
        <x:v>Business count is from 2018 while population/context indicators are newer; use as a historical proxy, not a current market count.</x:v>
      </x:c>
    </x:row>
    <x:row r="423">
      <x:c r="A423" s="12" t="str">
        <x:v>1623</x:v>
      </x:c>
      <x:c r="B423" s="12" t="str">
        <x:v>Manufacture of wooden containers</x:v>
      </x:c>
      <x:c r="C423" s="12" t="str">
        <x:v>البلقاء</x:v>
      </x:c>
      <x:c r="D423" s="14" t="n">
        <x:v>1</x:v>
      </x:c>
      <x:c r="E423" s="14" t="n">
        <x:f>VLOOKUP(C423,'Governorate Master'!$A$2:$Q$13,3,FALSE)</x:f>
        <x:v>614000</x:v>
      </x:c>
      <x:c r="F423" s="66" t="n">
        <x:f>IF(E423=0,0,D423/E423*10000)</x:f>
        <x:v>0.016286644951140065</x:v>
      </x:c>
      <x:c r="G423" s="67" t="n">
        <x:f>VLOOKUP(C423,'Governorate Master'!$A$2:$Q$13,7,FALSE)</x:f>
        <x:v>548</x:v>
      </x:c>
      <x:c r="H423" s="20" t="n">
        <x:f>VLOOKUP(C423,'Governorate Master'!$A$2:$Q$13,6,FALSE)</x:f>
        <x:v>0.8210097719869707</x:v>
      </x:c>
      <x:c r="I423" s="20" t="n">
        <x:f>VLOOKUP(C423,'Governorate Master'!$A$2:$Q$13,15,FALSE)</x:f>
        <x:v>0.10794044665012408</x:v>
      </x:c>
      <x:c r="J423" s="12" t="str">
        <x:v>Location model input - competition/saturation context</x:v>
      </x:c>
      <x:c r="K423" s="12" t="str">
        <x:v>Business count is from 2018 while population/context indicators are newer; use as a historical proxy, not a current market count.</x:v>
      </x:c>
    </x:row>
    <x:row r="424">
      <x:c r="A424" s="12" t="str">
        <x:v>1623</x:v>
      </x:c>
      <x:c r="B424" s="12" t="str">
        <x:v>Manufacture of wooden containers</x:v>
      </x:c>
      <x:c r="C424" s="12" t="str">
        <x:v>الزرقاء</x:v>
      </x:c>
      <x:c r="D424" s="14" t="n">
        <x:v>1</x:v>
      </x:c>
      <x:c r="E424" s="14" t="n">
        <x:f>VLOOKUP(C424,'Governorate Master'!$A$2:$Q$13,3,FALSE)</x:f>
        <x:v>1704500</x:v>
      </x:c>
      <x:c r="F424" s="66" t="n">
        <x:f>IF(E424=0,0,D424/E424*10000)</x:f>
        <x:v>0.005866823115283074</x:v>
      </x:c>
      <x:c r="G424" s="67" t="n">
        <x:f>VLOOKUP(C424,'Governorate Master'!$A$2:$Q$13,7,FALSE)</x:f>
        <x:v>358</x:v>
      </x:c>
      <x:c r="H424" s="20" t="n">
        <x:f>VLOOKUP(C424,'Governorate Master'!$A$2:$Q$13,6,FALSE)</x:f>
        <x:v>0.9636256966852449</x:v>
      </x:c>
      <x:c r="I424" s="20" t="n">
        <x:f>VLOOKUP(C424,'Governorate Master'!$A$2:$Q$13,15,FALSE)</x:f>
        <x:v>-0.06808762581409118</x:v>
      </x:c>
      <x:c r="J424" s="12" t="str">
        <x:v>Location model input - competition/saturation context</x:v>
      </x:c>
      <x:c r="K424" s="12" t="str">
        <x:v>Business count is from 2018 while population/context indicators are newer; use as a historical proxy, not a current market count.</x:v>
      </x:c>
    </x:row>
    <x:row r="425">
      <x:c r="A425" s="12" t="str">
        <x:v>1623</x:v>
      </x:c>
      <x:c r="B425" s="12" t="str">
        <x:v>Manufacture of wooden containers</x:v>
      </x:c>
      <x:c r="C425" s="12" t="str">
        <x:v>مادبا</x:v>
      </x:c>
      <x:c r="D425" s="14" t="n">
        <x:v>0</x:v>
      </x:c>
      <x:c r="E425" s="14" t="n">
        <x:f>VLOOKUP(C425,'Governorate Master'!$A$2:$Q$13,3,FALSE)</x:f>
        <x:v>236200</x:v>
      </x:c>
      <x:c r="F425" s="66" t="n">
        <x:f>IF(E425=0,0,D425/E425*10000)</x:f>
        <x:v>0</x:v>
      </x:c>
      <x:c r="G425" s="67" t="n">
        <x:f>VLOOKUP(C425,'Governorate Master'!$A$2:$Q$13,7,FALSE)</x:f>
        <x:v>251.4</x:v>
      </x:c>
      <x:c r="H425" s="20" t="n">
        <x:f>VLOOKUP(C425,'Governorate Master'!$A$2:$Q$13,6,FALSE)</x:f>
        <x:v>0.7823878069432684</x:v>
      </x:c>
      <x:c r="I425" s="20" t="n">
        <x:f>VLOOKUP(C425,'Governorate Master'!$A$2:$Q$13,15,FALSE)</x:f>
        <x:v>-0.18823529411764706</x:v>
      </x:c>
      <x:c r="J425" s="12" t="str">
        <x:v>Location model input - competition/saturation context</x:v>
      </x:c>
      <x:c r="K425" s="12" t="str">
        <x:v>Business count is from 2018 while population/context indicators are newer; use as a historical proxy, not a current market count.</x:v>
      </x:c>
    </x:row>
    <x:row r="426">
      <x:c r="A426" s="12" t="str">
        <x:v>1623</x:v>
      </x:c>
      <x:c r="B426" s="12" t="str">
        <x:v>Manufacture of wooden containers</x:v>
      </x:c>
      <x:c r="C426" s="12" t="str">
        <x:v>إربد</x:v>
      </x:c>
      <x:c r="D426" s="14" t="n">
        <x:v>0</x:v>
      </x:c>
      <x:c r="E426" s="14" t="n">
        <x:f>VLOOKUP(C426,'Governorate Master'!$A$2:$Q$13,3,FALSE)</x:f>
        <x:v>2210500</x:v>
      </x:c>
      <x:c r="F426" s="66" t="n">
        <x:f>IF(E426=0,0,D426/E426*10000)</x:f>
        <x:v>0</x:v>
      </x:c>
      <x:c r="G426" s="67" t="n">
        <x:f>VLOOKUP(C426,'Governorate Master'!$A$2:$Q$13,7,FALSE)</x:f>
        <x:v>1406.4</x:v>
      </x:c>
      <x:c r="H426" s="20" t="n">
        <x:f>VLOOKUP(C426,'Governorate Master'!$A$2:$Q$13,6,FALSE)</x:f>
        <x:v>0.9235014702555983</x:v>
      </x:c>
      <x:c r="I426" s="20" t="n">
        <x:f>VLOOKUP(C426,'Governorate Master'!$A$2:$Q$13,15,FALSE)</x:f>
        <x:v>0.07086922474549726</x:v>
      </x:c>
      <x:c r="J426" s="12" t="str">
        <x:v>Location model input - competition/saturation context</x:v>
      </x:c>
      <x:c r="K426" s="12" t="str">
        <x:v>Business count is from 2018 while population/context indicators are newer; use as a historical proxy, not a current market count.</x:v>
      </x:c>
    </x:row>
    <x:row r="427">
      <x:c r="A427" s="12" t="str">
        <x:v>1623</x:v>
      </x:c>
      <x:c r="B427" s="12" t="str">
        <x:v>Manufacture of wooden containers</x:v>
      </x:c>
      <x:c r="C427" s="12" t="str">
        <x:v>المفرق</x:v>
      </x:c>
      <x:c r="D427" s="14" t="n">
        <x:v>0</x:v>
      </x:c>
      <x:c r="E427" s="14" t="n">
        <x:f>VLOOKUP(C427,'Governorate Master'!$A$2:$Q$13,3,FALSE)</x:f>
        <x:v>686800</x:v>
      </x:c>
      <x:c r="F427" s="66" t="n">
        <x:f>IF(E427=0,0,D427/E427*10000)</x:f>
        <x:v>0</x:v>
      </x:c>
      <x:c r="G427" s="67" t="n">
        <x:f>VLOOKUP(C427,'Governorate Master'!$A$2:$Q$13,7,FALSE)</x:f>
        <x:v>25.9</x:v>
      </x:c>
      <x:c r="H427" s="20" t="n">
        <x:f>VLOOKUP(C427,'Governorate Master'!$A$2:$Q$13,6,FALSE)</x:f>
        <x:v>0.6965637740244612</x:v>
      </x:c>
      <x:c r="I427" s="20" t="n">
        <x:f>VLOOKUP(C427,'Governorate Master'!$A$2:$Q$13,15,FALSE)</x:f>
        <x:v>-0.016638935108153077</x:v>
      </x:c>
      <x:c r="J427" s="12" t="str">
        <x:v>Location model input - competition/saturation context</x:v>
      </x:c>
      <x:c r="K427" s="12" t="str">
        <x:v>Business count is from 2018 while population/context indicators are newer; use as a historical proxy, not a current market count.</x:v>
      </x:c>
    </x:row>
    <x:row r="428">
      <x:c r="A428" s="12" t="str">
        <x:v>1623</x:v>
      </x:c>
      <x:c r="B428" s="12" t="str">
        <x:v>Manufacture of wooden containers</x:v>
      </x:c>
      <x:c r="C428" s="12" t="str">
        <x:v>جرش</x:v>
      </x:c>
      <x:c r="D428" s="14" t="n">
        <x:v>0</x:v>
      </x:c>
      <x:c r="E428" s="14" t="n">
        <x:f>VLOOKUP(C428,'Governorate Master'!$A$2:$Q$13,3,FALSE)</x:f>
        <x:v>296000</x:v>
      </x:c>
      <x:c r="F428" s="66" t="n">
        <x:f>IF(E428=0,0,D428/E428*10000)</x:f>
        <x:v>0</x:v>
      </x:c>
      <x:c r="G428" s="67" t="n">
        <x:f>VLOOKUP(C428,'Governorate Master'!$A$2:$Q$13,7,FALSE)</x:f>
        <x:v>722.3</x:v>
      </x:c>
      <x:c r="H428" s="20" t="n">
        <x:f>VLOOKUP(C428,'Governorate Master'!$A$2:$Q$13,6,FALSE)</x:f>
        <x:v>0.7695945945945946</x:v>
      </x:c>
      <x:c r="I428" s="20" t="n">
        <x:f>VLOOKUP(C428,'Governorate Master'!$A$2:$Q$13,15,FALSE)</x:f>
        <x:v>-0.06527415143603134</x:v>
      </x:c>
      <x:c r="J428" s="12" t="str">
        <x:v>Location model input - competition/saturation context</x:v>
      </x:c>
      <x:c r="K428" s="12" t="str">
        <x:v>Business count is from 2018 while population/context indicators are newer; use as a historical proxy, not a current market count.</x:v>
      </x:c>
    </x:row>
    <x:row r="429">
      <x:c r="A429" s="12" t="str">
        <x:v>1623</x:v>
      </x:c>
      <x:c r="B429" s="12" t="str">
        <x:v>Manufacture of wooden containers</x:v>
      </x:c>
      <x:c r="C429" s="12" t="str">
        <x:v>عجلون</x:v>
      </x:c>
      <x:c r="D429" s="14" t="n">
        <x:v>0</x:v>
      </x:c>
      <x:c r="E429" s="14" t="n">
        <x:f>VLOOKUP(C429,'Governorate Master'!$A$2:$Q$13,3,FALSE)</x:f>
        <x:v>219900</x:v>
      </x:c>
      <x:c r="F429" s="66" t="n">
        <x:f>IF(E429=0,0,D429/E429*10000)</x:f>
        <x:v>0</x:v>
      </x:c>
      <x:c r="G429" s="67" t="n">
        <x:f>VLOOKUP(C429,'Governorate Master'!$A$2:$Q$13,7,FALSE)</x:f>
        <x:v>524</x:v>
      </x:c>
      <x:c r="H429" s="20" t="n">
        <x:f>VLOOKUP(C429,'Governorate Master'!$A$2:$Q$13,6,FALSE)</x:f>
        <x:v>0.8390177353342428</x:v>
      </x:c>
      <x:c r="I429" s="20" t="n">
        <x:f>VLOOKUP(C429,'Governorate Master'!$A$2:$Q$13,15,FALSE)</x:f>
        <x:v>0.03614457831325301</x:v>
      </x:c>
      <x:c r="J429" s="12" t="str">
        <x:v>Location model input - competition/saturation context</x:v>
      </x:c>
      <x:c r="K429" s="12" t="str">
        <x:v>Business count is from 2018 while population/context indicators are newer; use as a historical proxy, not a current market count.</x:v>
      </x:c>
    </x:row>
    <x:row r="430">
      <x:c r="A430" s="12" t="str">
        <x:v>1623</x:v>
      </x:c>
      <x:c r="B430" s="12" t="str">
        <x:v>Manufacture of wooden containers</x:v>
      </x:c>
      <x:c r="C430" s="12" t="str">
        <x:v>الكرك</x:v>
      </x:c>
      <x:c r="D430" s="14" t="n">
        <x:v>0</x:v>
      </x:c>
      <x:c r="E430" s="14" t="n">
        <x:f>VLOOKUP(C430,'Governorate Master'!$A$2:$Q$13,3,FALSE)</x:f>
        <x:v>395400</x:v>
      </x:c>
      <x:c r="F430" s="66" t="n">
        <x:f>IF(E430=0,0,D430/E430*10000)</x:f>
        <x:v>0</x:v>
      </x:c>
      <x:c r="G430" s="67" t="n">
        <x:f>VLOOKUP(C430,'Governorate Master'!$A$2:$Q$13,7,FALSE)</x:f>
        <x:v>113.1</x:v>
      </x:c>
      <x:c r="H430" s="20" t="n">
        <x:f>VLOOKUP(C430,'Governorate Master'!$A$2:$Q$13,6,FALSE)</x:f>
        <x:v>0.5912999494183105</x:v>
      </x:c>
      <x:c r="I430" s="20" t="n">
        <x:f>VLOOKUP(C430,'Governorate Master'!$A$2:$Q$13,15,FALSE)</x:f>
        <x:v>0.08710801393728224</x:v>
      </x:c>
      <x:c r="J430" s="12" t="str">
        <x:v>Location model input - competition/saturation context</x:v>
      </x:c>
      <x:c r="K430" s="12" t="str">
        <x:v>Business count is from 2018 while population/context indicators are newer; use as a historical proxy, not a current market count.</x:v>
      </x:c>
    </x:row>
    <x:row r="431">
      <x:c r="A431" s="12" t="str">
        <x:v>1623</x:v>
      </x:c>
      <x:c r="B431" s="12" t="str">
        <x:v>Manufacture of wooden containers</x:v>
      </x:c>
      <x:c r="C431" s="12" t="str">
        <x:v>الطفيلة</x:v>
      </x:c>
      <x:c r="D431" s="14" t="n">
        <x:v>0</x:v>
      </x:c>
      <x:c r="E431" s="14" t="n">
        <x:f>VLOOKUP(C431,'Governorate Master'!$A$2:$Q$13,3,FALSE)</x:f>
        <x:v>120300</x:v>
      </x:c>
      <x:c r="F431" s="66" t="n">
        <x:f>IF(E431=0,0,D431/E431*10000)</x:f>
        <x:v>0</x:v>
      </x:c>
      <x:c r="G431" s="67" t="n">
        <x:f>VLOOKUP(C431,'Governorate Master'!$A$2:$Q$13,7,FALSE)</x:f>
        <x:v>54.4</x:v>
      </x:c>
      <x:c r="H431" s="20" t="n">
        <x:f>VLOOKUP(C431,'Governorate Master'!$A$2:$Q$13,6,FALSE)</x:f>
        <x:v>0.7797173732335827</x:v>
      </x:c>
      <x:c r="I431" s="20" t="n">
        <x:f>VLOOKUP(C431,'Governorate Master'!$A$2:$Q$13,15,FALSE)</x:f>
        <x:v>0.18452380952380953</x:v>
      </x:c>
      <x:c r="J431" s="12" t="str">
        <x:v>Location model input - competition/saturation context</x:v>
      </x:c>
      <x:c r="K431" s="12" t="str">
        <x:v>Business count is from 2018 while population/context indicators are newer; use as a historical proxy, not a current market count.</x:v>
      </x:c>
    </x:row>
    <x:row r="432">
      <x:c r="A432" s="12" t="str">
        <x:v>1623</x:v>
      </x:c>
      <x:c r="B432" s="12" t="str">
        <x:v>Manufacture of wooden containers</x:v>
      </x:c>
      <x:c r="C432" s="12" t="str">
        <x:v>معان</x:v>
      </x:c>
      <x:c r="D432" s="14" t="n">
        <x:v>0</x:v>
      </x:c>
      <x:c r="E432" s="14" t="n">
        <x:f>VLOOKUP(C432,'Governorate Master'!$A$2:$Q$13,3,FALSE)</x:f>
        <x:v>197900</x:v>
      </x:c>
      <x:c r="F432" s="66" t="n">
        <x:f>IF(E432=0,0,D432/E432*10000)</x:f>
        <x:v>0</x:v>
      </x:c>
      <x:c r="G432" s="67" t="n">
        <x:f>VLOOKUP(C432,'Governorate Master'!$A$2:$Q$13,7,FALSE)</x:f>
        <x:v>6</x:v>
      </x:c>
      <x:c r="H432" s="20" t="n">
        <x:f>VLOOKUP(C432,'Governorate Master'!$A$2:$Q$13,6,FALSE)</x:f>
        <x:v>0.5406771096513391</x:v>
      </x:c>
      <x:c r="I432" s="20" t="n">
        <x:f>VLOOKUP(C432,'Governorate Master'!$A$2:$Q$13,15,FALSE)</x:f>
        <x:v>0.026845637583892617</x:v>
      </x:c>
      <x:c r="J432" s="12" t="str">
        <x:v>Location model input - competition/saturation context</x:v>
      </x:c>
      <x:c r="K432" s="12" t="str">
        <x:v>Business count is from 2018 while population/context indicators are newer; use as a historical proxy, not a current market count.</x:v>
      </x:c>
    </x:row>
    <x:row r="433">
      <x:c r="A433" s="12" t="str">
        <x:v>1623</x:v>
      </x:c>
      <x:c r="B433" s="12" t="str">
        <x:v>Manufacture of wooden containers</x:v>
      </x:c>
      <x:c r="C433" s="12" t="str">
        <x:v>العقبة</x:v>
      </x:c>
      <x:c r="D433" s="14" t="n">
        <x:v>0</x:v>
      </x:c>
      <x:c r="E433" s="14" t="n">
        <x:f>VLOOKUP(C433,'Governorate Master'!$A$2:$Q$13,3,FALSE)</x:f>
        <x:v>250900</x:v>
      </x:c>
      <x:c r="F433" s="66" t="n">
        <x:f>IF(E433=0,0,D433/E433*10000)</x:f>
        <x:v>0</x:v>
      </x:c>
      <x:c r="G433" s="67" t="n">
        <x:f>VLOOKUP(C433,'Governorate Master'!$A$2:$Q$13,7,FALSE)</x:f>
        <x:v>36.3</x:v>
      </x:c>
      <x:c r="H433" s="20" t="n">
        <x:f>VLOOKUP(C433,'Governorate Master'!$A$2:$Q$13,6,FALSE)</x:f>
        <x:v>0.882024711040255</x:v>
      </x:c>
      <x:c r="I433" s="20" t="n">
        <x:f>VLOOKUP(C433,'Governorate Master'!$A$2:$Q$13,15,FALSE)</x:f>
        <x:v>-0.09</x:v>
      </x:c>
      <x:c r="J433" s="12" t="str">
        <x:v>Location model input - competition/saturation context</x:v>
      </x:c>
      <x:c r="K433" s="12" t="str">
        <x:v>Business count is from 2018 while population/context indicators are newer; use as a historical proxy, not a current market count.</x:v>
      </x:c>
    </x:row>
    <x:row r="434">
      <x:c r="A434" s="12" t="str">
        <x:v>1629</x:v>
      </x:c>
      <x:c r="B434" s="12" t="str">
        <x:v>Manufacture of other products of wood; manufacture of articles of cork, straw and plaiting materials</x:v>
      </x:c>
      <x:c r="C434" s="12" t="str">
        <x:v>عمان</x:v>
      </x:c>
      <x:c r="D434" s="14" t="n">
        <x:v>52</x:v>
      </x:c>
      <x:c r="E434" s="14" t="n">
        <x:f>VLOOKUP(C434,'Governorate Master'!$A$2:$Q$13,3,FALSE)</x:f>
        <x:v>5004600</x:v>
      </x:c>
      <x:c r="F434" s="66" t="n">
        <x:f>IF(E434=0,0,D434/E434*10000)</x:f>
        <x:v>0.10390440794469089</x:v>
      </x:c>
      <x:c r="G434" s="67" t="n">
        <x:f>VLOOKUP(C434,'Governorate Master'!$A$2:$Q$13,7,FALSE)</x:f>
        <x:v>660.3</x:v>
      </x:c>
      <x:c r="H434" s="20" t="n">
        <x:f>VLOOKUP(C434,'Governorate Master'!$A$2:$Q$13,6,FALSE)</x:f>
        <x:v>0.9721656076409703</x:v>
      </x:c>
      <x:c r="I434" s="20" t="n">
        <x:f>VLOOKUP(C434,'Governorate Master'!$A$2:$Q$13,15,FALSE)</x:f>
        <x:v>0.06367041198501873</x:v>
      </x:c>
      <x:c r="J434" s="12" t="str">
        <x:v>Location model input - competition/saturation context</x:v>
      </x:c>
      <x:c r="K434" s="12" t="str">
        <x:v>Business count is from 2018 while population/context indicators are newer; use as a historical proxy, not a current market count.</x:v>
      </x:c>
    </x:row>
    <x:row r="435">
      <x:c r="A435" s="12" t="str">
        <x:v>1629</x:v>
      </x:c>
      <x:c r="B435" s="12" t="str">
        <x:v>Manufacture of other products of wood; manufacture of articles of cork, straw and plaiting materials</x:v>
      </x:c>
      <x:c r="C435" s="12" t="str">
        <x:v>البلقاء</x:v>
      </x:c>
      <x:c r="D435" s="14" t="n">
        <x:v>5</x:v>
      </x:c>
      <x:c r="E435" s="14" t="n">
        <x:f>VLOOKUP(C435,'Governorate Master'!$A$2:$Q$13,3,FALSE)</x:f>
        <x:v>614000</x:v>
      </x:c>
      <x:c r="F435" s="66" t="n">
        <x:f>IF(E435=0,0,D435/E435*10000)</x:f>
        <x:v>0.08143322475570032</x:v>
      </x:c>
      <x:c r="G435" s="67" t="n">
        <x:f>VLOOKUP(C435,'Governorate Master'!$A$2:$Q$13,7,FALSE)</x:f>
        <x:v>548</x:v>
      </x:c>
      <x:c r="H435" s="20" t="n">
        <x:f>VLOOKUP(C435,'Governorate Master'!$A$2:$Q$13,6,FALSE)</x:f>
        <x:v>0.8210097719869707</x:v>
      </x:c>
      <x:c r="I435" s="20" t="n">
        <x:f>VLOOKUP(C435,'Governorate Master'!$A$2:$Q$13,15,FALSE)</x:f>
        <x:v>0.10794044665012408</x:v>
      </x:c>
      <x:c r="J435" s="12" t="str">
        <x:v>Location model input - competition/saturation context</x:v>
      </x:c>
      <x:c r="K435" s="12" t="str">
        <x:v>Business count is from 2018 while population/context indicators are newer; use as a historical proxy, not a current market count.</x:v>
      </x:c>
    </x:row>
    <x:row r="436">
      <x:c r="A436" s="12" t="str">
        <x:v>1629</x:v>
      </x:c>
      <x:c r="B436" s="12" t="str">
        <x:v>Manufacture of other products of wood; manufacture of articles of cork, straw and plaiting materials</x:v>
      </x:c>
      <x:c r="C436" s="12" t="str">
        <x:v>الزرقاء</x:v>
      </x:c>
      <x:c r="D436" s="14" t="n">
        <x:v>14</x:v>
      </x:c>
      <x:c r="E436" s="14" t="n">
        <x:f>VLOOKUP(C436,'Governorate Master'!$A$2:$Q$13,3,FALSE)</x:f>
        <x:v>1704500</x:v>
      </x:c>
      <x:c r="F436" s="66" t="n">
        <x:f>IF(E436=0,0,D436/E436*10000)</x:f>
        <x:v>0.08213552361396305</x:v>
      </x:c>
      <x:c r="G436" s="67" t="n">
        <x:f>VLOOKUP(C436,'Governorate Master'!$A$2:$Q$13,7,FALSE)</x:f>
        <x:v>358</x:v>
      </x:c>
      <x:c r="H436" s="20" t="n">
        <x:f>VLOOKUP(C436,'Governorate Master'!$A$2:$Q$13,6,FALSE)</x:f>
        <x:v>0.9636256966852449</x:v>
      </x:c>
      <x:c r="I436" s="20" t="n">
        <x:f>VLOOKUP(C436,'Governorate Master'!$A$2:$Q$13,15,FALSE)</x:f>
        <x:v>-0.06808762581409118</x:v>
      </x:c>
      <x:c r="J436" s="12" t="str">
        <x:v>Location model input - competition/saturation context</x:v>
      </x:c>
      <x:c r="K436" s="12" t="str">
        <x:v>Business count is from 2018 while population/context indicators are newer; use as a historical proxy, not a current market count.</x:v>
      </x:c>
    </x:row>
    <x:row r="437">
      <x:c r="A437" s="12" t="str">
        <x:v>1629</x:v>
      </x:c>
      <x:c r="B437" s="12" t="str">
        <x:v>Manufacture of other products of wood; manufacture of articles of cork, straw and plaiting materials</x:v>
      </x:c>
      <x:c r="C437" s="12" t="str">
        <x:v>مادبا</x:v>
      </x:c>
      <x:c r="D437" s="14" t="n">
        <x:v>1</x:v>
      </x:c>
      <x:c r="E437" s="14" t="n">
        <x:f>VLOOKUP(C437,'Governorate Master'!$A$2:$Q$13,3,FALSE)</x:f>
        <x:v>236200</x:v>
      </x:c>
      <x:c r="F437" s="66" t="n">
        <x:f>IF(E437=0,0,D437/E437*10000)</x:f>
        <x:v>0.04233700254022015</x:v>
      </x:c>
      <x:c r="G437" s="67" t="n">
        <x:f>VLOOKUP(C437,'Governorate Master'!$A$2:$Q$13,7,FALSE)</x:f>
        <x:v>251.4</x:v>
      </x:c>
      <x:c r="H437" s="20" t="n">
        <x:f>VLOOKUP(C437,'Governorate Master'!$A$2:$Q$13,6,FALSE)</x:f>
        <x:v>0.7823878069432684</x:v>
      </x:c>
      <x:c r="I437" s="20" t="n">
        <x:f>VLOOKUP(C437,'Governorate Master'!$A$2:$Q$13,15,FALSE)</x:f>
        <x:v>-0.18823529411764706</x:v>
      </x:c>
      <x:c r="J437" s="12" t="str">
        <x:v>Location model input - competition/saturation context</x:v>
      </x:c>
      <x:c r="K437" s="12" t="str">
        <x:v>Business count is from 2018 while population/context indicators are newer; use as a historical proxy, not a current market count.</x:v>
      </x:c>
    </x:row>
    <x:row r="438">
      <x:c r="A438" s="12" t="str">
        <x:v>1629</x:v>
      </x:c>
      <x:c r="B438" s="12" t="str">
        <x:v>Manufacture of other products of wood; manufacture of articles of cork, straw and plaiting materials</x:v>
      </x:c>
      <x:c r="C438" s="12" t="str">
        <x:v>إربد</x:v>
      </x:c>
      <x:c r="D438" s="14" t="n">
        <x:v>13</x:v>
      </x:c>
      <x:c r="E438" s="14" t="n">
        <x:f>VLOOKUP(C438,'Governorate Master'!$A$2:$Q$13,3,FALSE)</x:f>
        <x:v>2210500</x:v>
      </x:c>
      <x:c r="F438" s="66" t="n">
        <x:f>IF(E438=0,0,D438/E438*10000)</x:f>
        <x:v>0.05881022393123727</x:v>
      </x:c>
      <x:c r="G438" s="67" t="n">
        <x:f>VLOOKUP(C438,'Governorate Master'!$A$2:$Q$13,7,FALSE)</x:f>
        <x:v>1406.4</x:v>
      </x:c>
      <x:c r="H438" s="20" t="n">
        <x:f>VLOOKUP(C438,'Governorate Master'!$A$2:$Q$13,6,FALSE)</x:f>
        <x:v>0.9235014702555983</x:v>
      </x:c>
      <x:c r="I438" s="20" t="n">
        <x:f>VLOOKUP(C438,'Governorate Master'!$A$2:$Q$13,15,FALSE)</x:f>
        <x:v>0.07086922474549726</x:v>
      </x:c>
      <x:c r="J438" s="12" t="str">
        <x:v>Location model input - competition/saturation context</x:v>
      </x:c>
      <x:c r="K438" s="12" t="str">
        <x:v>Business count is from 2018 while population/context indicators are newer; use as a historical proxy, not a current market count.</x:v>
      </x:c>
    </x:row>
    <x:row r="439">
      <x:c r="A439" s="12" t="str">
        <x:v>1629</x:v>
      </x:c>
      <x:c r="B439" s="12" t="str">
        <x:v>Manufacture of other products of wood; manufacture of articles of cork, straw and plaiting materials</x:v>
      </x:c>
      <x:c r="C439" s="12" t="str">
        <x:v>المفرق</x:v>
      </x:c>
      <x:c r="D439" s="14" t="n">
        <x:v>0</x:v>
      </x:c>
      <x:c r="E439" s="14" t="n">
        <x:f>VLOOKUP(C439,'Governorate Master'!$A$2:$Q$13,3,FALSE)</x:f>
        <x:v>686800</x:v>
      </x:c>
      <x:c r="F439" s="66" t="n">
        <x:f>IF(E439=0,0,D439/E439*10000)</x:f>
        <x:v>0</x:v>
      </x:c>
      <x:c r="G439" s="67" t="n">
        <x:f>VLOOKUP(C439,'Governorate Master'!$A$2:$Q$13,7,FALSE)</x:f>
        <x:v>25.9</x:v>
      </x:c>
      <x:c r="H439" s="20" t="n">
        <x:f>VLOOKUP(C439,'Governorate Master'!$A$2:$Q$13,6,FALSE)</x:f>
        <x:v>0.6965637740244612</x:v>
      </x:c>
      <x:c r="I439" s="20" t="n">
        <x:f>VLOOKUP(C439,'Governorate Master'!$A$2:$Q$13,15,FALSE)</x:f>
        <x:v>-0.016638935108153077</x:v>
      </x:c>
      <x:c r="J439" s="12" t="str">
        <x:v>Location model input - competition/saturation context</x:v>
      </x:c>
      <x:c r="K439" s="12" t="str">
        <x:v>Business count is from 2018 while population/context indicators are newer; use as a historical proxy, not a current market count.</x:v>
      </x:c>
    </x:row>
    <x:row r="440">
      <x:c r="A440" s="12" t="str">
        <x:v>1629</x:v>
      </x:c>
      <x:c r="B440" s="12" t="str">
        <x:v>Manufacture of other products of wood; manufacture of articles of cork, straw and plaiting materials</x:v>
      </x:c>
      <x:c r="C440" s="12" t="str">
        <x:v>جرش</x:v>
      </x:c>
      <x:c r="D440" s="14" t="n">
        <x:v>0</x:v>
      </x:c>
      <x:c r="E440" s="14" t="n">
        <x:f>VLOOKUP(C440,'Governorate Master'!$A$2:$Q$13,3,FALSE)</x:f>
        <x:v>296000</x:v>
      </x:c>
      <x:c r="F440" s="66" t="n">
        <x:f>IF(E440=0,0,D440/E440*10000)</x:f>
        <x:v>0</x:v>
      </x:c>
      <x:c r="G440" s="67" t="n">
        <x:f>VLOOKUP(C440,'Governorate Master'!$A$2:$Q$13,7,FALSE)</x:f>
        <x:v>722.3</x:v>
      </x:c>
      <x:c r="H440" s="20" t="n">
        <x:f>VLOOKUP(C440,'Governorate Master'!$A$2:$Q$13,6,FALSE)</x:f>
        <x:v>0.7695945945945946</x:v>
      </x:c>
      <x:c r="I440" s="20" t="n">
        <x:f>VLOOKUP(C440,'Governorate Master'!$A$2:$Q$13,15,FALSE)</x:f>
        <x:v>-0.06527415143603134</x:v>
      </x:c>
      <x:c r="J440" s="12" t="str">
        <x:v>Location model input - competition/saturation context</x:v>
      </x:c>
      <x:c r="K440" s="12" t="str">
        <x:v>Business count is from 2018 while population/context indicators are newer; use as a historical proxy, not a current market count.</x:v>
      </x:c>
    </x:row>
    <x:row r="441">
      <x:c r="A441" s="12" t="str">
        <x:v>1629</x:v>
      </x:c>
      <x:c r="B441" s="12" t="str">
        <x:v>Manufacture of other products of wood; manufacture of articles of cork, straw and plaiting materials</x:v>
      </x:c>
      <x:c r="C441" s="12" t="str">
        <x:v>عجلون</x:v>
      </x:c>
      <x:c r="D441" s="14" t="n">
        <x:v>1</x:v>
      </x:c>
      <x:c r="E441" s="14" t="n">
        <x:f>VLOOKUP(C441,'Governorate Master'!$A$2:$Q$13,3,FALSE)</x:f>
        <x:v>219900</x:v>
      </x:c>
      <x:c r="F441" s="66" t="n">
        <x:f>IF(E441=0,0,D441/E441*10000)</x:f>
        <x:v>0.04547521600727603</x:v>
      </x:c>
      <x:c r="G441" s="67" t="n">
        <x:f>VLOOKUP(C441,'Governorate Master'!$A$2:$Q$13,7,FALSE)</x:f>
        <x:v>524</x:v>
      </x:c>
      <x:c r="H441" s="20" t="n">
        <x:f>VLOOKUP(C441,'Governorate Master'!$A$2:$Q$13,6,FALSE)</x:f>
        <x:v>0.8390177353342428</x:v>
      </x:c>
      <x:c r="I441" s="20" t="n">
        <x:f>VLOOKUP(C441,'Governorate Master'!$A$2:$Q$13,15,FALSE)</x:f>
        <x:v>0.03614457831325301</x:v>
      </x:c>
      <x:c r="J441" s="12" t="str">
        <x:v>Location model input - competition/saturation context</x:v>
      </x:c>
      <x:c r="K441" s="12" t="str">
        <x:v>Business count is from 2018 while population/context indicators are newer; use as a historical proxy, not a current market count.</x:v>
      </x:c>
    </x:row>
    <x:row r="442">
      <x:c r="A442" s="12" t="str">
        <x:v>1629</x:v>
      </x:c>
      <x:c r="B442" s="12" t="str">
        <x:v>Manufacture of other products of wood; manufacture of articles of cork, straw and plaiting materials</x:v>
      </x:c>
      <x:c r="C442" s="12" t="str">
        <x:v>الكرك</x:v>
      </x:c>
      <x:c r="D442" s="14" t="n">
        <x:v>2</x:v>
      </x:c>
      <x:c r="E442" s="14" t="n">
        <x:f>VLOOKUP(C442,'Governorate Master'!$A$2:$Q$13,3,FALSE)</x:f>
        <x:v>395400</x:v>
      </x:c>
      <x:c r="F442" s="66" t="n">
        <x:f>IF(E442=0,0,D442/E442*10000)</x:f>
        <x:v>0.050581689428426904</x:v>
      </x:c>
      <x:c r="G442" s="67" t="n">
        <x:f>VLOOKUP(C442,'Governorate Master'!$A$2:$Q$13,7,FALSE)</x:f>
        <x:v>113.1</x:v>
      </x:c>
      <x:c r="H442" s="20" t="n">
        <x:f>VLOOKUP(C442,'Governorate Master'!$A$2:$Q$13,6,FALSE)</x:f>
        <x:v>0.5912999494183105</x:v>
      </x:c>
      <x:c r="I442" s="20" t="n">
        <x:f>VLOOKUP(C442,'Governorate Master'!$A$2:$Q$13,15,FALSE)</x:f>
        <x:v>0.08710801393728224</x:v>
      </x:c>
      <x:c r="J442" s="12" t="str">
        <x:v>Location model input - competition/saturation context</x:v>
      </x:c>
      <x:c r="K442" s="12" t="str">
        <x:v>Business count is from 2018 while population/context indicators are newer; use as a historical proxy, not a current market count.</x:v>
      </x:c>
    </x:row>
    <x:row r="443">
      <x:c r="A443" s="12" t="str">
        <x:v>1629</x:v>
      </x:c>
      <x:c r="B443" s="12" t="str">
        <x:v>Manufacture of other products of wood; manufacture of articles of cork, straw and plaiting materials</x:v>
      </x:c>
      <x:c r="C443" s="12" t="str">
        <x:v>الطفيلة</x:v>
      </x:c>
      <x:c r="D443" s="14" t="n">
        <x:v>1</x:v>
      </x:c>
      <x:c r="E443" s="14" t="n">
        <x:f>VLOOKUP(C443,'Governorate Master'!$A$2:$Q$13,3,FALSE)</x:f>
        <x:v>120300</x:v>
      </x:c>
      <x:c r="F443" s="66" t="n">
        <x:f>IF(E443=0,0,D443/E443*10000)</x:f>
        <x:v>0.0831255195344971</x:v>
      </x:c>
      <x:c r="G443" s="67" t="n">
        <x:f>VLOOKUP(C443,'Governorate Master'!$A$2:$Q$13,7,FALSE)</x:f>
        <x:v>54.4</x:v>
      </x:c>
      <x:c r="H443" s="20" t="n">
        <x:f>VLOOKUP(C443,'Governorate Master'!$A$2:$Q$13,6,FALSE)</x:f>
        <x:v>0.7797173732335827</x:v>
      </x:c>
      <x:c r="I443" s="20" t="n">
        <x:f>VLOOKUP(C443,'Governorate Master'!$A$2:$Q$13,15,FALSE)</x:f>
        <x:v>0.18452380952380953</x:v>
      </x:c>
      <x:c r="J443" s="12" t="str">
        <x:v>Location model input - competition/saturation context</x:v>
      </x:c>
      <x:c r="K443" s="12" t="str">
        <x:v>Business count is from 2018 while population/context indicators are newer; use as a historical proxy, not a current market count.</x:v>
      </x:c>
    </x:row>
    <x:row r="444">
      <x:c r="A444" s="12" t="str">
        <x:v>1629</x:v>
      </x:c>
      <x:c r="B444" s="12" t="str">
        <x:v>Manufacture of other products of wood; manufacture of articles of cork, straw and plaiting materials</x:v>
      </x:c>
      <x:c r="C444" s="12" t="str">
        <x:v>معان</x:v>
      </x:c>
      <x:c r="D444" s="14" t="n">
        <x:v>0</x:v>
      </x:c>
      <x:c r="E444" s="14" t="n">
        <x:f>VLOOKUP(C444,'Governorate Master'!$A$2:$Q$13,3,FALSE)</x:f>
        <x:v>197900</x:v>
      </x:c>
      <x:c r="F444" s="66" t="n">
        <x:f>IF(E444=0,0,D444/E444*10000)</x:f>
        <x:v>0</x:v>
      </x:c>
      <x:c r="G444" s="67" t="n">
        <x:f>VLOOKUP(C444,'Governorate Master'!$A$2:$Q$13,7,FALSE)</x:f>
        <x:v>6</x:v>
      </x:c>
      <x:c r="H444" s="20" t="n">
        <x:f>VLOOKUP(C444,'Governorate Master'!$A$2:$Q$13,6,FALSE)</x:f>
        <x:v>0.5406771096513391</x:v>
      </x:c>
      <x:c r="I444" s="20" t="n">
        <x:f>VLOOKUP(C444,'Governorate Master'!$A$2:$Q$13,15,FALSE)</x:f>
        <x:v>0.026845637583892617</x:v>
      </x:c>
      <x:c r="J444" s="12" t="str">
        <x:v>Location model input - competition/saturation context</x:v>
      </x:c>
      <x:c r="K444" s="12" t="str">
        <x:v>Business count is from 2018 while population/context indicators are newer; use as a historical proxy, not a current market count.</x:v>
      </x:c>
    </x:row>
    <x:row r="445">
      <x:c r="A445" s="12" t="str">
        <x:v>1629</x:v>
      </x:c>
      <x:c r="B445" s="12" t="str">
        <x:v>Manufacture of other products of wood; manufacture of articles of cork, straw and plaiting materials</x:v>
      </x:c>
      <x:c r="C445" s="12" t="str">
        <x:v>العقبة</x:v>
      </x:c>
      <x:c r="D445" s="14" t="n">
        <x:v>0</x:v>
      </x:c>
      <x:c r="E445" s="14" t="n">
        <x:f>VLOOKUP(C445,'Governorate Master'!$A$2:$Q$13,3,FALSE)</x:f>
        <x:v>250900</x:v>
      </x:c>
      <x:c r="F445" s="66" t="n">
        <x:f>IF(E445=0,0,D445/E445*10000)</x:f>
        <x:v>0</x:v>
      </x:c>
      <x:c r="G445" s="67" t="n">
        <x:f>VLOOKUP(C445,'Governorate Master'!$A$2:$Q$13,7,FALSE)</x:f>
        <x:v>36.3</x:v>
      </x:c>
      <x:c r="H445" s="20" t="n">
        <x:f>VLOOKUP(C445,'Governorate Master'!$A$2:$Q$13,6,FALSE)</x:f>
        <x:v>0.882024711040255</x:v>
      </x:c>
      <x:c r="I445" s="20" t="n">
        <x:f>VLOOKUP(C445,'Governorate Master'!$A$2:$Q$13,15,FALSE)</x:f>
        <x:v>-0.09</x:v>
      </x:c>
      <x:c r="J445" s="12" t="str">
        <x:v>Location model input - competition/saturation context</x:v>
      </x:c>
      <x:c r="K445" s="12" t="str">
        <x:v>Business count is from 2018 while population/context indicators are newer; use as a historical proxy, not a current market count.</x:v>
      </x:c>
    </x:row>
    <x:row r="446">
      <x:c r="A446" s="12" t="str">
        <x:v>1701</x:v>
      </x:c>
      <x:c r="B446" s="12" t="str">
        <x:v>Manufacture of pulp, paper and paperboard</x:v>
      </x:c>
      <x:c r="C446" s="12" t="str">
        <x:v>عمان</x:v>
      </x:c>
      <x:c r="D446" s="14" t="n">
        <x:v>14</x:v>
      </x:c>
      <x:c r="E446" s="14" t="n">
        <x:f>VLOOKUP(C446,'Governorate Master'!$A$2:$Q$13,3,FALSE)</x:f>
        <x:v>5004600</x:v>
      </x:c>
      <x:c r="F446" s="66" t="n">
        <x:f>IF(E446=0,0,D446/E446*10000)</x:f>
        <x:v>0.027974263677416778</x:v>
      </x:c>
      <x:c r="G446" s="67" t="n">
        <x:f>VLOOKUP(C446,'Governorate Master'!$A$2:$Q$13,7,FALSE)</x:f>
        <x:v>660.3</x:v>
      </x:c>
      <x:c r="H446" s="20" t="n">
        <x:f>VLOOKUP(C446,'Governorate Master'!$A$2:$Q$13,6,FALSE)</x:f>
        <x:v>0.9721656076409703</x:v>
      </x:c>
      <x:c r="I446" s="20" t="n">
        <x:f>VLOOKUP(C446,'Governorate Master'!$A$2:$Q$13,15,FALSE)</x:f>
        <x:v>0.06367041198501873</x:v>
      </x:c>
      <x:c r="J446" s="12" t="str">
        <x:v>Location model input - competition/saturation context</x:v>
      </x:c>
      <x:c r="K446" s="12" t="str">
        <x:v>Business count is from 2018 while population/context indicators are newer; use as a historical proxy, not a current market count.</x:v>
      </x:c>
    </x:row>
    <x:row r="447">
      <x:c r="A447" s="12" t="str">
        <x:v>1701</x:v>
      </x:c>
      <x:c r="B447" s="12" t="str">
        <x:v>Manufacture of pulp, paper and paperboard</x:v>
      </x:c>
      <x:c r="C447" s="12" t="str">
        <x:v>البلقاء</x:v>
      </x:c>
      <x:c r="D447" s="14" t="n">
        <x:v>0</x:v>
      </x:c>
      <x:c r="E447" s="14" t="n">
        <x:f>VLOOKUP(C447,'Governorate Master'!$A$2:$Q$13,3,FALSE)</x:f>
        <x:v>614000</x:v>
      </x:c>
      <x:c r="F447" s="66" t="n">
        <x:f>IF(E447=0,0,D447/E447*10000)</x:f>
        <x:v>0</x:v>
      </x:c>
      <x:c r="G447" s="67" t="n">
        <x:f>VLOOKUP(C447,'Governorate Master'!$A$2:$Q$13,7,FALSE)</x:f>
        <x:v>548</x:v>
      </x:c>
      <x:c r="H447" s="20" t="n">
        <x:f>VLOOKUP(C447,'Governorate Master'!$A$2:$Q$13,6,FALSE)</x:f>
        <x:v>0.8210097719869707</x:v>
      </x:c>
      <x:c r="I447" s="20" t="n">
        <x:f>VLOOKUP(C447,'Governorate Master'!$A$2:$Q$13,15,FALSE)</x:f>
        <x:v>0.10794044665012408</x:v>
      </x:c>
      <x:c r="J447" s="12" t="str">
        <x:v>Location model input - competition/saturation context</x:v>
      </x:c>
      <x:c r="K447" s="12" t="str">
        <x:v>Business count is from 2018 while population/context indicators are newer; use as a historical proxy, not a current market count.</x:v>
      </x:c>
    </x:row>
    <x:row r="448">
      <x:c r="A448" s="12" t="str">
        <x:v>1701</x:v>
      </x:c>
      <x:c r="B448" s="12" t="str">
        <x:v>Manufacture of pulp, paper and paperboard</x:v>
      </x:c>
      <x:c r="C448" s="12" t="str">
        <x:v>الزرقاء</x:v>
      </x:c>
      <x:c r="D448" s="14" t="n">
        <x:v>6</x:v>
      </x:c>
      <x:c r="E448" s="14" t="n">
        <x:f>VLOOKUP(C448,'Governorate Master'!$A$2:$Q$13,3,FALSE)</x:f>
        <x:v>1704500</x:v>
      </x:c>
      <x:c r="F448" s="66" t="n">
        <x:f>IF(E448=0,0,D448/E448*10000)</x:f>
        <x:v>0.03520093869169844</x:v>
      </x:c>
      <x:c r="G448" s="67" t="n">
        <x:f>VLOOKUP(C448,'Governorate Master'!$A$2:$Q$13,7,FALSE)</x:f>
        <x:v>358</x:v>
      </x:c>
      <x:c r="H448" s="20" t="n">
        <x:f>VLOOKUP(C448,'Governorate Master'!$A$2:$Q$13,6,FALSE)</x:f>
        <x:v>0.9636256966852449</x:v>
      </x:c>
      <x:c r="I448" s="20" t="n">
        <x:f>VLOOKUP(C448,'Governorate Master'!$A$2:$Q$13,15,FALSE)</x:f>
        <x:v>-0.06808762581409118</x:v>
      </x:c>
      <x:c r="J448" s="12" t="str">
        <x:v>Location model input - competition/saturation context</x:v>
      </x:c>
      <x:c r="K448" s="12" t="str">
        <x:v>Business count is from 2018 while population/context indicators are newer; use as a historical proxy, not a current market count.</x:v>
      </x:c>
    </x:row>
    <x:row r="449">
      <x:c r="A449" s="12" t="str">
        <x:v>1701</x:v>
      </x:c>
      <x:c r="B449" s="12" t="str">
        <x:v>Manufacture of pulp, paper and paperboard</x:v>
      </x:c>
      <x:c r="C449" s="12" t="str">
        <x:v>مادبا</x:v>
      </x:c>
      <x:c r="D449" s="14" t="n">
        <x:v>0</x:v>
      </x:c>
      <x:c r="E449" s="14" t="n">
        <x:f>VLOOKUP(C449,'Governorate Master'!$A$2:$Q$13,3,FALSE)</x:f>
        <x:v>236200</x:v>
      </x:c>
      <x:c r="F449" s="66" t="n">
        <x:f>IF(E449=0,0,D449/E449*10000)</x:f>
        <x:v>0</x:v>
      </x:c>
      <x:c r="G449" s="67" t="n">
        <x:f>VLOOKUP(C449,'Governorate Master'!$A$2:$Q$13,7,FALSE)</x:f>
        <x:v>251.4</x:v>
      </x:c>
      <x:c r="H449" s="20" t="n">
        <x:f>VLOOKUP(C449,'Governorate Master'!$A$2:$Q$13,6,FALSE)</x:f>
        <x:v>0.7823878069432684</x:v>
      </x:c>
      <x:c r="I449" s="20" t="n">
        <x:f>VLOOKUP(C449,'Governorate Master'!$A$2:$Q$13,15,FALSE)</x:f>
        <x:v>-0.18823529411764706</x:v>
      </x:c>
      <x:c r="J449" s="12" t="str">
        <x:v>Location model input - competition/saturation context</x:v>
      </x:c>
      <x:c r="K449" s="12" t="str">
        <x:v>Business count is from 2018 while population/context indicators are newer; use as a historical proxy, not a current market count.</x:v>
      </x:c>
    </x:row>
    <x:row r="450">
      <x:c r="A450" s="12" t="str">
        <x:v>1701</x:v>
      </x:c>
      <x:c r="B450" s="12" t="str">
        <x:v>Manufacture of pulp, paper and paperboard</x:v>
      </x:c>
      <x:c r="C450" s="12" t="str">
        <x:v>إربد</x:v>
      </x:c>
      <x:c r="D450" s="14" t="n">
        <x:v>3</x:v>
      </x:c>
      <x:c r="E450" s="14" t="n">
        <x:f>VLOOKUP(C450,'Governorate Master'!$A$2:$Q$13,3,FALSE)</x:f>
        <x:v>2210500</x:v>
      </x:c>
      <x:c r="F450" s="66" t="n">
        <x:f>IF(E450=0,0,D450/E450*10000)</x:f>
        <x:v>0.013571590137977832</x:v>
      </x:c>
      <x:c r="G450" s="67" t="n">
        <x:f>VLOOKUP(C450,'Governorate Master'!$A$2:$Q$13,7,FALSE)</x:f>
        <x:v>1406.4</x:v>
      </x:c>
      <x:c r="H450" s="20" t="n">
        <x:f>VLOOKUP(C450,'Governorate Master'!$A$2:$Q$13,6,FALSE)</x:f>
        <x:v>0.9235014702555983</x:v>
      </x:c>
      <x:c r="I450" s="20" t="n">
        <x:f>VLOOKUP(C450,'Governorate Master'!$A$2:$Q$13,15,FALSE)</x:f>
        <x:v>0.07086922474549726</x:v>
      </x:c>
      <x:c r="J450" s="12" t="str">
        <x:v>Location model input - competition/saturation context</x:v>
      </x:c>
      <x:c r="K450" s="12" t="str">
        <x:v>Business count is from 2018 while population/context indicators are newer; use as a historical proxy, not a current market count.</x:v>
      </x:c>
    </x:row>
    <x:row r="451">
      <x:c r="A451" s="12" t="str">
        <x:v>1701</x:v>
      </x:c>
      <x:c r="B451" s="12" t="str">
        <x:v>Manufacture of pulp, paper and paperboard</x:v>
      </x:c>
      <x:c r="C451" s="12" t="str">
        <x:v>المفرق</x:v>
      </x:c>
      <x:c r="D451" s="14" t="n">
        <x:v>0</x:v>
      </x:c>
      <x:c r="E451" s="14" t="n">
        <x:f>VLOOKUP(C451,'Governorate Master'!$A$2:$Q$13,3,FALSE)</x:f>
        <x:v>686800</x:v>
      </x:c>
      <x:c r="F451" s="66" t="n">
        <x:f>IF(E451=0,0,D451/E451*10000)</x:f>
        <x:v>0</x:v>
      </x:c>
      <x:c r="G451" s="67" t="n">
        <x:f>VLOOKUP(C451,'Governorate Master'!$A$2:$Q$13,7,FALSE)</x:f>
        <x:v>25.9</x:v>
      </x:c>
      <x:c r="H451" s="20" t="n">
        <x:f>VLOOKUP(C451,'Governorate Master'!$A$2:$Q$13,6,FALSE)</x:f>
        <x:v>0.6965637740244612</x:v>
      </x:c>
      <x:c r="I451" s="20" t="n">
        <x:f>VLOOKUP(C451,'Governorate Master'!$A$2:$Q$13,15,FALSE)</x:f>
        <x:v>-0.016638935108153077</x:v>
      </x:c>
      <x:c r="J451" s="12" t="str">
        <x:v>Location model input - competition/saturation context</x:v>
      </x:c>
      <x:c r="K451" s="12" t="str">
        <x:v>Business count is from 2018 while population/context indicators are newer; use as a historical proxy, not a current market count.</x:v>
      </x:c>
    </x:row>
    <x:row r="452">
      <x:c r="A452" s="12" t="str">
        <x:v>1701</x:v>
      </x:c>
      <x:c r="B452" s="12" t="str">
        <x:v>Manufacture of pulp, paper and paperboard</x:v>
      </x:c>
      <x:c r="C452" s="12" t="str">
        <x:v>جرش</x:v>
      </x:c>
      <x:c r="D452" s="14" t="n">
        <x:v>0</x:v>
      </x:c>
      <x:c r="E452" s="14" t="n">
        <x:f>VLOOKUP(C452,'Governorate Master'!$A$2:$Q$13,3,FALSE)</x:f>
        <x:v>296000</x:v>
      </x:c>
      <x:c r="F452" s="66" t="n">
        <x:f>IF(E452=0,0,D452/E452*10000)</x:f>
        <x:v>0</x:v>
      </x:c>
      <x:c r="G452" s="67" t="n">
        <x:f>VLOOKUP(C452,'Governorate Master'!$A$2:$Q$13,7,FALSE)</x:f>
        <x:v>722.3</x:v>
      </x:c>
      <x:c r="H452" s="20" t="n">
        <x:f>VLOOKUP(C452,'Governorate Master'!$A$2:$Q$13,6,FALSE)</x:f>
        <x:v>0.7695945945945946</x:v>
      </x:c>
      <x:c r="I452" s="20" t="n">
        <x:f>VLOOKUP(C452,'Governorate Master'!$A$2:$Q$13,15,FALSE)</x:f>
        <x:v>-0.06527415143603134</x:v>
      </x:c>
      <x:c r="J452" s="12" t="str">
        <x:v>Location model input - competition/saturation context</x:v>
      </x:c>
      <x:c r="K452" s="12" t="str">
        <x:v>Business count is from 2018 while population/context indicators are newer; use as a historical proxy, not a current market count.</x:v>
      </x:c>
    </x:row>
    <x:row r="453">
      <x:c r="A453" s="12" t="str">
        <x:v>1701</x:v>
      </x:c>
      <x:c r="B453" s="12" t="str">
        <x:v>Manufacture of pulp, paper and paperboard</x:v>
      </x:c>
      <x:c r="C453" s="12" t="str">
        <x:v>عجلون</x:v>
      </x:c>
      <x:c r="D453" s="14" t="n">
        <x:v>0</x:v>
      </x:c>
      <x:c r="E453" s="14" t="n">
        <x:f>VLOOKUP(C453,'Governorate Master'!$A$2:$Q$13,3,FALSE)</x:f>
        <x:v>219900</x:v>
      </x:c>
      <x:c r="F453" s="66" t="n">
        <x:f>IF(E453=0,0,D453/E453*10000)</x:f>
        <x:v>0</x:v>
      </x:c>
      <x:c r="G453" s="67" t="n">
        <x:f>VLOOKUP(C453,'Governorate Master'!$A$2:$Q$13,7,FALSE)</x:f>
        <x:v>524</x:v>
      </x:c>
      <x:c r="H453" s="20" t="n">
        <x:f>VLOOKUP(C453,'Governorate Master'!$A$2:$Q$13,6,FALSE)</x:f>
        <x:v>0.8390177353342428</x:v>
      </x:c>
      <x:c r="I453" s="20" t="n">
        <x:f>VLOOKUP(C453,'Governorate Master'!$A$2:$Q$13,15,FALSE)</x:f>
        <x:v>0.03614457831325301</x:v>
      </x:c>
      <x:c r="J453" s="12" t="str">
        <x:v>Location model input - competition/saturation context</x:v>
      </x:c>
      <x:c r="K453" s="12" t="str">
        <x:v>Business count is from 2018 while population/context indicators are newer; use as a historical proxy, not a current market count.</x:v>
      </x:c>
    </x:row>
    <x:row r="454">
      <x:c r="A454" s="12" t="str">
        <x:v>1701</x:v>
      </x:c>
      <x:c r="B454" s="12" t="str">
        <x:v>Manufacture of pulp, paper and paperboard</x:v>
      </x:c>
      <x:c r="C454" s="12" t="str">
        <x:v>الكرك</x:v>
      </x:c>
      <x:c r="D454" s="14" t="n">
        <x:v>0</x:v>
      </x:c>
      <x:c r="E454" s="14" t="n">
        <x:f>VLOOKUP(C454,'Governorate Master'!$A$2:$Q$13,3,FALSE)</x:f>
        <x:v>395400</x:v>
      </x:c>
      <x:c r="F454" s="66" t="n">
        <x:f>IF(E454=0,0,D454/E454*10000)</x:f>
        <x:v>0</x:v>
      </x:c>
      <x:c r="G454" s="67" t="n">
        <x:f>VLOOKUP(C454,'Governorate Master'!$A$2:$Q$13,7,FALSE)</x:f>
        <x:v>113.1</x:v>
      </x:c>
      <x:c r="H454" s="20" t="n">
        <x:f>VLOOKUP(C454,'Governorate Master'!$A$2:$Q$13,6,FALSE)</x:f>
        <x:v>0.5912999494183105</x:v>
      </x:c>
      <x:c r="I454" s="20" t="n">
        <x:f>VLOOKUP(C454,'Governorate Master'!$A$2:$Q$13,15,FALSE)</x:f>
        <x:v>0.08710801393728224</x:v>
      </x:c>
      <x:c r="J454" s="12" t="str">
        <x:v>Location model input - competition/saturation context</x:v>
      </x:c>
      <x:c r="K454" s="12" t="str">
        <x:v>Business count is from 2018 while population/context indicators are newer; use as a historical proxy, not a current market count.</x:v>
      </x:c>
    </x:row>
    <x:row r="455">
      <x:c r="A455" s="12" t="str">
        <x:v>1701</x:v>
      </x:c>
      <x:c r="B455" s="12" t="str">
        <x:v>Manufacture of pulp, paper and paperboard</x:v>
      </x:c>
      <x:c r="C455" s="12" t="str">
        <x:v>الطفيلة</x:v>
      </x:c>
      <x:c r="D455" s="14" t="n">
        <x:v>0</x:v>
      </x:c>
      <x:c r="E455" s="14" t="n">
        <x:f>VLOOKUP(C455,'Governorate Master'!$A$2:$Q$13,3,FALSE)</x:f>
        <x:v>120300</x:v>
      </x:c>
      <x:c r="F455" s="66" t="n">
        <x:f>IF(E455=0,0,D455/E455*10000)</x:f>
        <x:v>0</x:v>
      </x:c>
      <x:c r="G455" s="67" t="n">
        <x:f>VLOOKUP(C455,'Governorate Master'!$A$2:$Q$13,7,FALSE)</x:f>
        <x:v>54.4</x:v>
      </x:c>
      <x:c r="H455" s="20" t="n">
        <x:f>VLOOKUP(C455,'Governorate Master'!$A$2:$Q$13,6,FALSE)</x:f>
        <x:v>0.7797173732335827</x:v>
      </x:c>
      <x:c r="I455" s="20" t="n">
        <x:f>VLOOKUP(C455,'Governorate Master'!$A$2:$Q$13,15,FALSE)</x:f>
        <x:v>0.18452380952380953</x:v>
      </x:c>
      <x:c r="J455" s="12" t="str">
        <x:v>Location model input - competition/saturation context</x:v>
      </x:c>
      <x:c r="K455" s="12" t="str">
        <x:v>Business count is from 2018 while population/context indicators are newer; use as a historical proxy, not a current market count.</x:v>
      </x:c>
    </x:row>
    <x:row r="456">
      <x:c r="A456" s="12" t="str">
        <x:v>1701</x:v>
      </x:c>
      <x:c r="B456" s="12" t="str">
        <x:v>Manufacture of pulp, paper and paperboard</x:v>
      </x:c>
      <x:c r="C456" s="12" t="str">
        <x:v>معان</x:v>
      </x:c>
      <x:c r="D456" s="14" t="n">
        <x:v>0</x:v>
      </x:c>
      <x:c r="E456" s="14" t="n">
        <x:f>VLOOKUP(C456,'Governorate Master'!$A$2:$Q$13,3,FALSE)</x:f>
        <x:v>197900</x:v>
      </x:c>
      <x:c r="F456" s="66" t="n">
        <x:f>IF(E456=0,0,D456/E456*10000)</x:f>
        <x:v>0</x:v>
      </x:c>
      <x:c r="G456" s="67" t="n">
        <x:f>VLOOKUP(C456,'Governorate Master'!$A$2:$Q$13,7,FALSE)</x:f>
        <x:v>6</x:v>
      </x:c>
      <x:c r="H456" s="20" t="n">
        <x:f>VLOOKUP(C456,'Governorate Master'!$A$2:$Q$13,6,FALSE)</x:f>
        <x:v>0.5406771096513391</x:v>
      </x:c>
      <x:c r="I456" s="20" t="n">
        <x:f>VLOOKUP(C456,'Governorate Master'!$A$2:$Q$13,15,FALSE)</x:f>
        <x:v>0.026845637583892617</x:v>
      </x:c>
      <x:c r="J456" s="12" t="str">
        <x:v>Location model input - competition/saturation context</x:v>
      </x:c>
      <x:c r="K456" s="12" t="str">
        <x:v>Business count is from 2018 while population/context indicators are newer; use as a historical proxy, not a current market count.</x:v>
      </x:c>
    </x:row>
    <x:row r="457">
      <x:c r="A457" s="12" t="str">
        <x:v>1701</x:v>
      </x:c>
      <x:c r="B457" s="12" t="str">
        <x:v>Manufacture of pulp, paper and paperboard</x:v>
      </x:c>
      <x:c r="C457" s="12" t="str">
        <x:v>العقبة</x:v>
      </x:c>
      <x:c r="D457" s="14" t="n">
        <x:v>0</x:v>
      </x:c>
      <x:c r="E457" s="14" t="n">
        <x:f>VLOOKUP(C457,'Governorate Master'!$A$2:$Q$13,3,FALSE)</x:f>
        <x:v>250900</x:v>
      </x:c>
      <x:c r="F457" s="66" t="n">
        <x:f>IF(E457=0,0,D457/E457*10000)</x:f>
        <x:v>0</x:v>
      </x:c>
      <x:c r="G457" s="67" t="n">
        <x:f>VLOOKUP(C457,'Governorate Master'!$A$2:$Q$13,7,FALSE)</x:f>
        <x:v>36.3</x:v>
      </x:c>
      <x:c r="H457" s="20" t="n">
        <x:f>VLOOKUP(C457,'Governorate Master'!$A$2:$Q$13,6,FALSE)</x:f>
        <x:v>0.882024711040255</x:v>
      </x:c>
      <x:c r="I457" s="20" t="n">
        <x:f>VLOOKUP(C457,'Governorate Master'!$A$2:$Q$13,15,FALSE)</x:f>
        <x:v>-0.09</x:v>
      </x:c>
      <x:c r="J457" s="12" t="str">
        <x:v>Location model input - competition/saturation context</x:v>
      </x:c>
      <x:c r="K457" s="12" t="str">
        <x:v>Business count is from 2018 while population/context indicators are newer; use as a historical proxy, not a current market count.</x:v>
      </x:c>
    </x:row>
    <x:row r="458">
      <x:c r="A458" s="12" t="str">
        <x:v>1702</x:v>
      </x:c>
      <x:c r="B458" s="12" t="str">
        <x:v>Manufacture of corrugated paper and paperboard and of containers of paper and paperboard</x:v>
      </x:c>
      <x:c r="C458" s="12" t="str">
        <x:v>عمان</x:v>
      </x:c>
      <x:c r="D458" s="14" t="n">
        <x:v>42</x:v>
      </x:c>
      <x:c r="E458" s="14" t="n">
        <x:f>VLOOKUP(C458,'Governorate Master'!$A$2:$Q$13,3,FALSE)</x:f>
        <x:v>5004600</x:v>
      </x:c>
      <x:c r="F458" s="66" t="n">
        <x:f>IF(E458=0,0,D458/E458*10000)</x:f>
        <x:v>0.08392279103225032</x:v>
      </x:c>
      <x:c r="G458" s="67" t="n">
        <x:f>VLOOKUP(C458,'Governorate Master'!$A$2:$Q$13,7,FALSE)</x:f>
        <x:v>660.3</x:v>
      </x:c>
      <x:c r="H458" s="20" t="n">
        <x:f>VLOOKUP(C458,'Governorate Master'!$A$2:$Q$13,6,FALSE)</x:f>
        <x:v>0.9721656076409703</x:v>
      </x:c>
      <x:c r="I458" s="20" t="n">
        <x:f>VLOOKUP(C458,'Governorate Master'!$A$2:$Q$13,15,FALSE)</x:f>
        <x:v>0.06367041198501873</x:v>
      </x:c>
      <x:c r="J458" s="12" t="str">
        <x:v>Location model input - competition/saturation context</x:v>
      </x:c>
      <x:c r="K458" s="12" t="str">
        <x:v>Business count is from 2018 while population/context indicators are newer; use as a historical proxy, not a current market count.</x:v>
      </x:c>
    </x:row>
    <x:row r="459">
      <x:c r="A459" s="12" t="str">
        <x:v>1702</x:v>
      </x:c>
      <x:c r="B459" s="12" t="str">
        <x:v>Manufacture of corrugated paper and paperboard and of containers of paper and paperboard</x:v>
      </x:c>
      <x:c r="C459" s="12" t="str">
        <x:v>البلقاء</x:v>
      </x:c>
      <x:c r="D459" s="14" t="n">
        <x:v>1</x:v>
      </x:c>
      <x:c r="E459" s="14" t="n">
        <x:f>VLOOKUP(C459,'Governorate Master'!$A$2:$Q$13,3,FALSE)</x:f>
        <x:v>614000</x:v>
      </x:c>
      <x:c r="F459" s="66" t="n">
        <x:f>IF(E459=0,0,D459/E459*10000)</x:f>
        <x:v>0.016286644951140065</x:v>
      </x:c>
      <x:c r="G459" s="67" t="n">
        <x:f>VLOOKUP(C459,'Governorate Master'!$A$2:$Q$13,7,FALSE)</x:f>
        <x:v>548</x:v>
      </x:c>
      <x:c r="H459" s="20" t="n">
        <x:f>VLOOKUP(C459,'Governorate Master'!$A$2:$Q$13,6,FALSE)</x:f>
        <x:v>0.8210097719869707</x:v>
      </x:c>
      <x:c r="I459" s="20" t="n">
        <x:f>VLOOKUP(C459,'Governorate Master'!$A$2:$Q$13,15,FALSE)</x:f>
        <x:v>0.10794044665012408</x:v>
      </x:c>
      <x:c r="J459" s="12" t="str">
        <x:v>Location model input - competition/saturation context</x:v>
      </x:c>
      <x:c r="K459" s="12" t="str">
        <x:v>Business count is from 2018 while population/context indicators are newer; use as a historical proxy, not a current market count.</x:v>
      </x:c>
    </x:row>
    <x:row r="460">
      <x:c r="A460" s="12" t="str">
        <x:v>1702</x:v>
      </x:c>
      <x:c r="B460" s="12" t="str">
        <x:v>Manufacture of corrugated paper and paperboard and of containers of paper and paperboard</x:v>
      </x:c>
      <x:c r="C460" s="12" t="str">
        <x:v>الزرقاء</x:v>
      </x:c>
      <x:c r="D460" s="14" t="n">
        <x:v>6</x:v>
      </x:c>
      <x:c r="E460" s="14" t="n">
        <x:f>VLOOKUP(C460,'Governorate Master'!$A$2:$Q$13,3,FALSE)</x:f>
        <x:v>1704500</x:v>
      </x:c>
      <x:c r="F460" s="66" t="n">
        <x:f>IF(E460=0,0,D460/E460*10000)</x:f>
        <x:v>0.03520093869169844</x:v>
      </x:c>
      <x:c r="G460" s="67" t="n">
        <x:f>VLOOKUP(C460,'Governorate Master'!$A$2:$Q$13,7,FALSE)</x:f>
        <x:v>358</x:v>
      </x:c>
      <x:c r="H460" s="20" t="n">
        <x:f>VLOOKUP(C460,'Governorate Master'!$A$2:$Q$13,6,FALSE)</x:f>
        <x:v>0.9636256966852449</x:v>
      </x:c>
      <x:c r="I460" s="20" t="n">
        <x:f>VLOOKUP(C460,'Governorate Master'!$A$2:$Q$13,15,FALSE)</x:f>
        <x:v>-0.06808762581409118</x:v>
      </x:c>
      <x:c r="J460" s="12" t="str">
        <x:v>Location model input - competition/saturation context</x:v>
      </x:c>
      <x:c r="K460" s="12" t="str">
        <x:v>Business count is from 2018 while population/context indicators are newer; use as a historical proxy, not a current market count.</x:v>
      </x:c>
    </x:row>
    <x:row r="461">
      <x:c r="A461" s="12" t="str">
        <x:v>1702</x:v>
      </x:c>
      <x:c r="B461" s="12" t="str">
        <x:v>Manufacture of corrugated paper and paperboard and of containers of paper and paperboard</x:v>
      </x:c>
      <x:c r="C461" s="12" t="str">
        <x:v>مادبا</x:v>
      </x:c>
      <x:c r="D461" s="14" t="n">
        <x:v>0</x:v>
      </x:c>
      <x:c r="E461" s="14" t="n">
        <x:f>VLOOKUP(C461,'Governorate Master'!$A$2:$Q$13,3,FALSE)</x:f>
        <x:v>236200</x:v>
      </x:c>
      <x:c r="F461" s="66" t="n">
        <x:f>IF(E461=0,0,D461/E461*10000)</x:f>
        <x:v>0</x:v>
      </x:c>
      <x:c r="G461" s="67" t="n">
        <x:f>VLOOKUP(C461,'Governorate Master'!$A$2:$Q$13,7,FALSE)</x:f>
        <x:v>251.4</x:v>
      </x:c>
      <x:c r="H461" s="20" t="n">
        <x:f>VLOOKUP(C461,'Governorate Master'!$A$2:$Q$13,6,FALSE)</x:f>
        <x:v>0.7823878069432684</x:v>
      </x:c>
      <x:c r="I461" s="20" t="n">
        <x:f>VLOOKUP(C461,'Governorate Master'!$A$2:$Q$13,15,FALSE)</x:f>
        <x:v>-0.18823529411764706</x:v>
      </x:c>
      <x:c r="J461" s="12" t="str">
        <x:v>Location model input - competition/saturation context</x:v>
      </x:c>
      <x:c r="K461" s="12" t="str">
        <x:v>Business count is from 2018 while population/context indicators are newer; use as a historical proxy, not a current market count.</x:v>
      </x:c>
    </x:row>
    <x:row r="462">
      <x:c r="A462" s="12" t="str">
        <x:v>1702</x:v>
      </x:c>
      <x:c r="B462" s="12" t="str">
        <x:v>Manufacture of corrugated paper and paperboard and of containers of paper and paperboard</x:v>
      </x:c>
      <x:c r="C462" s="12" t="str">
        <x:v>إربد</x:v>
      </x:c>
      <x:c r="D462" s="14" t="n">
        <x:v>2</x:v>
      </x:c>
      <x:c r="E462" s="14" t="n">
        <x:f>VLOOKUP(C462,'Governorate Master'!$A$2:$Q$13,3,FALSE)</x:f>
        <x:v>2210500</x:v>
      </x:c>
      <x:c r="F462" s="66" t="n">
        <x:f>IF(E462=0,0,D462/E462*10000)</x:f>
        <x:v>0.009047726758651889</x:v>
      </x:c>
      <x:c r="G462" s="67" t="n">
        <x:f>VLOOKUP(C462,'Governorate Master'!$A$2:$Q$13,7,FALSE)</x:f>
        <x:v>1406.4</x:v>
      </x:c>
      <x:c r="H462" s="20" t="n">
        <x:f>VLOOKUP(C462,'Governorate Master'!$A$2:$Q$13,6,FALSE)</x:f>
        <x:v>0.9235014702555983</x:v>
      </x:c>
      <x:c r="I462" s="20" t="n">
        <x:f>VLOOKUP(C462,'Governorate Master'!$A$2:$Q$13,15,FALSE)</x:f>
        <x:v>0.07086922474549726</x:v>
      </x:c>
      <x:c r="J462" s="12" t="str">
        <x:v>Location model input - competition/saturation context</x:v>
      </x:c>
      <x:c r="K462" s="12" t="str">
        <x:v>Business count is from 2018 while population/context indicators are newer; use as a historical proxy, not a current market count.</x:v>
      </x:c>
    </x:row>
    <x:row r="463">
      <x:c r="A463" s="12" t="str">
        <x:v>1702</x:v>
      </x:c>
      <x:c r="B463" s="12" t="str">
        <x:v>Manufacture of corrugated paper and paperboard and of containers of paper and paperboard</x:v>
      </x:c>
      <x:c r="C463" s="12" t="str">
        <x:v>المفرق</x:v>
      </x:c>
      <x:c r="D463" s="14" t="n">
        <x:v>2</x:v>
      </x:c>
      <x:c r="E463" s="14" t="n">
        <x:f>VLOOKUP(C463,'Governorate Master'!$A$2:$Q$13,3,FALSE)</x:f>
        <x:v>686800</x:v>
      </x:c>
      <x:c r="F463" s="66" t="n">
        <x:f>IF(E463=0,0,D463/E463*10000)</x:f>
        <x:v>0.029120559114735003</x:v>
      </x:c>
      <x:c r="G463" s="67" t="n">
        <x:f>VLOOKUP(C463,'Governorate Master'!$A$2:$Q$13,7,FALSE)</x:f>
        <x:v>25.9</x:v>
      </x:c>
      <x:c r="H463" s="20" t="n">
        <x:f>VLOOKUP(C463,'Governorate Master'!$A$2:$Q$13,6,FALSE)</x:f>
        <x:v>0.6965637740244612</x:v>
      </x:c>
      <x:c r="I463" s="20" t="n">
        <x:f>VLOOKUP(C463,'Governorate Master'!$A$2:$Q$13,15,FALSE)</x:f>
        <x:v>-0.016638935108153077</x:v>
      </x:c>
      <x:c r="J463" s="12" t="str">
        <x:v>Location model input - competition/saturation context</x:v>
      </x:c>
      <x:c r="K463" s="12" t="str">
        <x:v>Business count is from 2018 while population/context indicators are newer; use as a historical proxy, not a current market count.</x:v>
      </x:c>
    </x:row>
    <x:row r="464">
      <x:c r="A464" s="12" t="str">
        <x:v>1702</x:v>
      </x:c>
      <x:c r="B464" s="12" t="str">
        <x:v>Manufacture of corrugated paper and paperboard and of containers of paper and paperboard</x:v>
      </x:c>
      <x:c r="C464" s="12" t="str">
        <x:v>جرش</x:v>
      </x:c>
      <x:c r="D464" s="14" t="n">
        <x:v>0</x:v>
      </x:c>
      <x:c r="E464" s="14" t="n">
        <x:f>VLOOKUP(C464,'Governorate Master'!$A$2:$Q$13,3,FALSE)</x:f>
        <x:v>296000</x:v>
      </x:c>
      <x:c r="F464" s="66" t="n">
        <x:f>IF(E464=0,0,D464/E464*10000)</x:f>
        <x:v>0</x:v>
      </x:c>
      <x:c r="G464" s="67" t="n">
        <x:f>VLOOKUP(C464,'Governorate Master'!$A$2:$Q$13,7,FALSE)</x:f>
        <x:v>722.3</x:v>
      </x:c>
      <x:c r="H464" s="20" t="n">
        <x:f>VLOOKUP(C464,'Governorate Master'!$A$2:$Q$13,6,FALSE)</x:f>
        <x:v>0.7695945945945946</x:v>
      </x:c>
      <x:c r="I464" s="20" t="n">
        <x:f>VLOOKUP(C464,'Governorate Master'!$A$2:$Q$13,15,FALSE)</x:f>
        <x:v>-0.06527415143603134</x:v>
      </x:c>
      <x:c r="J464" s="12" t="str">
        <x:v>Location model input - competition/saturation context</x:v>
      </x:c>
      <x:c r="K464" s="12" t="str">
        <x:v>Business count is from 2018 while population/context indicators are newer; use as a historical proxy, not a current market count.</x:v>
      </x:c>
    </x:row>
    <x:row r="465">
      <x:c r="A465" s="12" t="str">
        <x:v>1702</x:v>
      </x:c>
      <x:c r="B465" s="12" t="str">
        <x:v>Manufacture of corrugated paper and paperboard and of containers of paper and paperboard</x:v>
      </x:c>
      <x:c r="C465" s="12" t="str">
        <x:v>عجلون</x:v>
      </x:c>
      <x:c r="D465" s="14" t="n">
        <x:v>1</x:v>
      </x:c>
      <x:c r="E465" s="14" t="n">
        <x:f>VLOOKUP(C465,'Governorate Master'!$A$2:$Q$13,3,FALSE)</x:f>
        <x:v>219900</x:v>
      </x:c>
      <x:c r="F465" s="66" t="n">
        <x:f>IF(E465=0,0,D465/E465*10000)</x:f>
        <x:v>0.04547521600727603</x:v>
      </x:c>
      <x:c r="G465" s="67" t="n">
        <x:f>VLOOKUP(C465,'Governorate Master'!$A$2:$Q$13,7,FALSE)</x:f>
        <x:v>524</x:v>
      </x:c>
      <x:c r="H465" s="20" t="n">
        <x:f>VLOOKUP(C465,'Governorate Master'!$A$2:$Q$13,6,FALSE)</x:f>
        <x:v>0.8390177353342428</x:v>
      </x:c>
      <x:c r="I465" s="20" t="n">
        <x:f>VLOOKUP(C465,'Governorate Master'!$A$2:$Q$13,15,FALSE)</x:f>
        <x:v>0.03614457831325301</x:v>
      </x:c>
      <x:c r="J465" s="12" t="str">
        <x:v>Location model input - competition/saturation context</x:v>
      </x:c>
      <x:c r="K465" s="12" t="str">
        <x:v>Business count is from 2018 while population/context indicators are newer; use as a historical proxy, not a current market count.</x:v>
      </x:c>
    </x:row>
    <x:row r="466">
      <x:c r="A466" s="12" t="str">
        <x:v>1702</x:v>
      </x:c>
      <x:c r="B466" s="12" t="str">
        <x:v>Manufacture of corrugated paper and paperboard and of containers of paper and paperboard</x:v>
      </x:c>
      <x:c r="C466" s="12" t="str">
        <x:v>الكرك</x:v>
      </x:c>
      <x:c r="D466" s="14" t="n">
        <x:v>0</x:v>
      </x:c>
      <x:c r="E466" s="14" t="n">
        <x:f>VLOOKUP(C466,'Governorate Master'!$A$2:$Q$13,3,FALSE)</x:f>
        <x:v>395400</x:v>
      </x:c>
      <x:c r="F466" s="66" t="n">
        <x:f>IF(E466=0,0,D466/E466*10000)</x:f>
        <x:v>0</x:v>
      </x:c>
      <x:c r="G466" s="67" t="n">
        <x:f>VLOOKUP(C466,'Governorate Master'!$A$2:$Q$13,7,FALSE)</x:f>
        <x:v>113.1</x:v>
      </x:c>
      <x:c r="H466" s="20" t="n">
        <x:f>VLOOKUP(C466,'Governorate Master'!$A$2:$Q$13,6,FALSE)</x:f>
        <x:v>0.5912999494183105</x:v>
      </x:c>
      <x:c r="I466" s="20" t="n">
        <x:f>VLOOKUP(C466,'Governorate Master'!$A$2:$Q$13,15,FALSE)</x:f>
        <x:v>0.08710801393728224</x:v>
      </x:c>
      <x:c r="J466" s="12" t="str">
        <x:v>Location model input - competition/saturation context</x:v>
      </x:c>
      <x:c r="K466" s="12" t="str">
        <x:v>Business count is from 2018 while population/context indicators are newer; use as a historical proxy, not a current market count.</x:v>
      </x:c>
    </x:row>
    <x:row r="467">
      <x:c r="A467" s="12" t="str">
        <x:v>1702</x:v>
      </x:c>
      <x:c r="B467" s="12" t="str">
        <x:v>Manufacture of corrugated paper and paperboard and of containers of paper and paperboard</x:v>
      </x:c>
      <x:c r="C467" s="12" t="str">
        <x:v>الطفيلة</x:v>
      </x:c>
      <x:c r="D467" s="14" t="n">
        <x:v>0</x:v>
      </x:c>
      <x:c r="E467" s="14" t="n">
        <x:f>VLOOKUP(C467,'Governorate Master'!$A$2:$Q$13,3,FALSE)</x:f>
        <x:v>120300</x:v>
      </x:c>
      <x:c r="F467" s="66" t="n">
        <x:f>IF(E467=0,0,D467/E467*10000)</x:f>
        <x:v>0</x:v>
      </x:c>
      <x:c r="G467" s="67" t="n">
        <x:f>VLOOKUP(C467,'Governorate Master'!$A$2:$Q$13,7,FALSE)</x:f>
        <x:v>54.4</x:v>
      </x:c>
      <x:c r="H467" s="20" t="n">
        <x:f>VLOOKUP(C467,'Governorate Master'!$A$2:$Q$13,6,FALSE)</x:f>
        <x:v>0.7797173732335827</x:v>
      </x:c>
      <x:c r="I467" s="20" t="n">
        <x:f>VLOOKUP(C467,'Governorate Master'!$A$2:$Q$13,15,FALSE)</x:f>
        <x:v>0.18452380952380953</x:v>
      </x:c>
      <x:c r="J467" s="12" t="str">
        <x:v>Location model input - competition/saturation context</x:v>
      </x:c>
      <x:c r="K467" s="12" t="str">
        <x:v>Business count is from 2018 while population/context indicators are newer; use as a historical proxy, not a current market count.</x:v>
      </x:c>
    </x:row>
    <x:row r="468">
      <x:c r="A468" s="12" t="str">
        <x:v>1702</x:v>
      </x:c>
      <x:c r="B468" s="12" t="str">
        <x:v>Manufacture of corrugated paper and paperboard and of containers of paper and paperboard</x:v>
      </x:c>
      <x:c r="C468" s="12" t="str">
        <x:v>معان</x:v>
      </x:c>
      <x:c r="D468" s="14" t="n">
        <x:v>1</x:v>
      </x:c>
      <x:c r="E468" s="14" t="n">
        <x:f>VLOOKUP(C468,'Governorate Master'!$A$2:$Q$13,3,FALSE)</x:f>
        <x:v>197900</x:v>
      </x:c>
      <x:c r="F468" s="66" t="n">
        <x:f>IF(E468=0,0,D468/E468*10000)</x:f>
        <x:v>0.05053057099545225</x:v>
      </x:c>
      <x:c r="G468" s="67" t="n">
        <x:f>VLOOKUP(C468,'Governorate Master'!$A$2:$Q$13,7,FALSE)</x:f>
        <x:v>6</x:v>
      </x:c>
      <x:c r="H468" s="20" t="n">
        <x:f>VLOOKUP(C468,'Governorate Master'!$A$2:$Q$13,6,FALSE)</x:f>
        <x:v>0.5406771096513391</x:v>
      </x:c>
      <x:c r="I468" s="20" t="n">
        <x:f>VLOOKUP(C468,'Governorate Master'!$A$2:$Q$13,15,FALSE)</x:f>
        <x:v>0.026845637583892617</x:v>
      </x:c>
      <x:c r="J468" s="12" t="str">
        <x:v>Location model input - competition/saturation context</x:v>
      </x:c>
      <x:c r="K468" s="12" t="str">
        <x:v>Business count is from 2018 while population/context indicators are newer; use as a historical proxy, not a current market count.</x:v>
      </x:c>
    </x:row>
    <x:row r="469">
      <x:c r="A469" s="12" t="str">
        <x:v>1702</x:v>
      </x:c>
      <x:c r="B469" s="12" t="str">
        <x:v>Manufacture of corrugated paper and paperboard and of containers of paper and paperboard</x:v>
      </x:c>
      <x:c r="C469" s="12" t="str">
        <x:v>العقبة</x:v>
      </x:c>
      <x:c r="D469" s="14" t="n">
        <x:v>0</x:v>
      </x:c>
      <x:c r="E469" s="14" t="n">
        <x:f>VLOOKUP(C469,'Governorate Master'!$A$2:$Q$13,3,FALSE)</x:f>
        <x:v>250900</x:v>
      </x:c>
      <x:c r="F469" s="66" t="n">
        <x:f>IF(E469=0,0,D469/E469*10000)</x:f>
        <x:v>0</x:v>
      </x:c>
      <x:c r="G469" s="67" t="n">
        <x:f>VLOOKUP(C469,'Governorate Master'!$A$2:$Q$13,7,FALSE)</x:f>
        <x:v>36.3</x:v>
      </x:c>
      <x:c r="H469" s="20" t="n">
        <x:f>VLOOKUP(C469,'Governorate Master'!$A$2:$Q$13,6,FALSE)</x:f>
        <x:v>0.882024711040255</x:v>
      </x:c>
      <x:c r="I469" s="20" t="n">
        <x:f>VLOOKUP(C469,'Governorate Master'!$A$2:$Q$13,15,FALSE)</x:f>
        <x:v>-0.09</x:v>
      </x:c>
      <x:c r="J469" s="12" t="str">
        <x:v>Location model input - competition/saturation context</x:v>
      </x:c>
      <x:c r="K469" s="12" t="str">
        <x:v>Business count is from 2018 while population/context indicators are newer; use as a historical proxy, not a current market count.</x:v>
      </x:c>
    </x:row>
    <x:row r="470">
      <x:c r="A470" s="12" t="str">
        <x:v>1709</x:v>
      </x:c>
      <x:c r="B470" s="12" t="str">
        <x:v>Manufacture of other articles of paper and paperboard</x:v>
      </x:c>
      <x:c r="C470" s="12" t="str">
        <x:v>عمان</x:v>
      </x:c>
      <x:c r="D470" s="14" t="n">
        <x:v>36</x:v>
      </x:c>
      <x:c r="E470" s="14" t="n">
        <x:f>VLOOKUP(C470,'Governorate Master'!$A$2:$Q$13,3,FALSE)</x:f>
        <x:v>5004600</x:v>
      </x:c>
      <x:c r="F470" s="66" t="n">
        <x:f>IF(E470=0,0,D470/E470*10000)</x:f>
        <x:v>0.071933820884786</x:v>
      </x:c>
      <x:c r="G470" s="67" t="n">
        <x:f>VLOOKUP(C470,'Governorate Master'!$A$2:$Q$13,7,FALSE)</x:f>
        <x:v>660.3</x:v>
      </x:c>
      <x:c r="H470" s="20" t="n">
        <x:f>VLOOKUP(C470,'Governorate Master'!$A$2:$Q$13,6,FALSE)</x:f>
        <x:v>0.9721656076409703</x:v>
      </x:c>
      <x:c r="I470" s="20" t="n">
        <x:f>VLOOKUP(C470,'Governorate Master'!$A$2:$Q$13,15,FALSE)</x:f>
        <x:v>0.06367041198501873</x:v>
      </x:c>
      <x:c r="J470" s="12" t="str">
        <x:v>Location model input - competition/saturation context</x:v>
      </x:c>
      <x:c r="K470" s="12" t="str">
        <x:v>Business count is from 2018 while population/context indicators are newer; use as a historical proxy, not a current market count.</x:v>
      </x:c>
    </x:row>
    <x:row r="471">
      <x:c r="A471" s="12" t="str">
        <x:v>1709</x:v>
      </x:c>
      <x:c r="B471" s="12" t="str">
        <x:v>Manufacture of other articles of paper and paperboard</x:v>
      </x:c>
      <x:c r="C471" s="12" t="str">
        <x:v>البلقاء</x:v>
      </x:c>
      <x:c r="D471" s="14" t="n">
        <x:v>0</x:v>
      </x:c>
      <x:c r="E471" s="14" t="n">
        <x:f>VLOOKUP(C471,'Governorate Master'!$A$2:$Q$13,3,FALSE)</x:f>
        <x:v>614000</x:v>
      </x:c>
      <x:c r="F471" s="66" t="n">
        <x:f>IF(E471=0,0,D471/E471*10000)</x:f>
        <x:v>0</x:v>
      </x:c>
      <x:c r="G471" s="67" t="n">
        <x:f>VLOOKUP(C471,'Governorate Master'!$A$2:$Q$13,7,FALSE)</x:f>
        <x:v>548</x:v>
      </x:c>
      <x:c r="H471" s="20" t="n">
        <x:f>VLOOKUP(C471,'Governorate Master'!$A$2:$Q$13,6,FALSE)</x:f>
        <x:v>0.8210097719869707</x:v>
      </x:c>
      <x:c r="I471" s="20" t="n">
        <x:f>VLOOKUP(C471,'Governorate Master'!$A$2:$Q$13,15,FALSE)</x:f>
        <x:v>0.10794044665012408</x:v>
      </x:c>
      <x:c r="J471" s="12" t="str">
        <x:v>Location model input - competition/saturation context</x:v>
      </x:c>
      <x:c r="K471" s="12" t="str">
        <x:v>Business count is from 2018 while population/context indicators are newer; use as a historical proxy, not a current market count.</x:v>
      </x:c>
    </x:row>
    <x:row r="472">
      <x:c r="A472" s="12" t="str">
        <x:v>1709</x:v>
      </x:c>
      <x:c r="B472" s="12" t="str">
        <x:v>Manufacture of other articles of paper and paperboard</x:v>
      </x:c>
      <x:c r="C472" s="12" t="str">
        <x:v>الزرقاء</x:v>
      </x:c>
      <x:c r="D472" s="14" t="n">
        <x:v>4</x:v>
      </x:c>
      <x:c r="E472" s="14" t="n">
        <x:f>VLOOKUP(C472,'Governorate Master'!$A$2:$Q$13,3,FALSE)</x:f>
        <x:v>1704500</x:v>
      </x:c>
      <x:c r="F472" s="66" t="n">
        <x:f>IF(E472=0,0,D472/E472*10000)</x:f>
        <x:v>0.023467292461132296</x:v>
      </x:c>
      <x:c r="G472" s="67" t="n">
        <x:f>VLOOKUP(C472,'Governorate Master'!$A$2:$Q$13,7,FALSE)</x:f>
        <x:v>358</x:v>
      </x:c>
      <x:c r="H472" s="20" t="n">
        <x:f>VLOOKUP(C472,'Governorate Master'!$A$2:$Q$13,6,FALSE)</x:f>
        <x:v>0.9636256966852449</x:v>
      </x:c>
      <x:c r="I472" s="20" t="n">
        <x:f>VLOOKUP(C472,'Governorate Master'!$A$2:$Q$13,15,FALSE)</x:f>
        <x:v>-0.06808762581409118</x:v>
      </x:c>
      <x:c r="J472" s="12" t="str">
        <x:v>Location model input - competition/saturation context</x:v>
      </x:c>
      <x:c r="K472" s="12" t="str">
        <x:v>Business count is from 2018 while population/context indicators are newer; use as a historical proxy, not a current market count.</x:v>
      </x:c>
    </x:row>
    <x:row r="473">
      <x:c r="A473" s="12" t="str">
        <x:v>1709</x:v>
      </x:c>
      <x:c r="B473" s="12" t="str">
        <x:v>Manufacture of other articles of paper and paperboard</x:v>
      </x:c>
      <x:c r="C473" s="12" t="str">
        <x:v>مادبا</x:v>
      </x:c>
      <x:c r="D473" s="14" t="n">
        <x:v>0</x:v>
      </x:c>
      <x:c r="E473" s="14" t="n">
        <x:f>VLOOKUP(C473,'Governorate Master'!$A$2:$Q$13,3,FALSE)</x:f>
        <x:v>236200</x:v>
      </x:c>
      <x:c r="F473" s="66" t="n">
        <x:f>IF(E473=0,0,D473/E473*10000)</x:f>
        <x:v>0</x:v>
      </x:c>
      <x:c r="G473" s="67" t="n">
        <x:f>VLOOKUP(C473,'Governorate Master'!$A$2:$Q$13,7,FALSE)</x:f>
        <x:v>251.4</x:v>
      </x:c>
      <x:c r="H473" s="20" t="n">
        <x:f>VLOOKUP(C473,'Governorate Master'!$A$2:$Q$13,6,FALSE)</x:f>
        <x:v>0.7823878069432684</x:v>
      </x:c>
      <x:c r="I473" s="20" t="n">
        <x:f>VLOOKUP(C473,'Governorate Master'!$A$2:$Q$13,15,FALSE)</x:f>
        <x:v>-0.18823529411764706</x:v>
      </x:c>
      <x:c r="J473" s="12" t="str">
        <x:v>Location model input - competition/saturation context</x:v>
      </x:c>
      <x:c r="K473" s="12" t="str">
        <x:v>Business count is from 2018 while population/context indicators are newer; use as a historical proxy, not a current market count.</x:v>
      </x:c>
    </x:row>
    <x:row r="474">
      <x:c r="A474" s="12" t="str">
        <x:v>1709</x:v>
      </x:c>
      <x:c r="B474" s="12" t="str">
        <x:v>Manufacture of other articles of paper and paperboard</x:v>
      </x:c>
      <x:c r="C474" s="12" t="str">
        <x:v>إربد</x:v>
      </x:c>
      <x:c r="D474" s="14" t="n">
        <x:v>3</x:v>
      </x:c>
      <x:c r="E474" s="14" t="n">
        <x:f>VLOOKUP(C474,'Governorate Master'!$A$2:$Q$13,3,FALSE)</x:f>
        <x:v>2210500</x:v>
      </x:c>
      <x:c r="F474" s="66" t="n">
        <x:f>IF(E474=0,0,D474/E474*10000)</x:f>
        <x:v>0.013571590137977832</x:v>
      </x:c>
      <x:c r="G474" s="67" t="n">
        <x:f>VLOOKUP(C474,'Governorate Master'!$A$2:$Q$13,7,FALSE)</x:f>
        <x:v>1406.4</x:v>
      </x:c>
      <x:c r="H474" s="20" t="n">
        <x:f>VLOOKUP(C474,'Governorate Master'!$A$2:$Q$13,6,FALSE)</x:f>
        <x:v>0.9235014702555983</x:v>
      </x:c>
      <x:c r="I474" s="20" t="n">
        <x:f>VLOOKUP(C474,'Governorate Master'!$A$2:$Q$13,15,FALSE)</x:f>
        <x:v>0.07086922474549726</x:v>
      </x:c>
      <x:c r="J474" s="12" t="str">
        <x:v>Location model input - competition/saturation context</x:v>
      </x:c>
      <x:c r="K474" s="12" t="str">
        <x:v>Business count is from 2018 while population/context indicators are newer; use as a historical proxy, not a current market count.</x:v>
      </x:c>
    </x:row>
    <x:row r="475">
      <x:c r="A475" s="12" t="str">
        <x:v>1709</x:v>
      </x:c>
      <x:c r="B475" s="12" t="str">
        <x:v>Manufacture of other articles of paper and paperboard</x:v>
      </x:c>
      <x:c r="C475" s="12" t="str">
        <x:v>المفرق</x:v>
      </x:c>
      <x:c r="D475" s="14" t="n">
        <x:v>0</x:v>
      </x:c>
      <x:c r="E475" s="14" t="n">
        <x:f>VLOOKUP(C475,'Governorate Master'!$A$2:$Q$13,3,FALSE)</x:f>
        <x:v>686800</x:v>
      </x:c>
      <x:c r="F475" s="66" t="n">
        <x:f>IF(E475=0,0,D475/E475*10000)</x:f>
        <x:v>0</x:v>
      </x:c>
      <x:c r="G475" s="67" t="n">
        <x:f>VLOOKUP(C475,'Governorate Master'!$A$2:$Q$13,7,FALSE)</x:f>
        <x:v>25.9</x:v>
      </x:c>
      <x:c r="H475" s="20" t="n">
        <x:f>VLOOKUP(C475,'Governorate Master'!$A$2:$Q$13,6,FALSE)</x:f>
        <x:v>0.6965637740244612</x:v>
      </x:c>
      <x:c r="I475" s="20" t="n">
        <x:f>VLOOKUP(C475,'Governorate Master'!$A$2:$Q$13,15,FALSE)</x:f>
        <x:v>-0.016638935108153077</x:v>
      </x:c>
      <x:c r="J475" s="12" t="str">
        <x:v>Location model input - competition/saturation context</x:v>
      </x:c>
      <x:c r="K475" s="12" t="str">
        <x:v>Business count is from 2018 while population/context indicators are newer; use as a historical proxy, not a current market count.</x:v>
      </x:c>
    </x:row>
    <x:row r="476">
      <x:c r="A476" s="12" t="str">
        <x:v>1709</x:v>
      </x:c>
      <x:c r="B476" s="12" t="str">
        <x:v>Manufacture of other articles of paper and paperboard</x:v>
      </x:c>
      <x:c r="C476" s="12" t="str">
        <x:v>جرش</x:v>
      </x:c>
      <x:c r="D476" s="14" t="n">
        <x:v>0</x:v>
      </x:c>
      <x:c r="E476" s="14" t="n">
        <x:f>VLOOKUP(C476,'Governorate Master'!$A$2:$Q$13,3,FALSE)</x:f>
        <x:v>296000</x:v>
      </x:c>
      <x:c r="F476" s="66" t="n">
        <x:f>IF(E476=0,0,D476/E476*10000)</x:f>
        <x:v>0</x:v>
      </x:c>
      <x:c r="G476" s="67" t="n">
        <x:f>VLOOKUP(C476,'Governorate Master'!$A$2:$Q$13,7,FALSE)</x:f>
        <x:v>722.3</x:v>
      </x:c>
      <x:c r="H476" s="20" t="n">
        <x:f>VLOOKUP(C476,'Governorate Master'!$A$2:$Q$13,6,FALSE)</x:f>
        <x:v>0.7695945945945946</x:v>
      </x:c>
      <x:c r="I476" s="20" t="n">
        <x:f>VLOOKUP(C476,'Governorate Master'!$A$2:$Q$13,15,FALSE)</x:f>
        <x:v>-0.06527415143603134</x:v>
      </x:c>
      <x:c r="J476" s="12" t="str">
        <x:v>Location model input - competition/saturation context</x:v>
      </x:c>
      <x:c r="K476" s="12" t="str">
        <x:v>Business count is from 2018 while population/context indicators are newer; use as a historical proxy, not a current market count.</x:v>
      </x:c>
    </x:row>
    <x:row r="477">
      <x:c r="A477" s="12" t="str">
        <x:v>1709</x:v>
      </x:c>
      <x:c r="B477" s="12" t="str">
        <x:v>Manufacture of other articles of paper and paperboard</x:v>
      </x:c>
      <x:c r="C477" s="12" t="str">
        <x:v>عجلون</x:v>
      </x:c>
      <x:c r="D477" s="14" t="n">
        <x:v>0</x:v>
      </x:c>
      <x:c r="E477" s="14" t="n">
        <x:f>VLOOKUP(C477,'Governorate Master'!$A$2:$Q$13,3,FALSE)</x:f>
        <x:v>219900</x:v>
      </x:c>
      <x:c r="F477" s="66" t="n">
        <x:f>IF(E477=0,0,D477/E477*10000)</x:f>
        <x:v>0</x:v>
      </x:c>
      <x:c r="G477" s="67" t="n">
        <x:f>VLOOKUP(C477,'Governorate Master'!$A$2:$Q$13,7,FALSE)</x:f>
        <x:v>524</x:v>
      </x:c>
      <x:c r="H477" s="20" t="n">
        <x:f>VLOOKUP(C477,'Governorate Master'!$A$2:$Q$13,6,FALSE)</x:f>
        <x:v>0.8390177353342428</x:v>
      </x:c>
      <x:c r="I477" s="20" t="n">
        <x:f>VLOOKUP(C477,'Governorate Master'!$A$2:$Q$13,15,FALSE)</x:f>
        <x:v>0.03614457831325301</x:v>
      </x:c>
      <x:c r="J477" s="12" t="str">
        <x:v>Location model input - competition/saturation context</x:v>
      </x:c>
      <x:c r="K477" s="12" t="str">
        <x:v>Business count is from 2018 while population/context indicators are newer; use as a historical proxy, not a current market count.</x:v>
      </x:c>
    </x:row>
    <x:row r="478">
      <x:c r="A478" s="12" t="str">
        <x:v>1709</x:v>
      </x:c>
      <x:c r="B478" s="12" t="str">
        <x:v>Manufacture of other articles of paper and paperboard</x:v>
      </x:c>
      <x:c r="C478" s="12" t="str">
        <x:v>الكرك</x:v>
      </x:c>
      <x:c r="D478" s="14" t="n">
        <x:v>0</x:v>
      </x:c>
      <x:c r="E478" s="14" t="n">
        <x:f>VLOOKUP(C478,'Governorate Master'!$A$2:$Q$13,3,FALSE)</x:f>
        <x:v>395400</x:v>
      </x:c>
      <x:c r="F478" s="66" t="n">
        <x:f>IF(E478=0,0,D478/E478*10000)</x:f>
        <x:v>0</x:v>
      </x:c>
      <x:c r="G478" s="67" t="n">
        <x:f>VLOOKUP(C478,'Governorate Master'!$A$2:$Q$13,7,FALSE)</x:f>
        <x:v>113.1</x:v>
      </x:c>
      <x:c r="H478" s="20" t="n">
        <x:f>VLOOKUP(C478,'Governorate Master'!$A$2:$Q$13,6,FALSE)</x:f>
        <x:v>0.5912999494183105</x:v>
      </x:c>
      <x:c r="I478" s="20" t="n">
        <x:f>VLOOKUP(C478,'Governorate Master'!$A$2:$Q$13,15,FALSE)</x:f>
        <x:v>0.08710801393728224</x:v>
      </x:c>
      <x:c r="J478" s="12" t="str">
        <x:v>Location model input - competition/saturation context</x:v>
      </x:c>
      <x:c r="K478" s="12" t="str">
        <x:v>Business count is from 2018 while population/context indicators are newer; use as a historical proxy, not a current market count.</x:v>
      </x:c>
    </x:row>
    <x:row r="479">
      <x:c r="A479" s="12" t="str">
        <x:v>1709</x:v>
      </x:c>
      <x:c r="B479" s="12" t="str">
        <x:v>Manufacture of other articles of paper and paperboard</x:v>
      </x:c>
      <x:c r="C479" s="12" t="str">
        <x:v>الطفيلة</x:v>
      </x:c>
      <x:c r="D479" s="14" t="n">
        <x:v>0</x:v>
      </x:c>
      <x:c r="E479" s="14" t="n">
        <x:f>VLOOKUP(C479,'Governorate Master'!$A$2:$Q$13,3,FALSE)</x:f>
        <x:v>120300</x:v>
      </x:c>
      <x:c r="F479" s="66" t="n">
        <x:f>IF(E479=0,0,D479/E479*10000)</x:f>
        <x:v>0</x:v>
      </x:c>
      <x:c r="G479" s="67" t="n">
        <x:f>VLOOKUP(C479,'Governorate Master'!$A$2:$Q$13,7,FALSE)</x:f>
        <x:v>54.4</x:v>
      </x:c>
      <x:c r="H479" s="20" t="n">
        <x:f>VLOOKUP(C479,'Governorate Master'!$A$2:$Q$13,6,FALSE)</x:f>
        <x:v>0.7797173732335827</x:v>
      </x:c>
      <x:c r="I479" s="20" t="n">
        <x:f>VLOOKUP(C479,'Governorate Master'!$A$2:$Q$13,15,FALSE)</x:f>
        <x:v>0.18452380952380953</x:v>
      </x:c>
      <x:c r="J479" s="12" t="str">
        <x:v>Location model input - competition/saturation context</x:v>
      </x:c>
      <x:c r="K479" s="12" t="str">
        <x:v>Business count is from 2018 while population/context indicators are newer; use as a historical proxy, not a current market count.</x:v>
      </x:c>
    </x:row>
    <x:row r="480">
      <x:c r="A480" s="12" t="str">
        <x:v>1709</x:v>
      </x:c>
      <x:c r="B480" s="12" t="str">
        <x:v>Manufacture of other articles of paper and paperboard</x:v>
      </x:c>
      <x:c r="C480" s="12" t="str">
        <x:v>معان</x:v>
      </x:c>
      <x:c r="D480" s="14" t="n">
        <x:v>0</x:v>
      </x:c>
      <x:c r="E480" s="14" t="n">
        <x:f>VLOOKUP(C480,'Governorate Master'!$A$2:$Q$13,3,FALSE)</x:f>
        <x:v>197900</x:v>
      </x:c>
      <x:c r="F480" s="66" t="n">
        <x:f>IF(E480=0,0,D480/E480*10000)</x:f>
        <x:v>0</x:v>
      </x:c>
      <x:c r="G480" s="67" t="n">
        <x:f>VLOOKUP(C480,'Governorate Master'!$A$2:$Q$13,7,FALSE)</x:f>
        <x:v>6</x:v>
      </x:c>
      <x:c r="H480" s="20" t="n">
        <x:f>VLOOKUP(C480,'Governorate Master'!$A$2:$Q$13,6,FALSE)</x:f>
        <x:v>0.5406771096513391</x:v>
      </x:c>
      <x:c r="I480" s="20" t="n">
        <x:f>VLOOKUP(C480,'Governorate Master'!$A$2:$Q$13,15,FALSE)</x:f>
        <x:v>0.026845637583892617</x:v>
      </x:c>
      <x:c r="J480" s="12" t="str">
        <x:v>Location model input - competition/saturation context</x:v>
      </x:c>
      <x:c r="K480" s="12" t="str">
        <x:v>Business count is from 2018 while population/context indicators are newer; use as a historical proxy, not a current market count.</x:v>
      </x:c>
    </x:row>
    <x:row r="481">
      <x:c r="A481" s="12" t="str">
        <x:v>1709</x:v>
      </x:c>
      <x:c r="B481" s="12" t="str">
        <x:v>Manufacture of other articles of paper and paperboard</x:v>
      </x:c>
      <x:c r="C481" s="12" t="str">
        <x:v>العقبة</x:v>
      </x:c>
      <x:c r="D481" s="14" t="n">
        <x:v>0</x:v>
      </x:c>
      <x:c r="E481" s="14" t="n">
        <x:f>VLOOKUP(C481,'Governorate Master'!$A$2:$Q$13,3,FALSE)</x:f>
        <x:v>250900</x:v>
      </x:c>
      <x:c r="F481" s="66" t="n">
        <x:f>IF(E481=0,0,D481/E481*10000)</x:f>
        <x:v>0</x:v>
      </x:c>
      <x:c r="G481" s="67" t="n">
        <x:f>VLOOKUP(C481,'Governorate Master'!$A$2:$Q$13,7,FALSE)</x:f>
        <x:v>36.3</x:v>
      </x:c>
      <x:c r="H481" s="20" t="n">
        <x:f>VLOOKUP(C481,'Governorate Master'!$A$2:$Q$13,6,FALSE)</x:f>
        <x:v>0.882024711040255</x:v>
      </x:c>
      <x:c r="I481" s="20" t="n">
        <x:f>VLOOKUP(C481,'Governorate Master'!$A$2:$Q$13,15,FALSE)</x:f>
        <x:v>-0.09</x:v>
      </x:c>
      <x:c r="J481" s="12" t="str">
        <x:v>Location model input - competition/saturation context</x:v>
      </x:c>
      <x:c r="K481" s="12" t="str">
        <x:v>Business count is from 2018 while population/context indicators are newer; use as a historical proxy, not a current market count.</x:v>
      </x:c>
    </x:row>
    <x:row r="482">
      <x:c r="A482" s="12" t="str">
        <x:v>1811</x:v>
      </x:c>
      <x:c r="B482" s="12" t="str">
        <x:v>Printing</x:v>
      </x:c>
      <x:c r="C482" s="12" t="str">
        <x:v>عمان</x:v>
      </x:c>
      <x:c r="D482" s="14" t="n">
        <x:v>391</x:v>
      </x:c>
      <x:c r="E482" s="14" t="n">
        <x:f>VLOOKUP(C482,'Governorate Master'!$A$2:$Q$13,3,FALSE)</x:f>
        <x:v>5004600</x:v>
      </x:c>
      <x:c r="F482" s="66" t="n">
        <x:f>IF(E482=0,0,D482/E482*10000)</x:f>
        <x:v>0.7812812212764257</x:v>
      </x:c>
      <x:c r="G482" s="67" t="n">
        <x:f>VLOOKUP(C482,'Governorate Master'!$A$2:$Q$13,7,FALSE)</x:f>
        <x:v>660.3</x:v>
      </x:c>
      <x:c r="H482" s="20" t="n">
        <x:f>VLOOKUP(C482,'Governorate Master'!$A$2:$Q$13,6,FALSE)</x:f>
        <x:v>0.9721656076409703</x:v>
      </x:c>
      <x:c r="I482" s="20" t="n">
        <x:f>VLOOKUP(C482,'Governorate Master'!$A$2:$Q$13,15,FALSE)</x:f>
        <x:v>0.06367041198501873</x:v>
      </x:c>
      <x:c r="J482" s="12" t="str">
        <x:v>Location model input - competition/saturation context</x:v>
      </x:c>
      <x:c r="K482" s="12" t="str">
        <x:v>Business count is from 2018 while population/context indicators are newer; use as a historical proxy, not a current market count.</x:v>
      </x:c>
    </x:row>
    <x:row r="483">
      <x:c r="A483" s="12" t="str">
        <x:v>1811</x:v>
      </x:c>
      <x:c r="B483" s="12" t="str">
        <x:v>Printing</x:v>
      </x:c>
      <x:c r="C483" s="12" t="str">
        <x:v>البلقاء</x:v>
      </x:c>
      <x:c r="D483" s="14" t="n">
        <x:v>24</x:v>
      </x:c>
      <x:c r="E483" s="14" t="n">
        <x:f>VLOOKUP(C483,'Governorate Master'!$A$2:$Q$13,3,FALSE)</x:f>
        <x:v>614000</x:v>
      </x:c>
      <x:c r="F483" s="66" t="n">
        <x:f>IF(E483=0,0,D483/E483*10000)</x:f>
        <x:v>0.39087947882736157</x:v>
      </x:c>
      <x:c r="G483" s="67" t="n">
        <x:f>VLOOKUP(C483,'Governorate Master'!$A$2:$Q$13,7,FALSE)</x:f>
        <x:v>548</x:v>
      </x:c>
      <x:c r="H483" s="20" t="n">
        <x:f>VLOOKUP(C483,'Governorate Master'!$A$2:$Q$13,6,FALSE)</x:f>
        <x:v>0.8210097719869707</x:v>
      </x:c>
      <x:c r="I483" s="20" t="n">
        <x:f>VLOOKUP(C483,'Governorate Master'!$A$2:$Q$13,15,FALSE)</x:f>
        <x:v>0.10794044665012408</x:v>
      </x:c>
      <x:c r="J483" s="12" t="str">
        <x:v>Location model input - competition/saturation context</x:v>
      </x:c>
      <x:c r="K483" s="12" t="str">
        <x:v>Business count is from 2018 while population/context indicators are newer; use as a historical proxy, not a current market count.</x:v>
      </x:c>
    </x:row>
    <x:row r="484">
      <x:c r="A484" s="12" t="str">
        <x:v>1811</x:v>
      </x:c>
      <x:c r="B484" s="12" t="str">
        <x:v>Printing</x:v>
      </x:c>
      <x:c r="C484" s="12" t="str">
        <x:v>الزرقاء</x:v>
      </x:c>
      <x:c r="D484" s="14" t="n">
        <x:v>66</x:v>
      </x:c>
      <x:c r="E484" s="14" t="n">
        <x:f>VLOOKUP(C484,'Governorate Master'!$A$2:$Q$13,3,FALSE)</x:f>
        <x:v>1704500</x:v>
      </x:c>
      <x:c r="F484" s="66" t="n">
        <x:f>IF(E484=0,0,D484/E484*10000)</x:f>
        <x:v>0.3872103256086829</x:v>
      </x:c>
      <x:c r="G484" s="67" t="n">
        <x:f>VLOOKUP(C484,'Governorate Master'!$A$2:$Q$13,7,FALSE)</x:f>
        <x:v>358</x:v>
      </x:c>
      <x:c r="H484" s="20" t="n">
        <x:f>VLOOKUP(C484,'Governorate Master'!$A$2:$Q$13,6,FALSE)</x:f>
        <x:v>0.9636256966852449</x:v>
      </x:c>
      <x:c r="I484" s="20" t="n">
        <x:f>VLOOKUP(C484,'Governorate Master'!$A$2:$Q$13,15,FALSE)</x:f>
        <x:v>-0.06808762581409118</x:v>
      </x:c>
      <x:c r="J484" s="12" t="str">
        <x:v>Location model input - competition/saturation context</x:v>
      </x:c>
      <x:c r="K484" s="12" t="str">
        <x:v>Business count is from 2018 while population/context indicators are newer; use as a historical proxy, not a current market count.</x:v>
      </x:c>
    </x:row>
    <x:row r="485">
      <x:c r="A485" s="12" t="str">
        <x:v>1811</x:v>
      </x:c>
      <x:c r="B485" s="12" t="str">
        <x:v>Printing</x:v>
      </x:c>
      <x:c r="C485" s="12" t="str">
        <x:v>مادبا</x:v>
      </x:c>
      <x:c r="D485" s="14" t="n">
        <x:v>5</x:v>
      </x:c>
      <x:c r="E485" s="14" t="n">
        <x:f>VLOOKUP(C485,'Governorate Master'!$A$2:$Q$13,3,FALSE)</x:f>
        <x:v>236200</x:v>
      </x:c>
      <x:c r="F485" s="66" t="n">
        <x:f>IF(E485=0,0,D485/E485*10000)</x:f>
        <x:v>0.21168501270110077</x:v>
      </x:c>
      <x:c r="G485" s="67" t="n">
        <x:f>VLOOKUP(C485,'Governorate Master'!$A$2:$Q$13,7,FALSE)</x:f>
        <x:v>251.4</x:v>
      </x:c>
      <x:c r="H485" s="20" t="n">
        <x:f>VLOOKUP(C485,'Governorate Master'!$A$2:$Q$13,6,FALSE)</x:f>
        <x:v>0.7823878069432684</x:v>
      </x:c>
      <x:c r="I485" s="20" t="n">
        <x:f>VLOOKUP(C485,'Governorate Master'!$A$2:$Q$13,15,FALSE)</x:f>
        <x:v>-0.18823529411764706</x:v>
      </x:c>
      <x:c r="J485" s="12" t="str">
        <x:v>Location model input - competition/saturation context</x:v>
      </x:c>
      <x:c r="K485" s="12" t="str">
        <x:v>Business count is from 2018 while population/context indicators are newer; use as a historical proxy, not a current market count.</x:v>
      </x:c>
    </x:row>
    <x:row r="486">
      <x:c r="A486" s="12" t="str">
        <x:v>1811</x:v>
      </x:c>
      <x:c r="B486" s="12" t="str">
        <x:v>Printing</x:v>
      </x:c>
      <x:c r="C486" s="12" t="str">
        <x:v>إربد</x:v>
      </x:c>
      <x:c r="D486" s="14" t="n">
        <x:v>62</x:v>
      </x:c>
      <x:c r="E486" s="14" t="n">
        <x:f>VLOOKUP(C486,'Governorate Master'!$A$2:$Q$13,3,FALSE)</x:f>
        <x:v>2210500</x:v>
      </x:c>
      <x:c r="F486" s="66" t="n">
        <x:f>IF(E486=0,0,D486/E486*10000)</x:f>
        <x:v>0.28047952951820854</x:v>
      </x:c>
      <x:c r="G486" s="67" t="n">
        <x:f>VLOOKUP(C486,'Governorate Master'!$A$2:$Q$13,7,FALSE)</x:f>
        <x:v>1406.4</x:v>
      </x:c>
      <x:c r="H486" s="20" t="n">
        <x:f>VLOOKUP(C486,'Governorate Master'!$A$2:$Q$13,6,FALSE)</x:f>
        <x:v>0.9235014702555983</x:v>
      </x:c>
      <x:c r="I486" s="20" t="n">
        <x:f>VLOOKUP(C486,'Governorate Master'!$A$2:$Q$13,15,FALSE)</x:f>
        <x:v>0.07086922474549726</x:v>
      </x:c>
      <x:c r="J486" s="12" t="str">
        <x:v>Location model input - competition/saturation context</x:v>
      </x:c>
      <x:c r="K486" s="12" t="str">
        <x:v>Business count is from 2018 while population/context indicators are newer; use as a historical proxy, not a current market count.</x:v>
      </x:c>
    </x:row>
    <x:row r="487">
      <x:c r="A487" s="12" t="str">
        <x:v>1811</x:v>
      </x:c>
      <x:c r="B487" s="12" t="str">
        <x:v>Printing</x:v>
      </x:c>
      <x:c r="C487" s="12" t="str">
        <x:v>المفرق</x:v>
      </x:c>
      <x:c r="D487" s="14" t="n">
        <x:v>12</x:v>
      </x:c>
      <x:c r="E487" s="14" t="n">
        <x:f>VLOOKUP(C487,'Governorate Master'!$A$2:$Q$13,3,FALSE)</x:f>
        <x:v>686800</x:v>
      </x:c>
      <x:c r="F487" s="66" t="n">
        <x:f>IF(E487=0,0,D487/E487*10000)</x:f>
        <x:v>0.17472335468841002</x:v>
      </x:c>
      <x:c r="G487" s="67" t="n">
        <x:f>VLOOKUP(C487,'Governorate Master'!$A$2:$Q$13,7,FALSE)</x:f>
        <x:v>25.9</x:v>
      </x:c>
      <x:c r="H487" s="20" t="n">
        <x:f>VLOOKUP(C487,'Governorate Master'!$A$2:$Q$13,6,FALSE)</x:f>
        <x:v>0.6965637740244612</x:v>
      </x:c>
      <x:c r="I487" s="20" t="n">
        <x:f>VLOOKUP(C487,'Governorate Master'!$A$2:$Q$13,15,FALSE)</x:f>
        <x:v>-0.016638935108153077</x:v>
      </x:c>
      <x:c r="J487" s="12" t="str">
        <x:v>Location model input - competition/saturation context</x:v>
      </x:c>
      <x:c r="K487" s="12" t="str">
        <x:v>Business count is from 2018 while population/context indicators are newer; use as a historical proxy, not a current market count.</x:v>
      </x:c>
    </x:row>
    <x:row r="488">
      <x:c r="A488" s="12" t="str">
        <x:v>1811</x:v>
      </x:c>
      <x:c r="B488" s="12" t="str">
        <x:v>Printing</x:v>
      </x:c>
      <x:c r="C488" s="12" t="str">
        <x:v>جرش</x:v>
      </x:c>
      <x:c r="D488" s="14" t="n">
        <x:v>4</x:v>
      </x:c>
      <x:c r="E488" s="14" t="n">
        <x:f>VLOOKUP(C488,'Governorate Master'!$A$2:$Q$13,3,FALSE)</x:f>
        <x:v>296000</x:v>
      </x:c>
      <x:c r="F488" s="66" t="n">
        <x:f>IF(E488=0,0,D488/E488*10000)</x:f>
        <x:v>0.13513513513513514</x:v>
      </x:c>
      <x:c r="G488" s="67" t="n">
        <x:f>VLOOKUP(C488,'Governorate Master'!$A$2:$Q$13,7,FALSE)</x:f>
        <x:v>722.3</x:v>
      </x:c>
      <x:c r="H488" s="20" t="n">
        <x:f>VLOOKUP(C488,'Governorate Master'!$A$2:$Q$13,6,FALSE)</x:f>
        <x:v>0.7695945945945946</x:v>
      </x:c>
      <x:c r="I488" s="20" t="n">
        <x:f>VLOOKUP(C488,'Governorate Master'!$A$2:$Q$13,15,FALSE)</x:f>
        <x:v>-0.06527415143603134</x:v>
      </x:c>
      <x:c r="J488" s="12" t="str">
        <x:v>Location model input - competition/saturation context</x:v>
      </x:c>
      <x:c r="K488" s="12" t="str">
        <x:v>Business count is from 2018 while population/context indicators are newer; use as a historical proxy, not a current market count.</x:v>
      </x:c>
    </x:row>
    <x:row r="489">
      <x:c r="A489" s="12" t="str">
        <x:v>1811</x:v>
      </x:c>
      <x:c r="B489" s="12" t="str">
        <x:v>Printing</x:v>
      </x:c>
      <x:c r="C489" s="12" t="str">
        <x:v>عجلون</x:v>
      </x:c>
      <x:c r="D489" s="14" t="n">
        <x:v>8</x:v>
      </x:c>
      <x:c r="E489" s="14" t="n">
        <x:f>VLOOKUP(C489,'Governorate Master'!$A$2:$Q$13,3,FALSE)</x:f>
        <x:v>219900</x:v>
      </x:c>
      <x:c r="F489" s="66" t="n">
        <x:f>IF(E489=0,0,D489/E489*10000)</x:f>
        <x:v>0.36380172805820826</x:v>
      </x:c>
      <x:c r="G489" s="67" t="n">
        <x:f>VLOOKUP(C489,'Governorate Master'!$A$2:$Q$13,7,FALSE)</x:f>
        <x:v>524</x:v>
      </x:c>
      <x:c r="H489" s="20" t="n">
        <x:f>VLOOKUP(C489,'Governorate Master'!$A$2:$Q$13,6,FALSE)</x:f>
        <x:v>0.8390177353342428</x:v>
      </x:c>
      <x:c r="I489" s="20" t="n">
        <x:f>VLOOKUP(C489,'Governorate Master'!$A$2:$Q$13,15,FALSE)</x:f>
        <x:v>0.03614457831325301</x:v>
      </x:c>
      <x:c r="J489" s="12" t="str">
        <x:v>Location model input - competition/saturation context</x:v>
      </x:c>
      <x:c r="K489" s="12" t="str">
        <x:v>Business count is from 2018 while population/context indicators are newer; use as a historical proxy, not a current market count.</x:v>
      </x:c>
    </x:row>
    <x:row r="490">
      <x:c r="A490" s="12" t="str">
        <x:v>1811</x:v>
      </x:c>
      <x:c r="B490" s="12" t="str">
        <x:v>Printing</x:v>
      </x:c>
      <x:c r="C490" s="12" t="str">
        <x:v>الكرك</x:v>
      </x:c>
      <x:c r="D490" s="14" t="n">
        <x:v>11</x:v>
      </x:c>
      <x:c r="E490" s="14" t="n">
        <x:f>VLOOKUP(C490,'Governorate Master'!$A$2:$Q$13,3,FALSE)</x:f>
        <x:v>395400</x:v>
      </x:c>
      <x:c r="F490" s="66" t="n">
        <x:f>IF(E490=0,0,D490/E490*10000)</x:f>
        <x:v>0.278199291856348</x:v>
      </x:c>
      <x:c r="G490" s="67" t="n">
        <x:f>VLOOKUP(C490,'Governorate Master'!$A$2:$Q$13,7,FALSE)</x:f>
        <x:v>113.1</x:v>
      </x:c>
      <x:c r="H490" s="20" t="n">
        <x:f>VLOOKUP(C490,'Governorate Master'!$A$2:$Q$13,6,FALSE)</x:f>
        <x:v>0.5912999494183105</x:v>
      </x:c>
      <x:c r="I490" s="20" t="n">
        <x:f>VLOOKUP(C490,'Governorate Master'!$A$2:$Q$13,15,FALSE)</x:f>
        <x:v>0.08710801393728224</x:v>
      </x:c>
      <x:c r="J490" s="12" t="str">
        <x:v>Location model input - competition/saturation context</x:v>
      </x:c>
      <x:c r="K490" s="12" t="str">
        <x:v>Business count is from 2018 while population/context indicators are newer; use as a historical proxy, not a current market count.</x:v>
      </x:c>
    </x:row>
    <x:row r="491">
      <x:c r="A491" s="12" t="str">
        <x:v>1811</x:v>
      </x:c>
      <x:c r="B491" s="12" t="str">
        <x:v>Printing</x:v>
      </x:c>
      <x:c r="C491" s="12" t="str">
        <x:v>الطفيلة</x:v>
      </x:c>
      <x:c r="D491" s="14" t="n">
        <x:v>4</x:v>
      </x:c>
      <x:c r="E491" s="14" t="n">
        <x:f>VLOOKUP(C491,'Governorate Master'!$A$2:$Q$13,3,FALSE)</x:f>
        <x:v>120300</x:v>
      </x:c>
      <x:c r="F491" s="66" t="n">
        <x:f>IF(E491=0,0,D491/E491*10000)</x:f>
        <x:v>0.3325020781379884</x:v>
      </x:c>
      <x:c r="G491" s="67" t="n">
        <x:f>VLOOKUP(C491,'Governorate Master'!$A$2:$Q$13,7,FALSE)</x:f>
        <x:v>54.4</x:v>
      </x:c>
      <x:c r="H491" s="20" t="n">
        <x:f>VLOOKUP(C491,'Governorate Master'!$A$2:$Q$13,6,FALSE)</x:f>
        <x:v>0.7797173732335827</x:v>
      </x:c>
      <x:c r="I491" s="20" t="n">
        <x:f>VLOOKUP(C491,'Governorate Master'!$A$2:$Q$13,15,FALSE)</x:f>
        <x:v>0.18452380952380953</x:v>
      </x:c>
      <x:c r="J491" s="12" t="str">
        <x:v>Location model input - competition/saturation context</x:v>
      </x:c>
      <x:c r="K491" s="12" t="str">
        <x:v>Business count is from 2018 while population/context indicators are newer; use as a historical proxy, not a current market count.</x:v>
      </x:c>
    </x:row>
    <x:row r="492">
      <x:c r="A492" s="12" t="str">
        <x:v>1811</x:v>
      </x:c>
      <x:c r="B492" s="12" t="str">
        <x:v>Printing</x:v>
      </x:c>
      <x:c r="C492" s="12" t="str">
        <x:v>معان</x:v>
      </x:c>
      <x:c r="D492" s="14" t="n">
        <x:v>1</x:v>
      </x:c>
      <x:c r="E492" s="14" t="n">
        <x:f>VLOOKUP(C492,'Governorate Master'!$A$2:$Q$13,3,FALSE)</x:f>
        <x:v>197900</x:v>
      </x:c>
      <x:c r="F492" s="66" t="n">
        <x:f>IF(E492=0,0,D492/E492*10000)</x:f>
        <x:v>0.05053057099545225</x:v>
      </x:c>
      <x:c r="G492" s="67" t="n">
        <x:f>VLOOKUP(C492,'Governorate Master'!$A$2:$Q$13,7,FALSE)</x:f>
        <x:v>6</x:v>
      </x:c>
      <x:c r="H492" s="20" t="n">
        <x:f>VLOOKUP(C492,'Governorate Master'!$A$2:$Q$13,6,FALSE)</x:f>
        <x:v>0.5406771096513391</x:v>
      </x:c>
      <x:c r="I492" s="20" t="n">
        <x:f>VLOOKUP(C492,'Governorate Master'!$A$2:$Q$13,15,FALSE)</x:f>
        <x:v>0.026845637583892617</x:v>
      </x:c>
      <x:c r="J492" s="12" t="str">
        <x:v>Location model input - competition/saturation context</x:v>
      </x:c>
      <x:c r="K492" s="12" t="str">
        <x:v>Business count is from 2018 while population/context indicators are newer; use as a historical proxy, not a current market count.</x:v>
      </x:c>
    </x:row>
    <x:row r="493">
      <x:c r="A493" s="12" t="str">
        <x:v>1811</x:v>
      </x:c>
      <x:c r="B493" s="12" t="str">
        <x:v>Printing</x:v>
      </x:c>
      <x:c r="C493" s="12" t="str">
        <x:v>العقبة</x:v>
      </x:c>
      <x:c r="D493" s="14" t="n">
        <x:v>10</x:v>
      </x:c>
      <x:c r="E493" s="14" t="n">
        <x:f>VLOOKUP(C493,'Governorate Master'!$A$2:$Q$13,3,FALSE)</x:f>
        <x:v>250900</x:v>
      </x:c>
      <x:c r="F493" s="66" t="n">
        <x:f>IF(E493=0,0,D493/E493*10000)</x:f>
        <x:v>0.3985651654045436</x:v>
      </x:c>
      <x:c r="G493" s="67" t="n">
        <x:f>VLOOKUP(C493,'Governorate Master'!$A$2:$Q$13,7,FALSE)</x:f>
        <x:v>36.3</x:v>
      </x:c>
      <x:c r="H493" s="20" t="n">
        <x:f>VLOOKUP(C493,'Governorate Master'!$A$2:$Q$13,6,FALSE)</x:f>
        <x:v>0.882024711040255</x:v>
      </x:c>
      <x:c r="I493" s="20" t="n">
        <x:f>VLOOKUP(C493,'Governorate Master'!$A$2:$Q$13,15,FALSE)</x:f>
        <x:v>-0.09</x:v>
      </x:c>
      <x:c r="J493" s="12" t="str">
        <x:v>Location model input - competition/saturation context</x:v>
      </x:c>
      <x:c r="K493" s="12" t="str">
        <x:v>Business count is from 2018 while population/context indicators are newer; use as a historical proxy, not a current market count.</x:v>
      </x:c>
    </x:row>
    <x:row r="494">
      <x:c r="A494" s="12" t="str">
        <x:v>1812</x:v>
      </x:c>
      <x:c r="B494" s="12" t="str">
        <x:v>Service activities related to printing</x:v>
      </x:c>
      <x:c r="C494" s="12" t="str">
        <x:v>عمان</x:v>
      </x:c>
      <x:c r="D494" s="14" t="n">
        <x:v>42</x:v>
      </x:c>
      <x:c r="E494" s="14" t="n">
        <x:f>VLOOKUP(C494,'Governorate Master'!$A$2:$Q$13,3,FALSE)</x:f>
        <x:v>5004600</x:v>
      </x:c>
      <x:c r="F494" s="66" t="n">
        <x:f>IF(E494=0,0,D494/E494*10000)</x:f>
        <x:v>0.08392279103225032</x:v>
      </x:c>
      <x:c r="G494" s="67" t="n">
        <x:f>VLOOKUP(C494,'Governorate Master'!$A$2:$Q$13,7,FALSE)</x:f>
        <x:v>660.3</x:v>
      </x:c>
      <x:c r="H494" s="20" t="n">
        <x:f>VLOOKUP(C494,'Governorate Master'!$A$2:$Q$13,6,FALSE)</x:f>
        <x:v>0.9721656076409703</x:v>
      </x:c>
      <x:c r="I494" s="20" t="n">
        <x:f>VLOOKUP(C494,'Governorate Master'!$A$2:$Q$13,15,FALSE)</x:f>
        <x:v>0.06367041198501873</x:v>
      </x:c>
      <x:c r="J494" s="12" t="str">
        <x:v>Location model input - competition/saturation context</x:v>
      </x:c>
      <x:c r="K494" s="12" t="str">
        <x:v>Business count is from 2018 while population/context indicators are newer; use as a historical proxy, not a current market count.</x:v>
      </x:c>
    </x:row>
    <x:row r="495">
      <x:c r="A495" s="12" t="str">
        <x:v>1812</x:v>
      </x:c>
      <x:c r="B495" s="12" t="str">
        <x:v>Service activities related to printing</x:v>
      </x:c>
      <x:c r="C495" s="12" t="str">
        <x:v>البلقاء</x:v>
      </x:c>
      <x:c r="D495" s="14" t="n">
        <x:v>1</x:v>
      </x:c>
      <x:c r="E495" s="14" t="n">
        <x:f>VLOOKUP(C495,'Governorate Master'!$A$2:$Q$13,3,FALSE)</x:f>
        <x:v>614000</x:v>
      </x:c>
      <x:c r="F495" s="66" t="n">
        <x:f>IF(E495=0,0,D495/E495*10000)</x:f>
        <x:v>0.016286644951140065</x:v>
      </x:c>
      <x:c r="G495" s="67" t="n">
        <x:f>VLOOKUP(C495,'Governorate Master'!$A$2:$Q$13,7,FALSE)</x:f>
        <x:v>548</x:v>
      </x:c>
      <x:c r="H495" s="20" t="n">
        <x:f>VLOOKUP(C495,'Governorate Master'!$A$2:$Q$13,6,FALSE)</x:f>
        <x:v>0.8210097719869707</x:v>
      </x:c>
      <x:c r="I495" s="20" t="n">
        <x:f>VLOOKUP(C495,'Governorate Master'!$A$2:$Q$13,15,FALSE)</x:f>
        <x:v>0.10794044665012408</x:v>
      </x:c>
      <x:c r="J495" s="12" t="str">
        <x:v>Location model input - competition/saturation context</x:v>
      </x:c>
      <x:c r="K495" s="12" t="str">
        <x:v>Business count is from 2018 while population/context indicators are newer; use as a historical proxy, not a current market count.</x:v>
      </x:c>
    </x:row>
    <x:row r="496">
      <x:c r="A496" s="12" t="str">
        <x:v>1812</x:v>
      </x:c>
      <x:c r="B496" s="12" t="str">
        <x:v>Service activities related to printing</x:v>
      </x:c>
      <x:c r="C496" s="12" t="str">
        <x:v>الزرقاء</x:v>
      </x:c>
      <x:c r="D496" s="14" t="n">
        <x:v>5</x:v>
      </x:c>
      <x:c r="E496" s="14" t="n">
        <x:f>VLOOKUP(C496,'Governorate Master'!$A$2:$Q$13,3,FALSE)</x:f>
        <x:v>1704500</x:v>
      </x:c>
      <x:c r="F496" s="66" t="n">
        <x:f>IF(E496=0,0,D496/E496*10000)</x:f>
        <x:v>0.029334115576415375</x:v>
      </x:c>
      <x:c r="G496" s="67" t="n">
        <x:f>VLOOKUP(C496,'Governorate Master'!$A$2:$Q$13,7,FALSE)</x:f>
        <x:v>358</x:v>
      </x:c>
      <x:c r="H496" s="20" t="n">
        <x:f>VLOOKUP(C496,'Governorate Master'!$A$2:$Q$13,6,FALSE)</x:f>
        <x:v>0.9636256966852449</x:v>
      </x:c>
      <x:c r="I496" s="20" t="n">
        <x:f>VLOOKUP(C496,'Governorate Master'!$A$2:$Q$13,15,FALSE)</x:f>
        <x:v>-0.06808762581409118</x:v>
      </x:c>
      <x:c r="J496" s="12" t="str">
        <x:v>Location model input - competition/saturation context</x:v>
      </x:c>
      <x:c r="K496" s="12" t="str">
        <x:v>Business count is from 2018 while population/context indicators are newer; use as a historical proxy, not a current market count.</x:v>
      </x:c>
    </x:row>
    <x:row r="497">
      <x:c r="A497" s="12" t="str">
        <x:v>1812</x:v>
      </x:c>
      <x:c r="B497" s="12" t="str">
        <x:v>Service activities related to printing</x:v>
      </x:c>
      <x:c r="C497" s="12" t="str">
        <x:v>مادبا</x:v>
      </x:c>
      <x:c r="D497" s="14" t="n">
        <x:v>0</x:v>
      </x:c>
      <x:c r="E497" s="14" t="n">
        <x:f>VLOOKUP(C497,'Governorate Master'!$A$2:$Q$13,3,FALSE)</x:f>
        <x:v>236200</x:v>
      </x:c>
      <x:c r="F497" s="66" t="n">
        <x:f>IF(E497=0,0,D497/E497*10000)</x:f>
        <x:v>0</x:v>
      </x:c>
      <x:c r="G497" s="67" t="n">
        <x:f>VLOOKUP(C497,'Governorate Master'!$A$2:$Q$13,7,FALSE)</x:f>
        <x:v>251.4</x:v>
      </x:c>
      <x:c r="H497" s="20" t="n">
        <x:f>VLOOKUP(C497,'Governorate Master'!$A$2:$Q$13,6,FALSE)</x:f>
        <x:v>0.7823878069432684</x:v>
      </x:c>
      <x:c r="I497" s="20" t="n">
        <x:f>VLOOKUP(C497,'Governorate Master'!$A$2:$Q$13,15,FALSE)</x:f>
        <x:v>-0.18823529411764706</x:v>
      </x:c>
      <x:c r="J497" s="12" t="str">
        <x:v>Location model input - competition/saturation context</x:v>
      </x:c>
      <x:c r="K497" s="12" t="str">
        <x:v>Business count is from 2018 while population/context indicators are newer; use as a historical proxy, not a current market count.</x:v>
      </x:c>
    </x:row>
    <x:row r="498">
      <x:c r="A498" s="12" t="str">
        <x:v>1812</x:v>
      </x:c>
      <x:c r="B498" s="12" t="str">
        <x:v>Service activities related to printing</x:v>
      </x:c>
      <x:c r="C498" s="12" t="str">
        <x:v>إربد</x:v>
      </x:c>
      <x:c r="D498" s="14" t="n">
        <x:v>4</x:v>
      </x:c>
      <x:c r="E498" s="14" t="n">
        <x:f>VLOOKUP(C498,'Governorate Master'!$A$2:$Q$13,3,FALSE)</x:f>
        <x:v>2210500</x:v>
      </x:c>
      <x:c r="F498" s="66" t="n">
        <x:f>IF(E498=0,0,D498/E498*10000)</x:f>
        <x:v>0.018095453517303777</x:v>
      </x:c>
      <x:c r="G498" s="67" t="n">
        <x:f>VLOOKUP(C498,'Governorate Master'!$A$2:$Q$13,7,FALSE)</x:f>
        <x:v>1406.4</x:v>
      </x:c>
      <x:c r="H498" s="20" t="n">
        <x:f>VLOOKUP(C498,'Governorate Master'!$A$2:$Q$13,6,FALSE)</x:f>
        <x:v>0.9235014702555983</x:v>
      </x:c>
      <x:c r="I498" s="20" t="n">
        <x:f>VLOOKUP(C498,'Governorate Master'!$A$2:$Q$13,15,FALSE)</x:f>
        <x:v>0.07086922474549726</x:v>
      </x:c>
      <x:c r="J498" s="12" t="str">
        <x:v>Location model input - competition/saturation context</x:v>
      </x:c>
      <x:c r="K498" s="12" t="str">
        <x:v>Business count is from 2018 while population/context indicators are newer; use as a historical proxy, not a current market count.</x:v>
      </x:c>
    </x:row>
    <x:row r="499">
      <x:c r="A499" s="12" t="str">
        <x:v>1812</x:v>
      </x:c>
      <x:c r="B499" s="12" t="str">
        <x:v>Service activities related to printing</x:v>
      </x:c>
      <x:c r="C499" s="12" t="str">
        <x:v>المفرق</x:v>
      </x:c>
      <x:c r="D499" s="14" t="n">
        <x:v>0</x:v>
      </x:c>
      <x:c r="E499" s="14" t="n">
        <x:f>VLOOKUP(C499,'Governorate Master'!$A$2:$Q$13,3,FALSE)</x:f>
        <x:v>686800</x:v>
      </x:c>
      <x:c r="F499" s="66" t="n">
        <x:f>IF(E499=0,0,D499/E499*10000)</x:f>
        <x:v>0</x:v>
      </x:c>
      <x:c r="G499" s="67" t="n">
        <x:f>VLOOKUP(C499,'Governorate Master'!$A$2:$Q$13,7,FALSE)</x:f>
        <x:v>25.9</x:v>
      </x:c>
      <x:c r="H499" s="20" t="n">
        <x:f>VLOOKUP(C499,'Governorate Master'!$A$2:$Q$13,6,FALSE)</x:f>
        <x:v>0.6965637740244612</x:v>
      </x:c>
      <x:c r="I499" s="20" t="n">
        <x:f>VLOOKUP(C499,'Governorate Master'!$A$2:$Q$13,15,FALSE)</x:f>
        <x:v>-0.016638935108153077</x:v>
      </x:c>
      <x:c r="J499" s="12" t="str">
        <x:v>Location model input - competition/saturation context</x:v>
      </x:c>
      <x:c r="K499" s="12" t="str">
        <x:v>Business count is from 2018 while population/context indicators are newer; use as a historical proxy, not a current market count.</x:v>
      </x:c>
    </x:row>
    <x:row r="500">
      <x:c r="A500" s="12" t="str">
        <x:v>1812</x:v>
      </x:c>
      <x:c r="B500" s="12" t="str">
        <x:v>Service activities related to printing</x:v>
      </x:c>
      <x:c r="C500" s="12" t="str">
        <x:v>جرش</x:v>
      </x:c>
      <x:c r="D500" s="14" t="n">
        <x:v>0</x:v>
      </x:c>
      <x:c r="E500" s="14" t="n">
        <x:f>VLOOKUP(C500,'Governorate Master'!$A$2:$Q$13,3,FALSE)</x:f>
        <x:v>296000</x:v>
      </x:c>
      <x:c r="F500" s="66" t="n">
        <x:f>IF(E500=0,0,D500/E500*10000)</x:f>
        <x:v>0</x:v>
      </x:c>
      <x:c r="G500" s="67" t="n">
        <x:f>VLOOKUP(C500,'Governorate Master'!$A$2:$Q$13,7,FALSE)</x:f>
        <x:v>722.3</x:v>
      </x:c>
      <x:c r="H500" s="20" t="n">
        <x:f>VLOOKUP(C500,'Governorate Master'!$A$2:$Q$13,6,FALSE)</x:f>
        <x:v>0.7695945945945946</x:v>
      </x:c>
      <x:c r="I500" s="20" t="n">
        <x:f>VLOOKUP(C500,'Governorate Master'!$A$2:$Q$13,15,FALSE)</x:f>
        <x:v>-0.06527415143603134</x:v>
      </x:c>
      <x:c r="J500" s="12" t="str">
        <x:v>Location model input - competition/saturation context</x:v>
      </x:c>
      <x:c r="K500" s="12" t="str">
        <x:v>Business count is from 2018 while population/context indicators are newer; use as a historical proxy, not a current market count.</x:v>
      </x:c>
    </x:row>
    <x:row r="501">
      <x:c r="A501" s="12" t="str">
        <x:v>1812</x:v>
      </x:c>
      <x:c r="B501" s="12" t="str">
        <x:v>Service activities related to printing</x:v>
      </x:c>
      <x:c r="C501" s="12" t="str">
        <x:v>عجلون</x:v>
      </x:c>
      <x:c r="D501" s="14" t="n">
        <x:v>0</x:v>
      </x:c>
      <x:c r="E501" s="14" t="n">
        <x:f>VLOOKUP(C501,'Governorate Master'!$A$2:$Q$13,3,FALSE)</x:f>
        <x:v>219900</x:v>
      </x:c>
      <x:c r="F501" s="66" t="n">
        <x:f>IF(E501=0,0,D501/E501*10000)</x:f>
        <x:v>0</x:v>
      </x:c>
      <x:c r="G501" s="67" t="n">
        <x:f>VLOOKUP(C501,'Governorate Master'!$A$2:$Q$13,7,FALSE)</x:f>
        <x:v>524</x:v>
      </x:c>
      <x:c r="H501" s="20" t="n">
        <x:f>VLOOKUP(C501,'Governorate Master'!$A$2:$Q$13,6,FALSE)</x:f>
        <x:v>0.8390177353342428</x:v>
      </x:c>
      <x:c r="I501" s="20" t="n">
        <x:f>VLOOKUP(C501,'Governorate Master'!$A$2:$Q$13,15,FALSE)</x:f>
        <x:v>0.03614457831325301</x:v>
      </x:c>
      <x:c r="J501" s="12" t="str">
        <x:v>Location model input - competition/saturation context</x:v>
      </x:c>
      <x:c r="K501" s="12" t="str">
        <x:v>Business count is from 2018 while population/context indicators are newer; use as a historical proxy, not a current market count.</x:v>
      </x:c>
    </x:row>
    <x:row r="502">
      <x:c r="A502" s="12" t="str">
        <x:v>1812</x:v>
      </x:c>
      <x:c r="B502" s="12" t="str">
        <x:v>Service activities related to printing</x:v>
      </x:c>
      <x:c r="C502" s="12" t="str">
        <x:v>الكرك</x:v>
      </x:c>
      <x:c r="D502" s="14" t="n">
        <x:v>0</x:v>
      </x:c>
      <x:c r="E502" s="14" t="n">
        <x:f>VLOOKUP(C502,'Governorate Master'!$A$2:$Q$13,3,FALSE)</x:f>
        <x:v>395400</x:v>
      </x:c>
      <x:c r="F502" s="66" t="n">
        <x:f>IF(E502=0,0,D502/E502*10000)</x:f>
        <x:v>0</x:v>
      </x:c>
      <x:c r="G502" s="67" t="n">
        <x:f>VLOOKUP(C502,'Governorate Master'!$A$2:$Q$13,7,FALSE)</x:f>
        <x:v>113.1</x:v>
      </x:c>
      <x:c r="H502" s="20" t="n">
        <x:f>VLOOKUP(C502,'Governorate Master'!$A$2:$Q$13,6,FALSE)</x:f>
        <x:v>0.5912999494183105</x:v>
      </x:c>
      <x:c r="I502" s="20" t="n">
        <x:f>VLOOKUP(C502,'Governorate Master'!$A$2:$Q$13,15,FALSE)</x:f>
        <x:v>0.08710801393728224</x:v>
      </x:c>
      <x:c r="J502" s="12" t="str">
        <x:v>Location model input - competition/saturation context</x:v>
      </x:c>
      <x:c r="K502" s="12" t="str">
        <x:v>Business count is from 2018 while population/context indicators are newer; use as a historical proxy, not a current market count.</x:v>
      </x:c>
    </x:row>
    <x:row r="503">
      <x:c r="A503" s="12" t="str">
        <x:v>1812</x:v>
      </x:c>
      <x:c r="B503" s="12" t="str">
        <x:v>Service activities related to printing</x:v>
      </x:c>
      <x:c r="C503" s="12" t="str">
        <x:v>الطفيلة</x:v>
      </x:c>
      <x:c r="D503" s="14" t="n">
        <x:v>0</x:v>
      </x:c>
      <x:c r="E503" s="14" t="n">
        <x:f>VLOOKUP(C503,'Governorate Master'!$A$2:$Q$13,3,FALSE)</x:f>
        <x:v>120300</x:v>
      </x:c>
      <x:c r="F503" s="66" t="n">
        <x:f>IF(E503=0,0,D503/E503*10000)</x:f>
        <x:v>0</x:v>
      </x:c>
      <x:c r="G503" s="67" t="n">
        <x:f>VLOOKUP(C503,'Governorate Master'!$A$2:$Q$13,7,FALSE)</x:f>
        <x:v>54.4</x:v>
      </x:c>
      <x:c r="H503" s="20" t="n">
        <x:f>VLOOKUP(C503,'Governorate Master'!$A$2:$Q$13,6,FALSE)</x:f>
        <x:v>0.7797173732335827</x:v>
      </x:c>
      <x:c r="I503" s="20" t="n">
        <x:f>VLOOKUP(C503,'Governorate Master'!$A$2:$Q$13,15,FALSE)</x:f>
        <x:v>0.18452380952380953</x:v>
      </x:c>
      <x:c r="J503" s="12" t="str">
        <x:v>Location model input - competition/saturation context</x:v>
      </x:c>
      <x:c r="K503" s="12" t="str">
        <x:v>Business count is from 2018 while population/context indicators are newer; use as a historical proxy, not a current market count.</x:v>
      </x:c>
    </x:row>
    <x:row r="504">
      <x:c r="A504" s="12" t="str">
        <x:v>1812</x:v>
      </x:c>
      <x:c r="B504" s="12" t="str">
        <x:v>Service activities related to printing</x:v>
      </x:c>
      <x:c r="C504" s="12" t="str">
        <x:v>معان</x:v>
      </x:c>
      <x:c r="D504" s="14" t="n">
        <x:v>0</x:v>
      </x:c>
      <x:c r="E504" s="14" t="n">
        <x:f>VLOOKUP(C504,'Governorate Master'!$A$2:$Q$13,3,FALSE)</x:f>
        <x:v>197900</x:v>
      </x:c>
      <x:c r="F504" s="66" t="n">
        <x:f>IF(E504=0,0,D504/E504*10000)</x:f>
        <x:v>0</x:v>
      </x:c>
      <x:c r="G504" s="67" t="n">
        <x:f>VLOOKUP(C504,'Governorate Master'!$A$2:$Q$13,7,FALSE)</x:f>
        <x:v>6</x:v>
      </x:c>
      <x:c r="H504" s="20" t="n">
        <x:f>VLOOKUP(C504,'Governorate Master'!$A$2:$Q$13,6,FALSE)</x:f>
        <x:v>0.5406771096513391</x:v>
      </x:c>
      <x:c r="I504" s="20" t="n">
        <x:f>VLOOKUP(C504,'Governorate Master'!$A$2:$Q$13,15,FALSE)</x:f>
        <x:v>0.026845637583892617</x:v>
      </x:c>
      <x:c r="J504" s="12" t="str">
        <x:v>Location model input - competition/saturation context</x:v>
      </x:c>
      <x:c r="K504" s="12" t="str">
        <x:v>Business count is from 2018 while population/context indicators are newer; use as a historical proxy, not a current market count.</x:v>
      </x:c>
    </x:row>
    <x:row r="505">
      <x:c r="A505" s="12" t="str">
        <x:v>1812</x:v>
      </x:c>
      <x:c r="B505" s="12" t="str">
        <x:v>Service activities related to printing</x:v>
      </x:c>
      <x:c r="C505" s="12" t="str">
        <x:v>العقبة</x:v>
      </x:c>
      <x:c r="D505" s="14" t="n">
        <x:v>0</x:v>
      </x:c>
      <x:c r="E505" s="14" t="n">
        <x:f>VLOOKUP(C505,'Governorate Master'!$A$2:$Q$13,3,FALSE)</x:f>
        <x:v>250900</x:v>
      </x:c>
      <x:c r="F505" s="66" t="n">
        <x:f>IF(E505=0,0,D505/E505*10000)</x:f>
        <x:v>0</x:v>
      </x:c>
      <x:c r="G505" s="67" t="n">
        <x:f>VLOOKUP(C505,'Governorate Master'!$A$2:$Q$13,7,FALSE)</x:f>
        <x:v>36.3</x:v>
      </x:c>
      <x:c r="H505" s="20" t="n">
        <x:f>VLOOKUP(C505,'Governorate Master'!$A$2:$Q$13,6,FALSE)</x:f>
        <x:v>0.882024711040255</x:v>
      </x:c>
      <x:c r="I505" s="20" t="n">
        <x:f>VLOOKUP(C505,'Governorate Master'!$A$2:$Q$13,15,FALSE)</x:f>
        <x:v>-0.09</x:v>
      </x:c>
      <x:c r="J505" s="12" t="str">
        <x:v>Location model input - competition/saturation context</x:v>
      </x:c>
      <x:c r="K505" s="12" t="str">
        <x:v>Business count is from 2018 while population/context indicators are newer; use as a historical proxy, not a current market count.</x:v>
      </x:c>
    </x:row>
    <x:row r="506">
      <x:c r="A506" s="12" t="str">
        <x:v>1820</x:v>
      </x:c>
      <x:c r="B506" s="12" t="str">
        <x:v>Reproduction of recorded media</x:v>
      </x:c>
      <x:c r="C506" s="12" t="str">
        <x:v>عمان</x:v>
      </x:c>
      <x:c r="D506" s="14" t="n">
        <x:v>2</x:v>
      </x:c>
      <x:c r="E506" s="14" t="n">
        <x:f>VLOOKUP(C506,'Governorate Master'!$A$2:$Q$13,3,FALSE)</x:f>
        <x:v>5004600</x:v>
      </x:c>
      <x:c r="F506" s="66" t="n">
        <x:f>IF(E506=0,0,D506/E506*10000)</x:f>
        <x:v>0.003996323382488111</x:v>
      </x:c>
      <x:c r="G506" s="67" t="n">
        <x:f>VLOOKUP(C506,'Governorate Master'!$A$2:$Q$13,7,FALSE)</x:f>
        <x:v>660.3</x:v>
      </x:c>
      <x:c r="H506" s="20" t="n">
        <x:f>VLOOKUP(C506,'Governorate Master'!$A$2:$Q$13,6,FALSE)</x:f>
        <x:v>0.9721656076409703</x:v>
      </x:c>
      <x:c r="I506" s="20" t="n">
        <x:f>VLOOKUP(C506,'Governorate Master'!$A$2:$Q$13,15,FALSE)</x:f>
        <x:v>0.06367041198501873</x:v>
      </x:c>
      <x:c r="J506" s="12" t="str">
        <x:v>Location model input - competition/saturation context</x:v>
      </x:c>
      <x:c r="K506" s="12" t="str">
        <x:v>Business count is from 2018 while population/context indicators are newer; use as a historical proxy, not a current market count.</x:v>
      </x:c>
    </x:row>
    <x:row r="507">
      <x:c r="A507" s="12" t="str">
        <x:v>1820</x:v>
      </x:c>
      <x:c r="B507" s="12" t="str">
        <x:v>Reproduction of recorded media</x:v>
      </x:c>
      <x:c r="C507" s="12" t="str">
        <x:v>البلقاء</x:v>
      </x:c>
      <x:c r="D507" s="14" t="n">
        <x:v>0</x:v>
      </x:c>
      <x:c r="E507" s="14" t="n">
        <x:f>VLOOKUP(C507,'Governorate Master'!$A$2:$Q$13,3,FALSE)</x:f>
        <x:v>614000</x:v>
      </x:c>
      <x:c r="F507" s="66" t="n">
        <x:f>IF(E507=0,0,D507/E507*10000)</x:f>
        <x:v>0</x:v>
      </x:c>
      <x:c r="G507" s="67" t="n">
        <x:f>VLOOKUP(C507,'Governorate Master'!$A$2:$Q$13,7,FALSE)</x:f>
        <x:v>548</x:v>
      </x:c>
      <x:c r="H507" s="20" t="n">
        <x:f>VLOOKUP(C507,'Governorate Master'!$A$2:$Q$13,6,FALSE)</x:f>
        <x:v>0.8210097719869707</x:v>
      </x:c>
      <x:c r="I507" s="20" t="n">
        <x:f>VLOOKUP(C507,'Governorate Master'!$A$2:$Q$13,15,FALSE)</x:f>
        <x:v>0.10794044665012408</x:v>
      </x:c>
      <x:c r="J507" s="12" t="str">
        <x:v>Location model input - competition/saturation context</x:v>
      </x:c>
      <x:c r="K507" s="12" t="str">
        <x:v>Business count is from 2018 while population/context indicators are newer; use as a historical proxy, not a current market count.</x:v>
      </x:c>
    </x:row>
    <x:row r="508">
      <x:c r="A508" s="12" t="str">
        <x:v>1820</x:v>
      </x:c>
      <x:c r="B508" s="12" t="str">
        <x:v>Reproduction of recorded media</x:v>
      </x:c>
      <x:c r="C508" s="12" t="str">
        <x:v>الزرقاء</x:v>
      </x:c>
      <x:c r="D508" s="14" t="n">
        <x:v>0</x:v>
      </x:c>
      <x:c r="E508" s="14" t="n">
        <x:f>VLOOKUP(C508,'Governorate Master'!$A$2:$Q$13,3,FALSE)</x:f>
        <x:v>1704500</x:v>
      </x:c>
      <x:c r="F508" s="66" t="n">
        <x:f>IF(E508=0,0,D508/E508*10000)</x:f>
        <x:v>0</x:v>
      </x:c>
      <x:c r="G508" s="67" t="n">
        <x:f>VLOOKUP(C508,'Governorate Master'!$A$2:$Q$13,7,FALSE)</x:f>
        <x:v>358</x:v>
      </x:c>
      <x:c r="H508" s="20" t="n">
        <x:f>VLOOKUP(C508,'Governorate Master'!$A$2:$Q$13,6,FALSE)</x:f>
        <x:v>0.9636256966852449</x:v>
      </x:c>
      <x:c r="I508" s="20" t="n">
        <x:f>VLOOKUP(C508,'Governorate Master'!$A$2:$Q$13,15,FALSE)</x:f>
        <x:v>-0.06808762581409118</x:v>
      </x:c>
      <x:c r="J508" s="12" t="str">
        <x:v>Location model input - competition/saturation context</x:v>
      </x:c>
      <x:c r="K508" s="12" t="str">
        <x:v>Business count is from 2018 while population/context indicators are newer; use as a historical proxy, not a current market count.</x:v>
      </x:c>
    </x:row>
    <x:row r="509">
      <x:c r="A509" s="12" t="str">
        <x:v>1820</x:v>
      </x:c>
      <x:c r="B509" s="12" t="str">
        <x:v>Reproduction of recorded media</x:v>
      </x:c>
      <x:c r="C509" s="12" t="str">
        <x:v>مادبا</x:v>
      </x:c>
      <x:c r="D509" s="14" t="n">
        <x:v>0</x:v>
      </x:c>
      <x:c r="E509" s="14" t="n">
        <x:f>VLOOKUP(C509,'Governorate Master'!$A$2:$Q$13,3,FALSE)</x:f>
        <x:v>236200</x:v>
      </x:c>
      <x:c r="F509" s="66" t="n">
        <x:f>IF(E509=0,0,D509/E509*10000)</x:f>
        <x:v>0</x:v>
      </x:c>
      <x:c r="G509" s="67" t="n">
        <x:f>VLOOKUP(C509,'Governorate Master'!$A$2:$Q$13,7,FALSE)</x:f>
        <x:v>251.4</x:v>
      </x:c>
      <x:c r="H509" s="20" t="n">
        <x:f>VLOOKUP(C509,'Governorate Master'!$A$2:$Q$13,6,FALSE)</x:f>
        <x:v>0.7823878069432684</x:v>
      </x:c>
      <x:c r="I509" s="20" t="n">
        <x:f>VLOOKUP(C509,'Governorate Master'!$A$2:$Q$13,15,FALSE)</x:f>
        <x:v>-0.18823529411764706</x:v>
      </x:c>
      <x:c r="J509" s="12" t="str">
        <x:v>Location model input - competition/saturation context</x:v>
      </x:c>
      <x:c r="K509" s="12" t="str">
        <x:v>Business count is from 2018 while population/context indicators are newer; use as a historical proxy, not a current market count.</x:v>
      </x:c>
    </x:row>
    <x:row r="510">
      <x:c r="A510" s="12" t="str">
        <x:v>1820</x:v>
      </x:c>
      <x:c r="B510" s="12" t="str">
        <x:v>Reproduction of recorded media</x:v>
      </x:c>
      <x:c r="C510" s="12" t="str">
        <x:v>إربد</x:v>
      </x:c>
      <x:c r="D510" s="14" t="n">
        <x:v>1</x:v>
      </x:c>
      <x:c r="E510" s="14" t="n">
        <x:f>VLOOKUP(C510,'Governorate Master'!$A$2:$Q$13,3,FALSE)</x:f>
        <x:v>2210500</x:v>
      </x:c>
      <x:c r="F510" s="66" t="n">
        <x:f>IF(E510=0,0,D510/E510*10000)</x:f>
        <x:v>0.004523863379325944</x:v>
      </x:c>
      <x:c r="G510" s="67" t="n">
        <x:f>VLOOKUP(C510,'Governorate Master'!$A$2:$Q$13,7,FALSE)</x:f>
        <x:v>1406.4</x:v>
      </x:c>
      <x:c r="H510" s="20" t="n">
        <x:f>VLOOKUP(C510,'Governorate Master'!$A$2:$Q$13,6,FALSE)</x:f>
        <x:v>0.9235014702555983</x:v>
      </x:c>
      <x:c r="I510" s="20" t="n">
        <x:f>VLOOKUP(C510,'Governorate Master'!$A$2:$Q$13,15,FALSE)</x:f>
        <x:v>0.07086922474549726</x:v>
      </x:c>
      <x:c r="J510" s="12" t="str">
        <x:v>Location model input - competition/saturation context</x:v>
      </x:c>
      <x:c r="K510" s="12" t="str">
        <x:v>Business count is from 2018 while population/context indicators are newer; use as a historical proxy, not a current market count.</x:v>
      </x:c>
    </x:row>
    <x:row r="511">
      <x:c r="A511" s="12" t="str">
        <x:v>1820</x:v>
      </x:c>
      <x:c r="B511" s="12" t="str">
        <x:v>Reproduction of recorded media</x:v>
      </x:c>
      <x:c r="C511" s="12" t="str">
        <x:v>المفرق</x:v>
      </x:c>
      <x:c r="D511" s="14" t="n">
        <x:v>0</x:v>
      </x:c>
      <x:c r="E511" s="14" t="n">
        <x:f>VLOOKUP(C511,'Governorate Master'!$A$2:$Q$13,3,FALSE)</x:f>
        <x:v>686800</x:v>
      </x:c>
      <x:c r="F511" s="66" t="n">
        <x:f>IF(E511=0,0,D511/E511*10000)</x:f>
        <x:v>0</x:v>
      </x:c>
      <x:c r="G511" s="67" t="n">
        <x:f>VLOOKUP(C511,'Governorate Master'!$A$2:$Q$13,7,FALSE)</x:f>
        <x:v>25.9</x:v>
      </x:c>
      <x:c r="H511" s="20" t="n">
        <x:f>VLOOKUP(C511,'Governorate Master'!$A$2:$Q$13,6,FALSE)</x:f>
        <x:v>0.6965637740244612</x:v>
      </x:c>
      <x:c r="I511" s="20" t="n">
        <x:f>VLOOKUP(C511,'Governorate Master'!$A$2:$Q$13,15,FALSE)</x:f>
        <x:v>-0.016638935108153077</x:v>
      </x:c>
      <x:c r="J511" s="12" t="str">
        <x:v>Location model input - competition/saturation context</x:v>
      </x:c>
      <x:c r="K511" s="12" t="str">
        <x:v>Business count is from 2018 while population/context indicators are newer; use as a historical proxy, not a current market count.</x:v>
      </x:c>
    </x:row>
    <x:row r="512">
      <x:c r="A512" s="12" t="str">
        <x:v>1820</x:v>
      </x:c>
      <x:c r="B512" s="12" t="str">
        <x:v>Reproduction of recorded media</x:v>
      </x:c>
      <x:c r="C512" s="12" t="str">
        <x:v>جرش</x:v>
      </x:c>
      <x:c r="D512" s="14" t="n">
        <x:v>0</x:v>
      </x:c>
      <x:c r="E512" s="14" t="n">
        <x:f>VLOOKUP(C512,'Governorate Master'!$A$2:$Q$13,3,FALSE)</x:f>
        <x:v>296000</x:v>
      </x:c>
      <x:c r="F512" s="66" t="n">
        <x:f>IF(E512=0,0,D512/E512*10000)</x:f>
        <x:v>0</x:v>
      </x:c>
      <x:c r="G512" s="67" t="n">
        <x:f>VLOOKUP(C512,'Governorate Master'!$A$2:$Q$13,7,FALSE)</x:f>
        <x:v>722.3</x:v>
      </x:c>
      <x:c r="H512" s="20" t="n">
        <x:f>VLOOKUP(C512,'Governorate Master'!$A$2:$Q$13,6,FALSE)</x:f>
        <x:v>0.7695945945945946</x:v>
      </x:c>
      <x:c r="I512" s="20" t="n">
        <x:f>VLOOKUP(C512,'Governorate Master'!$A$2:$Q$13,15,FALSE)</x:f>
        <x:v>-0.06527415143603134</x:v>
      </x:c>
      <x:c r="J512" s="12" t="str">
        <x:v>Location model input - competition/saturation context</x:v>
      </x:c>
      <x:c r="K512" s="12" t="str">
        <x:v>Business count is from 2018 while population/context indicators are newer; use as a historical proxy, not a current market count.</x:v>
      </x:c>
    </x:row>
    <x:row r="513">
      <x:c r="A513" s="12" t="str">
        <x:v>1820</x:v>
      </x:c>
      <x:c r="B513" s="12" t="str">
        <x:v>Reproduction of recorded media</x:v>
      </x:c>
      <x:c r="C513" s="12" t="str">
        <x:v>عجلون</x:v>
      </x:c>
      <x:c r="D513" s="14" t="n">
        <x:v>0</x:v>
      </x:c>
      <x:c r="E513" s="14" t="n">
        <x:f>VLOOKUP(C513,'Governorate Master'!$A$2:$Q$13,3,FALSE)</x:f>
        <x:v>219900</x:v>
      </x:c>
      <x:c r="F513" s="66" t="n">
        <x:f>IF(E513=0,0,D513/E513*10000)</x:f>
        <x:v>0</x:v>
      </x:c>
      <x:c r="G513" s="67" t="n">
        <x:f>VLOOKUP(C513,'Governorate Master'!$A$2:$Q$13,7,FALSE)</x:f>
        <x:v>524</x:v>
      </x:c>
      <x:c r="H513" s="20" t="n">
        <x:f>VLOOKUP(C513,'Governorate Master'!$A$2:$Q$13,6,FALSE)</x:f>
        <x:v>0.8390177353342428</x:v>
      </x:c>
      <x:c r="I513" s="20" t="n">
        <x:f>VLOOKUP(C513,'Governorate Master'!$A$2:$Q$13,15,FALSE)</x:f>
        <x:v>0.03614457831325301</x:v>
      </x:c>
      <x:c r="J513" s="12" t="str">
        <x:v>Location model input - competition/saturation context</x:v>
      </x:c>
      <x:c r="K513" s="12" t="str">
        <x:v>Business count is from 2018 while population/context indicators are newer; use as a historical proxy, not a current market count.</x:v>
      </x:c>
    </x:row>
    <x:row r="514">
      <x:c r="A514" s="12" t="str">
        <x:v>1820</x:v>
      </x:c>
      <x:c r="B514" s="12" t="str">
        <x:v>Reproduction of recorded media</x:v>
      </x:c>
      <x:c r="C514" s="12" t="str">
        <x:v>الكرك</x:v>
      </x:c>
      <x:c r="D514" s="14" t="n">
        <x:v>0</x:v>
      </x:c>
      <x:c r="E514" s="14" t="n">
        <x:f>VLOOKUP(C514,'Governorate Master'!$A$2:$Q$13,3,FALSE)</x:f>
        <x:v>395400</x:v>
      </x:c>
      <x:c r="F514" s="66" t="n">
        <x:f>IF(E514=0,0,D514/E514*10000)</x:f>
        <x:v>0</x:v>
      </x:c>
      <x:c r="G514" s="67" t="n">
        <x:f>VLOOKUP(C514,'Governorate Master'!$A$2:$Q$13,7,FALSE)</x:f>
        <x:v>113.1</x:v>
      </x:c>
      <x:c r="H514" s="20" t="n">
        <x:f>VLOOKUP(C514,'Governorate Master'!$A$2:$Q$13,6,FALSE)</x:f>
        <x:v>0.5912999494183105</x:v>
      </x:c>
      <x:c r="I514" s="20" t="n">
        <x:f>VLOOKUP(C514,'Governorate Master'!$A$2:$Q$13,15,FALSE)</x:f>
        <x:v>0.08710801393728224</x:v>
      </x:c>
      <x:c r="J514" s="12" t="str">
        <x:v>Location model input - competition/saturation context</x:v>
      </x:c>
      <x:c r="K514" s="12" t="str">
        <x:v>Business count is from 2018 while population/context indicators are newer; use as a historical proxy, not a current market count.</x:v>
      </x:c>
    </x:row>
    <x:row r="515">
      <x:c r="A515" s="12" t="str">
        <x:v>1820</x:v>
      </x:c>
      <x:c r="B515" s="12" t="str">
        <x:v>Reproduction of recorded media</x:v>
      </x:c>
      <x:c r="C515" s="12" t="str">
        <x:v>الطفيلة</x:v>
      </x:c>
      <x:c r="D515" s="14" t="n">
        <x:v>0</x:v>
      </x:c>
      <x:c r="E515" s="14" t="n">
        <x:f>VLOOKUP(C515,'Governorate Master'!$A$2:$Q$13,3,FALSE)</x:f>
        <x:v>120300</x:v>
      </x:c>
      <x:c r="F515" s="66" t="n">
        <x:f>IF(E515=0,0,D515/E515*10000)</x:f>
        <x:v>0</x:v>
      </x:c>
      <x:c r="G515" s="67" t="n">
        <x:f>VLOOKUP(C515,'Governorate Master'!$A$2:$Q$13,7,FALSE)</x:f>
        <x:v>54.4</x:v>
      </x:c>
      <x:c r="H515" s="20" t="n">
        <x:f>VLOOKUP(C515,'Governorate Master'!$A$2:$Q$13,6,FALSE)</x:f>
        <x:v>0.7797173732335827</x:v>
      </x:c>
      <x:c r="I515" s="20" t="n">
        <x:f>VLOOKUP(C515,'Governorate Master'!$A$2:$Q$13,15,FALSE)</x:f>
        <x:v>0.18452380952380953</x:v>
      </x:c>
      <x:c r="J515" s="12" t="str">
        <x:v>Location model input - competition/saturation context</x:v>
      </x:c>
      <x:c r="K515" s="12" t="str">
        <x:v>Business count is from 2018 while population/context indicators are newer; use as a historical proxy, not a current market count.</x:v>
      </x:c>
    </x:row>
    <x:row r="516">
      <x:c r="A516" s="12" t="str">
        <x:v>1820</x:v>
      </x:c>
      <x:c r="B516" s="12" t="str">
        <x:v>Reproduction of recorded media</x:v>
      </x:c>
      <x:c r="C516" s="12" t="str">
        <x:v>معان</x:v>
      </x:c>
      <x:c r="D516" s="14" t="n">
        <x:v>0</x:v>
      </x:c>
      <x:c r="E516" s="14" t="n">
        <x:f>VLOOKUP(C516,'Governorate Master'!$A$2:$Q$13,3,FALSE)</x:f>
        <x:v>197900</x:v>
      </x:c>
      <x:c r="F516" s="66" t="n">
        <x:f>IF(E516=0,0,D516/E516*10000)</x:f>
        <x:v>0</x:v>
      </x:c>
      <x:c r="G516" s="67" t="n">
        <x:f>VLOOKUP(C516,'Governorate Master'!$A$2:$Q$13,7,FALSE)</x:f>
        <x:v>6</x:v>
      </x:c>
      <x:c r="H516" s="20" t="n">
        <x:f>VLOOKUP(C516,'Governorate Master'!$A$2:$Q$13,6,FALSE)</x:f>
        <x:v>0.5406771096513391</x:v>
      </x:c>
      <x:c r="I516" s="20" t="n">
        <x:f>VLOOKUP(C516,'Governorate Master'!$A$2:$Q$13,15,FALSE)</x:f>
        <x:v>0.026845637583892617</x:v>
      </x:c>
      <x:c r="J516" s="12" t="str">
        <x:v>Location model input - competition/saturation context</x:v>
      </x:c>
      <x:c r="K516" s="12" t="str">
        <x:v>Business count is from 2018 while population/context indicators are newer; use as a historical proxy, not a current market count.</x:v>
      </x:c>
    </x:row>
    <x:row r="517">
      <x:c r="A517" s="12" t="str">
        <x:v>1820</x:v>
      </x:c>
      <x:c r="B517" s="12" t="str">
        <x:v>Reproduction of recorded media</x:v>
      </x:c>
      <x:c r="C517" s="12" t="str">
        <x:v>العقبة</x:v>
      </x:c>
      <x:c r="D517" s="14" t="n">
        <x:v>0</x:v>
      </x:c>
      <x:c r="E517" s="14" t="n">
        <x:f>VLOOKUP(C517,'Governorate Master'!$A$2:$Q$13,3,FALSE)</x:f>
        <x:v>250900</x:v>
      </x:c>
      <x:c r="F517" s="66" t="n">
        <x:f>IF(E517=0,0,D517/E517*10000)</x:f>
        <x:v>0</x:v>
      </x:c>
      <x:c r="G517" s="67" t="n">
        <x:f>VLOOKUP(C517,'Governorate Master'!$A$2:$Q$13,7,FALSE)</x:f>
        <x:v>36.3</x:v>
      </x:c>
      <x:c r="H517" s="20" t="n">
        <x:f>VLOOKUP(C517,'Governorate Master'!$A$2:$Q$13,6,FALSE)</x:f>
        <x:v>0.882024711040255</x:v>
      </x:c>
      <x:c r="I517" s="20" t="n">
        <x:f>VLOOKUP(C517,'Governorate Master'!$A$2:$Q$13,15,FALSE)</x:f>
        <x:v>-0.09</x:v>
      </x:c>
      <x:c r="J517" s="12" t="str">
        <x:v>Location model input - competition/saturation context</x:v>
      </x:c>
      <x:c r="K517" s="12" t="str">
        <x:v>Business count is from 2018 while population/context indicators are newer; use as a historical proxy, not a current market count.</x:v>
      </x:c>
    </x:row>
    <x:row r="518">
      <x:c r="A518" s="12" t="str">
        <x:v>1920</x:v>
      </x:c>
      <x:c r="B518" s="12" t="str">
        <x:v>Manufacture of refined petroleum products</x:v>
      </x:c>
      <x:c r="C518" s="12" t="str">
        <x:v>عمان</x:v>
      </x:c>
      <x:c r="D518" s="14" t="n">
        <x:v>1</x:v>
      </x:c>
      <x:c r="E518" s="14" t="n">
        <x:f>VLOOKUP(C518,'Governorate Master'!$A$2:$Q$13,3,FALSE)</x:f>
        <x:v>5004600</x:v>
      </x:c>
      <x:c r="F518" s="66" t="n">
        <x:f>IF(E518=0,0,D518/E518*10000)</x:f>
        <x:v>0.0019981616912440555</x:v>
      </x:c>
      <x:c r="G518" s="67" t="n">
        <x:f>VLOOKUP(C518,'Governorate Master'!$A$2:$Q$13,7,FALSE)</x:f>
        <x:v>660.3</x:v>
      </x:c>
      <x:c r="H518" s="20" t="n">
        <x:f>VLOOKUP(C518,'Governorate Master'!$A$2:$Q$13,6,FALSE)</x:f>
        <x:v>0.9721656076409703</x:v>
      </x:c>
      <x:c r="I518" s="20" t="n">
        <x:f>VLOOKUP(C518,'Governorate Master'!$A$2:$Q$13,15,FALSE)</x:f>
        <x:v>0.06367041198501873</x:v>
      </x:c>
      <x:c r="J518" s="12" t="str">
        <x:v>Location model input - competition/saturation context</x:v>
      </x:c>
      <x:c r="K518" s="12" t="str">
        <x:v>Business count is from 2018 while population/context indicators are newer; use as a historical proxy, not a current market count.</x:v>
      </x:c>
    </x:row>
    <x:row r="519">
      <x:c r="A519" s="12" t="str">
        <x:v>1920</x:v>
      </x:c>
      <x:c r="B519" s="12" t="str">
        <x:v>Manufacture of refined petroleum products</x:v>
      </x:c>
      <x:c r="C519" s="12" t="str">
        <x:v>البلقاء</x:v>
      </x:c>
      <x:c r="D519" s="14" t="n">
        <x:v>0</x:v>
      </x:c>
      <x:c r="E519" s="14" t="n">
        <x:f>VLOOKUP(C519,'Governorate Master'!$A$2:$Q$13,3,FALSE)</x:f>
        <x:v>614000</x:v>
      </x:c>
      <x:c r="F519" s="66" t="n">
        <x:f>IF(E519=0,0,D519/E519*10000)</x:f>
        <x:v>0</x:v>
      </x:c>
      <x:c r="G519" s="67" t="n">
        <x:f>VLOOKUP(C519,'Governorate Master'!$A$2:$Q$13,7,FALSE)</x:f>
        <x:v>548</x:v>
      </x:c>
      <x:c r="H519" s="20" t="n">
        <x:f>VLOOKUP(C519,'Governorate Master'!$A$2:$Q$13,6,FALSE)</x:f>
        <x:v>0.8210097719869707</x:v>
      </x:c>
      <x:c r="I519" s="20" t="n">
        <x:f>VLOOKUP(C519,'Governorate Master'!$A$2:$Q$13,15,FALSE)</x:f>
        <x:v>0.10794044665012408</x:v>
      </x:c>
      <x:c r="J519" s="12" t="str">
        <x:v>Location model input - competition/saturation context</x:v>
      </x:c>
      <x:c r="K519" s="12" t="str">
        <x:v>Business count is from 2018 while population/context indicators are newer; use as a historical proxy, not a current market count.</x:v>
      </x:c>
    </x:row>
    <x:row r="520">
      <x:c r="A520" s="12" t="str">
        <x:v>1920</x:v>
      </x:c>
      <x:c r="B520" s="12" t="str">
        <x:v>Manufacture of refined petroleum products</x:v>
      </x:c>
      <x:c r="C520" s="12" t="str">
        <x:v>الزرقاء</x:v>
      </x:c>
      <x:c r="D520" s="14" t="n">
        <x:v>0</x:v>
      </x:c>
      <x:c r="E520" s="14" t="n">
        <x:f>VLOOKUP(C520,'Governorate Master'!$A$2:$Q$13,3,FALSE)</x:f>
        <x:v>1704500</x:v>
      </x:c>
      <x:c r="F520" s="66" t="n">
        <x:f>IF(E520=0,0,D520/E520*10000)</x:f>
        <x:v>0</x:v>
      </x:c>
      <x:c r="G520" s="67" t="n">
        <x:f>VLOOKUP(C520,'Governorate Master'!$A$2:$Q$13,7,FALSE)</x:f>
        <x:v>358</x:v>
      </x:c>
      <x:c r="H520" s="20" t="n">
        <x:f>VLOOKUP(C520,'Governorate Master'!$A$2:$Q$13,6,FALSE)</x:f>
        <x:v>0.9636256966852449</x:v>
      </x:c>
      <x:c r="I520" s="20" t="n">
        <x:f>VLOOKUP(C520,'Governorate Master'!$A$2:$Q$13,15,FALSE)</x:f>
        <x:v>-0.06808762581409118</x:v>
      </x:c>
      <x:c r="J520" s="12" t="str">
        <x:v>Location model input - competition/saturation context</x:v>
      </x:c>
      <x:c r="K520" s="12" t="str">
        <x:v>Business count is from 2018 while population/context indicators are newer; use as a historical proxy, not a current market count.</x:v>
      </x:c>
    </x:row>
    <x:row r="521">
      <x:c r="A521" s="12" t="str">
        <x:v>1920</x:v>
      </x:c>
      <x:c r="B521" s="12" t="str">
        <x:v>Manufacture of refined petroleum products</x:v>
      </x:c>
      <x:c r="C521" s="12" t="str">
        <x:v>مادبا</x:v>
      </x:c>
      <x:c r="D521" s="14" t="n">
        <x:v>0</x:v>
      </x:c>
      <x:c r="E521" s="14" t="n">
        <x:f>VLOOKUP(C521,'Governorate Master'!$A$2:$Q$13,3,FALSE)</x:f>
        <x:v>236200</x:v>
      </x:c>
      <x:c r="F521" s="66" t="n">
        <x:f>IF(E521=0,0,D521/E521*10000)</x:f>
        <x:v>0</x:v>
      </x:c>
      <x:c r="G521" s="67" t="n">
        <x:f>VLOOKUP(C521,'Governorate Master'!$A$2:$Q$13,7,FALSE)</x:f>
        <x:v>251.4</x:v>
      </x:c>
      <x:c r="H521" s="20" t="n">
        <x:f>VLOOKUP(C521,'Governorate Master'!$A$2:$Q$13,6,FALSE)</x:f>
        <x:v>0.7823878069432684</x:v>
      </x:c>
      <x:c r="I521" s="20" t="n">
        <x:f>VLOOKUP(C521,'Governorate Master'!$A$2:$Q$13,15,FALSE)</x:f>
        <x:v>-0.18823529411764706</x:v>
      </x:c>
      <x:c r="J521" s="12" t="str">
        <x:v>Location model input - competition/saturation context</x:v>
      </x:c>
      <x:c r="K521" s="12" t="str">
        <x:v>Business count is from 2018 while population/context indicators are newer; use as a historical proxy, not a current market count.</x:v>
      </x:c>
    </x:row>
    <x:row r="522">
      <x:c r="A522" s="12" t="str">
        <x:v>1920</x:v>
      </x:c>
      <x:c r="B522" s="12" t="str">
        <x:v>Manufacture of refined petroleum products</x:v>
      </x:c>
      <x:c r="C522" s="12" t="str">
        <x:v>إربد</x:v>
      </x:c>
      <x:c r="D522" s="14" t="n">
        <x:v>0</x:v>
      </x:c>
      <x:c r="E522" s="14" t="n">
        <x:f>VLOOKUP(C522,'Governorate Master'!$A$2:$Q$13,3,FALSE)</x:f>
        <x:v>2210500</x:v>
      </x:c>
      <x:c r="F522" s="66" t="n">
        <x:f>IF(E522=0,0,D522/E522*10000)</x:f>
        <x:v>0</x:v>
      </x:c>
      <x:c r="G522" s="67" t="n">
        <x:f>VLOOKUP(C522,'Governorate Master'!$A$2:$Q$13,7,FALSE)</x:f>
        <x:v>1406.4</x:v>
      </x:c>
      <x:c r="H522" s="20" t="n">
        <x:f>VLOOKUP(C522,'Governorate Master'!$A$2:$Q$13,6,FALSE)</x:f>
        <x:v>0.9235014702555983</x:v>
      </x:c>
      <x:c r="I522" s="20" t="n">
        <x:f>VLOOKUP(C522,'Governorate Master'!$A$2:$Q$13,15,FALSE)</x:f>
        <x:v>0.07086922474549726</x:v>
      </x:c>
      <x:c r="J522" s="12" t="str">
        <x:v>Location model input - competition/saturation context</x:v>
      </x:c>
      <x:c r="K522" s="12" t="str">
        <x:v>Business count is from 2018 while population/context indicators are newer; use as a historical proxy, not a current market count.</x:v>
      </x:c>
    </x:row>
    <x:row r="523">
      <x:c r="A523" s="12" t="str">
        <x:v>1920</x:v>
      </x:c>
      <x:c r="B523" s="12" t="str">
        <x:v>Manufacture of refined petroleum products</x:v>
      </x:c>
      <x:c r="C523" s="12" t="str">
        <x:v>المفرق</x:v>
      </x:c>
      <x:c r="D523" s="14" t="n">
        <x:v>0</x:v>
      </x:c>
      <x:c r="E523" s="14" t="n">
        <x:f>VLOOKUP(C523,'Governorate Master'!$A$2:$Q$13,3,FALSE)</x:f>
        <x:v>686800</x:v>
      </x:c>
      <x:c r="F523" s="66" t="n">
        <x:f>IF(E523=0,0,D523/E523*10000)</x:f>
        <x:v>0</x:v>
      </x:c>
      <x:c r="G523" s="67" t="n">
        <x:f>VLOOKUP(C523,'Governorate Master'!$A$2:$Q$13,7,FALSE)</x:f>
        <x:v>25.9</x:v>
      </x:c>
      <x:c r="H523" s="20" t="n">
        <x:f>VLOOKUP(C523,'Governorate Master'!$A$2:$Q$13,6,FALSE)</x:f>
        <x:v>0.6965637740244612</x:v>
      </x:c>
      <x:c r="I523" s="20" t="n">
        <x:f>VLOOKUP(C523,'Governorate Master'!$A$2:$Q$13,15,FALSE)</x:f>
        <x:v>-0.016638935108153077</x:v>
      </x:c>
      <x:c r="J523" s="12" t="str">
        <x:v>Location model input - competition/saturation context</x:v>
      </x:c>
      <x:c r="K523" s="12" t="str">
        <x:v>Business count is from 2018 while population/context indicators are newer; use as a historical proxy, not a current market count.</x:v>
      </x:c>
    </x:row>
    <x:row r="524">
      <x:c r="A524" s="12" t="str">
        <x:v>1920</x:v>
      </x:c>
      <x:c r="B524" s="12" t="str">
        <x:v>Manufacture of refined petroleum products</x:v>
      </x:c>
      <x:c r="C524" s="12" t="str">
        <x:v>جرش</x:v>
      </x:c>
      <x:c r="D524" s="14" t="n">
        <x:v>0</x:v>
      </x:c>
      <x:c r="E524" s="14" t="n">
        <x:f>VLOOKUP(C524,'Governorate Master'!$A$2:$Q$13,3,FALSE)</x:f>
        <x:v>296000</x:v>
      </x:c>
      <x:c r="F524" s="66" t="n">
        <x:f>IF(E524=0,0,D524/E524*10000)</x:f>
        <x:v>0</x:v>
      </x:c>
      <x:c r="G524" s="67" t="n">
        <x:f>VLOOKUP(C524,'Governorate Master'!$A$2:$Q$13,7,FALSE)</x:f>
        <x:v>722.3</x:v>
      </x:c>
      <x:c r="H524" s="20" t="n">
        <x:f>VLOOKUP(C524,'Governorate Master'!$A$2:$Q$13,6,FALSE)</x:f>
        <x:v>0.7695945945945946</x:v>
      </x:c>
      <x:c r="I524" s="20" t="n">
        <x:f>VLOOKUP(C524,'Governorate Master'!$A$2:$Q$13,15,FALSE)</x:f>
        <x:v>-0.06527415143603134</x:v>
      </x:c>
      <x:c r="J524" s="12" t="str">
        <x:v>Location model input - competition/saturation context</x:v>
      </x:c>
      <x:c r="K524" s="12" t="str">
        <x:v>Business count is from 2018 while population/context indicators are newer; use as a historical proxy, not a current market count.</x:v>
      </x:c>
    </x:row>
    <x:row r="525">
      <x:c r="A525" s="12" t="str">
        <x:v>1920</x:v>
      </x:c>
      <x:c r="B525" s="12" t="str">
        <x:v>Manufacture of refined petroleum products</x:v>
      </x:c>
      <x:c r="C525" s="12" t="str">
        <x:v>عجلون</x:v>
      </x:c>
      <x:c r="D525" s="14" t="n">
        <x:v>0</x:v>
      </x:c>
      <x:c r="E525" s="14" t="n">
        <x:f>VLOOKUP(C525,'Governorate Master'!$A$2:$Q$13,3,FALSE)</x:f>
        <x:v>219900</x:v>
      </x:c>
      <x:c r="F525" s="66" t="n">
        <x:f>IF(E525=0,0,D525/E525*10000)</x:f>
        <x:v>0</x:v>
      </x:c>
      <x:c r="G525" s="67" t="n">
        <x:f>VLOOKUP(C525,'Governorate Master'!$A$2:$Q$13,7,FALSE)</x:f>
        <x:v>524</x:v>
      </x:c>
      <x:c r="H525" s="20" t="n">
        <x:f>VLOOKUP(C525,'Governorate Master'!$A$2:$Q$13,6,FALSE)</x:f>
        <x:v>0.8390177353342428</x:v>
      </x:c>
      <x:c r="I525" s="20" t="n">
        <x:f>VLOOKUP(C525,'Governorate Master'!$A$2:$Q$13,15,FALSE)</x:f>
        <x:v>0.03614457831325301</x:v>
      </x:c>
      <x:c r="J525" s="12" t="str">
        <x:v>Location model input - competition/saturation context</x:v>
      </x:c>
      <x:c r="K525" s="12" t="str">
        <x:v>Business count is from 2018 while population/context indicators are newer; use as a historical proxy, not a current market count.</x:v>
      </x:c>
    </x:row>
    <x:row r="526">
      <x:c r="A526" s="12" t="str">
        <x:v>1920</x:v>
      </x:c>
      <x:c r="B526" s="12" t="str">
        <x:v>Manufacture of refined petroleum products</x:v>
      </x:c>
      <x:c r="C526" s="12" t="str">
        <x:v>الكرك</x:v>
      </x:c>
      <x:c r="D526" s="14" t="n">
        <x:v>0</x:v>
      </x:c>
      <x:c r="E526" s="14" t="n">
        <x:f>VLOOKUP(C526,'Governorate Master'!$A$2:$Q$13,3,FALSE)</x:f>
        <x:v>395400</x:v>
      </x:c>
      <x:c r="F526" s="66" t="n">
        <x:f>IF(E526=0,0,D526/E526*10000)</x:f>
        <x:v>0</x:v>
      </x:c>
      <x:c r="G526" s="67" t="n">
        <x:f>VLOOKUP(C526,'Governorate Master'!$A$2:$Q$13,7,FALSE)</x:f>
        <x:v>113.1</x:v>
      </x:c>
      <x:c r="H526" s="20" t="n">
        <x:f>VLOOKUP(C526,'Governorate Master'!$A$2:$Q$13,6,FALSE)</x:f>
        <x:v>0.5912999494183105</x:v>
      </x:c>
      <x:c r="I526" s="20" t="n">
        <x:f>VLOOKUP(C526,'Governorate Master'!$A$2:$Q$13,15,FALSE)</x:f>
        <x:v>0.08710801393728224</x:v>
      </x:c>
      <x:c r="J526" s="12" t="str">
        <x:v>Location model input - competition/saturation context</x:v>
      </x:c>
      <x:c r="K526" s="12" t="str">
        <x:v>Business count is from 2018 while population/context indicators are newer; use as a historical proxy, not a current market count.</x:v>
      </x:c>
    </x:row>
    <x:row r="527">
      <x:c r="A527" s="12" t="str">
        <x:v>1920</x:v>
      </x:c>
      <x:c r="B527" s="12" t="str">
        <x:v>Manufacture of refined petroleum products</x:v>
      </x:c>
      <x:c r="C527" s="12" t="str">
        <x:v>الطفيلة</x:v>
      </x:c>
      <x:c r="D527" s="14" t="n">
        <x:v>0</x:v>
      </x:c>
      <x:c r="E527" s="14" t="n">
        <x:f>VLOOKUP(C527,'Governorate Master'!$A$2:$Q$13,3,FALSE)</x:f>
        <x:v>120300</x:v>
      </x:c>
      <x:c r="F527" s="66" t="n">
        <x:f>IF(E527=0,0,D527/E527*10000)</x:f>
        <x:v>0</x:v>
      </x:c>
      <x:c r="G527" s="67" t="n">
        <x:f>VLOOKUP(C527,'Governorate Master'!$A$2:$Q$13,7,FALSE)</x:f>
        <x:v>54.4</x:v>
      </x:c>
      <x:c r="H527" s="20" t="n">
        <x:f>VLOOKUP(C527,'Governorate Master'!$A$2:$Q$13,6,FALSE)</x:f>
        <x:v>0.7797173732335827</x:v>
      </x:c>
      <x:c r="I527" s="20" t="n">
        <x:f>VLOOKUP(C527,'Governorate Master'!$A$2:$Q$13,15,FALSE)</x:f>
        <x:v>0.18452380952380953</x:v>
      </x:c>
      <x:c r="J527" s="12" t="str">
        <x:v>Location model input - competition/saturation context</x:v>
      </x:c>
      <x:c r="K527" s="12" t="str">
        <x:v>Business count is from 2018 while population/context indicators are newer; use as a historical proxy, not a current market count.</x:v>
      </x:c>
    </x:row>
    <x:row r="528">
      <x:c r="A528" s="12" t="str">
        <x:v>1920</x:v>
      </x:c>
      <x:c r="B528" s="12" t="str">
        <x:v>Manufacture of refined petroleum products</x:v>
      </x:c>
      <x:c r="C528" s="12" t="str">
        <x:v>معان</x:v>
      </x:c>
      <x:c r="D528" s="14" t="n">
        <x:v>0</x:v>
      </x:c>
      <x:c r="E528" s="14" t="n">
        <x:f>VLOOKUP(C528,'Governorate Master'!$A$2:$Q$13,3,FALSE)</x:f>
        <x:v>197900</x:v>
      </x:c>
      <x:c r="F528" s="66" t="n">
        <x:f>IF(E528=0,0,D528/E528*10000)</x:f>
        <x:v>0</x:v>
      </x:c>
      <x:c r="G528" s="67" t="n">
        <x:f>VLOOKUP(C528,'Governorate Master'!$A$2:$Q$13,7,FALSE)</x:f>
        <x:v>6</x:v>
      </x:c>
      <x:c r="H528" s="20" t="n">
        <x:f>VLOOKUP(C528,'Governorate Master'!$A$2:$Q$13,6,FALSE)</x:f>
        <x:v>0.5406771096513391</x:v>
      </x:c>
      <x:c r="I528" s="20" t="n">
        <x:f>VLOOKUP(C528,'Governorate Master'!$A$2:$Q$13,15,FALSE)</x:f>
        <x:v>0.026845637583892617</x:v>
      </x:c>
      <x:c r="J528" s="12" t="str">
        <x:v>Location model input - competition/saturation context</x:v>
      </x:c>
      <x:c r="K528" s="12" t="str">
        <x:v>Business count is from 2018 while population/context indicators are newer; use as a historical proxy, not a current market count.</x:v>
      </x:c>
    </x:row>
    <x:row r="529">
      <x:c r="A529" s="12" t="str">
        <x:v>1920</x:v>
      </x:c>
      <x:c r="B529" s="12" t="str">
        <x:v>Manufacture of refined petroleum products</x:v>
      </x:c>
      <x:c r="C529" s="12" t="str">
        <x:v>العقبة</x:v>
      </x:c>
      <x:c r="D529" s="14" t="n">
        <x:v>0</x:v>
      </x:c>
      <x:c r="E529" s="14" t="n">
        <x:f>VLOOKUP(C529,'Governorate Master'!$A$2:$Q$13,3,FALSE)</x:f>
        <x:v>250900</x:v>
      </x:c>
      <x:c r="F529" s="66" t="n">
        <x:f>IF(E529=0,0,D529/E529*10000)</x:f>
        <x:v>0</x:v>
      </x:c>
      <x:c r="G529" s="67" t="n">
        <x:f>VLOOKUP(C529,'Governorate Master'!$A$2:$Q$13,7,FALSE)</x:f>
        <x:v>36.3</x:v>
      </x:c>
      <x:c r="H529" s="20" t="n">
        <x:f>VLOOKUP(C529,'Governorate Master'!$A$2:$Q$13,6,FALSE)</x:f>
        <x:v>0.882024711040255</x:v>
      </x:c>
      <x:c r="I529" s="20" t="n">
        <x:f>VLOOKUP(C529,'Governorate Master'!$A$2:$Q$13,15,FALSE)</x:f>
        <x:v>-0.09</x:v>
      </x:c>
      <x:c r="J529" s="12" t="str">
        <x:v>Location model input - competition/saturation context</x:v>
      </x:c>
      <x:c r="K529" s="12" t="str">
        <x:v>Business count is from 2018 while population/context indicators are newer; use as a historical proxy, not a current market count.</x:v>
      </x:c>
    </x:row>
    <x:row r="530">
      <x:c r="A530" s="12" t="str">
        <x:v>2011</x:v>
      </x:c>
      <x:c r="B530" s="12" t="str">
        <x:v>Manufacture of basic chemicals</x:v>
      </x:c>
      <x:c r="C530" s="12" t="str">
        <x:v>عمان</x:v>
      </x:c>
      <x:c r="D530" s="14" t="n">
        <x:v>14</x:v>
      </x:c>
      <x:c r="E530" s="14" t="n">
        <x:f>VLOOKUP(C530,'Governorate Master'!$A$2:$Q$13,3,FALSE)</x:f>
        <x:v>5004600</x:v>
      </x:c>
      <x:c r="F530" s="66" t="n">
        <x:f>IF(E530=0,0,D530/E530*10000)</x:f>
        <x:v>0.027974263677416778</x:v>
      </x:c>
      <x:c r="G530" s="67" t="n">
        <x:f>VLOOKUP(C530,'Governorate Master'!$A$2:$Q$13,7,FALSE)</x:f>
        <x:v>660.3</x:v>
      </x:c>
      <x:c r="H530" s="20" t="n">
        <x:f>VLOOKUP(C530,'Governorate Master'!$A$2:$Q$13,6,FALSE)</x:f>
        <x:v>0.9721656076409703</x:v>
      </x:c>
      <x:c r="I530" s="20" t="n">
        <x:f>VLOOKUP(C530,'Governorate Master'!$A$2:$Q$13,15,FALSE)</x:f>
        <x:v>0.06367041198501873</x:v>
      </x:c>
      <x:c r="J530" s="12" t="str">
        <x:v>Location model input - competition/saturation context</x:v>
      </x:c>
      <x:c r="K530" s="12" t="str">
        <x:v>Business count is from 2018 while population/context indicators are newer; use as a historical proxy, not a current market count.</x:v>
      </x:c>
    </x:row>
    <x:row r="531">
      <x:c r="A531" s="12" t="str">
        <x:v>2011</x:v>
      </x:c>
      <x:c r="B531" s="12" t="str">
        <x:v>Manufacture of basic chemicals</x:v>
      </x:c>
      <x:c r="C531" s="12" t="str">
        <x:v>البلقاء</x:v>
      </x:c>
      <x:c r="D531" s="14" t="n">
        <x:v>0</x:v>
      </x:c>
      <x:c r="E531" s="14" t="n">
        <x:f>VLOOKUP(C531,'Governorate Master'!$A$2:$Q$13,3,FALSE)</x:f>
        <x:v>614000</x:v>
      </x:c>
      <x:c r="F531" s="66" t="n">
        <x:f>IF(E531=0,0,D531/E531*10000)</x:f>
        <x:v>0</x:v>
      </x:c>
      <x:c r="G531" s="67" t="n">
        <x:f>VLOOKUP(C531,'Governorate Master'!$A$2:$Q$13,7,FALSE)</x:f>
        <x:v>548</x:v>
      </x:c>
      <x:c r="H531" s="20" t="n">
        <x:f>VLOOKUP(C531,'Governorate Master'!$A$2:$Q$13,6,FALSE)</x:f>
        <x:v>0.8210097719869707</x:v>
      </x:c>
      <x:c r="I531" s="20" t="n">
        <x:f>VLOOKUP(C531,'Governorate Master'!$A$2:$Q$13,15,FALSE)</x:f>
        <x:v>0.10794044665012408</x:v>
      </x:c>
      <x:c r="J531" s="12" t="str">
        <x:v>Location model input - competition/saturation context</x:v>
      </x:c>
      <x:c r="K531" s="12" t="str">
        <x:v>Business count is from 2018 while population/context indicators are newer; use as a historical proxy, not a current market count.</x:v>
      </x:c>
    </x:row>
    <x:row r="532">
      <x:c r="A532" s="12" t="str">
        <x:v>2011</x:v>
      </x:c>
      <x:c r="B532" s="12" t="str">
        <x:v>Manufacture of basic chemicals</x:v>
      </x:c>
      <x:c r="C532" s="12" t="str">
        <x:v>الزرقاء</x:v>
      </x:c>
      <x:c r="D532" s="14" t="n">
        <x:v>2</x:v>
      </x:c>
      <x:c r="E532" s="14" t="n">
        <x:f>VLOOKUP(C532,'Governorate Master'!$A$2:$Q$13,3,FALSE)</x:f>
        <x:v>1704500</x:v>
      </x:c>
      <x:c r="F532" s="66" t="n">
        <x:f>IF(E532=0,0,D532/E532*10000)</x:f>
        <x:v>0.011733646230566148</x:v>
      </x:c>
      <x:c r="G532" s="67" t="n">
        <x:f>VLOOKUP(C532,'Governorate Master'!$A$2:$Q$13,7,FALSE)</x:f>
        <x:v>358</x:v>
      </x:c>
      <x:c r="H532" s="20" t="n">
        <x:f>VLOOKUP(C532,'Governorate Master'!$A$2:$Q$13,6,FALSE)</x:f>
        <x:v>0.9636256966852449</x:v>
      </x:c>
      <x:c r="I532" s="20" t="n">
        <x:f>VLOOKUP(C532,'Governorate Master'!$A$2:$Q$13,15,FALSE)</x:f>
        <x:v>-0.06808762581409118</x:v>
      </x:c>
      <x:c r="J532" s="12" t="str">
        <x:v>Location model input - competition/saturation context</x:v>
      </x:c>
      <x:c r="K532" s="12" t="str">
        <x:v>Business count is from 2018 while population/context indicators are newer; use as a historical proxy, not a current market count.</x:v>
      </x:c>
    </x:row>
    <x:row r="533">
      <x:c r="A533" s="12" t="str">
        <x:v>2011</x:v>
      </x:c>
      <x:c r="B533" s="12" t="str">
        <x:v>Manufacture of basic chemicals</x:v>
      </x:c>
      <x:c r="C533" s="12" t="str">
        <x:v>مادبا</x:v>
      </x:c>
      <x:c r="D533" s="14" t="n">
        <x:v>0</x:v>
      </x:c>
      <x:c r="E533" s="14" t="n">
        <x:f>VLOOKUP(C533,'Governorate Master'!$A$2:$Q$13,3,FALSE)</x:f>
        <x:v>236200</x:v>
      </x:c>
      <x:c r="F533" s="66" t="n">
        <x:f>IF(E533=0,0,D533/E533*10000)</x:f>
        <x:v>0</x:v>
      </x:c>
      <x:c r="G533" s="67" t="n">
        <x:f>VLOOKUP(C533,'Governorate Master'!$A$2:$Q$13,7,FALSE)</x:f>
        <x:v>251.4</x:v>
      </x:c>
      <x:c r="H533" s="20" t="n">
        <x:f>VLOOKUP(C533,'Governorate Master'!$A$2:$Q$13,6,FALSE)</x:f>
        <x:v>0.7823878069432684</x:v>
      </x:c>
      <x:c r="I533" s="20" t="n">
        <x:f>VLOOKUP(C533,'Governorate Master'!$A$2:$Q$13,15,FALSE)</x:f>
        <x:v>-0.18823529411764706</x:v>
      </x:c>
      <x:c r="J533" s="12" t="str">
        <x:v>Location model input - competition/saturation context</x:v>
      </x:c>
      <x:c r="K533" s="12" t="str">
        <x:v>Business count is from 2018 while population/context indicators are newer; use as a historical proxy, not a current market count.</x:v>
      </x:c>
    </x:row>
    <x:row r="534">
      <x:c r="A534" s="12" t="str">
        <x:v>2011</x:v>
      </x:c>
      <x:c r="B534" s="12" t="str">
        <x:v>Manufacture of basic chemicals</x:v>
      </x:c>
      <x:c r="C534" s="12" t="str">
        <x:v>إربد</x:v>
      </x:c>
      <x:c r="D534" s="14" t="n">
        <x:v>0</x:v>
      </x:c>
      <x:c r="E534" s="14" t="n">
        <x:f>VLOOKUP(C534,'Governorate Master'!$A$2:$Q$13,3,FALSE)</x:f>
        <x:v>2210500</x:v>
      </x:c>
      <x:c r="F534" s="66" t="n">
        <x:f>IF(E534=0,0,D534/E534*10000)</x:f>
        <x:v>0</x:v>
      </x:c>
      <x:c r="G534" s="67" t="n">
        <x:f>VLOOKUP(C534,'Governorate Master'!$A$2:$Q$13,7,FALSE)</x:f>
        <x:v>1406.4</x:v>
      </x:c>
      <x:c r="H534" s="20" t="n">
        <x:f>VLOOKUP(C534,'Governorate Master'!$A$2:$Q$13,6,FALSE)</x:f>
        <x:v>0.9235014702555983</x:v>
      </x:c>
      <x:c r="I534" s="20" t="n">
        <x:f>VLOOKUP(C534,'Governorate Master'!$A$2:$Q$13,15,FALSE)</x:f>
        <x:v>0.07086922474549726</x:v>
      </x:c>
      <x:c r="J534" s="12" t="str">
        <x:v>Location model input - competition/saturation context</x:v>
      </x:c>
      <x:c r="K534" s="12" t="str">
        <x:v>Business count is from 2018 while population/context indicators are newer; use as a historical proxy, not a current market count.</x:v>
      </x:c>
    </x:row>
    <x:row r="535">
      <x:c r="A535" s="12" t="str">
        <x:v>2011</x:v>
      </x:c>
      <x:c r="B535" s="12" t="str">
        <x:v>Manufacture of basic chemicals</x:v>
      </x:c>
      <x:c r="C535" s="12" t="str">
        <x:v>المفرق</x:v>
      </x:c>
      <x:c r="D535" s="14" t="n">
        <x:v>1</x:v>
      </x:c>
      <x:c r="E535" s="14" t="n">
        <x:f>VLOOKUP(C535,'Governorate Master'!$A$2:$Q$13,3,FALSE)</x:f>
        <x:v>686800</x:v>
      </x:c>
      <x:c r="F535" s="66" t="n">
        <x:f>IF(E535=0,0,D535/E535*10000)</x:f>
        <x:v>0.014560279557367502</x:v>
      </x:c>
      <x:c r="G535" s="67" t="n">
        <x:f>VLOOKUP(C535,'Governorate Master'!$A$2:$Q$13,7,FALSE)</x:f>
        <x:v>25.9</x:v>
      </x:c>
      <x:c r="H535" s="20" t="n">
        <x:f>VLOOKUP(C535,'Governorate Master'!$A$2:$Q$13,6,FALSE)</x:f>
        <x:v>0.6965637740244612</x:v>
      </x:c>
      <x:c r="I535" s="20" t="n">
        <x:f>VLOOKUP(C535,'Governorate Master'!$A$2:$Q$13,15,FALSE)</x:f>
        <x:v>-0.016638935108153077</x:v>
      </x:c>
      <x:c r="J535" s="12" t="str">
        <x:v>Location model input - competition/saturation context</x:v>
      </x:c>
      <x:c r="K535" s="12" t="str">
        <x:v>Business count is from 2018 while population/context indicators are newer; use as a historical proxy, not a current market count.</x:v>
      </x:c>
    </x:row>
    <x:row r="536">
      <x:c r="A536" s="12" t="str">
        <x:v>2011</x:v>
      </x:c>
      <x:c r="B536" s="12" t="str">
        <x:v>Manufacture of basic chemicals</x:v>
      </x:c>
      <x:c r="C536" s="12" t="str">
        <x:v>جرش</x:v>
      </x:c>
      <x:c r="D536" s="14" t="n">
        <x:v>0</x:v>
      </x:c>
      <x:c r="E536" s="14" t="n">
        <x:f>VLOOKUP(C536,'Governorate Master'!$A$2:$Q$13,3,FALSE)</x:f>
        <x:v>296000</x:v>
      </x:c>
      <x:c r="F536" s="66" t="n">
        <x:f>IF(E536=0,0,D536/E536*10000)</x:f>
        <x:v>0</x:v>
      </x:c>
      <x:c r="G536" s="67" t="n">
        <x:f>VLOOKUP(C536,'Governorate Master'!$A$2:$Q$13,7,FALSE)</x:f>
        <x:v>722.3</x:v>
      </x:c>
      <x:c r="H536" s="20" t="n">
        <x:f>VLOOKUP(C536,'Governorate Master'!$A$2:$Q$13,6,FALSE)</x:f>
        <x:v>0.7695945945945946</x:v>
      </x:c>
      <x:c r="I536" s="20" t="n">
        <x:f>VLOOKUP(C536,'Governorate Master'!$A$2:$Q$13,15,FALSE)</x:f>
        <x:v>-0.06527415143603134</x:v>
      </x:c>
      <x:c r="J536" s="12" t="str">
        <x:v>Location model input - competition/saturation context</x:v>
      </x:c>
      <x:c r="K536" s="12" t="str">
        <x:v>Business count is from 2018 while population/context indicators are newer; use as a historical proxy, not a current market count.</x:v>
      </x:c>
    </x:row>
    <x:row r="537">
      <x:c r="A537" s="12" t="str">
        <x:v>2011</x:v>
      </x:c>
      <x:c r="B537" s="12" t="str">
        <x:v>Manufacture of basic chemicals</x:v>
      </x:c>
      <x:c r="C537" s="12" t="str">
        <x:v>عجلون</x:v>
      </x:c>
      <x:c r="D537" s="14" t="n">
        <x:v>0</x:v>
      </x:c>
      <x:c r="E537" s="14" t="n">
        <x:f>VLOOKUP(C537,'Governorate Master'!$A$2:$Q$13,3,FALSE)</x:f>
        <x:v>219900</x:v>
      </x:c>
      <x:c r="F537" s="66" t="n">
        <x:f>IF(E537=0,0,D537/E537*10000)</x:f>
        <x:v>0</x:v>
      </x:c>
      <x:c r="G537" s="67" t="n">
        <x:f>VLOOKUP(C537,'Governorate Master'!$A$2:$Q$13,7,FALSE)</x:f>
        <x:v>524</x:v>
      </x:c>
      <x:c r="H537" s="20" t="n">
        <x:f>VLOOKUP(C537,'Governorate Master'!$A$2:$Q$13,6,FALSE)</x:f>
        <x:v>0.8390177353342428</x:v>
      </x:c>
      <x:c r="I537" s="20" t="n">
        <x:f>VLOOKUP(C537,'Governorate Master'!$A$2:$Q$13,15,FALSE)</x:f>
        <x:v>0.03614457831325301</x:v>
      </x:c>
      <x:c r="J537" s="12" t="str">
        <x:v>Location model input - competition/saturation context</x:v>
      </x:c>
      <x:c r="K537" s="12" t="str">
        <x:v>Business count is from 2018 while population/context indicators are newer; use as a historical proxy, not a current market count.</x:v>
      </x:c>
    </x:row>
    <x:row r="538">
      <x:c r="A538" s="12" t="str">
        <x:v>2011</x:v>
      </x:c>
      <x:c r="B538" s="12" t="str">
        <x:v>Manufacture of basic chemicals</x:v>
      </x:c>
      <x:c r="C538" s="12" t="str">
        <x:v>الكرك</x:v>
      </x:c>
      <x:c r="D538" s="14" t="n">
        <x:v>1</x:v>
      </x:c>
      <x:c r="E538" s="14" t="n">
        <x:f>VLOOKUP(C538,'Governorate Master'!$A$2:$Q$13,3,FALSE)</x:f>
        <x:v>395400</x:v>
      </x:c>
      <x:c r="F538" s="66" t="n">
        <x:f>IF(E538=0,0,D538/E538*10000)</x:f>
        <x:v>0.025290844714213452</x:v>
      </x:c>
      <x:c r="G538" s="67" t="n">
        <x:f>VLOOKUP(C538,'Governorate Master'!$A$2:$Q$13,7,FALSE)</x:f>
        <x:v>113.1</x:v>
      </x:c>
      <x:c r="H538" s="20" t="n">
        <x:f>VLOOKUP(C538,'Governorate Master'!$A$2:$Q$13,6,FALSE)</x:f>
        <x:v>0.5912999494183105</x:v>
      </x:c>
      <x:c r="I538" s="20" t="n">
        <x:f>VLOOKUP(C538,'Governorate Master'!$A$2:$Q$13,15,FALSE)</x:f>
        <x:v>0.08710801393728224</x:v>
      </x:c>
      <x:c r="J538" s="12" t="str">
        <x:v>Location model input - competition/saturation context</x:v>
      </x:c>
      <x:c r="K538" s="12" t="str">
        <x:v>Business count is from 2018 while population/context indicators are newer; use as a historical proxy, not a current market count.</x:v>
      </x:c>
    </x:row>
    <x:row r="539">
      <x:c r="A539" s="12" t="str">
        <x:v>2011</x:v>
      </x:c>
      <x:c r="B539" s="12" t="str">
        <x:v>Manufacture of basic chemicals</x:v>
      </x:c>
      <x:c r="C539" s="12" t="str">
        <x:v>الطفيلة</x:v>
      </x:c>
      <x:c r="D539" s="14" t="n">
        <x:v>0</x:v>
      </x:c>
      <x:c r="E539" s="14" t="n">
        <x:f>VLOOKUP(C539,'Governorate Master'!$A$2:$Q$13,3,FALSE)</x:f>
        <x:v>120300</x:v>
      </x:c>
      <x:c r="F539" s="66" t="n">
        <x:f>IF(E539=0,0,D539/E539*10000)</x:f>
        <x:v>0</x:v>
      </x:c>
      <x:c r="G539" s="67" t="n">
        <x:f>VLOOKUP(C539,'Governorate Master'!$A$2:$Q$13,7,FALSE)</x:f>
        <x:v>54.4</x:v>
      </x:c>
      <x:c r="H539" s="20" t="n">
        <x:f>VLOOKUP(C539,'Governorate Master'!$A$2:$Q$13,6,FALSE)</x:f>
        <x:v>0.7797173732335827</x:v>
      </x:c>
      <x:c r="I539" s="20" t="n">
        <x:f>VLOOKUP(C539,'Governorate Master'!$A$2:$Q$13,15,FALSE)</x:f>
        <x:v>0.18452380952380953</x:v>
      </x:c>
      <x:c r="J539" s="12" t="str">
        <x:v>Location model input - competition/saturation context</x:v>
      </x:c>
      <x:c r="K539" s="12" t="str">
        <x:v>Business count is from 2018 while population/context indicators are newer; use as a historical proxy, not a current market count.</x:v>
      </x:c>
    </x:row>
    <x:row r="540">
      <x:c r="A540" s="12" t="str">
        <x:v>2011</x:v>
      </x:c>
      <x:c r="B540" s="12" t="str">
        <x:v>Manufacture of basic chemicals</x:v>
      </x:c>
      <x:c r="C540" s="12" t="str">
        <x:v>معان</x:v>
      </x:c>
      <x:c r="D540" s="14" t="n">
        <x:v>1</x:v>
      </x:c>
      <x:c r="E540" s="14" t="n">
        <x:f>VLOOKUP(C540,'Governorate Master'!$A$2:$Q$13,3,FALSE)</x:f>
        <x:v>197900</x:v>
      </x:c>
      <x:c r="F540" s="66" t="n">
        <x:f>IF(E540=0,0,D540/E540*10000)</x:f>
        <x:v>0.05053057099545225</x:v>
      </x:c>
      <x:c r="G540" s="67" t="n">
        <x:f>VLOOKUP(C540,'Governorate Master'!$A$2:$Q$13,7,FALSE)</x:f>
        <x:v>6</x:v>
      </x:c>
      <x:c r="H540" s="20" t="n">
        <x:f>VLOOKUP(C540,'Governorate Master'!$A$2:$Q$13,6,FALSE)</x:f>
        <x:v>0.5406771096513391</x:v>
      </x:c>
      <x:c r="I540" s="20" t="n">
        <x:f>VLOOKUP(C540,'Governorate Master'!$A$2:$Q$13,15,FALSE)</x:f>
        <x:v>0.026845637583892617</x:v>
      </x:c>
      <x:c r="J540" s="12" t="str">
        <x:v>Location model input - competition/saturation context</x:v>
      </x:c>
      <x:c r="K540" s="12" t="str">
        <x:v>Business count is from 2018 while population/context indicators are newer; use as a historical proxy, not a current market count.</x:v>
      </x:c>
    </x:row>
    <x:row r="541">
      <x:c r="A541" s="12" t="str">
        <x:v>2011</x:v>
      </x:c>
      <x:c r="B541" s="12" t="str">
        <x:v>Manufacture of basic chemicals</x:v>
      </x:c>
      <x:c r="C541" s="12" t="str">
        <x:v>العقبة</x:v>
      </x:c>
      <x:c r="D541" s="14" t="n">
        <x:v>0</x:v>
      </x:c>
      <x:c r="E541" s="14" t="n">
        <x:f>VLOOKUP(C541,'Governorate Master'!$A$2:$Q$13,3,FALSE)</x:f>
        <x:v>250900</x:v>
      </x:c>
      <x:c r="F541" s="66" t="n">
        <x:f>IF(E541=0,0,D541/E541*10000)</x:f>
        <x:v>0</x:v>
      </x:c>
      <x:c r="G541" s="67" t="n">
        <x:f>VLOOKUP(C541,'Governorate Master'!$A$2:$Q$13,7,FALSE)</x:f>
        <x:v>36.3</x:v>
      </x:c>
      <x:c r="H541" s="20" t="n">
        <x:f>VLOOKUP(C541,'Governorate Master'!$A$2:$Q$13,6,FALSE)</x:f>
        <x:v>0.882024711040255</x:v>
      </x:c>
      <x:c r="I541" s="20" t="n">
        <x:f>VLOOKUP(C541,'Governorate Master'!$A$2:$Q$13,15,FALSE)</x:f>
        <x:v>-0.09</x:v>
      </x:c>
      <x:c r="J541" s="12" t="str">
        <x:v>Location model input - competition/saturation context</x:v>
      </x:c>
      <x:c r="K541" s="12" t="str">
        <x:v>Business count is from 2018 while population/context indicators are newer; use as a historical proxy, not a current market count.</x:v>
      </x:c>
    </x:row>
    <x:row r="542">
      <x:c r="A542" s="12" t="str">
        <x:v>2012</x:v>
      </x:c>
      <x:c r="B542" s="12" t="str">
        <x:v>Manufacture of fertilizers and nitrogen compounds</x:v>
      </x:c>
      <x:c r="C542" s="12" t="str">
        <x:v>عمان</x:v>
      </x:c>
      <x:c r="D542" s="14" t="n">
        <x:v>11</x:v>
      </x:c>
      <x:c r="E542" s="14" t="n">
        <x:f>VLOOKUP(C542,'Governorate Master'!$A$2:$Q$13,3,FALSE)</x:f>
        <x:v>5004600</x:v>
      </x:c>
      <x:c r="F542" s="66" t="n">
        <x:f>IF(E542=0,0,D542/E542*10000)</x:f>
        <x:v>0.02197977860368461</x:v>
      </x:c>
      <x:c r="G542" s="67" t="n">
        <x:f>VLOOKUP(C542,'Governorate Master'!$A$2:$Q$13,7,FALSE)</x:f>
        <x:v>660.3</x:v>
      </x:c>
      <x:c r="H542" s="20" t="n">
        <x:f>VLOOKUP(C542,'Governorate Master'!$A$2:$Q$13,6,FALSE)</x:f>
        <x:v>0.9721656076409703</x:v>
      </x:c>
      <x:c r="I542" s="20" t="n">
        <x:f>VLOOKUP(C542,'Governorate Master'!$A$2:$Q$13,15,FALSE)</x:f>
        <x:v>0.06367041198501873</x:v>
      </x:c>
      <x:c r="J542" s="12" t="str">
        <x:v>Location model input - competition/saturation context</x:v>
      </x:c>
      <x:c r="K542" s="12" t="str">
        <x:v>Business count is from 2018 while population/context indicators are newer; use as a historical proxy, not a current market count.</x:v>
      </x:c>
    </x:row>
    <x:row r="543">
      <x:c r="A543" s="12" t="str">
        <x:v>2012</x:v>
      </x:c>
      <x:c r="B543" s="12" t="str">
        <x:v>Manufacture of fertilizers and nitrogen compounds</x:v>
      </x:c>
      <x:c r="C543" s="12" t="str">
        <x:v>البلقاء</x:v>
      </x:c>
      <x:c r="D543" s="14" t="n">
        <x:v>2</x:v>
      </x:c>
      <x:c r="E543" s="14" t="n">
        <x:f>VLOOKUP(C543,'Governorate Master'!$A$2:$Q$13,3,FALSE)</x:f>
        <x:v>614000</x:v>
      </x:c>
      <x:c r="F543" s="66" t="n">
        <x:f>IF(E543=0,0,D543/E543*10000)</x:f>
        <x:v>0.03257328990228013</x:v>
      </x:c>
      <x:c r="G543" s="67" t="n">
        <x:f>VLOOKUP(C543,'Governorate Master'!$A$2:$Q$13,7,FALSE)</x:f>
        <x:v>548</x:v>
      </x:c>
      <x:c r="H543" s="20" t="n">
        <x:f>VLOOKUP(C543,'Governorate Master'!$A$2:$Q$13,6,FALSE)</x:f>
        <x:v>0.8210097719869707</x:v>
      </x:c>
      <x:c r="I543" s="20" t="n">
        <x:f>VLOOKUP(C543,'Governorate Master'!$A$2:$Q$13,15,FALSE)</x:f>
        <x:v>0.10794044665012408</x:v>
      </x:c>
      <x:c r="J543" s="12" t="str">
        <x:v>Location model input - competition/saturation context</x:v>
      </x:c>
      <x:c r="K543" s="12" t="str">
        <x:v>Business count is from 2018 while population/context indicators are newer; use as a historical proxy, not a current market count.</x:v>
      </x:c>
    </x:row>
    <x:row r="544">
      <x:c r="A544" s="12" t="str">
        <x:v>2012</x:v>
      </x:c>
      <x:c r="B544" s="12" t="str">
        <x:v>Manufacture of fertilizers and nitrogen compounds</x:v>
      </x:c>
      <x:c r="C544" s="12" t="str">
        <x:v>الزرقاء</x:v>
      </x:c>
      <x:c r="D544" s="14" t="n">
        <x:v>3</x:v>
      </x:c>
      <x:c r="E544" s="14" t="n">
        <x:f>VLOOKUP(C544,'Governorate Master'!$A$2:$Q$13,3,FALSE)</x:f>
        <x:v>1704500</x:v>
      </x:c>
      <x:c r="F544" s="66" t="n">
        <x:f>IF(E544=0,0,D544/E544*10000)</x:f>
        <x:v>0.01760046934584922</x:v>
      </x:c>
      <x:c r="G544" s="67" t="n">
        <x:f>VLOOKUP(C544,'Governorate Master'!$A$2:$Q$13,7,FALSE)</x:f>
        <x:v>358</x:v>
      </x:c>
      <x:c r="H544" s="20" t="n">
        <x:f>VLOOKUP(C544,'Governorate Master'!$A$2:$Q$13,6,FALSE)</x:f>
        <x:v>0.9636256966852449</x:v>
      </x:c>
      <x:c r="I544" s="20" t="n">
        <x:f>VLOOKUP(C544,'Governorate Master'!$A$2:$Q$13,15,FALSE)</x:f>
        <x:v>-0.06808762581409118</x:v>
      </x:c>
      <x:c r="J544" s="12" t="str">
        <x:v>Location model input - competition/saturation context</x:v>
      </x:c>
      <x:c r="K544" s="12" t="str">
        <x:v>Business count is from 2018 while population/context indicators are newer; use as a historical proxy, not a current market count.</x:v>
      </x:c>
    </x:row>
    <x:row r="545">
      <x:c r="A545" s="12" t="str">
        <x:v>2012</x:v>
      </x:c>
      <x:c r="B545" s="12" t="str">
        <x:v>Manufacture of fertilizers and nitrogen compounds</x:v>
      </x:c>
      <x:c r="C545" s="12" t="str">
        <x:v>مادبا</x:v>
      </x:c>
      <x:c r="D545" s="14" t="n">
        <x:v>0</x:v>
      </x:c>
      <x:c r="E545" s="14" t="n">
        <x:f>VLOOKUP(C545,'Governorate Master'!$A$2:$Q$13,3,FALSE)</x:f>
        <x:v>236200</x:v>
      </x:c>
      <x:c r="F545" s="66" t="n">
        <x:f>IF(E545=0,0,D545/E545*10000)</x:f>
        <x:v>0</x:v>
      </x:c>
      <x:c r="G545" s="67" t="n">
        <x:f>VLOOKUP(C545,'Governorate Master'!$A$2:$Q$13,7,FALSE)</x:f>
        <x:v>251.4</x:v>
      </x:c>
      <x:c r="H545" s="20" t="n">
        <x:f>VLOOKUP(C545,'Governorate Master'!$A$2:$Q$13,6,FALSE)</x:f>
        <x:v>0.7823878069432684</x:v>
      </x:c>
      <x:c r="I545" s="20" t="n">
        <x:f>VLOOKUP(C545,'Governorate Master'!$A$2:$Q$13,15,FALSE)</x:f>
        <x:v>-0.18823529411764706</x:v>
      </x:c>
      <x:c r="J545" s="12" t="str">
        <x:v>Location model input - competition/saturation context</x:v>
      </x:c>
      <x:c r="K545" s="12" t="str">
        <x:v>Business count is from 2018 while population/context indicators are newer; use as a historical proxy, not a current market count.</x:v>
      </x:c>
    </x:row>
    <x:row r="546">
      <x:c r="A546" s="12" t="str">
        <x:v>2012</x:v>
      </x:c>
      <x:c r="B546" s="12" t="str">
        <x:v>Manufacture of fertilizers and nitrogen compounds</x:v>
      </x:c>
      <x:c r="C546" s="12" t="str">
        <x:v>إربد</x:v>
      </x:c>
      <x:c r="D546" s="14" t="n">
        <x:v>3</x:v>
      </x:c>
      <x:c r="E546" s="14" t="n">
        <x:f>VLOOKUP(C546,'Governorate Master'!$A$2:$Q$13,3,FALSE)</x:f>
        <x:v>2210500</x:v>
      </x:c>
      <x:c r="F546" s="66" t="n">
        <x:f>IF(E546=0,0,D546/E546*10000)</x:f>
        <x:v>0.013571590137977832</x:v>
      </x:c>
      <x:c r="G546" s="67" t="n">
        <x:f>VLOOKUP(C546,'Governorate Master'!$A$2:$Q$13,7,FALSE)</x:f>
        <x:v>1406.4</x:v>
      </x:c>
      <x:c r="H546" s="20" t="n">
        <x:f>VLOOKUP(C546,'Governorate Master'!$A$2:$Q$13,6,FALSE)</x:f>
        <x:v>0.9235014702555983</x:v>
      </x:c>
      <x:c r="I546" s="20" t="n">
        <x:f>VLOOKUP(C546,'Governorate Master'!$A$2:$Q$13,15,FALSE)</x:f>
        <x:v>0.07086922474549726</x:v>
      </x:c>
      <x:c r="J546" s="12" t="str">
        <x:v>Location model input - competition/saturation context</x:v>
      </x:c>
      <x:c r="K546" s="12" t="str">
        <x:v>Business count is from 2018 while population/context indicators are newer; use as a historical proxy, not a current market count.</x:v>
      </x:c>
    </x:row>
    <x:row r="547">
      <x:c r="A547" s="12" t="str">
        <x:v>2012</x:v>
      </x:c>
      <x:c r="B547" s="12" t="str">
        <x:v>Manufacture of fertilizers and nitrogen compounds</x:v>
      </x:c>
      <x:c r="C547" s="12" t="str">
        <x:v>المفرق</x:v>
      </x:c>
      <x:c r="D547" s="14" t="n">
        <x:v>2</x:v>
      </x:c>
      <x:c r="E547" s="14" t="n">
        <x:f>VLOOKUP(C547,'Governorate Master'!$A$2:$Q$13,3,FALSE)</x:f>
        <x:v>686800</x:v>
      </x:c>
      <x:c r="F547" s="66" t="n">
        <x:f>IF(E547=0,0,D547/E547*10000)</x:f>
        <x:v>0.029120559114735003</x:v>
      </x:c>
      <x:c r="G547" s="67" t="n">
        <x:f>VLOOKUP(C547,'Governorate Master'!$A$2:$Q$13,7,FALSE)</x:f>
        <x:v>25.9</x:v>
      </x:c>
      <x:c r="H547" s="20" t="n">
        <x:f>VLOOKUP(C547,'Governorate Master'!$A$2:$Q$13,6,FALSE)</x:f>
        <x:v>0.6965637740244612</x:v>
      </x:c>
      <x:c r="I547" s="20" t="n">
        <x:f>VLOOKUP(C547,'Governorate Master'!$A$2:$Q$13,15,FALSE)</x:f>
        <x:v>-0.016638935108153077</x:v>
      </x:c>
      <x:c r="J547" s="12" t="str">
        <x:v>Location model input - competition/saturation context</x:v>
      </x:c>
      <x:c r="K547" s="12" t="str">
        <x:v>Business count is from 2018 while population/context indicators are newer; use as a historical proxy, not a current market count.</x:v>
      </x:c>
    </x:row>
    <x:row r="548">
      <x:c r="A548" s="12" t="str">
        <x:v>2012</x:v>
      </x:c>
      <x:c r="B548" s="12" t="str">
        <x:v>Manufacture of fertilizers and nitrogen compounds</x:v>
      </x:c>
      <x:c r="C548" s="12" t="str">
        <x:v>جرش</x:v>
      </x:c>
      <x:c r="D548" s="14" t="n">
        <x:v>0</x:v>
      </x:c>
      <x:c r="E548" s="14" t="n">
        <x:f>VLOOKUP(C548,'Governorate Master'!$A$2:$Q$13,3,FALSE)</x:f>
        <x:v>296000</x:v>
      </x:c>
      <x:c r="F548" s="66" t="n">
        <x:f>IF(E548=0,0,D548/E548*10000)</x:f>
        <x:v>0</x:v>
      </x:c>
      <x:c r="G548" s="67" t="n">
        <x:f>VLOOKUP(C548,'Governorate Master'!$A$2:$Q$13,7,FALSE)</x:f>
        <x:v>722.3</x:v>
      </x:c>
      <x:c r="H548" s="20" t="n">
        <x:f>VLOOKUP(C548,'Governorate Master'!$A$2:$Q$13,6,FALSE)</x:f>
        <x:v>0.7695945945945946</x:v>
      </x:c>
      <x:c r="I548" s="20" t="n">
        <x:f>VLOOKUP(C548,'Governorate Master'!$A$2:$Q$13,15,FALSE)</x:f>
        <x:v>-0.06527415143603134</x:v>
      </x:c>
      <x:c r="J548" s="12" t="str">
        <x:v>Location model input - competition/saturation context</x:v>
      </x:c>
      <x:c r="K548" s="12" t="str">
        <x:v>Business count is from 2018 while population/context indicators are newer; use as a historical proxy, not a current market count.</x:v>
      </x:c>
    </x:row>
    <x:row r="549">
      <x:c r="A549" s="12" t="str">
        <x:v>2012</x:v>
      </x:c>
      <x:c r="B549" s="12" t="str">
        <x:v>Manufacture of fertilizers and nitrogen compounds</x:v>
      </x:c>
      <x:c r="C549" s="12" t="str">
        <x:v>عجلون</x:v>
      </x:c>
      <x:c r="D549" s="14" t="n">
        <x:v>0</x:v>
      </x:c>
      <x:c r="E549" s="14" t="n">
        <x:f>VLOOKUP(C549,'Governorate Master'!$A$2:$Q$13,3,FALSE)</x:f>
        <x:v>219900</x:v>
      </x:c>
      <x:c r="F549" s="66" t="n">
        <x:f>IF(E549=0,0,D549/E549*10000)</x:f>
        <x:v>0</x:v>
      </x:c>
      <x:c r="G549" s="67" t="n">
        <x:f>VLOOKUP(C549,'Governorate Master'!$A$2:$Q$13,7,FALSE)</x:f>
        <x:v>524</x:v>
      </x:c>
      <x:c r="H549" s="20" t="n">
        <x:f>VLOOKUP(C549,'Governorate Master'!$A$2:$Q$13,6,FALSE)</x:f>
        <x:v>0.8390177353342428</x:v>
      </x:c>
      <x:c r="I549" s="20" t="n">
        <x:f>VLOOKUP(C549,'Governorate Master'!$A$2:$Q$13,15,FALSE)</x:f>
        <x:v>0.03614457831325301</x:v>
      </x:c>
      <x:c r="J549" s="12" t="str">
        <x:v>Location model input - competition/saturation context</x:v>
      </x:c>
      <x:c r="K549" s="12" t="str">
        <x:v>Business count is from 2018 while population/context indicators are newer; use as a historical proxy, not a current market count.</x:v>
      </x:c>
    </x:row>
    <x:row r="550">
      <x:c r="A550" s="12" t="str">
        <x:v>2012</x:v>
      </x:c>
      <x:c r="B550" s="12" t="str">
        <x:v>Manufacture of fertilizers and nitrogen compounds</x:v>
      </x:c>
      <x:c r="C550" s="12" t="str">
        <x:v>الكرك</x:v>
      </x:c>
      <x:c r="D550" s="14" t="n">
        <x:v>2</x:v>
      </x:c>
      <x:c r="E550" s="14" t="n">
        <x:f>VLOOKUP(C550,'Governorate Master'!$A$2:$Q$13,3,FALSE)</x:f>
        <x:v>395400</x:v>
      </x:c>
      <x:c r="F550" s="66" t="n">
        <x:f>IF(E550=0,0,D550/E550*10000)</x:f>
        <x:v>0.050581689428426904</x:v>
      </x:c>
      <x:c r="G550" s="67" t="n">
        <x:f>VLOOKUP(C550,'Governorate Master'!$A$2:$Q$13,7,FALSE)</x:f>
        <x:v>113.1</x:v>
      </x:c>
      <x:c r="H550" s="20" t="n">
        <x:f>VLOOKUP(C550,'Governorate Master'!$A$2:$Q$13,6,FALSE)</x:f>
        <x:v>0.5912999494183105</x:v>
      </x:c>
      <x:c r="I550" s="20" t="n">
        <x:f>VLOOKUP(C550,'Governorate Master'!$A$2:$Q$13,15,FALSE)</x:f>
        <x:v>0.08710801393728224</x:v>
      </x:c>
      <x:c r="J550" s="12" t="str">
        <x:v>Location model input - competition/saturation context</x:v>
      </x:c>
      <x:c r="K550" s="12" t="str">
        <x:v>Business count is from 2018 while population/context indicators are newer; use as a historical proxy, not a current market count.</x:v>
      </x:c>
    </x:row>
    <x:row r="551">
      <x:c r="A551" s="12" t="str">
        <x:v>2012</x:v>
      </x:c>
      <x:c r="B551" s="12" t="str">
        <x:v>Manufacture of fertilizers and nitrogen compounds</x:v>
      </x:c>
      <x:c r="C551" s="12" t="str">
        <x:v>الطفيلة</x:v>
      </x:c>
      <x:c r="D551" s="14" t="n">
        <x:v>0</x:v>
      </x:c>
      <x:c r="E551" s="14" t="n">
        <x:f>VLOOKUP(C551,'Governorate Master'!$A$2:$Q$13,3,FALSE)</x:f>
        <x:v>120300</x:v>
      </x:c>
      <x:c r="F551" s="66" t="n">
        <x:f>IF(E551=0,0,D551/E551*10000)</x:f>
        <x:v>0</x:v>
      </x:c>
      <x:c r="G551" s="67" t="n">
        <x:f>VLOOKUP(C551,'Governorate Master'!$A$2:$Q$13,7,FALSE)</x:f>
        <x:v>54.4</x:v>
      </x:c>
      <x:c r="H551" s="20" t="n">
        <x:f>VLOOKUP(C551,'Governorate Master'!$A$2:$Q$13,6,FALSE)</x:f>
        <x:v>0.7797173732335827</x:v>
      </x:c>
      <x:c r="I551" s="20" t="n">
        <x:f>VLOOKUP(C551,'Governorate Master'!$A$2:$Q$13,15,FALSE)</x:f>
        <x:v>0.18452380952380953</x:v>
      </x:c>
      <x:c r="J551" s="12" t="str">
        <x:v>Location model input - competition/saturation context</x:v>
      </x:c>
      <x:c r="K551" s="12" t="str">
        <x:v>Business count is from 2018 while population/context indicators are newer; use as a historical proxy, not a current market count.</x:v>
      </x:c>
    </x:row>
    <x:row r="552">
      <x:c r="A552" s="12" t="str">
        <x:v>2012</x:v>
      </x:c>
      <x:c r="B552" s="12" t="str">
        <x:v>Manufacture of fertilizers and nitrogen compounds</x:v>
      </x:c>
      <x:c r="C552" s="12" t="str">
        <x:v>معان</x:v>
      </x:c>
      <x:c r="D552" s="14" t="n">
        <x:v>1</x:v>
      </x:c>
      <x:c r="E552" s="14" t="n">
        <x:f>VLOOKUP(C552,'Governorate Master'!$A$2:$Q$13,3,FALSE)</x:f>
        <x:v>197900</x:v>
      </x:c>
      <x:c r="F552" s="66" t="n">
        <x:f>IF(E552=0,0,D552/E552*10000)</x:f>
        <x:v>0.05053057099545225</x:v>
      </x:c>
      <x:c r="G552" s="67" t="n">
        <x:f>VLOOKUP(C552,'Governorate Master'!$A$2:$Q$13,7,FALSE)</x:f>
        <x:v>6</x:v>
      </x:c>
      <x:c r="H552" s="20" t="n">
        <x:f>VLOOKUP(C552,'Governorate Master'!$A$2:$Q$13,6,FALSE)</x:f>
        <x:v>0.5406771096513391</x:v>
      </x:c>
      <x:c r="I552" s="20" t="n">
        <x:f>VLOOKUP(C552,'Governorate Master'!$A$2:$Q$13,15,FALSE)</x:f>
        <x:v>0.026845637583892617</x:v>
      </x:c>
      <x:c r="J552" s="12" t="str">
        <x:v>Location model input - competition/saturation context</x:v>
      </x:c>
      <x:c r="K552" s="12" t="str">
        <x:v>Business count is from 2018 while population/context indicators are newer; use as a historical proxy, not a current market count.</x:v>
      </x:c>
    </x:row>
    <x:row r="553">
      <x:c r="A553" s="12" t="str">
        <x:v>2012</x:v>
      </x:c>
      <x:c r="B553" s="12" t="str">
        <x:v>Manufacture of fertilizers and nitrogen compounds</x:v>
      </x:c>
      <x:c r="C553" s="12" t="str">
        <x:v>العقبة</x:v>
      </x:c>
      <x:c r="D553" s="14" t="n">
        <x:v>1</x:v>
      </x:c>
      <x:c r="E553" s="14" t="n">
        <x:f>VLOOKUP(C553,'Governorate Master'!$A$2:$Q$13,3,FALSE)</x:f>
        <x:v>250900</x:v>
      </x:c>
      <x:c r="F553" s="66" t="n">
        <x:f>IF(E553=0,0,D553/E553*10000)</x:f>
        <x:v>0.03985651654045436</x:v>
      </x:c>
      <x:c r="G553" s="67" t="n">
        <x:f>VLOOKUP(C553,'Governorate Master'!$A$2:$Q$13,7,FALSE)</x:f>
        <x:v>36.3</x:v>
      </x:c>
      <x:c r="H553" s="20" t="n">
        <x:f>VLOOKUP(C553,'Governorate Master'!$A$2:$Q$13,6,FALSE)</x:f>
        <x:v>0.882024711040255</x:v>
      </x:c>
      <x:c r="I553" s="20" t="n">
        <x:f>VLOOKUP(C553,'Governorate Master'!$A$2:$Q$13,15,FALSE)</x:f>
        <x:v>-0.09</x:v>
      </x:c>
      <x:c r="J553" s="12" t="str">
        <x:v>Location model input - competition/saturation context</x:v>
      </x:c>
      <x:c r="K553" s="12" t="str">
        <x:v>Business count is from 2018 while population/context indicators are newer; use as a historical proxy, not a current market count.</x:v>
      </x:c>
    </x:row>
    <x:row r="554">
      <x:c r="A554" s="12" t="str">
        <x:v>2013</x:v>
      </x:c>
      <x:c r="B554" s="12" t="str">
        <x:v>Manufacture of plastics and synthetic rubber in primary forms</x:v>
      </x:c>
      <x:c r="C554" s="12" t="str">
        <x:v>عمان</x:v>
      </x:c>
      <x:c r="D554" s="14" t="n">
        <x:v>7</x:v>
      </x:c>
      <x:c r="E554" s="14" t="n">
        <x:f>VLOOKUP(C554,'Governorate Master'!$A$2:$Q$13,3,FALSE)</x:f>
        <x:v>5004600</x:v>
      </x:c>
      <x:c r="F554" s="66" t="n">
        <x:f>IF(E554=0,0,D554/E554*10000)</x:f>
        <x:v>0.013987131838708389</x:v>
      </x:c>
      <x:c r="G554" s="67" t="n">
        <x:f>VLOOKUP(C554,'Governorate Master'!$A$2:$Q$13,7,FALSE)</x:f>
        <x:v>660.3</x:v>
      </x:c>
      <x:c r="H554" s="20" t="n">
        <x:f>VLOOKUP(C554,'Governorate Master'!$A$2:$Q$13,6,FALSE)</x:f>
        <x:v>0.9721656076409703</x:v>
      </x:c>
      <x:c r="I554" s="20" t="n">
        <x:f>VLOOKUP(C554,'Governorate Master'!$A$2:$Q$13,15,FALSE)</x:f>
        <x:v>0.06367041198501873</x:v>
      </x:c>
      <x:c r="J554" s="12" t="str">
        <x:v>Location model input - competition/saturation context</x:v>
      </x:c>
      <x:c r="K554" s="12" t="str">
        <x:v>Business count is from 2018 while population/context indicators are newer; use as a historical proxy, not a current market count.</x:v>
      </x:c>
    </x:row>
    <x:row r="555">
      <x:c r="A555" s="12" t="str">
        <x:v>2013</x:v>
      </x:c>
      <x:c r="B555" s="12" t="str">
        <x:v>Manufacture of plastics and synthetic rubber in primary forms</x:v>
      </x:c>
      <x:c r="C555" s="12" t="str">
        <x:v>البلقاء</x:v>
      </x:c>
      <x:c r="D555" s="14" t="n">
        <x:v>0</x:v>
      </x:c>
      <x:c r="E555" s="14" t="n">
        <x:f>VLOOKUP(C555,'Governorate Master'!$A$2:$Q$13,3,FALSE)</x:f>
        <x:v>614000</x:v>
      </x:c>
      <x:c r="F555" s="66" t="n">
        <x:f>IF(E555=0,0,D555/E555*10000)</x:f>
        <x:v>0</x:v>
      </x:c>
      <x:c r="G555" s="67" t="n">
        <x:f>VLOOKUP(C555,'Governorate Master'!$A$2:$Q$13,7,FALSE)</x:f>
        <x:v>548</x:v>
      </x:c>
      <x:c r="H555" s="20" t="n">
        <x:f>VLOOKUP(C555,'Governorate Master'!$A$2:$Q$13,6,FALSE)</x:f>
        <x:v>0.8210097719869707</x:v>
      </x:c>
      <x:c r="I555" s="20" t="n">
        <x:f>VLOOKUP(C555,'Governorate Master'!$A$2:$Q$13,15,FALSE)</x:f>
        <x:v>0.10794044665012408</x:v>
      </x:c>
      <x:c r="J555" s="12" t="str">
        <x:v>Location model input - competition/saturation context</x:v>
      </x:c>
      <x:c r="K555" s="12" t="str">
        <x:v>Business count is from 2018 while population/context indicators are newer; use as a historical proxy, not a current market count.</x:v>
      </x:c>
    </x:row>
    <x:row r="556">
      <x:c r="A556" s="12" t="str">
        <x:v>2013</x:v>
      </x:c>
      <x:c r="B556" s="12" t="str">
        <x:v>Manufacture of plastics and synthetic rubber in primary forms</x:v>
      </x:c>
      <x:c r="C556" s="12" t="str">
        <x:v>الزرقاء</x:v>
      </x:c>
      <x:c r="D556" s="14" t="n">
        <x:v>1</x:v>
      </x:c>
      <x:c r="E556" s="14" t="n">
        <x:f>VLOOKUP(C556,'Governorate Master'!$A$2:$Q$13,3,FALSE)</x:f>
        <x:v>1704500</x:v>
      </x:c>
      <x:c r="F556" s="66" t="n">
        <x:f>IF(E556=0,0,D556/E556*10000)</x:f>
        <x:v>0.005866823115283074</x:v>
      </x:c>
      <x:c r="G556" s="67" t="n">
        <x:f>VLOOKUP(C556,'Governorate Master'!$A$2:$Q$13,7,FALSE)</x:f>
        <x:v>358</x:v>
      </x:c>
      <x:c r="H556" s="20" t="n">
        <x:f>VLOOKUP(C556,'Governorate Master'!$A$2:$Q$13,6,FALSE)</x:f>
        <x:v>0.9636256966852449</x:v>
      </x:c>
      <x:c r="I556" s="20" t="n">
        <x:f>VLOOKUP(C556,'Governorate Master'!$A$2:$Q$13,15,FALSE)</x:f>
        <x:v>-0.06808762581409118</x:v>
      </x:c>
      <x:c r="J556" s="12" t="str">
        <x:v>Location model input - competition/saturation context</x:v>
      </x:c>
      <x:c r="K556" s="12" t="str">
        <x:v>Business count is from 2018 while population/context indicators are newer; use as a historical proxy, not a current market count.</x:v>
      </x:c>
    </x:row>
    <x:row r="557">
      <x:c r="A557" s="12" t="str">
        <x:v>2013</x:v>
      </x:c>
      <x:c r="B557" s="12" t="str">
        <x:v>Manufacture of plastics and synthetic rubber in primary forms</x:v>
      </x:c>
      <x:c r="C557" s="12" t="str">
        <x:v>مادبا</x:v>
      </x:c>
      <x:c r="D557" s="14" t="n">
        <x:v>0</x:v>
      </x:c>
      <x:c r="E557" s="14" t="n">
        <x:f>VLOOKUP(C557,'Governorate Master'!$A$2:$Q$13,3,FALSE)</x:f>
        <x:v>236200</x:v>
      </x:c>
      <x:c r="F557" s="66" t="n">
        <x:f>IF(E557=0,0,D557/E557*10000)</x:f>
        <x:v>0</x:v>
      </x:c>
      <x:c r="G557" s="67" t="n">
        <x:f>VLOOKUP(C557,'Governorate Master'!$A$2:$Q$13,7,FALSE)</x:f>
        <x:v>251.4</x:v>
      </x:c>
      <x:c r="H557" s="20" t="n">
        <x:f>VLOOKUP(C557,'Governorate Master'!$A$2:$Q$13,6,FALSE)</x:f>
        <x:v>0.7823878069432684</x:v>
      </x:c>
      <x:c r="I557" s="20" t="n">
        <x:f>VLOOKUP(C557,'Governorate Master'!$A$2:$Q$13,15,FALSE)</x:f>
        <x:v>-0.18823529411764706</x:v>
      </x:c>
      <x:c r="J557" s="12" t="str">
        <x:v>Location model input - competition/saturation context</x:v>
      </x:c>
      <x:c r="K557" s="12" t="str">
        <x:v>Business count is from 2018 while population/context indicators are newer; use as a historical proxy, not a current market count.</x:v>
      </x:c>
    </x:row>
    <x:row r="558">
      <x:c r="A558" s="12" t="str">
        <x:v>2013</x:v>
      </x:c>
      <x:c r="B558" s="12" t="str">
        <x:v>Manufacture of plastics and synthetic rubber in primary forms</x:v>
      </x:c>
      <x:c r="C558" s="12" t="str">
        <x:v>إربد</x:v>
      </x:c>
      <x:c r="D558" s="14" t="n">
        <x:v>1</x:v>
      </x:c>
      <x:c r="E558" s="14" t="n">
        <x:f>VLOOKUP(C558,'Governorate Master'!$A$2:$Q$13,3,FALSE)</x:f>
        <x:v>2210500</x:v>
      </x:c>
      <x:c r="F558" s="66" t="n">
        <x:f>IF(E558=0,0,D558/E558*10000)</x:f>
        <x:v>0.004523863379325944</x:v>
      </x:c>
      <x:c r="G558" s="67" t="n">
        <x:f>VLOOKUP(C558,'Governorate Master'!$A$2:$Q$13,7,FALSE)</x:f>
        <x:v>1406.4</x:v>
      </x:c>
      <x:c r="H558" s="20" t="n">
        <x:f>VLOOKUP(C558,'Governorate Master'!$A$2:$Q$13,6,FALSE)</x:f>
        <x:v>0.9235014702555983</x:v>
      </x:c>
      <x:c r="I558" s="20" t="n">
        <x:f>VLOOKUP(C558,'Governorate Master'!$A$2:$Q$13,15,FALSE)</x:f>
        <x:v>0.07086922474549726</x:v>
      </x:c>
      <x:c r="J558" s="12" t="str">
        <x:v>Location model input - competition/saturation context</x:v>
      </x:c>
      <x:c r="K558" s="12" t="str">
        <x:v>Business count is from 2018 while population/context indicators are newer; use as a historical proxy, not a current market count.</x:v>
      </x:c>
    </x:row>
    <x:row r="559">
      <x:c r="A559" s="12" t="str">
        <x:v>2013</x:v>
      </x:c>
      <x:c r="B559" s="12" t="str">
        <x:v>Manufacture of plastics and synthetic rubber in primary forms</x:v>
      </x:c>
      <x:c r="C559" s="12" t="str">
        <x:v>المفرق</x:v>
      </x:c>
      <x:c r="D559" s="14" t="n">
        <x:v>0</x:v>
      </x:c>
      <x:c r="E559" s="14" t="n">
        <x:f>VLOOKUP(C559,'Governorate Master'!$A$2:$Q$13,3,FALSE)</x:f>
        <x:v>686800</x:v>
      </x:c>
      <x:c r="F559" s="66" t="n">
        <x:f>IF(E559=0,0,D559/E559*10000)</x:f>
        <x:v>0</x:v>
      </x:c>
      <x:c r="G559" s="67" t="n">
        <x:f>VLOOKUP(C559,'Governorate Master'!$A$2:$Q$13,7,FALSE)</x:f>
        <x:v>25.9</x:v>
      </x:c>
      <x:c r="H559" s="20" t="n">
        <x:f>VLOOKUP(C559,'Governorate Master'!$A$2:$Q$13,6,FALSE)</x:f>
        <x:v>0.6965637740244612</x:v>
      </x:c>
      <x:c r="I559" s="20" t="n">
        <x:f>VLOOKUP(C559,'Governorate Master'!$A$2:$Q$13,15,FALSE)</x:f>
        <x:v>-0.016638935108153077</x:v>
      </x:c>
      <x:c r="J559" s="12" t="str">
        <x:v>Location model input - competition/saturation context</x:v>
      </x:c>
      <x:c r="K559" s="12" t="str">
        <x:v>Business count is from 2018 while population/context indicators are newer; use as a historical proxy, not a current market count.</x:v>
      </x:c>
    </x:row>
    <x:row r="560">
      <x:c r="A560" s="12" t="str">
        <x:v>2013</x:v>
      </x:c>
      <x:c r="B560" s="12" t="str">
        <x:v>Manufacture of plastics and synthetic rubber in primary forms</x:v>
      </x:c>
      <x:c r="C560" s="12" t="str">
        <x:v>جرش</x:v>
      </x:c>
      <x:c r="D560" s="14" t="n">
        <x:v>0</x:v>
      </x:c>
      <x:c r="E560" s="14" t="n">
        <x:f>VLOOKUP(C560,'Governorate Master'!$A$2:$Q$13,3,FALSE)</x:f>
        <x:v>296000</x:v>
      </x:c>
      <x:c r="F560" s="66" t="n">
        <x:f>IF(E560=0,0,D560/E560*10000)</x:f>
        <x:v>0</x:v>
      </x:c>
      <x:c r="G560" s="67" t="n">
        <x:f>VLOOKUP(C560,'Governorate Master'!$A$2:$Q$13,7,FALSE)</x:f>
        <x:v>722.3</x:v>
      </x:c>
      <x:c r="H560" s="20" t="n">
        <x:f>VLOOKUP(C560,'Governorate Master'!$A$2:$Q$13,6,FALSE)</x:f>
        <x:v>0.7695945945945946</x:v>
      </x:c>
      <x:c r="I560" s="20" t="n">
        <x:f>VLOOKUP(C560,'Governorate Master'!$A$2:$Q$13,15,FALSE)</x:f>
        <x:v>-0.06527415143603134</x:v>
      </x:c>
      <x:c r="J560" s="12" t="str">
        <x:v>Location model input - competition/saturation context</x:v>
      </x:c>
      <x:c r="K560" s="12" t="str">
        <x:v>Business count is from 2018 while population/context indicators are newer; use as a historical proxy, not a current market count.</x:v>
      </x:c>
    </x:row>
    <x:row r="561">
      <x:c r="A561" s="12" t="str">
        <x:v>2013</x:v>
      </x:c>
      <x:c r="B561" s="12" t="str">
        <x:v>Manufacture of plastics and synthetic rubber in primary forms</x:v>
      </x:c>
      <x:c r="C561" s="12" t="str">
        <x:v>عجلون</x:v>
      </x:c>
      <x:c r="D561" s="14" t="n">
        <x:v>0</x:v>
      </x:c>
      <x:c r="E561" s="14" t="n">
        <x:f>VLOOKUP(C561,'Governorate Master'!$A$2:$Q$13,3,FALSE)</x:f>
        <x:v>219900</x:v>
      </x:c>
      <x:c r="F561" s="66" t="n">
        <x:f>IF(E561=0,0,D561/E561*10000)</x:f>
        <x:v>0</x:v>
      </x:c>
      <x:c r="G561" s="67" t="n">
        <x:f>VLOOKUP(C561,'Governorate Master'!$A$2:$Q$13,7,FALSE)</x:f>
        <x:v>524</x:v>
      </x:c>
      <x:c r="H561" s="20" t="n">
        <x:f>VLOOKUP(C561,'Governorate Master'!$A$2:$Q$13,6,FALSE)</x:f>
        <x:v>0.8390177353342428</x:v>
      </x:c>
      <x:c r="I561" s="20" t="n">
        <x:f>VLOOKUP(C561,'Governorate Master'!$A$2:$Q$13,15,FALSE)</x:f>
        <x:v>0.03614457831325301</x:v>
      </x:c>
      <x:c r="J561" s="12" t="str">
        <x:v>Location model input - competition/saturation context</x:v>
      </x:c>
      <x:c r="K561" s="12" t="str">
        <x:v>Business count is from 2018 while population/context indicators are newer; use as a historical proxy, not a current market count.</x:v>
      </x:c>
    </x:row>
    <x:row r="562">
      <x:c r="A562" s="12" t="str">
        <x:v>2013</x:v>
      </x:c>
      <x:c r="B562" s="12" t="str">
        <x:v>Manufacture of plastics and synthetic rubber in primary forms</x:v>
      </x:c>
      <x:c r="C562" s="12" t="str">
        <x:v>الكرك</x:v>
      </x:c>
      <x:c r="D562" s="14" t="n">
        <x:v>0</x:v>
      </x:c>
      <x:c r="E562" s="14" t="n">
        <x:f>VLOOKUP(C562,'Governorate Master'!$A$2:$Q$13,3,FALSE)</x:f>
        <x:v>395400</x:v>
      </x:c>
      <x:c r="F562" s="66" t="n">
        <x:f>IF(E562=0,0,D562/E562*10000)</x:f>
        <x:v>0</x:v>
      </x:c>
      <x:c r="G562" s="67" t="n">
        <x:f>VLOOKUP(C562,'Governorate Master'!$A$2:$Q$13,7,FALSE)</x:f>
        <x:v>113.1</x:v>
      </x:c>
      <x:c r="H562" s="20" t="n">
        <x:f>VLOOKUP(C562,'Governorate Master'!$A$2:$Q$13,6,FALSE)</x:f>
        <x:v>0.5912999494183105</x:v>
      </x:c>
      <x:c r="I562" s="20" t="n">
        <x:f>VLOOKUP(C562,'Governorate Master'!$A$2:$Q$13,15,FALSE)</x:f>
        <x:v>0.08710801393728224</x:v>
      </x:c>
      <x:c r="J562" s="12" t="str">
        <x:v>Location model input - competition/saturation context</x:v>
      </x:c>
      <x:c r="K562" s="12" t="str">
        <x:v>Business count is from 2018 while population/context indicators are newer; use as a historical proxy, not a current market count.</x:v>
      </x:c>
    </x:row>
    <x:row r="563">
      <x:c r="A563" s="12" t="str">
        <x:v>2013</x:v>
      </x:c>
      <x:c r="B563" s="12" t="str">
        <x:v>Manufacture of plastics and synthetic rubber in primary forms</x:v>
      </x:c>
      <x:c r="C563" s="12" t="str">
        <x:v>الطفيلة</x:v>
      </x:c>
      <x:c r="D563" s="14" t="n">
        <x:v>0</x:v>
      </x:c>
      <x:c r="E563" s="14" t="n">
        <x:f>VLOOKUP(C563,'Governorate Master'!$A$2:$Q$13,3,FALSE)</x:f>
        <x:v>120300</x:v>
      </x:c>
      <x:c r="F563" s="66" t="n">
        <x:f>IF(E563=0,0,D563/E563*10000)</x:f>
        <x:v>0</x:v>
      </x:c>
      <x:c r="G563" s="67" t="n">
        <x:f>VLOOKUP(C563,'Governorate Master'!$A$2:$Q$13,7,FALSE)</x:f>
        <x:v>54.4</x:v>
      </x:c>
      <x:c r="H563" s="20" t="n">
        <x:f>VLOOKUP(C563,'Governorate Master'!$A$2:$Q$13,6,FALSE)</x:f>
        <x:v>0.7797173732335827</x:v>
      </x:c>
      <x:c r="I563" s="20" t="n">
        <x:f>VLOOKUP(C563,'Governorate Master'!$A$2:$Q$13,15,FALSE)</x:f>
        <x:v>0.18452380952380953</x:v>
      </x:c>
      <x:c r="J563" s="12" t="str">
        <x:v>Location model input - competition/saturation context</x:v>
      </x:c>
      <x:c r="K563" s="12" t="str">
        <x:v>Business count is from 2018 while population/context indicators are newer; use as a historical proxy, not a current market count.</x:v>
      </x:c>
    </x:row>
    <x:row r="564">
      <x:c r="A564" s="12" t="str">
        <x:v>2013</x:v>
      </x:c>
      <x:c r="B564" s="12" t="str">
        <x:v>Manufacture of plastics and synthetic rubber in primary forms</x:v>
      </x:c>
      <x:c r="C564" s="12" t="str">
        <x:v>معان</x:v>
      </x:c>
      <x:c r="D564" s="14" t="n">
        <x:v>0</x:v>
      </x:c>
      <x:c r="E564" s="14" t="n">
        <x:f>VLOOKUP(C564,'Governorate Master'!$A$2:$Q$13,3,FALSE)</x:f>
        <x:v>197900</x:v>
      </x:c>
      <x:c r="F564" s="66" t="n">
        <x:f>IF(E564=0,0,D564/E564*10000)</x:f>
        <x:v>0</x:v>
      </x:c>
      <x:c r="G564" s="67" t="n">
        <x:f>VLOOKUP(C564,'Governorate Master'!$A$2:$Q$13,7,FALSE)</x:f>
        <x:v>6</x:v>
      </x:c>
      <x:c r="H564" s="20" t="n">
        <x:f>VLOOKUP(C564,'Governorate Master'!$A$2:$Q$13,6,FALSE)</x:f>
        <x:v>0.5406771096513391</x:v>
      </x:c>
      <x:c r="I564" s="20" t="n">
        <x:f>VLOOKUP(C564,'Governorate Master'!$A$2:$Q$13,15,FALSE)</x:f>
        <x:v>0.026845637583892617</x:v>
      </x:c>
      <x:c r="J564" s="12" t="str">
        <x:v>Location model input - competition/saturation context</x:v>
      </x:c>
      <x:c r="K564" s="12" t="str">
        <x:v>Business count is from 2018 while population/context indicators are newer; use as a historical proxy, not a current market count.</x:v>
      </x:c>
    </x:row>
    <x:row r="565">
      <x:c r="A565" s="12" t="str">
        <x:v>2013</x:v>
      </x:c>
      <x:c r="B565" s="12" t="str">
        <x:v>Manufacture of plastics and synthetic rubber in primary forms</x:v>
      </x:c>
      <x:c r="C565" s="12" t="str">
        <x:v>العقبة</x:v>
      </x:c>
      <x:c r="D565" s="14" t="n">
        <x:v>0</x:v>
      </x:c>
      <x:c r="E565" s="14" t="n">
        <x:f>VLOOKUP(C565,'Governorate Master'!$A$2:$Q$13,3,FALSE)</x:f>
        <x:v>250900</x:v>
      </x:c>
      <x:c r="F565" s="66" t="n">
        <x:f>IF(E565=0,0,D565/E565*10000)</x:f>
        <x:v>0</x:v>
      </x:c>
      <x:c r="G565" s="67" t="n">
        <x:f>VLOOKUP(C565,'Governorate Master'!$A$2:$Q$13,7,FALSE)</x:f>
        <x:v>36.3</x:v>
      </x:c>
      <x:c r="H565" s="20" t="n">
        <x:f>VLOOKUP(C565,'Governorate Master'!$A$2:$Q$13,6,FALSE)</x:f>
        <x:v>0.882024711040255</x:v>
      </x:c>
      <x:c r="I565" s="20" t="n">
        <x:f>VLOOKUP(C565,'Governorate Master'!$A$2:$Q$13,15,FALSE)</x:f>
        <x:v>-0.09</x:v>
      </x:c>
      <x:c r="J565" s="12" t="str">
        <x:v>Location model input - competition/saturation context</x:v>
      </x:c>
      <x:c r="K565" s="12" t="str">
        <x:v>Business count is from 2018 while population/context indicators are newer; use as a historical proxy, not a current market count.</x:v>
      </x:c>
    </x:row>
    <x:row r="566">
      <x:c r="A566" s="12" t="str">
        <x:v>2021</x:v>
      </x:c>
      <x:c r="B566" s="12" t="str">
        <x:v>Manufacture of pesticides and other agrochemical products</x:v>
      </x:c>
      <x:c r="C566" s="12" t="str">
        <x:v>عمان</x:v>
      </x:c>
      <x:c r="D566" s="14" t="n">
        <x:v>5</x:v>
      </x:c>
      <x:c r="E566" s="14" t="n">
        <x:f>VLOOKUP(C566,'Governorate Master'!$A$2:$Q$13,3,FALSE)</x:f>
        <x:v>5004600</x:v>
      </x:c>
      <x:c r="F566" s="66" t="n">
        <x:f>IF(E566=0,0,D566/E566*10000)</x:f>
        <x:v>0.009990808456220277</x:v>
      </x:c>
      <x:c r="G566" s="67" t="n">
        <x:f>VLOOKUP(C566,'Governorate Master'!$A$2:$Q$13,7,FALSE)</x:f>
        <x:v>660.3</x:v>
      </x:c>
      <x:c r="H566" s="20" t="n">
        <x:f>VLOOKUP(C566,'Governorate Master'!$A$2:$Q$13,6,FALSE)</x:f>
        <x:v>0.9721656076409703</x:v>
      </x:c>
      <x:c r="I566" s="20" t="n">
        <x:f>VLOOKUP(C566,'Governorate Master'!$A$2:$Q$13,15,FALSE)</x:f>
        <x:v>0.06367041198501873</x:v>
      </x:c>
      <x:c r="J566" s="12" t="str">
        <x:v>Location model input - competition/saturation context</x:v>
      </x:c>
      <x:c r="K566" s="12" t="str">
        <x:v>Business count is from 2018 while population/context indicators are newer; use as a historical proxy, not a current market count.</x:v>
      </x:c>
    </x:row>
    <x:row r="567">
      <x:c r="A567" s="12" t="str">
        <x:v>2021</x:v>
      </x:c>
      <x:c r="B567" s="12" t="str">
        <x:v>Manufacture of pesticides and other agrochemical products</x:v>
      </x:c>
      <x:c r="C567" s="12" t="str">
        <x:v>البلقاء</x:v>
      </x:c>
      <x:c r="D567" s="14" t="n">
        <x:v>0</x:v>
      </x:c>
      <x:c r="E567" s="14" t="n">
        <x:f>VLOOKUP(C567,'Governorate Master'!$A$2:$Q$13,3,FALSE)</x:f>
        <x:v>614000</x:v>
      </x:c>
      <x:c r="F567" s="66" t="n">
        <x:f>IF(E567=0,0,D567/E567*10000)</x:f>
        <x:v>0</x:v>
      </x:c>
      <x:c r="G567" s="67" t="n">
        <x:f>VLOOKUP(C567,'Governorate Master'!$A$2:$Q$13,7,FALSE)</x:f>
        <x:v>548</x:v>
      </x:c>
      <x:c r="H567" s="20" t="n">
        <x:f>VLOOKUP(C567,'Governorate Master'!$A$2:$Q$13,6,FALSE)</x:f>
        <x:v>0.8210097719869707</x:v>
      </x:c>
      <x:c r="I567" s="20" t="n">
        <x:f>VLOOKUP(C567,'Governorate Master'!$A$2:$Q$13,15,FALSE)</x:f>
        <x:v>0.10794044665012408</x:v>
      </x:c>
      <x:c r="J567" s="12" t="str">
        <x:v>Location model input - competition/saturation context</x:v>
      </x:c>
      <x:c r="K567" s="12" t="str">
        <x:v>Business count is from 2018 while population/context indicators are newer; use as a historical proxy, not a current market count.</x:v>
      </x:c>
    </x:row>
    <x:row r="568">
      <x:c r="A568" s="12" t="str">
        <x:v>2021</x:v>
      </x:c>
      <x:c r="B568" s="12" t="str">
        <x:v>Manufacture of pesticides and other agrochemical products</x:v>
      </x:c>
      <x:c r="C568" s="12" t="str">
        <x:v>الزرقاء</x:v>
      </x:c>
      <x:c r="D568" s="14" t="n">
        <x:v>1</x:v>
      </x:c>
      <x:c r="E568" s="14" t="n">
        <x:f>VLOOKUP(C568,'Governorate Master'!$A$2:$Q$13,3,FALSE)</x:f>
        <x:v>1704500</x:v>
      </x:c>
      <x:c r="F568" s="66" t="n">
        <x:f>IF(E568=0,0,D568/E568*10000)</x:f>
        <x:v>0.005866823115283074</x:v>
      </x:c>
      <x:c r="G568" s="67" t="n">
        <x:f>VLOOKUP(C568,'Governorate Master'!$A$2:$Q$13,7,FALSE)</x:f>
        <x:v>358</x:v>
      </x:c>
      <x:c r="H568" s="20" t="n">
        <x:f>VLOOKUP(C568,'Governorate Master'!$A$2:$Q$13,6,FALSE)</x:f>
        <x:v>0.9636256966852449</x:v>
      </x:c>
      <x:c r="I568" s="20" t="n">
        <x:f>VLOOKUP(C568,'Governorate Master'!$A$2:$Q$13,15,FALSE)</x:f>
        <x:v>-0.06808762581409118</x:v>
      </x:c>
      <x:c r="J568" s="12" t="str">
        <x:v>Location model input - competition/saturation context</x:v>
      </x:c>
      <x:c r="K568" s="12" t="str">
        <x:v>Business count is from 2018 while population/context indicators are newer; use as a historical proxy, not a current market count.</x:v>
      </x:c>
    </x:row>
    <x:row r="569">
      <x:c r="A569" s="12" t="str">
        <x:v>2021</x:v>
      </x:c>
      <x:c r="B569" s="12" t="str">
        <x:v>Manufacture of pesticides and other agrochemical products</x:v>
      </x:c>
      <x:c r="C569" s="12" t="str">
        <x:v>مادبا</x:v>
      </x:c>
      <x:c r="D569" s="14" t="n">
        <x:v>0</x:v>
      </x:c>
      <x:c r="E569" s="14" t="n">
        <x:f>VLOOKUP(C569,'Governorate Master'!$A$2:$Q$13,3,FALSE)</x:f>
        <x:v>236200</x:v>
      </x:c>
      <x:c r="F569" s="66" t="n">
        <x:f>IF(E569=0,0,D569/E569*10000)</x:f>
        <x:v>0</x:v>
      </x:c>
      <x:c r="G569" s="67" t="n">
        <x:f>VLOOKUP(C569,'Governorate Master'!$A$2:$Q$13,7,FALSE)</x:f>
        <x:v>251.4</x:v>
      </x:c>
      <x:c r="H569" s="20" t="n">
        <x:f>VLOOKUP(C569,'Governorate Master'!$A$2:$Q$13,6,FALSE)</x:f>
        <x:v>0.7823878069432684</x:v>
      </x:c>
      <x:c r="I569" s="20" t="n">
        <x:f>VLOOKUP(C569,'Governorate Master'!$A$2:$Q$13,15,FALSE)</x:f>
        <x:v>-0.18823529411764706</x:v>
      </x:c>
      <x:c r="J569" s="12" t="str">
        <x:v>Location model input - competition/saturation context</x:v>
      </x:c>
      <x:c r="K569" s="12" t="str">
        <x:v>Business count is from 2018 while population/context indicators are newer; use as a historical proxy, not a current market count.</x:v>
      </x:c>
    </x:row>
    <x:row r="570">
      <x:c r="A570" s="12" t="str">
        <x:v>2021</x:v>
      </x:c>
      <x:c r="B570" s="12" t="str">
        <x:v>Manufacture of pesticides and other agrochemical products</x:v>
      </x:c>
      <x:c r="C570" s="12" t="str">
        <x:v>إربد</x:v>
      </x:c>
      <x:c r="D570" s="14" t="n">
        <x:v>2</x:v>
      </x:c>
      <x:c r="E570" s="14" t="n">
        <x:f>VLOOKUP(C570,'Governorate Master'!$A$2:$Q$13,3,FALSE)</x:f>
        <x:v>2210500</x:v>
      </x:c>
      <x:c r="F570" s="66" t="n">
        <x:f>IF(E570=0,0,D570/E570*10000)</x:f>
        <x:v>0.009047726758651889</x:v>
      </x:c>
      <x:c r="G570" s="67" t="n">
        <x:f>VLOOKUP(C570,'Governorate Master'!$A$2:$Q$13,7,FALSE)</x:f>
        <x:v>1406.4</x:v>
      </x:c>
      <x:c r="H570" s="20" t="n">
        <x:f>VLOOKUP(C570,'Governorate Master'!$A$2:$Q$13,6,FALSE)</x:f>
        <x:v>0.9235014702555983</x:v>
      </x:c>
      <x:c r="I570" s="20" t="n">
        <x:f>VLOOKUP(C570,'Governorate Master'!$A$2:$Q$13,15,FALSE)</x:f>
        <x:v>0.07086922474549726</x:v>
      </x:c>
      <x:c r="J570" s="12" t="str">
        <x:v>Location model input - competition/saturation context</x:v>
      </x:c>
      <x:c r="K570" s="12" t="str">
        <x:v>Business count is from 2018 while population/context indicators are newer; use as a historical proxy, not a current market count.</x:v>
      </x:c>
    </x:row>
    <x:row r="571">
      <x:c r="A571" s="12" t="str">
        <x:v>2021</x:v>
      </x:c>
      <x:c r="B571" s="12" t="str">
        <x:v>Manufacture of pesticides and other agrochemical products</x:v>
      </x:c>
      <x:c r="C571" s="12" t="str">
        <x:v>المفرق</x:v>
      </x:c>
      <x:c r="D571" s="14" t="n">
        <x:v>1</x:v>
      </x:c>
      <x:c r="E571" s="14" t="n">
        <x:f>VLOOKUP(C571,'Governorate Master'!$A$2:$Q$13,3,FALSE)</x:f>
        <x:v>686800</x:v>
      </x:c>
      <x:c r="F571" s="66" t="n">
        <x:f>IF(E571=0,0,D571/E571*10000)</x:f>
        <x:v>0.014560279557367502</x:v>
      </x:c>
      <x:c r="G571" s="67" t="n">
        <x:f>VLOOKUP(C571,'Governorate Master'!$A$2:$Q$13,7,FALSE)</x:f>
        <x:v>25.9</x:v>
      </x:c>
      <x:c r="H571" s="20" t="n">
        <x:f>VLOOKUP(C571,'Governorate Master'!$A$2:$Q$13,6,FALSE)</x:f>
        <x:v>0.6965637740244612</x:v>
      </x:c>
      <x:c r="I571" s="20" t="n">
        <x:f>VLOOKUP(C571,'Governorate Master'!$A$2:$Q$13,15,FALSE)</x:f>
        <x:v>-0.016638935108153077</x:v>
      </x:c>
      <x:c r="J571" s="12" t="str">
        <x:v>Location model input - competition/saturation context</x:v>
      </x:c>
      <x:c r="K571" s="12" t="str">
        <x:v>Business count is from 2018 while population/context indicators are newer; use as a historical proxy, not a current market count.</x:v>
      </x:c>
    </x:row>
    <x:row r="572">
      <x:c r="A572" s="12" t="str">
        <x:v>2021</x:v>
      </x:c>
      <x:c r="B572" s="12" t="str">
        <x:v>Manufacture of pesticides and other agrochemical products</x:v>
      </x:c>
      <x:c r="C572" s="12" t="str">
        <x:v>جرش</x:v>
      </x:c>
      <x:c r="D572" s="14" t="n">
        <x:v>0</x:v>
      </x:c>
      <x:c r="E572" s="14" t="n">
        <x:f>VLOOKUP(C572,'Governorate Master'!$A$2:$Q$13,3,FALSE)</x:f>
        <x:v>296000</x:v>
      </x:c>
      <x:c r="F572" s="66" t="n">
        <x:f>IF(E572=0,0,D572/E572*10000)</x:f>
        <x:v>0</x:v>
      </x:c>
      <x:c r="G572" s="67" t="n">
        <x:f>VLOOKUP(C572,'Governorate Master'!$A$2:$Q$13,7,FALSE)</x:f>
        <x:v>722.3</x:v>
      </x:c>
      <x:c r="H572" s="20" t="n">
        <x:f>VLOOKUP(C572,'Governorate Master'!$A$2:$Q$13,6,FALSE)</x:f>
        <x:v>0.7695945945945946</x:v>
      </x:c>
      <x:c r="I572" s="20" t="n">
        <x:f>VLOOKUP(C572,'Governorate Master'!$A$2:$Q$13,15,FALSE)</x:f>
        <x:v>-0.06527415143603134</x:v>
      </x:c>
      <x:c r="J572" s="12" t="str">
        <x:v>Location model input - competition/saturation context</x:v>
      </x:c>
      <x:c r="K572" s="12" t="str">
        <x:v>Business count is from 2018 while population/context indicators are newer; use as a historical proxy, not a current market count.</x:v>
      </x:c>
    </x:row>
    <x:row r="573">
      <x:c r="A573" s="12" t="str">
        <x:v>2021</x:v>
      </x:c>
      <x:c r="B573" s="12" t="str">
        <x:v>Manufacture of pesticides and other agrochemical products</x:v>
      </x:c>
      <x:c r="C573" s="12" t="str">
        <x:v>عجلون</x:v>
      </x:c>
      <x:c r="D573" s="14" t="n">
        <x:v>0</x:v>
      </x:c>
      <x:c r="E573" s="14" t="n">
        <x:f>VLOOKUP(C573,'Governorate Master'!$A$2:$Q$13,3,FALSE)</x:f>
        <x:v>219900</x:v>
      </x:c>
      <x:c r="F573" s="66" t="n">
        <x:f>IF(E573=0,0,D573/E573*10000)</x:f>
        <x:v>0</x:v>
      </x:c>
      <x:c r="G573" s="67" t="n">
        <x:f>VLOOKUP(C573,'Governorate Master'!$A$2:$Q$13,7,FALSE)</x:f>
        <x:v>524</x:v>
      </x:c>
      <x:c r="H573" s="20" t="n">
        <x:f>VLOOKUP(C573,'Governorate Master'!$A$2:$Q$13,6,FALSE)</x:f>
        <x:v>0.8390177353342428</x:v>
      </x:c>
      <x:c r="I573" s="20" t="n">
        <x:f>VLOOKUP(C573,'Governorate Master'!$A$2:$Q$13,15,FALSE)</x:f>
        <x:v>0.03614457831325301</x:v>
      </x:c>
      <x:c r="J573" s="12" t="str">
        <x:v>Location model input - competition/saturation context</x:v>
      </x:c>
      <x:c r="K573" s="12" t="str">
        <x:v>Business count is from 2018 while population/context indicators are newer; use as a historical proxy, not a current market count.</x:v>
      </x:c>
    </x:row>
    <x:row r="574">
      <x:c r="A574" s="12" t="str">
        <x:v>2021</x:v>
      </x:c>
      <x:c r="B574" s="12" t="str">
        <x:v>Manufacture of pesticides and other agrochemical products</x:v>
      </x:c>
      <x:c r="C574" s="12" t="str">
        <x:v>الكرك</x:v>
      </x:c>
      <x:c r="D574" s="14" t="n">
        <x:v>0</x:v>
      </x:c>
      <x:c r="E574" s="14" t="n">
        <x:f>VLOOKUP(C574,'Governorate Master'!$A$2:$Q$13,3,FALSE)</x:f>
        <x:v>395400</x:v>
      </x:c>
      <x:c r="F574" s="66" t="n">
        <x:f>IF(E574=0,0,D574/E574*10000)</x:f>
        <x:v>0</x:v>
      </x:c>
      <x:c r="G574" s="67" t="n">
        <x:f>VLOOKUP(C574,'Governorate Master'!$A$2:$Q$13,7,FALSE)</x:f>
        <x:v>113.1</x:v>
      </x:c>
      <x:c r="H574" s="20" t="n">
        <x:f>VLOOKUP(C574,'Governorate Master'!$A$2:$Q$13,6,FALSE)</x:f>
        <x:v>0.5912999494183105</x:v>
      </x:c>
      <x:c r="I574" s="20" t="n">
        <x:f>VLOOKUP(C574,'Governorate Master'!$A$2:$Q$13,15,FALSE)</x:f>
        <x:v>0.08710801393728224</x:v>
      </x:c>
      <x:c r="J574" s="12" t="str">
        <x:v>Location model input - competition/saturation context</x:v>
      </x:c>
      <x:c r="K574" s="12" t="str">
        <x:v>Business count is from 2018 while population/context indicators are newer; use as a historical proxy, not a current market count.</x:v>
      </x:c>
    </x:row>
    <x:row r="575">
      <x:c r="A575" s="12" t="str">
        <x:v>2021</x:v>
      </x:c>
      <x:c r="B575" s="12" t="str">
        <x:v>Manufacture of pesticides and other agrochemical products</x:v>
      </x:c>
      <x:c r="C575" s="12" t="str">
        <x:v>الطفيلة</x:v>
      </x:c>
      <x:c r="D575" s="14" t="n">
        <x:v>0</x:v>
      </x:c>
      <x:c r="E575" s="14" t="n">
        <x:f>VLOOKUP(C575,'Governorate Master'!$A$2:$Q$13,3,FALSE)</x:f>
        <x:v>120300</x:v>
      </x:c>
      <x:c r="F575" s="66" t="n">
        <x:f>IF(E575=0,0,D575/E575*10000)</x:f>
        <x:v>0</x:v>
      </x:c>
      <x:c r="G575" s="67" t="n">
        <x:f>VLOOKUP(C575,'Governorate Master'!$A$2:$Q$13,7,FALSE)</x:f>
        <x:v>54.4</x:v>
      </x:c>
      <x:c r="H575" s="20" t="n">
        <x:f>VLOOKUP(C575,'Governorate Master'!$A$2:$Q$13,6,FALSE)</x:f>
        <x:v>0.7797173732335827</x:v>
      </x:c>
      <x:c r="I575" s="20" t="n">
        <x:f>VLOOKUP(C575,'Governorate Master'!$A$2:$Q$13,15,FALSE)</x:f>
        <x:v>0.18452380952380953</x:v>
      </x:c>
      <x:c r="J575" s="12" t="str">
        <x:v>Location model input - competition/saturation context</x:v>
      </x:c>
      <x:c r="K575" s="12" t="str">
        <x:v>Business count is from 2018 while population/context indicators are newer; use as a historical proxy, not a current market count.</x:v>
      </x:c>
    </x:row>
    <x:row r="576">
      <x:c r="A576" s="12" t="str">
        <x:v>2021</x:v>
      </x:c>
      <x:c r="B576" s="12" t="str">
        <x:v>Manufacture of pesticides and other agrochemical products</x:v>
      </x:c>
      <x:c r="C576" s="12" t="str">
        <x:v>معان</x:v>
      </x:c>
      <x:c r="D576" s="14" t="n">
        <x:v>0</x:v>
      </x:c>
      <x:c r="E576" s="14" t="n">
        <x:f>VLOOKUP(C576,'Governorate Master'!$A$2:$Q$13,3,FALSE)</x:f>
        <x:v>197900</x:v>
      </x:c>
      <x:c r="F576" s="66" t="n">
        <x:f>IF(E576=0,0,D576/E576*10000)</x:f>
        <x:v>0</x:v>
      </x:c>
      <x:c r="G576" s="67" t="n">
        <x:f>VLOOKUP(C576,'Governorate Master'!$A$2:$Q$13,7,FALSE)</x:f>
        <x:v>6</x:v>
      </x:c>
      <x:c r="H576" s="20" t="n">
        <x:f>VLOOKUP(C576,'Governorate Master'!$A$2:$Q$13,6,FALSE)</x:f>
        <x:v>0.5406771096513391</x:v>
      </x:c>
      <x:c r="I576" s="20" t="n">
        <x:f>VLOOKUP(C576,'Governorate Master'!$A$2:$Q$13,15,FALSE)</x:f>
        <x:v>0.026845637583892617</x:v>
      </x:c>
      <x:c r="J576" s="12" t="str">
        <x:v>Location model input - competition/saturation context</x:v>
      </x:c>
      <x:c r="K576" s="12" t="str">
        <x:v>Business count is from 2018 while population/context indicators are newer; use as a historical proxy, not a current market count.</x:v>
      </x:c>
    </x:row>
    <x:row r="577">
      <x:c r="A577" s="12" t="str">
        <x:v>2021</x:v>
      </x:c>
      <x:c r="B577" s="12" t="str">
        <x:v>Manufacture of pesticides and other agrochemical products</x:v>
      </x:c>
      <x:c r="C577" s="12" t="str">
        <x:v>العقبة</x:v>
      </x:c>
      <x:c r="D577" s="14" t="n">
        <x:v>0</x:v>
      </x:c>
      <x:c r="E577" s="14" t="n">
        <x:f>VLOOKUP(C577,'Governorate Master'!$A$2:$Q$13,3,FALSE)</x:f>
        <x:v>250900</x:v>
      </x:c>
      <x:c r="F577" s="66" t="n">
        <x:f>IF(E577=0,0,D577/E577*10000)</x:f>
        <x:v>0</x:v>
      </x:c>
      <x:c r="G577" s="67" t="n">
        <x:f>VLOOKUP(C577,'Governorate Master'!$A$2:$Q$13,7,FALSE)</x:f>
        <x:v>36.3</x:v>
      </x:c>
      <x:c r="H577" s="20" t="n">
        <x:f>VLOOKUP(C577,'Governorate Master'!$A$2:$Q$13,6,FALSE)</x:f>
        <x:v>0.882024711040255</x:v>
      </x:c>
      <x:c r="I577" s="20" t="n">
        <x:f>VLOOKUP(C577,'Governorate Master'!$A$2:$Q$13,15,FALSE)</x:f>
        <x:v>-0.09</x:v>
      </x:c>
      <x:c r="J577" s="12" t="str">
        <x:v>Location model input - competition/saturation context</x:v>
      </x:c>
      <x:c r="K577" s="12" t="str">
        <x:v>Business count is from 2018 while population/context indicators are newer; use as a historical proxy, not a current market count.</x:v>
      </x:c>
    </x:row>
    <x:row r="578">
      <x:c r="A578" s="12" t="str">
        <x:v>2022</x:v>
      </x:c>
      <x:c r="B578" s="12" t="str">
        <x:v>Manufacture of paints, varnishes and similar coatings, printing ink and mastics</x:v>
      </x:c>
      <x:c r="C578" s="12" t="str">
        <x:v>عمان</x:v>
      </x:c>
      <x:c r="D578" s="14" t="n">
        <x:v>30</x:v>
      </x:c>
      <x:c r="E578" s="14" t="n">
        <x:f>VLOOKUP(C578,'Governorate Master'!$A$2:$Q$13,3,FALSE)</x:f>
        <x:v>5004600</x:v>
      </x:c>
      <x:c r="F578" s="66" t="n">
        <x:f>IF(E578=0,0,D578/E578*10000)</x:f>
        <x:v>0.05994485073732166</x:v>
      </x:c>
      <x:c r="G578" s="67" t="n">
        <x:f>VLOOKUP(C578,'Governorate Master'!$A$2:$Q$13,7,FALSE)</x:f>
        <x:v>660.3</x:v>
      </x:c>
      <x:c r="H578" s="20" t="n">
        <x:f>VLOOKUP(C578,'Governorate Master'!$A$2:$Q$13,6,FALSE)</x:f>
        <x:v>0.9721656076409703</x:v>
      </x:c>
      <x:c r="I578" s="20" t="n">
        <x:f>VLOOKUP(C578,'Governorate Master'!$A$2:$Q$13,15,FALSE)</x:f>
        <x:v>0.06367041198501873</x:v>
      </x:c>
      <x:c r="J578" s="12" t="str">
        <x:v>Location model input - competition/saturation context</x:v>
      </x:c>
      <x:c r="K578" s="12" t="str">
        <x:v>Business count is from 2018 while population/context indicators are newer; use as a historical proxy, not a current market count.</x:v>
      </x:c>
    </x:row>
    <x:row r="579">
      <x:c r="A579" s="12" t="str">
        <x:v>2022</x:v>
      </x:c>
      <x:c r="B579" s="12" t="str">
        <x:v>Manufacture of paints, varnishes and similar coatings, printing ink and mastics</x:v>
      </x:c>
      <x:c r="C579" s="12" t="str">
        <x:v>البلقاء</x:v>
      </x:c>
      <x:c r="D579" s="14" t="n">
        <x:v>1</x:v>
      </x:c>
      <x:c r="E579" s="14" t="n">
        <x:f>VLOOKUP(C579,'Governorate Master'!$A$2:$Q$13,3,FALSE)</x:f>
        <x:v>614000</x:v>
      </x:c>
      <x:c r="F579" s="66" t="n">
        <x:f>IF(E579=0,0,D579/E579*10000)</x:f>
        <x:v>0.016286644951140065</x:v>
      </x:c>
      <x:c r="G579" s="67" t="n">
        <x:f>VLOOKUP(C579,'Governorate Master'!$A$2:$Q$13,7,FALSE)</x:f>
        <x:v>548</x:v>
      </x:c>
      <x:c r="H579" s="20" t="n">
        <x:f>VLOOKUP(C579,'Governorate Master'!$A$2:$Q$13,6,FALSE)</x:f>
        <x:v>0.8210097719869707</x:v>
      </x:c>
      <x:c r="I579" s="20" t="n">
        <x:f>VLOOKUP(C579,'Governorate Master'!$A$2:$Q$13,15,FALSE)</x:f>
        <x:v>0.10794044665012408</x:v>
      </x:c>
      <x:c r="J579" s="12" t="str">
        <x:v>Location model input - competition/saturation context</x:v>
      </x:c>
      <x:c r="K579" s="12" t="str">
        <x:v>Business count is from 2018 while population/context indicators are newer; use as a historical proxy, not a current market count.</x:v>
      </x:c>
    </x:row>
    <x:row r="580">
      <x:c r="A580" s="12" t="str">
        <x:v>2022</x:v>
      </x:c>
      <x:c r="B580" s="12" t="str">
        <x:v>Manufacture of paints, varnishes and similar coatings, printing ink and mastics</x:v>
      </x:c>
      <x:c r="C580" s="12" t="str">
        <x:v>الزرقاء</x:v>
      </x:c>
      <x:c r="D580" s="14" t="n">
        <x:v>15</x:v>
      </x:c>
      <x:c r="E580" s="14" t="n">
        <x:f>VLOOKUP(C580,'Governorate Master'!$A$2:$Q$13,3,FALSE)</x:f>
        <x:v>1704500</x:v>
      </x:c>
      <x:c r="F580" s="66" t="n">
        <x:f>IF(E580=0,0,D580/E580*10000)</x:f>
        <x:v>0.0880023467292461</x:v>
      </x:c>
      <x:c r="G580" s="67" t="n">
        <x:f>VLOOKUP(C580,'Governorate Master'!$A$2:$Q$13,7,FALSE)</x:f>
        <x:v>358</x:v>
      </x:c>
      <x:c r="H580" s="20" t="n">
        <x:f>VLOOKUP(C580,'Governorate Master'!$A$2:$Q$13,6,FALSE)</x:f>
        <x:v>0.9636256966852449</x:v>
      </x:c>
      <x:c r="I580" s="20" t="n">
        <x:f>VLOOKUP(C580,'Governorate Master'!$A$2:$Q$13,15,FALSE)</x:f>
        <x:v>-0.06808762581409118</x:v>
      </x:c>
      <x:c r="J580" s="12" t="str">
        <x:v>Location model input - competition/saturation context</x:v>
      </x:c>
      <x:c r="K580" s="12" t="str">
        <x:v>Business count is from 2018 while population/context indicators are newer; use as a historical proxy, not a current market count.</x:v>
      </x:c>
    </x:row>
    <x:row r="581">
      <x:c r="A581" s="12" t="str">
        <x:v>2022</x:v>
      </x:c>
      <x:c r="B581" s="12" t="str">
        <x:v>Manufacture of paints, varnishes and similar coatings, printing ink and mastics</x:v>
      </x:c>
      <x:c r="C581" s="12" t="str">
        <x:v>مادبا</x:v>
      </x:c>
      <x:c r="D581" s="14" t="n">
        <x:v>1</x:v>
      </x:c>
      <x:c r="E581" s="14" t="n">
        <x:f>VLOOKUP(C581,'Governorate Master'!$A$2:$Q$13,3,FALSE)</x:f>
        <x:v>236200</x:v>
      </x:c>
      <x:c r="F581" s="66" t="n">
        <x:f>IF(E581=0,0,D581/E581*10000)</x:f>
        <x:v>0.04233700254022015</x:v>
      </x:c>
      <x:c r="G581" s="67" t="n">
        <x:f>VLOOKUP(C581,'Governorate Master'!$A$2:$Q$13,7,FALSE)</x:f>
        <x:v>251.4</x:v>
      </x:c>
      <x:c r="H581" s="20" t="n">
        <x:f>VLOOKUP(C581,'Governorate Master'!$A$2:$Q$13,6,FALSE)</x:f>
        <x:v>0.7823878069432684</x:v>
      </x:c>
      <x:c r="I581" s="20" t="n">
        <x:f>VLOOKUP(C581,'Governorate Master'!$A$2:$Q$13,15,FALSE)</x:f>
        <x:v>-0.18823529411764706</x:v>
      </x:c>
      <x:c r="J581" s="12" t="str">
        <x:v>Location model input - competition/saturation context</x:v>
      </x:c>
      <x:c r="K581" s="12" t="str">
        <x:v>Business count is from 2018 while population/context indicators are newer; use as a historical proxy, not a current market count.</x:v>
      </x:c>
    </x:row>
    <x:row r="582">
      <x:c r="A582" s="12" t="str">
        <x:v>2022</x:v>
      </x:c>
      <x:c r="B582" s="12" t="str">
        <x:v>Manufacture of paints, varnishes and similar coatings, printing ink and mastics</x:v>
      </x:c>
      <x:c r="C582" s="12" t="str">
        <x:v>إربد</x:v>
      </x:c>
      <x:c r="D582" s="14" t="n">
        <x:v>2</x:v>
      </x:c>
      <x:c r="E582" s="14" t="n">
        <x:f>VLOOKUP(C582,'Governorate Master'!$A$2:$Q$13,3,FALSE)</x:f>
        <x:v>2210500</x:v>
      </x:c>
      <x:c r="F582" s="66" t="n">
        <x:f>IF(E582=0,0,D582/E582*10000)</x:f>
        <x:v>0.009047726758651889</x:v>
      </x:c>
      <x:c r="G582" s="67" t="n">
        <x:f>VLOOKUP(C582,'Governorate Master'!$A$2:$Q$13,7,FALSE)</x:f>
        <x:v>1406.4</x:v>
      </x:c>
      <x:c r="H582" s="20" t="n">
        <x:f>VLOOKUP(C582,'Governorate Master'!$A$2:$Q$13,6,FALSE)</x:f>
        <x:v>0.9235014702555983</x:v>
      </x:c>
      <x:c r="I582" s="20" t="n">
        <x:f>VLOOKUP(C582,'Governorate Master'!$A$2:$Q$13,15,FALSE)</x:f>
        <x:v>0.07086922474549726</x:v>
      </x:c>
      <x:c r="J582" s="12" t="str">
        <x:v>Location model input - competition/saturation context</x:v>
      </x:c>
      <x:c r="K582" s="12" t="str">
        <x:v>Business count is from 2018 while population/context indicators are newer; use as a historical proxy, not a current market count.</x:v>
      </x:c>
    </x:row>
    <x:row r="583">
      <x:c r="A583" s="12" t="str">
        <x:v>2022</x:v>
      </x:c>
      <x:c r="B583" s="12" t="str">
        <x:v>Manufacture of paints, varnishes and similar coatings, printing ink and mastics</x:v>
      </x:c>
      <x:c r="C583" s="12" t="str">
        <x:v>المفرق</x:v>
      </x:c>
      <x:c r="D583" s="14" t="n">
        <x:v>3</x:v>
      </x:c>
      <x:c r="E583" s="14" t="n">
        <x:f>VLOOKUP(C583,'Governorate Master'!$A$2:$Q$13,3,FALSE)</x:f>
        <x:v>686800</x:v>
      </x:c>
      <x:c r="F583" s="66" t="n">
        <x:f>IF(E583=0,0,D583/E583*10000)</x:f>
        <x:v>0.043680838672102505</x:v>
      </x:c>
      <x:c r="G583" s="67" t="n">
        <x:f>VLOOKUP(C583,'Governorate Master'!$A$2:$Q$13,7,FALSE)</x:f>
        <x:v>25.9</x:v>
      </x:c>
      <x:c r="H583" s="20" t="n">
        <x:f>VLOOKUP(C583,'Governorate Master'!$A$2:$Q$13,6,FALSE)</x:f>
        <x:v>0.6965637740244612</x:v>
      </x:c>
      <x:c r="I583" s="20" t="n">
        <x:f>VLOOKUP(C583,'Governorate Master'!$A$2:$Q$13,15,FALSE)</x:f>
        <x:v>-0.016638935108153077</x:v>
      </x:c>
      <x:c r="J583" s="12" t="str">
        <x:v>Location model input - competition/saturation context</x:v>
      </x:c>
      <x:c r="K583" s="12" t="str">
        <x:v>Business count is from 2018 while population/context indicators are newer; use as a historical proxy, not a current market count.</x:v>
      </x:c>
    </x:row>
    <x:row r="584">
      <x:c r="A584" s="12" t="str">
        <x:v>2022</x:v>
      </x:c>
      <x:c r="B584" s="12" t="str">
        <x:v>Manufacture of paints, varnishes and similar coatings, printing ink and mastics</x:v>
      </x:c>
      <x:c r="C584" s="12" t="str">
        <x:v>جرش</x:v>
      </x:c>
      <x:c r="D584" s="14" t="n">
        <x:v>0</x:v>
      </x:c>
      <x:c r="E584" s="14" t="n">
        <x:f>VLOOKUP(C584,'Governorate Master'!$A$2:$Q$13,3,FALSE)</x:f>
        <x:v>296000</x:v>
      </x:c>
      <x:c r="F584" s="66" t="n">
        <x:f>IF(E584=0,0,D584/E584*10000)</x:f>
        <x:v>0</x:v>
      </x:c>
      <x:c r="G584" s="67" t="n">
        <x:f>VLOOKUP(C584,'Governorate Master'!$A$2:$Q$13,7,FALSE)</x:f>
        <x:v>722.3</x:v>
      </x:c>
      <x:c r="H584" s="20" t="n">
        <x:f>VLOOKUP(C584,'Governorate Master'!$A$2:$Q$13,6,FALSE)</x:f>
        <x:v>0.7695945945945946</x:v>
      </x:c>
      <x:c r="I584" s="20" t="n">
        <x:f>VLOOKUP(C584,'Governorate Master'!$A$2:$Q$13,15,FALSE)</x:f>
        <x:v>-0.06527415143603134</x:v>
      </x:c>
      <x:c r="J584" s="12" t="str">
        <x:v>Location model input - competition/saturation context</x:v>
      </x:c>
      <x:c r="K584" s="12" t="str">
        <x:v>Business count is from 2018 while population/context indicators are newer; use as a historical proxy, not a current market count.</x:v>
      </x:c>
    </x:row>
    <x:row r="585">
      <x:c r="A585" s="12" t="str">
        <x:v>2022</x:v>
      </x:c>
      <x:c r="B585" s="12" t="str">
        <x:v>Manufacture of paints, varnishes and similar coatings, printing ink and mastics</x:v>
      </x:c>
      <x:c r="C585" s="12" t="str">
        <x:v>عجلون</x:v>
      </x:c>
      <x:c r="D585" s="14" t="n">
        <x:v>1</x:v>
      </x:c>
      <x:c r="E585" s="14" t="n">
        <x:f>VLOOKUP(C585,'Governorate Master'!$A$2:$Q$13,3,FALSE)</x:f>
        <x:v>219900</x:v>
      </x:c>
      <x:c r="F585" s="66" t="n">
        <x:f>IF(E585=0,0,D585/E585*10000)</x:f>
        <x:v>0.04547521600727603</x:v>
      </x:c>
      <x:c r="G585" s="67" t="n">
        <x:f>VLOOKUP(C585,'Governorate Master'!$A$2:$Q$13,7,FALSE)</x:f>
        <x:v>524</x:v>
      </x:c>
      <x:c r="H585" s="20" t="n">
        <x:f>VLOOKUP(C585,'Governorate Master'!$A$2:$Q$13,6,FALSE)</x:f>
        <x:v>0.8390177353342428</x:v>
      </x:c>
      <x:c r="I585" s="20" t="n">
        <x:f>VLOOKUP(C585,'Governorate Master'!$A$2:$Q$13,15,FALSE)</x:f>
        <x:v>0.03614457831325301</x:v>
      </x:c>
      <x:c r="J585" s="12" t="str">
        <x:v>Location model input - competition/saturation context</x:v>
      </x:c>
      <x:c r="K585" s="12" t="str">
        <x:v>Business count is from 2018 while population/context indicators are newer; use as a historical proxy, not a current market count.</x:v>
      </x:c>
    </x:row>
    <x:row r="586">
      <x:c r="A586" s="12" t="str">
        <x:v>2022</x:v>
      </x:c>
      <x:c r="B586" s="12" t="str">
        <x:v>Manufacture of paints, varnishes and similar coatings, printing ink and mastics</x:v>
      </x:c>
      <x:c r="C586" s="12" t="str">
        <x:v>الكرك</x:v>
      </x:c>
      <x:c r="D586" s="14" t="n">
        <x:v>0</x:v>
      </x:c>
      <x:c r="E586" s="14" t="n">
        <x:f>VLOOKUP(C586,'Governorate Master'!$A$2:$Q$13,3,FALSE)</x:f>
        <x:v>395400</x:v>
      </x:c>
      <x:c r="F586" s="66" t="n">
        <x:f>IF(E586=0,0,D586/E586*10000)</x:f>
        <x:v>0</x:v>
      </x:c>
      <x:c r="G586" s="67" t="n">
        <x:f>VLOOKUP(C586,'Governorate Master'!$A$2:$Q$13,7,FALSE)</x:f>
        <x:v>113.1</x:v>
      </x:c>
      <x:c r="H586" s="20" t="n">
        <x:f>VLOOKUP(C586,'Governorate Master'!$A$2:$Q$13,6,FALSE)</x:f>
        <x:v>0.5912999494183105</x:v>
      </x:c>
      <x:c r="I586" s="20" t="n">
        <x:f>VLOOKUP(C586,'Governorate Master'!$A$2:$Q$13,15,FALSE)</x:f>
        <x:v>0.08710801393728224</x:v>
      </x:c>
      <x:c r="J586" s="12" t="str">
        <x:v>Location model input - competition/saturation context</x:v>
      </x:c>
      <x:c r="K586" s="12" t="str">
        <x:v>Business count is from 2018 while population/context indicators are newer; use as a historical proxy, not a current market count.</x:v>
      </x:c>
    </x:row>
    <x:row r="587">
      <x:c r="A587" s="12" t="str">
        <x:v>2022</x:v>
      </x:c>
      <x:c r="B587" s="12" t="str">
        <x:v>Manufacture of paints, varnishes and similar coatings, printing ink and mastics</x:v>
      </x:c>
      <x:c r="C587" s="12" t="str">
        <x:v>الطفيلة</x:v>
      </x:c>
      <x:c r="D587" s="14" t="n">
        <x:v>0</x:v>
      </x:c>
      <x:c r="E587" s="14" t="n">
        <x:f>VLOOKUP(C587,'Governorate Master'!$A$2:$Q$13,3,FALSE)</x:f>
        <x:v>120300</x:v>
      </x:c>
      <x:c r="F587" s="66" t="n">
        <x:f>IF(E587=0,0,D587/E587*10000)</x:f>
        <x:v>0</x:v>
      </x:c>
      <x:c r="G587" s="67" t="n">
        <x:f>VLOOKUP(C587,'Governorate Master'!$A$2:$Q$13,7,FALSE)</x:f>
        <x:v>54.4</x:v>
      </x:c>
      <x:c r="H587" s="20" t="n">
        <x:f>VLOOKUP(C587,'Governorate Master'!$A$2:$Q$13,6,FALSE)</x:f>
        <x:v>0.7797173732335827</x:v>
      </x:c>
      <x:c r="I587" s="20" t="n">
        <x:f>VLOOKUP(C587,'Governorate Master'!$A$2:$Q$13,15,FALSE)</x:f>
        <x:v>0.18452380952380953</x:v>
      </x:c>
      <x:c r="J587" s="12" t="str">
        <x:v>Location model input - competition/saturation context</x:v>
      </x:c>
      <x:c r="K587" s="12" t="str">
        <x:v>Business count is from 2018 while population/context indicators are newer; use as a historical proxy, not a current market count.</x:v>
      </x:c>
    </x:row>
    <x:row r="588">
      <x:c r="A588" s="12" t="str">
        <x:v>2022</x:v>
      </x:c>
      <x:c r="B588" s="12" t="str">
        <x:v>Manufacture of paints, varnishes and similar coatings, printing ink and mastics</x:v>
      </x:c>
      <x:c r="C588" s="12" t="str">
        <x:v>معان</x:v>
      </x:c>
      <x:c r="D588" s="14" t="n">
        <x:v>0</x:v>
      </x:c>
      <x:c r="E588" s="14" t="n">
        <x:f>VLOOKUP(C588,'Governorate Master'!$A$2:$Q$13,3,FALSE)</x:f>
        <x:v>197900</x:v>
      </x:c>
      <x:c r="F588" s="66" t="n">
        <x:f>IF(E588=0,0,D588/E588*10000)</x:f>
        <x:v>0</x:v>
      </x:c>
      <x:c r="G588" s="67" t="n">
        <x:f>VLOOKUP(C588,'Governorate Master'!$A$2:$Q$13,7,FALSE)</x:f>
        <x:v>6</x:v>
      </x:c>
      <x:c r="H588" s="20" t="n">
        <x:f>VLOOKUP(C588,'Governorate Master'!$A$2:$Q$13,6,FALSE)</x:f>
        <x:v>0.5406771096513391</x:v>
      </x:c>
      <x:c r="I588" s="20" t="n">
        <x:f>VLOOKUP(C588,'Governorate Master'!$A$2:$Q$13,15,FALSE)</x:f>
        <x:v>0.026845637583892617</x:v>
      </x:c>
      <x:c r="J588" s="12" t="str">
        <x:v>Location model input - competition/saturation context</x:v>
      </x:c>
      <x:c r="K588" s="12" t="str">
        <x:v>Business count is from 2018 while population/context indicators are newer; use as a historical proxy, not a current market count.</x:v>
      </x:c>
    </x:row>
    <x:row r="589">
      <x:c r="A589" s="12" t="str">
        <x:v>2022</x:v>
      </x:c>
      <x:c r="B589" s="12" t="str">
        <x:v>Manufacture of paints, varnishes and similar coatings, printing ink and mastics</x:v>
      </x:c>
      <x:c r="C589" s="12" t="str">
        <x:v>العقبة</x:v>
      </x:c>
      <x:c r="D589" s="14" t="n">
        <x:v>0</x:v>
      </x:c>
      <x:c r="E589" s="14" t="n">
        <x:f>VLOOKUP(C589,'Governorate Master'!$A$2:$Q$13,3,FALSE)</x:f>
        <x:v>250900</x:v>
      </x:c>
      <x:c r="F589" s="66" t="n">
        <x:f>IF(E589=0,0,D589/E589*10000)</x:f>
        <x:v>0</x:v>
      </x:c>
      <x:c r="G589" s="67" t="n">
        <x:f>VLOOKUP(C589,'Governorate Master'!$A$2:$Q$13,7,FALSE)</x:f>
        <x:v>36.3</x:v>
      </x:c>
      <x:c r="H589" s="20" t="n">
        <x:f>VLOOKUP(C589,'Governorate Master'!$A$2:$Q$13,6,FALSE)</x:f>
        <x:v>0.882024711040255</x:v>
      </x:c>
      <x:c r="I589" s="20" t="n">
        <x:f>VLOOKUP(C589,'Governorate Master'!$A$2:$Q$13,15,FALSE)</x:f>
        <x:v>-0.09</x:v>
      </x:c>
      <x:c r="J589" s="12" t="str">
        <x:v>Location model input - competition/saturation context</x:v>
      </x:c>
      <x:c r="K589" s="12" t="str">
        <x:v>Business count is from 2018 while population/context indicators are newer; use as a historical proxy, not a current market count.</x:v>
      </x:c>
    </x:row>
    <x:row r="590">
      <x:c r="A590" s="12" t="str">
        <x:v>2023</x:v>
      </x:c>
      <x:c r="B590" s="12" t="str">
        <x:v>Manufacture of soap and detergents, cleaning and polishing preparations, perfumes and toilet preparations</x:v>
      </x:c>
      <x:c r="C590" s="12" t="str">
        <x:v>عمان</x:v>
      </x:c>
      <x:c r="D590" s="14" t="n">
        <x:v>105</x:v>
      </x:c>
      <x:c r="E590" s="14" t="n">
        <x:f>VLOOKUP(C590,'Governorate Master'!$A$2:$Q$13,3,FALSE)</x:f>
        <x:v>5004600</x:v>
      </x:c>
      <x:c r="F590" s="66" t="n">
        <x:f>IF(E590=0,0,D590/E590*10000)</x:f>
        <x:v>0.2098069775806258</x:v>
      </x:c>
      <x:c r="G590" s="67" t="n">
        <x:f>VLOOKUP(C590,'Governorate Master'!$A$2:$Q$13,7,FALSE)</x:f>
        <x:v>660.3</x:v>
      </x:c>
      <x:c r="H590" s="20" t="n">
        <x:f>VLOOKUP(C590,'Governorate Master'!$A$2:$Q$13,6,FALSE)</x:f>
        <x:v>0.9721656076409703</x:v>
      </x:c>
      <x:c r="I590" s="20" t="n">
        <x:f>VLOOKUP(C590,'Governorate Master'!$A$2:$Q$13,15,FALSE)</x:f>
        <x:v>0.06367041198501873</x:v>
      </x:c>
      <x:c r="J590" s="12" t="str">
        <x:v>Location model input - competition/saturation context</x:v>
      </x:c>
      <x:c r="K590" s="12" t="str">
        <x:v>Business count is from 2018 while population/context indicators are newer; use as a historical proxy, not a current market count.</x:v>
      </x:c>
    </x:row>
    <x:row r="591">
      <x:c r="A591" s="12" t="str">
        <x:v>2023</x:v>
      </x:c>
      <x:c r="B591" s="12" t="str">
        <x:v>Manufacture of soap and detergents, cleaning and polishing preparations, perfumes and toilet preparations</x:v>
      </x:c>
      <x:c r="C591" s="12" t="str">
        <x:v>البلقاء</x:v>
      </x:c>
      <x:c r="D591" s="14" t="n">
        <x:v>3</x:v>
      </x:c>
      <x:c r="E591" s="14" t="n">
        <x:f>VLOOKUP(C591,'Governorate Master'!$A$2:$Q$13,3,FALSE)</x:f>
        <x:v>614000</x:v>
      </x:c>
      <x:c r="F591" s="66" t="n">
        <x:f>IF(E591=0,0,D591/E591*10000)</x:f>
        <x:v>0.048859934853420196</x:v>
      </x:c>
      <x:c r="G591" s="67" t="n">
        <x:f>VLOOKUP(C591,'Governorate Master'!$A$2:$Q$13,7,FALSE)</x:f>
        <x:v>548</x:v>
      </x:c>
      <x:c r="H591" s="20" t="n">
        <x:f>VLOOKUP(C591,'Governorate Master'!$A$2:$Q$13,6,FALSE)</x:f>
        <x:v>0.8210097719869707</x:v>
      </x:c>
      <x:c r="I591" s="20" t="n">
        <x:f>VLOOKUP(C591,'Governorate Master'!$A$2:$Q$13,15,FALSE)</x:f>
        <x:v>0.10794044665012408</x:v>
      </x:c>
      <x:c r="J591" s="12" t="str">
        <x:v>Location model input - competition/saturation context</x:v>
      </x:c>
      <x:c r="K591" s="12" t="str">
        <x:v>Business count is from 2018 while population/context indicators are newer; use as a historical proxy, not a current market count.</x:v>
      </x:c>
    </x:row>
    <x:row r="592">
      <x:c r="A592" s="12" t="str">
        <x:v>2023</x:v>
      </x:c>
      <x:c r="B592" s="12" t="str">
        <x:v>Manufacture of soap and detergents, cleaning and polishing preparations, perfumes and toilet preparations</x:v>
      </x:c>
      <x:c r="C592" s="12" t="str">
        <x:v>الزرقاء</x:v>
      </x:c>
      <x:c r="D592" s="14" t="n">
        <x:v>37</x:v>
      </x:c>
      <x:c r="E592" s="14" t="n">
        <x:f>VLOOKUP(C592,'Governorate Master'!$A$2:$Q$13,3,FALSE)</x:f>
        <x:v>1704500</x:v>
      </x:c>
      <x:c r="F592" s="66" t="n">
        <x:f>IF(E592=0,0,D592/E592*10000)</x:f>
        <x:v>0.21707245526547372</x:v>
      </x:c>
      <x:c r="G592" s="67" t="n">
        <x:f>VLOOKUP(C592,'Governorate Master'!$A$2:$Q$13,7,FALSE)</x:f>
        <x:v>358</x:v>
      </x:c>
      <x:c r="H592" s="20" t="n">
        <x:f>VLOOKUP(C592,'Governorate Master'!$A$2:$Q$13,6,FALSE)</x:f>
        <x:v>0.9636256966852449</x:v>
      </x:c>
      <x:c r="I592" s="20" t="n">
        <x:f>VLOOKUP(C592,'Governorate Master'!$A$2:$Q$13,15,FALSE)</x:f>
        <x:v>-0.06808762581409118</x:v>
      </x:c>
      <x:c r="J592" s="12" t="str">
        <x:v>Location model input - competition/saturation context</x:v>
      </x:c>
      <x:c r="K592" s="12" t="str">
        <x:v>Business count is from 2018 while population/context indicators are newer; use as a historical proxy, not a current market count.</x:v>
      </x:c>
    </x:row>
    <x:row r="593">
      <x:c r="A593" s="12" t="str">
        <x:v>2023</x:v>
      </x:c>
      <x:c r="B593" s="12" t="str">
        <x:v>Manufacture of soap and detergents, cleaning and polishing preparations, perfumes and toilet preparations</x:v>
      </x:c>
      <x:c r="C593" s="12" t="str">
        <x:v>مادبا</x:v>
      </x:c>
      <x:c r="D593" s="14" t="n">
        <x:v>0</x:v>
      </x:c>
      <x:c r="E593" s="14" t="n">
        <x:f>VLOOKUP(C593,'Governorate Master'!$A$2:$Q$13,3,FALSE)</x:f>
        <x:v>236200</x:v>
      </x:c>
      <x:c r="F593" s="66" t="n">
        <x:f>IF(E593=0,0,D593/E593*10000)</x:f>
        <x:v>0</x:v>
      </x:c>
      <x:c r="G593" s="67" t="n">
        <x:f>VLOOKUP(C593,'Governorate Master'!$A$2:$Q$13,7,FALSE)</x:f>
        <x:v>251.4</x:v>
      </x:c>
      <x:c r="H593" s="20" t="n">
        <x:f>VLOOKUP(C593,'Governorate Master'!$A$2:$Q$13,6,FALSE)</x:f>
        <x:v>0.7823878069432684</x:v>
      </x:c>
      <x:c r="I593" s="20" t="n">
        <x:f>VLOOKUP(C593,'Governorate Master'!$A$2:$Q$13,15,FALSE)</x:f>
        <x:v>-0.18823529411764706</x:v>
      </x:c>
      <x:c r="J593" s="12" t="str">
        <x:v>Location model input - competition/saturation context</x:v>
      </x:c>
      <x:c r="K593" s="12" t="str">
        <x:v>Business count is from 2018 while population/context indicators are newer; use as a historical proxy, not a current market count.</x:v>
      </x:c>
    </x:row>
    <x:row r="594">
      <x:c r="A594" s="12" t="str">
        <x:v>2023</x:v>
      </x:c>
      <x:c r="B594" s="12" t="str">
        <x:v>Manufacture of soap and detergents, cleaning and polishing preparations, perfumes and toilet preparations</x:v>
      </x:c>
      <x:c r="C594" s="12" t="str">
        <x:v>إربد</x:v>
      </x:c>
      <x:c r="D594" s="14" t="n">
        <x:v>17</x:v>
      </x:c>
      <x:c r="E594" s="14" t="n">
        <x:f>VLOOKUP(C594,'Governorate Master'!$A$2:$Q$13,3,FALSE)</x:f>
        <x:v>2210500</x:v>
      </x:c>
      <x:c r="F594" s="66" t="n">
        <x:f>IF(E594=0,0,D594/E594*10000)</x:f>
        <x:v>0.07690567744854106</x:v>
      </x:c>
      <x:c r="G594" s="67" t="n">
        <x:f>VLOOKUP(C594,'Governorate Master'!$A$2:$Q$13,7,FALSE)</x:f>
        <x:v>1406.4</x:v>
      </x:c>
      <x:c r="H594" s="20" t="n">
        <x:f>VLOOKUP(C594,'Governorate Master'!$A$2:$Q$13,6,FALSE)</x:f>
        <x:v>0.9235014702555983</x:v>
      </x:c>
      <x:c r="I594" s="20" t="n">
        <x:f>VLOOKUP(C594,'Governorate Master'!$A$2:$Q$13,15,FALSE)</x:f>
        <x:v>0.07086922474549726</x:v>
      </x:c>
      <x:c r="J594" s="12" t="str">
        <x:v>Location model input - competition/saturation context</x:v>
      </x:c>
      <x:c r="K594" s="12" t="str">
        <x:v>Business count is from 2018 while population/context indicators are newer; use as a historical proxy, not a current market count.</x:v>
      </x:c>
    </x:row>
    <x:row r="595">
      <x:c r="A595" s="12" t="str">
        <x:v>2023</x:v>
      </x:c>
      <x:c r="B595" s="12" t="str">
        <x:v>Manufacture of soap and detergents, cleaning and polishing preparations, perfumes and toilet preparations</x:v>
      </x:c>
      <x:c r="C595" s="12" t="str">
        <x:v>المفرق</x:v>
      </x:c>
      <x:c r="D595" s="14" t="n">
        <x:v>0</x:v>
      </x:c>
      <x:c r="E595" s="14" t="n">
        <x:f>VLOOKUP(C595,'Governorate Master'!$A$2:$Q$13,3,FALSE)</x:f>
        <x:v>686800</x:v>
      </x:c>
      <x:c r="F595" s="66" t="n">
        <x:f>IF(E595=0,0,D595/E595*10000)</x:f>
        <x:v>0</x:v>
      </x:c>
      <x:c r="G595" s="67" t="n">
        <x:f>VLOOKUP(C595,'Governorate Master'!$A$2:$Q$13,7,FALSE)</x:f>
        <x:v>25.9</x:v>
      </x:c>
      <x:c r="H595" s="20" t="n">
        <x:f>VLOOKUP(C595,'Governorate Master'!$A$2:$Q$13,6,FALSE)</x:f>
        <x:v>0.6965637740244612</x:v>
      </x:c>
      <x:c r="I595" s="20" t="n">
        <x:f>VLOOKUP(C595,'Governorate Master'!$A$2:$Q$13,15,FALSE)</x:f>
        <x:v>-0.016638935108153077</x:v>
      </x:c>
      <x:c r="J595" s="12" t="str">
        <x:v>Location model input - competition/saturation context</x:v>
      </x:c>
      <x:c r="K595" s="12" t="str">
        <x:v>Business count is from 2018 while population/context indicators are newer; use as a historical proxy, not a current market count.</x:v>
      </x:c>
    </x:row>
    <x:row r="596">
      <x:c r="A596" s="12" t="str">
        <x:v>2023</x:v>
      </x:c>
      <x:c r="B596" s="12" t="str">
        <x:v>Manufacture of soap and detergents, cleaning and polishing preparations, perfumes and toilet preparations</x:v>
      </x:c>
      <x:c r="C596" s="12" t="str">
        <x:v>جرش</x:v>
      </x:c>
      <x:c r="D596" s="14" t="n">
        <x:v>0</x:v>
      </x:c>
      <x:c r="E596" s="14" t="n">
        <x:f>VLOOKUP(C596,'Governorate Master'!$A$2:$Q$13,3,FALSE)</x:f>
        <x:v>296000</x:v>
      </x:c>
      <x:c r="F596" s="66" t="n">
        <x:f>IF(E596=0,0,D596/E596*10000)</x:f>
        <x:v>0</x:v>
      </x:c>
      <x:c r="G596" s="67" t="n">
        <x:f>VLOOKUP(C596,'Governorate Master'!$A$2:$Q$13,7,FALSE)</x:f>
        <x:v>722.3</x:v>
      </x:c>
      <x:c r="H596" s="20" t="n">
        <x:f>VLOOKUP(C596,'Governorate Master'!$A$2:$Q$13,6,FALSE)</x:f>
        <x:v>0.7695945945945946</x:v>
      </x:c>
      <x:c r="I596" s="20" t="n">
        <x:f>VLOOKUP(C596,'Governorate Master'!$A$2:$Q$13,15,FALSE)</x:f>
        <x:v>-0.06527415143603134</x:v>
      </x:c>
      <x:c r="J596" s="12" t="str">
        <x:v>Location model input - competition/saturation context</x:v>
      </x:c>
      <x:c r="K596" s="12" t="str">
        <x:v>Business count is from 2018 while population/context indicators are newer; use as a historical proxy, not a current market count.</x:v>
      </x:c>
    </x:row>
    <x:row r="597">
      <x:c r="A597" s="12" t="str">
        <x:v>2023</x:v>
      </x:c>
      <x:c r="B597" s="12" t="str">
        <x:v>Manufacture of soap and detergents, cleaning and polishing preparations, perfumes and toilet preparations</x:v>
      </x:c>
      <x:c r="C597" s="12" t="str">
        <x:v>عجلون</x:v>
      </x:c>
      <x:c r="D597" s="14" t="n">
        <x:v>1</x:v>
      </x:c>
      <x:c r="E597" s="14" t="n">
        <x:f>VLOOKUP(C597,'Governorate Master'!$A$2:$Q$13,3,FALSE)</x:f>
        <x:v>219900</x:v>
      </x:c>
      <x:c r="F597" s="66" t="n">
        <x:f>IF(E597=0,0,D597/E597*10000)</x:f>
        <x:v>0.04547521600727603</x:v>
      </x:c>
      <x:c r="G597" s="67" t="n">
        <x:f>VLOOKUP(C597,'Governorate Master'!$A$2:$Q$13,7,FALSE)</x:f>
        <x:v>524</x:v>
      </x:c>
      <x:c r="H597" s="20" t="n">
        <x:f>VLOOKUP(C597,'Governorate Master'!$A$2:$Q$13,6,FALSE)</x:f>
        <x:v>0.8390177353342428</x:v>
      </x:c>
      <x:c r="I597" s="20" t="n">
        <x:f>VLOOKUP(C597,'Governorate Master'!$A$2:$Q$13,15,FALSE)</x:f>
        <x:v>0.03614457831325301</x:v>
      </x:c>
      <x:c r="J597" s="12" t="str">
        <x:v>Location model input - competition/saturation context</x:v>
      </x:c>
      <x:c r="K597" s="12" t="str">
        <x:v>Business count is from 2018 while population/context indicators are newer; use as a historical proxy, not a current market count.</x:v>
      </x:c>
    </x:row>
    <x:row r="598">
      <x:c r="A598" s="12" t="str">
        <x:v>2023</x:v>
      </x:c>
      <x:c r="B598" s="12" t="str">
        <x:v>Manufacture of soap and detergents, cleaning and polishing preparations, perfumes and toilet preparations</x:v>
      </x:c>
      <x:c r="C598" s="12" t="str">
        <x:v>الكرك</x:v>
      </x:c>
      <x:c r="D598" s="14" t="n">
        <x:v>0</x:v>
      </x:c>
      <x:c r="E598" s="14" t="n">
        <x:f>VLOOKUP(C598,'Governorate Master'!$A$2:$Q$13,3,FALSE)</x:f>
        <x:v>395400</x:v>
      </x:c>
      <x:c r="F598" s="66" t="n">
        <x:f>IF(E598=0,0,D598/E598*10000)</x:f>
        <x:v>0</x:v>
      </x:c>
      <x:c r="G598" s="67" t="n">
        <x:f>VLOOKUP(C598,'Governorate Master'!$A$2:$Q$13,7,FALSE)</x:f>
        <x:v>113.1</x:v>
      </x:c>
      <x:c r="H598" s="20" t="n">
        <x:f>VLOOKUP(C598,'Governorate Master'!$A$2:$Q$13,6,FALSE)</x:f>
        <x:v>0.5912999494183105</x:v>
      </x:c>
      <x:c r="I598" s="20" t="n">
        <x:f>VLOOKUP(C598,'Governorate Master'!$A$2:$Q$13,15,FALSE)</x:f>
        <x:v>0.08710801393728224</x:v>
      </x:c>
      <x:c r="J598" s="12" t="str">
        <x:v>Location model input - competition/saturation context</x:v>
      </x:c>
      <x:c r="K598" s="12" t="str">
        <x:v>Business count is from 2018 while population/context indicators are newer; use as a historical proxy, not a current market count.</x:v>
      </x:c>
    </x:row>
    <x:row r="599">
      <x:c r="A599" s="12" t="str">
        <x:v>2023</x:v>
      </x:c>
      <x:c r="B599" s="12" t="str">
        <x:v>Manufacture of soap and detergents, cleaning and polishing preparations, perfumes and toilet preparations</x:v>
      </x:c>
      <x:c r="C599" s="12" t="str">
        <x:v>الطفيلة</x:v>
      </x:c>
      <x:c r="D599" s="14" t="n">
        <x:v>0</x:v>
      </x:c>
      <x:c r="E599" s="14" t="n">
        <x:f>VLOOKUP(C599,'Governorate Master'!$A$2:$Q$13,3,FALSE)</x:f>
        <x:v>120300</x:v>
      </x:c>
      <x:c r="F599" s="66" t="n">
        <x:f>IF(E599=0,0,D599/E599*10000)</x:f>
        <x:v>0</x:v>
      </x:c>
      <x:c r="G599" s="67" t="n">
        <x:f>VLOOKUP(C599,'Governorate Master'!$A$2:$Q$13,7,FALSE)</x:f>
        <x:v>54.4</x:v>
      </x:c>
      <x:c r="H599" s="20" t="n">
        <x:f>VLOOKUP(C599,'Governorate Master'!$A$2:$Q$13,6,FALSE)</x:f>
        <x:v>0.7797173732335827</x:v>
      </x:c>
      <x:c r="I599" s="20" t="n">
        <x:f>VLOOKUP(C599,'Governorate Master'!$A$2:$Q$13,15,FALSE)</x:f>
        <x:v>0.18452380952380953</x:v>
      </x:c>
      <x:c r="J599" s="12" t="str">
        <x:v>Location model input - competition/saturation context</x:v>
      </x:c>
      <x:c r="K599" s="12" t="str">
        <x:v>Business count is from 2018 while population/context indicators are newer; use as a historical proxy, not a current market count.</x:v>
      </x:c>
    </x:row>
    <x:row r="600">
      <x:c r="A600" s="12" t="str">
        <x:v>2023</x:v>
      </x:c>
      <x:c r="B600" s="12" t="str">
        <x:v>Manufacture of soap and detergents, cleaning and polishing preparations, perfumes and toilet preparations</x:v>
      </x:c>
      <x:c r="C600" s="12" t="str">
        <x:v>معان</x:v>
      </x:c>
      <x:c r="D600" s="14" t="n">
        <x:v>0</x:v>
      </x:c>
      <x:c r="E600" s="14" t="n">
        <x:f>VLOOKUP(C600,'Governorate Master'!$A$2:$Q$13,3,FALSE)</x:f>
        <x:v>197900</x:v>
      </x:c>
      <x:c r="F600" s="66" t="n">
        <x:f>IF(E600=0,0,D600/E600*10000)</x:f>
        <x:v>0</x:v>
      </x:c>
      <x:c r="G600" s="67" t="n">
        <x:f>VLOOKUP(C600,'Governorate Master'!$A$2:$Q$13,7,FALSE)</x:f>
        <x:v>6</x:v>
      </x:c>
      <x:c r="H600" s="20" t="n">
        <x:f>VLOOKUP(C600,'Governorate Master'!$A$2:$Q$13,6,FALSE)</x:f>
        <x:v>0.5406771096513391</x:v>
      </x:c>
      <x:c r="I600" s="20" t="n">
        <x:f>VLOOKUP(C600,'Governorate Master'!$A$2:$Q$13,15,FALSE)</x:f>
        <x:v>0.026845637583892617</x:v>
      </x:c>
      <x:c r="J600" s="12" t="str">
        <x:v>Location model input - competition/saturation context</x:v>
      </x:c>
      <x:c r="K600" s="12" t="str">
        <x:v>Business count is from 2018 while population/context indicators are newer; use as a historical proxy, not a current market count.</x:v>
      </x:c>
    </x:row>
    <x:row r="601">
      <x:c r="A601" s="12" t="str">
        <x:v>2023</x:v>
      </x:c>
      <x:c r="B601" s="12" t="str">
        <x:v>Manufacture of soap and detergents, cleaning and polishing preparations, perfumes and toilet preparations</x:v>
      </x:c>
      <x:c r="C601" s="12" t="str">
        <x:v>العقبة</x:v>
      </x:c>
      <x:c r="D601" s="14" t="n">
        <x:v>0</x:v>
      </x:c>
      <x:c r="E601" s="14" t="n">
        <x:f>VLOOKUP(C601,'Governorate Master'!$A$2:$Q$13,3,FALSE)</x:f>
        <x:v>250900</x:v>
      </x:c>
      <x:c r="F601" s="66" t="n">
        <x:f>IF(E601=0,0,D601/E601*10000)</x:f>
        <x:v>0</x:v>
      </x:c>
      <x:c r="G601" s="67" t="n">
        <x:f>VLOOKUP(C601,'Governorate Master'!$A$2:$Q$13,7,FALSE)</x:f>
        <x:v>36.3</x:v>
      </x:c>
      <x:c r="H601" s="20" t="n">
        <x:f>VLOOKUP(C601,'Governorate Master'!$A$2:$Q$13,6,FALSE)</x:f>
        <x:v>0.882024711040255</x:v>
      </x:c>
      <x:c r="I601" s="20" t="n">
        <x:f>VLOOKUP(C601,'Governorate Master'!$A$2:$Q$13,15,FALSE)</x:f>
        <x:v>-0.09</x:v>
      </x:c>
      <x:c r="J601" s="12" t="str">
        <x:v>Location model input - competition/saturation context</x:v>
      </x:c>
      <x:c r="K601" s="12" t="str">
        <x:v>Business count is from 2018 while population/context indicators are newer; use as a historical proxy, not a current market count.</x:v>
      </x:c>
    </x:row>
    <x:row r="602">
      <x:c r="A602" s="12" t="str">
        <x:v>2029</x:v>
      </x:c>
      <x:c r="B602" s="12" t="str">
        <x:v>Manufacture of other chemical products n.e.c.</x:v>
      </x:c>
      <x:c r="C602" s="12" t="str">
        <x:v>عمان</x:v>
      </x:c>
      <x:c r="D602" s="14" t="n">
        <x:v>22</x:v>
      </x:c>
      <x:c r="E602" s="14" t="n">
        <x:f>VLOOKUP(C602,'Governorate Master'!$A$2:$Q$13,3,FALSE)</x:f>
        <x:v>5004600</x:v>
      </x:c>
      <x:c r="F602" s="66" t="n">
        <x:f>IF(E602=0,0,D602/E602*10000)</x:f>
        <x:v>0.04395955720736922</x:v>
      </x:c>
      <x:c r="G602" s="67" t="n">
        <x:f>VLOOKUP(C602,'Governorate Master'!$A$2:$Q$13,7,FALSE)</x:f>
        <x:v>660.3</x:v>
      </x:c>
      <x:c r="H602" s="20" t="n">
        <x:f>VLOOKUP(C602,'Governorate Master'!$A$2:$Q$13,6,FALSE)</x:f>
        <x:v>0.9721656076409703</x:v>
      </x:c>
      <x:c r="I602" s="20" t="n">
        <x:f>VLOOKUP(C602,'Governorate Master'!$A$2:$Q$13,15,FALSE)</x:f>
        <x:v>0.06367041198501873</x:v>
      </x:c>
      <x:c r="J602" s="12" t="str">
        <x:v>Location model input - competition/saturation context</x:v>
      </x:c>
      <x:c r="K602" s="12" t="str">
        <x:v>Business count is from 2018 while population/context indicators are newer; use as a historical proxy, not a current market count.</x:v>
      </x:c>
    </x:row>
    <x:row r="603">
      <x:c r="A603" s="12" t="str">
        <x:v>2029</x:v>
      </x:c>
      <x:c r="B603" s="12" t="str">
        <x:v>Manufacture of other chemical products n.e.c.</x:v>
      </x:c>
      <x:c r="C603" s="12" t="str">
        <x:v>البلقاء</x:v>
      </x:c>
      <x:c r="D603" s="14" t="n">
        <x:v>1</x:v>
      </x:c>
      <x:c r="E603" s="14" t="n">
        <x:f>VLOOKUP(C603,'Governorate Master'!$A$2:$Q$13,3,FALSE)</x:f>
        <x:v>614000</x:v>
      </x:c>
      <x:c r="F603" s="66" t="n">
        <x:f>IF(E603=0,0,D603/E603*10000)</x:f>
        <x:v>0.016286644951140065</x:v>
      </x:c>
      <x:c r="G603" s="67" t="n">
        <x:f>VLOOKUP(C603,'Governorate Master'!$A$2:$Q$13,7,FALSE)</x:f>
        <x:v>548</x:v>
      </x:c>
      <x:c r="H603" s="20" t="n">
        <x:f>VLOOKUP(C603,'Governorate Master'!$A$2:$Q$13,6,FALSE)</x:f>
        <x:v>0.8210097719869707</x:v>
      </x:c>
      <x:c r="I603" s="20" t="n">
        <x:f>VLOOKUP(C603,'Governorate Master'!$A$2:$Q$13,15,FALSE)</x:f>
        <x:v>0.10794044665012408</x:v>
      </x:c>
      <x:c r="J603" s="12" t="str">
        <x:v>Location model input - competition/saturation context</x:v>
      </x:c>
      <x:c r="K603" s="12" t="str">
        <x:v>Business count is from 2018 while population/context indicators are newer; use as a historical proxy, not a current market count.</x:v>
      </x:c>
    </x:row>
    <x:row r="604">
      <x:c r="A604" s="12" t="str">
        <x:v>2029</x:v>
      </x:c>
      <x:c r="B604" s="12" t="str">
        <x:v>Manufacture of other chemical products n.e.c.</x:v>
      </x:c>
      <x:c r="C604" s="12" t="str">
        <x:v>الزرقاء</x:v>
      </x:c>
      <x:c r="D604" s="14" t="n">
        <x:v>6</x:v>
      </x:c>
      <x:c r="E604" s="14" t="n">
        <x:f>VLOOKUP(C604,'Governorate Master'!$A$2:$Q$13,3,FALSE)</x:f>
        <x:v>1704500</x:v>
      </x:c>
      <x:c r="F604" s="66" t="n">
        <x:f>IF(E604=0,0,D604/E604*10000)</x:f>
        <x:v>0.03520093869169844</x:v>
      </x:c>
      <x:c r="G604" s="67" t="n">
        <x:f>VLOOKUP(C604,'Governorate Master'!$A$2:$Q$13,7,FALSE)</x:f>
        <x:v>358</x:v>
      </x:c>
      <x:c r="H604" s="20" t="n">
        <x:f>VLOOKUP(C604,'Governorate Master'!$A$2:$Q$13,6,FALSE)</x:f>
        <x:v>0.9636256966852449</x:v>
      </x:c>
      <x:c r="I604" s="20" t="n">
        <x:f>VLOOKUP(C604,'Governorate Master'!$A$2:$Q$13,15,FALSE)</x:f>
        <x:v>-0.06808762581409118</x:v>
      </x:c>
      <x:c r="J604" s="12" t="str">
        <x:v>Location model input - competition/saturation context</x:v>
      </x:c>
      <x:c r="K604" s="12" t="str">
        <x:v>Business count is from 2018 while population/context indicators are newer; use as a historical proxy, not a current market count.</x:v>
      </x:c>
    </x:row>
    <x:row r="605">
      <x:c r="A605" s="12" t="str">
        <x:v>2029</x:v>
      </x:c>
      <x:c r="B605" s="12" t="str">
        <x:v>Manufacture of other chemical products n.e.c.</x:v>
      </x:c>
      <x:c r="C605" s="12" t="str">
        <x:v>مادبا</x:v>
      </x:c>
      <x:c r="D605" s="14" t="n">
        <x:v>1</x:v>
      </x:c>
      <x:c r="E605" s="14" t="n">
        <x:f>VLOOKUP(C605,'Governorate Master'!$A$2:$Q$13,3,FALSE)</x:f>
        <x:v>236200</x:v>
      </x:c>
      <x:c r="F605" s="66" t="n">
        <x:f>IF(E605=0,0,D605/E605*10000)</x:f>
        <x:v>0.04233700254022015</x:v>
      </x:c>
      <x:c r="G605" s="67" t="n">
        <x:f>VLOOKUP(C605,'Governorate Master'!$A$2:$Q$13,7,FALSE)</x:f>
        <x:v>251.4</x:v>
      </x:c>
      <x:c r="H605" s="20" t="n">
        <x:f>VLOOKUP(C605,'Governorate Master'!$A$2:$Q$13,6,FALSE)</x:f>
        <x:v>0.7823878069432684</x:v>
      </x:c>
      <x:c r="I605" s="20" t="n">
        <x:f>VLOOKUP(C605,'Governorate Master'!$A$2:$Q$13,15,FALSE)</x:f>
        <x:v>-0.18823529411764706</x:v>
      </x:c>
      <x:c r="J605" s="12" t="str">
        <x:v>Location model input - competition/saturation context</x:v>
      </x:c>
      <x:c r="K605" s="12" t="str">
        <x:v>Business count is from 2018 while population/context indicators are newer; use as a historical proxy, not a current market count.</x:v>
      </x:c>
    </x:row>
    <x:row r="606">
      <x:c r="A606" s="12" t="str">
        <x:v>2029</x:v>
      </x:c>
      <x:c r="B606" s="12" t="str">
        <x:v>Manufacture of other chemical products n.e.c.</x:v>
      </x:c>
      <x:c r="C606" s="12" t="str">
        <x:v>إربد</x:v>
      </x:c>
      <x:c r="D606" s="14" t="n">
        <x:v>0</x:v>
      </x:c>
      <x:c r="E606" s="14" t="n">
        <x:f>VLOOKUP(C606,'Governorate Master'!$A$2:$Q$13,3,FALSE)</x:f>
        <x:v>2210500</x:v>
      </x:c>
      <x:c r="F606" s="66" t="n">
        <x:f>IF(E606=0,0,D606/E606*10000)</x:f>
        <x:v>0</x:v>
      </x:c>
      <x:c r="G606" s="67" t="n">
        <x:f>VLOOKUP(C606,'Governorate Master'!$A$2:$Q$13,7,FALSE)</x:f>
        <x:v>1406.4</x:v>
      </x:c>
      <x:c r="H606" s="20" t="n">
        <x:f>VLOOKUP(C606,'Governorate Master'!$A$2:$Q$13,6,FALSE)</x:f>
        <x:v>0.9235014702555983</x:v>
      </x:c>
      <x:c r="I606" s="20" t="n">
        <x:f>VLOOKUP(C606,'Governorate Master'!$A$2:$Q$13,15,FALSE)</x:f>
        <x:v>0.07086922474549726</x:v>
      </x:c>
      <x:c r="J606" s="12" t="str">
        <x:v>Location model input - competition/saturation context</x:v>
      </x:c>
      <x:c r="K606" s="12" t="str">
        <x:v>Business count is from 2018 while population/context indicators are newer; use as a historical proxy, not a current market count.</x:v>
      </x:c>
    </x:row>
    <x:row r="607">
      <x:c r="A607" s="12" t="str">
        <x:v>2029</x:v>
      </x:c>
      <x:c r="B607" s="12" t="str">
        <x:v>Manufacture of other chemical products n.e.c.</x:v>
      </x:c>
      <x:c r="C607" s="12" t="str">
        <x:v>المفرق</x:v>
      </x:c>
      <x:c r="D607" s="14" t="n">
        <x:v>1</x:v>
      </x:c>
      <x:c r="E607" s="14" t="n">
        <x:f>VLOOKUP(C607,'Governorate Master'!$A$2:$Q$13,3,FALSE)</x:f>
        <x:v>686800</x:v>
      </x:c>
      <x:c r="F607" s="66" t="n">
        <x:f>IF(E607=0,0,D607/E607*10000)</x:f>
        <x:v>0.014560279557367502</x:v>
      </x:c>
      <x:c r="G607" s="67" t="n">
        <x:f>VLOOKUP(C607,'Governorate Master'!$A$2:$Q$13,7,FALSE)</x:f>
        <x:v>25.9</x:v>
      </x:c>
      <x:c r="H607" s="20" t="n">
        <x:f>VLOOKUP(C607,'Governorate Master'!$A$2:$Q$13,6,FALSE)</x:f>
        <x:v>0.6965637740244612</x:v>
      </x:c>
      <x:c r="I607" s="20" t="n">
        <x:f>VLOOKUP(C607,'Governorate Master'!$A$2:$Q$13,15,FALSE)</x:f>
        <x:v>-0.016638935108153077</x:v>
      </x:c>
      <x:c r="J607" s="12" t="str">
        <x:v>Location model input - competition/saturation context</x:v>
      </x:c>
      <x:c r="K607" s="12" t="str">
        <x:v>Business count is from 2018 while population/context indicators are newer; use as a historical proxy, not a current market count.</x:v>
      </x:c>
    </x:row>
    <x:row r="608">
      <x:c r="A608" s="12" t="str">
        <x:v>2029</x:v>
      </x:c>
      <x:c r="B608" s="12" t="str">
        <x:v>Manufacture of other chemical products n.e.c.</x:v>
      </x:c>
      <x:c r="C608" s="12" t="str">
        <x:v>جرش</x:v>
      </x:c>
      <x:c r="D608" s="14" t="n">
        <x:v>0</x:v>
      </x:c>
      <x:c r="E608" s="14" t="n">
        <x:f>VLOOKUP(C608,'Governorate Master'!$A$2:$Q$13,3,FALSE)</x:f>
        <x:v>296000</x:v>
      </x:c>
      <x:c r="F608" s="66" t="n">
        <x:f>IF(E608=0,0,D608/E608*10000)</x:f>
        <x:v>0</x:v>
      </x:c>
      <x:c r="G608" s="67" t="n">
        <x:f>VLOOKUP(C608,'Governorate Master'!$A$2:$Q$13,7,FALSE)</x:f>
        <x:v>722.3</x:v>
      </x:c>
      <x:c r="H608" s="20" t="n">
        <x:f>VLOOKUP(C608,'Governorate Master'!$A$2:$Q$13,6,FALSE)</x:f>
        <x:v>0.7695945945945946</x:v>
      </x:c>
      <x:c r="I608" s="20" t="n">
        <x:f>VLOOKUP(C608,'Governorate Master'!$A$2:$Q$13,15,FALSE)</x:f>
        <x:v>-0.06527415143603134</x:v>
      </x:c>
      <x:c r="J608" s="12" t="str">
        <x:v>Location model input - competition/saturation context</x:v>
      </x:c>
      <x:c r="K608" s="12" t="str">
        <x:v>Business count is from 2018 while population/context indicators are newer; use as a historical proxy, not a current market count.</x:v>
      </x:c>
    </x:row>
    <x:row r="609">
      <x:c r="A609" s="12" t="str">
        <x:v>2029</x:v>
      </x:c>
      <x:c r="B609" s="12" t="str">
        <x:v>Manufacture of other chemical products n.e.c.</x:v>
      </x:c>
      <x:c r="C609" s="12" t="str">
        <x:v>عجلون</x:v>
      </x:c>
      <x:c r="D609" s="14" t="n">
        <x:v>0</x:v>
      </x:c>
      <x:c r="E609" s="14" t="n">
        <x:f>VLOOKUP(C609,'Governorate Master'!$A$2:$Q$13,3,FALSE)</x:f>
        <x:v>219900</x:v>
      </x:c>
      <x:c r="F609" s="66" t="n">
        <x:f>IF(E609=0,0,D609/E609*10000)</x:f>
        <x:v>0</x:v>
      </x:c>
      <x:c r="G609" s="67" t="n">
        <x:f>VLOOKUP(C609,'Governorate Master'!$A$2:$Q$13,7,FALSE)</x:f>
        <x:v>524</x:v>
      </x:c>
      <x:c r="H609" s="20" t="n">
        <x:f>VLOOKUP(C609,'Governorate Master'!$A$2:$Q$13,6,FALSE)</x:f>
        <x:v>0.8390177353342428</x:v>
      </x:c>
      <x:c r="I609" s="20" t="n">
        <x:f>VLOOKUP(C609,'Governorate Master'!$A$2:$Q$13,15,FALSE)</x:f>
        <x:v>0.03614457831325301</x:v>
      </x:c>
      <x:c r="J609" s="12" t="str">
        <x:v>Location model input - competition/saturation context</x:v>
      </x:c>
      <x:c r="K609" s="12" t="str">
        <x:v>Business count is from 2018 while population/context indicators are newer; use as a historical proxy, not a current market count.</x:v>
      </x:c>
    </x:row>
    <x:row r="610">
      <x:c r="A610" s="12" t="str">
        <x:v>2029</x:v>
      </x:c>
      <x:c r="B610" s="12" t="str">
        <x:v>Manufacture of other chemical products n.e.c.</x:v>
      </x:c>
      <x:c r="C610" s="12" t="str">
        <x:v>الكرك</x:v>
      </x:c>
      <x:c r="D610" s="14" t="n">
        <x:v>1</x:v>
      </x:c>
      <x:c r="E610" s="14" t="n">
        <x:f>VLOOKUP(C610,'Governorate Master'!$A$2:$Q$13,3,FALSE)</x:f>
        <x:v>395400</x:v>
      </x:c>
      <x:c r="F610" s="66" t="n">
        <x:f>IF(E610=0,0,D610/E610*10000)</x:f>
        <x:v>0.025290844714213452</x:v>
      </x:c>
      <x:c r="G610" s="67" t="n">
        <x:f>VLOOKUP(C610,'Governorate Master'!$A$2:$Q$13,7,FALSE)</x:f>
        <x:v>113.1</x:v>
      </x:c>
      <x:c r="H610" s="20" t="n">
        <x:f>VLOOKUP(C610,'Governorate Master'!$A$2:$Q$13,6,FALSE)</x:f>
        <x:v>0.5912999494183105</x:v>
      </x:c>
      <x:c r="I610" s="20" t="n">
        <x:f>VLOOKUP(C610,'Governorate Master'!$A$2:$Q$13,15,FALSE)</x:f>
        <x:v>0.08710801393728224</x:v>
      </x:c>
      <x:c r="J610" s="12" t="str">
        <x:v>Location model input - competition/saturation context</x:v>
      </x:c>
      <x:c r="K610" s="12" t="str">
        <x:v>Business count is from 2018 while population/context indicators are newer; use as a historical proxy, not a current market count.</x:v>
      </x:c>
    </x:row>
    <x:row r="611">
      <x:c r="A611" s="12" t="str">
        <x:v>2029</x:v>
      </x:c>
      <x:c r="B611" s="12" t="str">
        <x:v>Manufacture of other chemical products n.e.c.</x:v>
      </x:c>
      <x:c r="C611" s="12" t="str">
        <x:v>الطفيلة</x:v>
      </x:c>
      <x:c r="D611" s="14" t="n">
        <x:v>0</x:v>
      </x:c>
      <x:c r="E611" s="14" t="n">
        <x:f>VLOOKUP(C611,'Governorate Master'!$A$2:$Q$13,3,FALSE)</x:f>
        <x:v>120300</x:v>
      </x:c>
      <x:c r="F611" s="66" t="n">
        <x:f>IF(E611=0,0,D611/E611*10000)</x:f>
        <x:v>0</x:v>
      </x:c>
      <x:c r="G611" s="67" t="n">
        <x:f>VLOOKUP(C611,'Governorate Master'!$A$2:$Q$13,7,FALSE)</x:f>
        <x:v>54.4</x:v>
      </x:c>
      <x:c r="H611" s="20" t="n">
        <x:f>VLOOKUP(C611,'Governorate Master'!$A$2:$Q$13,6,FALSE)</x:f>
        <x:v>0.7797173732335827</x:v>
      </x:c>
      <x:c r="I611" s="20" t="n">
        <x:f>VLOOKUP(C611,'Governorate Master'!$A$2:$Q$13,15,FALSE)</x:f>
        <x:v>0.18452380952380953</x:v>
      </x:c>
      <x:c r="J611" s="12" t="str">
        <x:v>Location model input - competition/saturation context</x:v>
      </x:c>
      <x:c r="K611" s="12" t="str">
        <x:v>Business count is from 2018 while population/context indicators are newer; use as a historical proxy, not a current market count.</x:v>
      </x:c>
    </x:row>
    <x:row r="612">
      <x:c r="A612" s="12" t="str">
        <x:v>2029</x:v>
      </x:c>
      <x:c r="B612" s="12" t="str">
        <x:v>Manufacture of other chemical products n.e.c.</x:v>
      </x:c>
      <x:c r="C612" s="12" t="str">
        <x:v>معان</x:v>
      </x:c>
      <x:c r="D612" s="14" t="n">
        <x:v>0</x:v>
      </x:c>
      <x:c r="E612" s="14" t="n">
        <x:f>VLOOKUP(C612,'Governorate Master'!$A$2:$Q$13,3,FALSE)</x:f>
        <x:v>197900</x:v>
      </x:c>
      <x:c r="F612" s="66" t="n">
        <x:f>IF(E612=0,0,D612/E612*10000)</x:f>
        <x:v>0</x:v>
      </x:c>
      <x:c r="G612" s="67" t="n">
        <x:f>VLOOKUP(C612,'Governorate Master'!$A$2:$Q$13,7,FALSE)</x:f>
        <x:v>6</x:v>
      </x:c>
      <x:c r="H612" s="20" t="n">
        <x:f>VLOOKUP(C612,'Governorate Master'!$A$2:$Q$13,6,FALSE)</x:f>
        <x:v>0.5406771096513391</x:v>
      </x:c>
      <x:c r="I612" s="20" t="n">
        <x:f>VLOOKUP(C612,'Governorate Master'!$A$2:$Q$13,15,FALSE)</x:f>
        <x:v>0.026845637583892617</x:v>
      </x:c>
      <x:c r="J612" s="12" t="str">
        <x:v>Location model input - competition/saturation context</x:v>
      </x:c>
      <x:c r="K612" s="12" t="str">
        <x:v>Business count is from 2018 while population/context indicators are newer; use as a historical proxy, not a current market count.</x:v>
      </x:c>
    </x:row>
    <x:row r="613">
      <x:c r="A613" s="12" t="str">
        <x:v>2029</x:v>
      </x:c>
      <x:c r="B613" s="12" t="str">
        <x:v>Manufacture of other chemical products n.e.c.</x:v>
      </x:c>
      <x:c r="C613" s="12" t="str">
        <x:v>العقبة</x:v>
      </x:c>
      <x:c r="D613" s="14" t="n">
        <x:v>0</x:v>
      </x:c>
      <x:c r="E613" s="14" t="n">
        <x:f>VLOOKUP(C613,'Governorate Master'!$A$2:$Q$13,3,FALSE)</x:f>
        <x:v>250900</x:v>
      </x:c>
      <x:c r="F613" s="66" t="n">
        <x:f>IF(E613=0,0,D613/E613*10000)</x:f>
        <x:v>0</x:v>
      </x:c>
      <x:c r="G613" s="67" t="n">
        <x:f>VLOOKUP(C613,'Governorate Master'!$A$2:$Q$13,7,FALSE)</x:f>
        <x:v>36.3</x:v>
      </x:c>
      <x:c r="H613" s="20" t="n">
        <x:f>VLOOKUP(C613,'Governorate Master'!$A$2:$Q$13,6,FALSE)</x:f>
        <x:v>0.882024711040255</x:v>
      </x:c>
      <x:c r="I613" s="20" t="n">
        <x:f>VLOOKUP(C613,'Governorate Master'!$A$2:$Q$13,15,FALSE)</x:f>
        <x:v>-0.09</x:v>
      </x:c>
      <x:c r="J613" s="12" t="str">
        <x:v>Location model input - competition/saturation context</x:v>
      </x:c>
      <x:c r="K613" s="12" t="str">
        <x:v>Business count is from 2018 while population/context indicators are newer; use as a historical proxy, not a current market count.</x:v>
      </x:c>
    </x:row>
    <x:row r="614">
      <x:c r="A614" s="12" t="str">
        <x:v>2100</x:v>
      </x:c>
      <x:c r="B614" s="12" t="str">
        <x:v>Manufacture of pharmaceuticals, medicinal chemical and botanical products</x:v>
      </x:c>
      <x:c r="C614" s="12" t="str">
        <x:v>عمان</x:v>
      </x:c>
      <x:c r="D614" s="14" t="n">
        <x:v>34</x:v>
      </x:c>
      <x:c r="E614" s="14" t="n">
        <x:f>VLOOKUP(C614,'Governorate Master'!$A$2:$Q$13,3,FALSE)</x:f>
        <x:v>5004600</x:v>
      </x:c>
      <x:c r="F614" s="66" t="n">
        <x:f>IF(E614=0,0,D614/E614*10000)</x:f>
        <x:v>0.06793749750229788</x:v>
      </x:c>
      <x:c r="G614" s="67" t="n">
        <x:f>VLOOKUP(C614,'Governorate Master'!$A$2:$Q$13,7,FALSE)</x:f>
        <x:v>660.3</x:v>
      </x:c>
      <x:c r="H614" s="20" t="n">
        <x:f>VLOOKUP(C614,'Governorate Master'!$A$2:$Q$13,6,FALSE)</x:f>
        <x:v>0.9721656076409703</x:v>
      </x:c>
      <x:c r="I614" s="20" t="n">
        <x:f>VLOOKUP(C614,'Governorate Master'!$A$2:$Q$13,15,FALSE)</x:f>
        <x:v>0.06367041198501873</x:v>
      </x:c>
      <x:c r="J614" s="12" t="str">
        <x:v>Location model input - competition/saturation context</x:v>
      </x:c>
      <x:c r="K614" s="12" t="str">
        <x:v>Business count is from 2018 while population/context indicators are newer; use as a historical proxy, not a current market count.</x:v>
      </x:c>
    </x:row>
    <x:row r="615">
      <x:c r="A615" s="12" t="str">
        <x:v>2100</x:v>
      </x:c>
      <x:c r="B615" s="12" t="str">
        <x:v>Manufacture of pharmaceuticals, medicinal chemical and botanical products</x:v>
      </x:c>
      <x:c r="C615" s="12" t="str">
        <x:v>البلقاء</x:v>
      </x:c>
      <x:c r="D615" s="14" t="n">
        <x:v>4</x:v>
      </x:c>
      <x:c r="E615" s="14" t="n">
        <x:f>VLOOKUP(C615,'Governorate Master'!$A$2:$Q$13,3,FALSE)</x:f>
        <x:v>614000</x:v>
      </x:c>
      <x:c r="F615" s="66" t="n">
        <x:f>IF(E615=0,0,D615/E615*10000)</x:f>
        <x:v>0.06514657980456026</x:v>
      </x:c>
      <x:c r="G615" s="67" t="n">
        <x:f>VLOOKUP(C615,'Governorate Master'!$A$2:$Q$13,7,FALSE)</x:f>
        <x:v>548</x:v>
      </x:c>
      <x:c r="H615" s="20" t="n">
        <x:f>VLOOKUP(C615,'Governorate Master'!$A$2:$Q$13,6,FALSE)</x:f>
        <x:v>0.8210097719869707</x:v>
      </x:c>
      <x:c r="I615" s="20" t="n">
        <x:f>VLOOKUP(C615,'Governorate Master'!$A$2:$Q$13,15,FALSE)</x:f>
        <x:v>0.10794044665012408</x:v>
      </x:c>
      <x:c r="J615" s="12" t="str">
        <x:v>Location model input - competition/saturation context</x:v>
      </x:c>
      <x:c r="K615" s="12" t="str">
        <x:v>Business count is from 2018 while population/context indicators are newer; use as a historical proxy, not a current market count.</x:v>
      </x:c>
    </x:row>
    <x:row r="616">
      <x:c r="A616" s="12" t="str">
        <x:v>2100</x:v>
      </x:c>
      <x:c r="B616" s="12" t="str">
        <x:v>Manufacture of pharmaceuticals, medicinal chemical and botanical products</x:v>
      </x:c>
      <x:c r="C616" s="12" t="str">
        <x:v>الزرقاء</x:v>
      </x:c>
      <x:c r="D616" s="14" t="n">
        <x:v>4</x:v>
      </x:c>
      <x:c r="E616" s="14" t="n">
        <x:f>VLOOKUP(C616,'Governorate Master'!$A$2:$Q$13,3,FALSE)</x:f>
        <x:v>1704500</x:v>
      </x:c>
      <x:c r="F616" s="66" t="n">
        <x:f>IF(E616=0,0,D616/E616*10000)</x:f>
        <x:v>0.023467292461132296</x:v>
      </x:c>
      <x:c r="G616" s="67" t="n">
        <x:f>VLOOKUP(C616,'Governorate Master'!$A$2:$Q$13,7,FALSE)</x:f>
        <x:v>358</x:v>
      </x:c>
      <x:c r="H616" s="20" t="n">
        <x:f>VLOOKUP(C616,'Governorate Master'!$A$2:$Q$13,6,FALSE)</x:f>
        <x:v>0.9636256966852449</x:v>
      </x:c>
      <x:c r="I616" s="20" t="n">
        <x:f>VLOOKUP(C616,'Governorate Master'!$A$2:$Q$13,15,FALSE)</x:f>
        <x:v>-0.06808762581409118</x:v>
      </x:c>
      <x:c r="J616" s="12" t="str">
        <x:v>Location model input - competition/saturation context</x:v>
      </x:c>
      <x:c r="K616" s="12" t="str">
        <x:v>Business count is from 2018 while population/context indicators are newer; use as a historical proxy, not a current market count.</x:v>
      </x:c>
    </x:row>
    <x:row r="617">
      <x:c r="A617" s="12" t="str">
        <x:v>2100</x:v>
      </x:c>
      <x:c r="B617" s="12" t="str">
        <x:v>Manufacture of pharmaceuticals, medicinal chemical and botanical products</x:v>
      </x:c>
      <x:c r="C617" s="12" t="str">
        <x:v>مادبا</x:v>
      </x:c>
      <x:c r="D617" s="14" t="n">
        <x:v>0</x:v>
      </x:c>
      <x:c r="E617" s="14" t="n">
        <x:f>VLOOKUP(C617,'Governorate Master'!$A$2:$Q$13,3,FALSE)</x:f>
        <x:v>236200</x:v>
      </x:c>
      <x:c r="F617" s="66" t="n">
        <x:f>IF(E617=0,0,D617/E617*10000)</x:f>
        <x:v>0</x:v>
      </x:c>
      <x:c r="G617" s="67" t="n">
        <x:f>VLOOKUP(C617,'Governorate Master'!$A$2:$Q$13,7,FALSE)</x:f>
        <x:v>251.4</x:v>
      </x:c>
      <x:c r="H617" s="20" t="n">
        <x:f>VLOOKUP(C617,'Governorate Master'!$A$2:$Q$13,6,FALSE)</x:f>
        <x:v>0.7823878069432684</x:v>
      </x:c>
      <x:c r="I617" s="20" t="n">
        <x:f>VLOOKUP(C617,'Governorate Master'!$A$2:$Q$13,15,FALSE)</x:f>
        <x:v>-0.18823529411764706</x:v>
      </x:c>
      <x:c r="J617" s="12" t="str">
        <x:v>Location model input - competition/saturation context</x:v>
      </x:c>
      <x:c r="K617" s="12" t="str">
        <x:v>Business count is from 2018 while population/context indicators are newer; use as a historical proxy, not a current market count.</x:v>
      </x:c>
    </x:row>
    <x:row r="618">
      <x:c r="A618" s="12" t="str">
        <x:v>2100</x:v>
      </x:c>
      <x:c r="B618" s="12" t="str">
        <x:v>Manufacture of pharmaceuticals, medicinal chemical and botanical products</x:v>
      </x:c>
      <x:c r="C618" s="12" t="str">
        <x:v>إربد</x:v>
      </x:c>
      <x:c r="D618" s="14" t="n">
        <x:v>5</x:v>
      </x:c>
      <x:c r="E618" s="14" t="n">
        <x:f>VLOOKUP(C618,'Governorate Master'!$A$2:$Q$13,3,FALSE)</x:f>
        <x:v>2210500</x:v>
      </x:c>
      <x:c r="F618" s="66" t="n">
        <x:f>IF(E618=0,0,D618/E618*10000)</x:f>
        <x:v>0.022619316896629722</x:v>
      </x:c>
      <x:c r="G618" s="67" t="n">
        <x:f>VLOOKUP(C618,'Governorate Master'!$A$2:$Q$13,7,FALSE)</x:f>
        <x:v>1406.4</x:v>
      </x:c>
      <x:c r="H618" s="20" t="n">
        <x:f>VLOOKUP(C618,'Governorate Master'!$A$2:$Q$13,6,FALSE)</x:f>
        <x:v>0.9235014702555983</x:v>
      </x:c>
      <x:c r="I618" s="20" t="n">
        <x:f>VLOOKUP(C618,'Governorate Master'!$A$2:$Q$13,15,FALSE)</x:f>
        <x:v>0.07086922474549726</x:v>
      </x:c>
      <x:c r="J618" s="12" t="str">
        <x:v>Location model input - competition/saturation context</x:v>
      </x:c>
      <x:c r="K618" s="12" t="str">
        <x:v>Business count is from 2018 while population/context indicators are newer; use as a historical proxy, not a current market count.</x:v>
      </x:c>
    </x:row>
    <x:row r="619">
      <x:c r="A619" s="12" t="str">
        <x:v>2100</x:v>
      </x:c>
      <x:c r="B619" s="12" t="str">
        <x:v>Manufacture of pharmaceuticals, medicinal chemical and botanical products</x:v>
      </x:c>
      <x:c r="C619" s="12" t="str">
        <x:v>المفرق</x:v>
      </x:c>
      <x:c r="D619" s="14" t="n">
        <x:v>3</x:v>
      </x:c>
      <x:c r="E619" s="14" t="n">
        <x:f>VLOOKUP(C619,'Governorate Master'!$A$2:$Q$13,3,FALSE)</x:f>
        <x:v>686800</x:v>
      </x:c>
      <x:c r="F619" s="66" t="n">
        <x:f>IF(E619=0,0,D619/E619*10000)</x:f>
        <x:v>0.043680838672102505</x:v>
      </x:c>
      <x:c r="G619" s="67" t="n">
        <x:f>VLOOKUP(C619,'Governorate Master'!$A$2:$Q$13,7,FALSE)</x:f>
        <x:v>25.9</x:v>
      </x:c>
      <x:c r="H619" s="20" t="n">
        <x:f>VLOOKUP(C619,'Governorate Master'!$A$2:$Q$13,6,FALSE)</x:f>
        <x:v>0.6965637740244612</x:v>
      </x:c>
      <x:c r="I619" s="20" t="n">
        <x:f>VLOOKUP(C619,'Governorate Master'!$A$2:$Q$13,15,FALSE)</x:f>
        <x:v>-0.016638935108153077</x:v>
      </x:c>
      <x:c r="J619" s="12" t="str">
        <x:v>Location model input - competition/saturation context</x:v>
      </x:c>
      <x:c r="K619" s="12" t="str">
        <x:v>Business count is from 2018 while population/context indicators are newer; use as a historical proxy, not a current market count.</x:v>
      </x:c>
    </x:row>
    <x:row r="620">
      <x:c r="A620" s="12" t="str">
        <x:v>2100</x:v>
      </x:c>
      <x:c r="B620" s="12" t="str">
        <x:v>Manufacture of pharmaceuticals, medicinal chemical and botanical products</x:v>
      </x:c>
      <x:c r="C620" s="12" t="str">
        <x:v>جرش</x:v>
      </x:c>
      <x:c r="D620" s="14" t="n">
        <x:v>0</x:v>
      </x:c>
      <x:c r="E620" s="14" t="n">
        <x:f>VLOOKUP(C620,'Governorate Master'!$A$2:$Q$13,3,FALSE)</x:f>
        <x:v>296000</x:v>
      </x:c>
      <x:c r="F620" s="66" t="n">
        <x:f>IF(E620=0,0,D620/E620*10000)</x:f>
        <x:v>0</x:v>
      </x:c>
      <x:c r="G620" s="67" t="n">
        <x:f>VLOOKUP(C620,'Governorate Master'!$A$2:$Q$13,7,FALSE)</x:f>
        <x:v>722.3</x:v>
      </x:c>
      <x:c r="H620" s="20" t="n">
        <x:f>VLOOKUP(C620,'Governorate Master'!$A$2:$Q$13,6,FALSE)</x:f>
        <x:v>0.7695945945945946</x:v>
      </x:c>
      <x:c r="I620" s="20" t="n">
        <x:f>VLOOKUP(C620,'Governorate Master'!$A$2:$Q$13,15,FALSE)</x:f>
        <x:v>-0.06527415143603134</x:v>
      </x:c>
      <x:c r="J620" s="12" t="str">
        <x:v>Location model input - competition/saturation context</x:v>
      </x:c>
      <x:c r="K620" s="12" t="str">
        <x:v>Business count is from 2018 while population/context indicators are newer; use as a historical proxy, not a current market count.</x:v>
      </x:c>
    </x:row>
    <x:row r="621">
      <x:c r="A621" s="12" t="str">
        <x:v>2100</x:v>
      </x:c>
      <x:c r="B621" s="12" t="str">
        <x:v>Manufacture of pharmaceuticals, medicinal chemical and botanical products</x:v>
      </x:c>
      <x:c r="C621" s="12" t="str">
        <x:v>عجلون</x:v>
      </x:c>
      <x:c r="D621" s="14" t="n">
        <x:v>0</x:v>
      </x:c>
      <x:c r="E621" s="14" t="n">
        <x:f>VLOOKUP(C621,'Governorate Master'!$A$2:$Q$13,3,FALSE)</x:f>
        <x:v>219900</x:v>
      </x:c>
      <x:c r="F621" s="66" t="n">
        <x:f>IF(E621=0,0,D621/E621*10000)</x:f>
        <x:v>0</x:v>
      </x:c>
      <x:c r="G621" s="67" t="n">
        <x:f>VLOOKUP(C621,'Governorate Master'!$A$2:$Q$13,7,FALSE)</x:f>
        <x:v>524</x:v>
      </x:c>
      <x:c r="H621" s="20" t="n">
        <x:f>VLOOKUP(C621,'Governorate Master'!$A$2:$Q$13,6,FALSE)</x:f>
        <x:v>0.8390177353342428</x:v>
      </x:c>
      <x:c r="I621" s="20" t="n">
        <x:f>VLOOKUP(C621,'Governorate Master'!$A$2:$Q$13,15,FALSE)</x:f>
        <x:v>0.03614457831325301</x:v>
      </x:c>
      <x:c r="J621" s="12" t="str">
        <x:v>Location model input - competition/saturation context</x:v>
      </x:c>
      <x:c r="K621" s="12" t="str">
        <x:v>Business count is from 2018 while population/context indicators are newer; use as a historical proxy, not a current market count.</x:v>
      </x:c>
    </x:row>
    <x:row r="622">
      <x:c r="A622" s="12" t="str">
        <x:v>2100</x:v>
      </x:c>
      <x:c r="B622" s="12" t="str">
        <x:v>Manufacture of pharmaceuticals, medicinal chemical and botanical products</x:v>
      </x:c>
      <x:c r="C622" s="12" t="str">
        <x:v>الكرك</x:v>
      </x:c>
      <x:c r="D622" s="14" t="n">
        <x:v>0</x:v>
      </x:c>
      <x:c r="E622" s="14" t="n">
        <x:f>VLOOKUP(C622,'Governorate Master'!$A$2:$Q$13,3,FALSE)</x:f>
        <x:v>395400</x:v>
      </x:c>
      <x:c r="F622" s="66" t="n">
        <x:f>IF(E622=0,0,D622/E622*10000)</x:f>
        <x:v>0</x:v>
      </x:c>
      <x:c r="G622" s="67" t="n">
        <x:f>VLOOKUP(C622,'Governorate Master'!$A$2:$Q$13,7,FALSE)</x:f>
        <x:v>113.1</x:v>
      </x:c>
      <x:c r="H622" s="20" t="n">
        <x:f>VLOOKUP(C622,'Governorate Master'!$A$2:$Q$13,6,FALSE)</x:f>
        <x:v>0.5912999494183105</x:v>
      </x:c>
      <x:c r="I622" s="20" t="n">
        <x:f>VLOOKUP(C622,'Governorate Master'!$A$2:$Q$13,15,FALSE)</x:f>
        <x:v>0.08710801393728224</x:v>
      </x:c>
      <x:c r="J622" s="12" t="str">
        <x:v>Location model input - competition/saturation context</x:v>
      </x:c>
      <x:c r="K622" s="12" t="str">
        <x:v>Business count is from 2018 while population/context indicators are newer; use as a historical proxy, not a current market count.</x:v>
      </x:c>
    </x:row>
    <x:row r="623">
      <x:c r="A623" s="12" t="str">
        <x:v>2100</x:v>
      </x:c>
      <x:c r="B623" s="12" t="str">
        <x:v>Manufacture of pharmaceuticals, medicinal chemical and botanical products</x:v>
      </x:c>
      <x:c r="C623" s="12" t="str">
        <x:v>الطفيلة</x:v>
      </x:c>
      <x:c r="D623" s="14" t="n">
        <x:v>0</x:v>
      </x:c>
      <x:c r="E623" s="14" t="n">
        <x:f>VLOOKUP(C623,'Governorate Master'!$A$2:$Q$13,3,FALSE)</x:f>
        <x:v>120300</x:v>
      </x:c>
      <x:c r="F623" s="66" t="n">
        <x:f>IF(E623=0,0,D623/E623*10000)</x:f>
        <x:v>0</x:v>
      </x:c>
      <x:c r="G623" s="67" t="n">
        <x:f>VLOOKUP(C623,'Governorate Master'!$A$2:$Q$13,7,FALSE)</x:f>
        <x:v>54.4</x:v>
      </x:c>
      <x:c r="H623" s="20" t="n">
        <x:f>VLOOKUP(C623,'Governorate Master'!$A$2:$Q$13,6,FALSE)</x:f>
        <x:v>0.7797173732335827</x:v>
      </x:c>
      <x:c r="I623" s="20" t="n">
        <x:f>VLOOKUP(C623,'Governorate Master'!$A$2:$Q$13,15,FALSE)</x:f>
        <x:v>0.18452380952380953</x:v>
      </x:c>
      <x:c r="J623" s="12" t="str">
        <x:v>Location model input - competition/saturation context</x:v>
      </x:c>
      <x:c r="K623" s="12" t="str">
        <x:v>Business count is from 2018 while population/context indicators are newer; use as a historical proxy, not a current market count.</x:v>
      </x:c>
    </x:row>
    <x:row r="624">
      <x:c r="A624" s="12" t="str">
        <x:v>2100</x:v>
      </x:c>
      <x:c r="B624" s="12" t="str">
        <x:v>Manufacture of pharmaceuticals, medicinal chemical and botanical products</x:v>
      </x:c>
      <x:c r="C624" s="12" t="str">
        <x:v>معان</x:v>
      </x:c>
      <x:c r="D624" s="14" t="n">
        <x:v>0</x:v>
      </x:c>
      <x:c r="E624" s="14" t="n">
        <x:f>VLOOKUP(C624,'Governorate Master'!$A$2:$Q$13,3,FALSE)</x:f>
        <x:v>197900</x:v>
      </x:c>
      <x:c r="F624" s="66" t="n">
        <x:f>IF(E624=0,0,D624/E624*10000)</x:f>
        <x:v>0</x:v>
      </x:c>
      <x:c r="G624" s="67" t="n">
        <x:f>VLOOKUP(C624,'Governorate Master'!$A$2:$Q$13,7,FALSE)</x:f>
        <x:v>6</x:v>
      </x:c>
      <x:c r="H624" s="20" t="n">
        <x:f>VLOOKUP(C624,'Governorate Master'!$A$2:$Q$13,6,FALSE)</x:f>
        <x:v>0.5406771096513391</x:v>
      </x:c>
      <x:c r="I624" s="20" t="n">
        <x:f>VLOOKUP(C624,'Governorate Master'!$A$2:$Q$13,15,FALSE)</x:f>
        <x:v>0.026845637583892617</x:v>
      </x:c>
      <x:c r="J624" s="12" t="str">
        <x:v>Location model input - competition/saturation context</x:v>
      </x:c>
      <x:c r="K624" s="12" t="str">
        <x:v>Business count is from 2018 while population/context indicators are newer; use as a historical proxy, not a current market count.</x:v>
      </x:c>
    </x:row>
    <x:row r="625">
      <x:c r="A625" s="12" t="str">
        <x:v>2100</x:v>
      </x:c>
      <x:c r="B625" s="12" t="str">
        <x:v>Manufacture of pharmaceuticals, medicinal chemical and botanical products</x:v>
      </x:c>
      <x:c r="C625" s="12" t="str">
        <x:v>العقبة</x:v>
      </x:c>
      <x:c r="D625" s="14" t="n">
        <x:v>0</x:v>
      </x:c>
      <x:c r="E625" s="14" t="n">
        <x:f>VLOOKUP(C625,'Governorate Master'!$A$2:$Q$13,3,FALSE)</x:f>
        <x:v>250900</x:v>
      </x:c>
      <x:c r="F625" s="66" t="n">
        <x:f>IF(E625=0,0,D625/E625*10000)</x:f>
        <x:v>0</x:v>
      </x:c>
      <x:c r="G625" s="67" t="n">
        <x:f>VLOOKUP(C625,'Governorate Master'!$A$2:$Q$13,7,FALSE)</x:f>
        <x:v>36.3</x:v>
      </x:c>
      <x:c r="H625" s="20" t="n">
        <x:f>VLOOKUP(C625,'Governorate Master'!$A$2:$Q$13,6,FALSE)</x:f>
        <x:v>0.882024711040255</x:v>
      </x:c>
      <x:c r="I625" s="20" t="n">
        <x:f>VLOOKUP(C625,'Governorate Master'!$A$2:$Q$13,15,FALSE)</x:f>
        <x:v>-0.09</x:v>
      </x:c>
      <x:c r="J625" s="12" t="str">
        <x:v>Location model input - competition/saturation context</x:v>
      </x:c>
      <x:c r="K625" s="12" t="str">
        <x:v>Business count is from 2018 while population/context indicators are newer; use as a historical proxy, not a current market count.</x:v>
      </x:c>
    </x:row>
    <x:row r="626">
      <x:c r="A626" s="12" t="str">
        <x:v>2211</x:v>
      </x:c>
      <x:c r="B626" s="12" t="str">
        <x:v>Manufacture of rubber tyres and tubes; retreading and rebuilding of rubber tyres</x:v>
      </x:c>
      <x:c r="C626" s="12" t="str">
        <x:v>عمان</x:v>
      </x:c>
      <x:c r="D626" s="14" t="n">
        <x:v>6</x:v>
      </x:c>
      <x:c r="E626" s="14" t="n">
        <x:f>VLOOKUP(C626,'Governorate Master'!$A$2:$Q$13,3,FALSE)</x:f>
        <x:v>5004600</x:v>
      </x:c>
      <x:c r="F626" s="66" t="n">
        <x:f>IF(E626=0,0,D626/E626*10000)</x:f>
        <x:v>0.011988970147464332</x:v>
      </x:c>
      <x:c r="G626" s="67" t="n">
        <x:f>VLOOKUP(C626,'Governorate Master'!$A$2:$Q$13,7,FALSE)</x:f>
        <x:v>660.3</x:v>
      </x:c>
      <x:c r="H626" s="20" t="n">
        <x:f>VLOOKUP(C626,'Governorate Master'!$A$2:$Q$13,6,FALSE)</x:f>
        <x:v>0.9721656076409703</x:v>
      </x:c>
      <x:c r="I626" s="20" t="n">
        <x:f>VLOOKUP(C626,'Governorate Master'!$A$2:$Q$13,15,FALSE)</x:f>
        <x:v>0.06367041198501873</x:v>
      </x:c>
      <x:c r="J626" s="12" t="str">
        <x:v>Location model input - competition/saturation context</x:v>
      </x:c>
      <x:c r="K626" s="12" t="str">
        <x:v>Business count is from 2018 while population/context indicators are newer; use as a historical proxy, not a current market count.</x:v>
      </x:c>
    </x:row>
    <x:row r="627">
      <x:c r="A627" s="12" t="str">
        <x:v>2211</x:v>
      </x:c>
      <x:c r="B627" s="12" t="str">
        <x:v>Manufacture of rubber tyres and tubes; retreading and rebuilding of rubber tyres</x:v>
      </x:c>
      <x:c r="C627" s="12" t="str">
        <x:v>البلقاء</x:v>
      </x:c>
      <x:c r="D627" s="14" t="n">
        <x:v>0</x:v>
      </x:c>
      <x:c r="E627" s="14" t="n">
        <x:f>VLOOKUP(C627,'Governorate Master'!$A$2:$Q$13,3,FALSE)</x:f>
        <x:v>614000</x:v>
      </x:c>
      <x:c r="F627" s="66" t="n">
        <x:f>IF(E627=0,0,D627/E627*10000)</x:f>
        <x:v>0</x:v>
      </x:c>
      <x:c r="G627" s="67" t="n">
        <x:f>VLOOKUP(C627,'Governorate Master'!$A$2:$Q$13,7,FALSE)</x:f>
        <x:v>548</x:v>
      </x:c>
      <x:c r="H627" s="20" t="n">
        <x:f>VLOOKUP(C627,'Governorate Master'!$A$2:$Q$13,6,FALSE)</x:f>
        <x:v>0.8210097719869707</x:v>
      </x:c>
      <x:c r="I627" s="20" t="n">
        <x:f>VLOOKUP(C627,'Governorate Master'!$A$2:$Q$13,15,FALSE)</x:f>
        <x:v>0.10794044665012408</x:v>
      </x:c>
      <x:c r="J627" s="12" t="str">
        <x:v>Location model input - competition/saturation context</x:v>
      </x:c>
      <x:c r="K627" s="12" t="str">
        <x:v>Business count is from 2018 while population/context indicators are newer; use as a historical proxy, not a current market count.</x:v>
      </x:c>
    </x:row>
    <x:row r="628">
      <x:c r="A628" s="12" t="str">
        <x:v>2211</x:v>
      </x:c>
      <x:c r="B628" s="12" t="str">
        <x:v>Manufacture of rubber tyres and tubes; retreading and rebuilding of rubber tyres</x:v>
      </x:c>
      <x:c r="C628" s="12" t="str">
        <x:v>الزرقاء</x:v>
      </x:c>
      <x:c r="D628" s="14" t="n">
        <x:v>1</x:v>
      </x:c>
      <x:c r="E628" s="14" t="n">
        <x:f>VLOOKUP(C628,'Governorate Master'!$A$2:$Q$13,3,FALSE)</x:f>
        <x:v>1704500</x:v>
      </x:c>
      <x:c r="F628" s="66" t="n">
        <x:f>IF(E628=0,0,D628/E628*10000)</x:f>
        <x:v>0.005866823115283074</x:v>
      </x:c>
      <x:c r="G628" s="67" t="n">
        <x:f>VLOOKUP(C628,'Governorate Master'!$A$2:$Q$13,7,FALSE)</x:f>
        <x:v>358</x:v>
      </x:c>
      <x:c r="H628" s="20" t="n">
        <x:f>VLOOKUP(C628,'Governorate Master'!$A$2:$Q$13,6,FALSE)</x:f>
        <x:v>0.9636256966852449</x:v>
      </x:c>
      <x:c r="I628" s="20" t="n">
        <x:f>VLOOKUP(C628,'Governorate Master'!$A$2:$Q$13,15,FALSE)</x:f>
        <x:v>-0.06808762581409118</x:v>
      </x:c>
      <x:c r="J628" s="12" t="str">
        <x:v>Location model input - competition/saturation context</x:v>
      </x:c>
      <x:c r="K628" s="12" t="str">
        <x:v>Business count is from 2018 while population/context indicators are newer; use as a historical proxy, not a current market count.</x:v>
      </x:c>
    </x:row>
    <x:row r="629">
      <x:c r="A629" s="12" t="str">
        <x:v>2211</x:v>
      </x:c>
      <x:c r="B629" s="12" t="str">
        <x:v>Manufacture of rubber tyres and tubes; retreading and rebuilding of rubber tyres</x:v>
      </x:c>
      <x:c r="C629" s="12" t="str">
        <x:v>مادبا</x:v>
      </x:c>
      <x:c r="D629" s="14" t="n">
        <x:v>0</x:v>
      </x:c>
      <x:c r="E629" s="14" t="n">
        <x:f>VLOOKUP(C629,'Governorate Master'!$A$2:$Q$13,3,FALSE)</x:f>
        <x:v>236200</x:v>
      </x:c>
      <x:c r="F629" s="66" t="n">
        <x:f>IF(E629=0,0,D629/E629*10000)</x:f>
        <x:v>0</x:v>
      </x:c>
      <x:c r="G629" s="67" t="n">
        <x:f>VLOOKUP(C629,'Governorate Master'!$A$2:$Q$13,7,FALSE)</x:f>
        <x:v>251.4</x:v>
      </x:c>
      <x:c r="H629" s="20" t="n">
        <x:f>VLOOKUP(C629,'Governorate Master'!$A$2:$Q$13,6,FALSE)</x:f>
        <x:v>0.7823878069432684</x:v>
      </x:c>
      <x:c r="I629" s="20" t="n">
        <x:f>VLOOKUP(C629,'Governorate Master'!$A$2:$Q$13,15,FALSE)</x:f>
        <x:v>-0.18823529411764706</x:v>
      </x:c>
      <x:c r="J629" s="12" t="str">
        <x:v>Location model input - competition/saturation context</x:v>
      </x:c>
      <x:c r="K629" s="12" t="str">
        <x:v>Business count is from 2018 while population/context indicators are newer; use as a historical proxy, not a current market count.</x:v>
      </x:c>
    </x:row>
    <x:row r="630">
      <x:c r="A630" s="12" t="str">
        <x:v>2211</x:v>
      </x:c>
      <x:c r="B630" s="12" t="str">
        <x:v>Manufacture of rubber tyres and tubes; retreading and rebuilding of rubber tyres</x:v>
      </x:c>
      <x:c r="C630" s="12" t="str">
        <x:v>إربد</x:v>
      </x:c>
      <x:c r="D630" s="14" t="n">
        <x:v>0</x:v>
      </x:c>
      <x:c r="E630" s="14" t="n">
        <x:f>VLOOKUP(C630,'Governorate Master'!$A$2:$Q$13,3,FALSE)</x:f>
        <x:v>2210500</x:v>
      </x:c>
      <x:c r="F630" s="66" t="n">
        <x:f>IF(E630=0,0,D630/E630*10000)</x:f>
        <x:v>0</x:v>
      </x:c>
      <x:c r="G630" s="67" t="n">
        <x:f>VLOOKUP(C630,'Governorate Master'!$A$2:$Q$13,7,FALSE)</x:f>
        <x:v>1406.4</x:v>
      </x:c>
      <x:c r="H630" s="20" t="n">
        <x:f>VLOOKUP(C630,'Governorate Master'!$A$2:$Q$13,6,FALSE)</x:f>
        <x:v>0.9235014702555983</x:v>
      </x:c>
      <x:c r="I630" s="20" t="n">
        <x:f>VLOOKUP(C630,'Governorate Master'!$A$2:$Q$13,15,FALSE)</x:f>
        <x:v>0.07086922474549726</x:v>
      </x:c>
      <x:c r="J630" s="12" t="str">
        <x:v>Location model input - competition/saturation context</x:v>
      </x:c>
      <x:c r="K630" s="12" t="str">
        <x:v>Business count is from 2018 while population/context indicators are newer; use as a historical proxy, not a current market count.</x:v>
      </x:c>
    </x:row>
    <x:row r="631">
      <x:c r="A631" s="12" t="str">
        <x:v>2211</x:v>
      </x:c>
      <x:c r="B631" s="12" t="str">
        <x:v>Manufacture of rubber tyres and tubes; retreading and rebuilding of rubber tyres</x:v>
      </x:c>
      <x:c r="C631" s="12" t="str">
        <x:v>المفرق</x:v>
      </x:c>
      <x:c r="D631" s="14" t="n">
        <x:v>0</x:v>
      </x:c>
      <x:c r="E631" s="14" t="n">
        <x:f>VLOOKUP(C631,'Governorate Master'!$A$2:$Q$13,3,FALSE)</x:f>
        <x:v>686800</x:v>
      </x:c>
      <x:c r="F631" s="66" t="n">
        <x:f>IF(E631=0,0,D631/E631*10000)</x:f>
        <x:v>0</x:v>
      </x:c>
      <x:c r="G631" s="67" t="n">
        <x:f>VLOOKUP(C631,'Governorate Master'!$A$2:$Q$13,7,FALSE)</x:f>
        <x:v>25.9</x:v>
      </x:c>
      <x:c r="H631" s="20" t="n">
        <x:f>VLOOKUP(C631,'Governorate Master'!$A$2:$Q$13,6,FALSE)</x:f>
        <x:v>0.6965637740244612</x:v>
      </x:c>
      <x:c r="I631" s="20" t="n">
        <x:f>VLOOKUP(C631,'Governorate Master'!$A$2:$Q$13,15,FALSE)</x:f>
        <x:v>-0.016638935108153077</x:v>
      </x:c>
      <x:c r="J631" s="12" t="str">
        <x:v>Location model input - competition/saturation context</x:v>
      </x:c>
      <x:c r="K631" s="12" t="str">
        <x:v>Business count is from 2018 while population/context indicators are newer; use as a historical proxy, not a current market count.</x:v>
      </x:c>
    </x:row>
    <x:row r="632">
      <x:c r="A632" s="12" t="str">
        <x:v>2211</x:v>
      </x:c>
      <x:c r="B632" s="12" t="str">
        <x:v>Manufacture of rubber tyres and tubes; retreading and rebuilding of rubber tyres</x:v>
      </x:c>
      <x:c r="C632" s="12" t="str">
        <x:v>جرش</x:v>
      </x:c>
      <x:c r="D632" s="14" t="n">
        <x:v>0</x:v>
      </x:c>
      <x:c r="E632" s="14" t="n">
        <x:f>VLOOKUP(C632,'Governorate Master'!$A$2:$Q$13,3,FALSE)</x:f>
        <x:v>296000</x:v>
      </x:c>
      <x:c r="F632" s="66" t="n">
        <x:f>IF(E632=0,0,D632/E632*10000)</x:f>
        <x:v>0</x:v>
      </x:c>
      <x:c r="G632" s="67" t="n">
        <x:f>VLOOKUP(C632,'Governorate Master'!$A$2:$Q$13,7,FALSE)</x:f>
        <x:v>722.3</x:v>
      </x:c>
      <x:c r="H632" s="20" t="n">
        <x:f>VLOOKUP(C632,'Governorate Master'!$A$2:$Q$13,6,FALSE)</x:f>
        <x:v>0.7695945945945946</x:v>
      </x:c>
      <x:c r="I632" s="20" t="n">
        <x:f>VLOOKUP(C632,'Governorate Master'!$A$2:$Q$13,15,FALSE)</x:f>
        <x:v>-0.06527415143603134</x:v>
      </x:c>
      <x:c r="J632" s="12" t="str">
        <x:v>Location model input - competition/saturation context</x:v>
      </x:c>
      <x:c r="K632" s="12" t="str">
        <x:v>Business count is from 2018 while population/context indicators are newer; use as a historical proxy, not a current market count.</x:v>
      </x:c>
    </x:row>
    <x:row r="633">
      <x:c r="A633" s="12" t="str">
        <x:v>2211</x:v>
      </x:c>
      <x:c r="B633" s="12" t="str">
        <x:v>Manufacture of rubber tyres and tubes; retreading and rebuilding of rubber tyres</x:v>
      </x:c>
      <x:c r="C633" s="12" t="str">
        <x:v>عجلون</x:v>
      </x:c>
      <x:c r="D633" s="14" t="n">
        <x:v>0</x:v>
      </x:c>
      <x:c r="E633" s="14" t="n">
        <x:f>VLOOKUP(C633,'Governorate Master'!$A$2:$Q$13,3,FALSE)</x:f>
        <x:v>219900</x:v>
      </x:c>
      <x:c r="F633" s="66" t="n">
        <x:f>IF(E633=0,0,D633/E633*10000)</x:f>
        <x:v>0</x:v>
      </x:c>
      <x:c r="G633" s="67" t="n">
        <x:f>VLOOKUP(C633,'Governorate Master'!$A$2:$Q$13,7,FALSE)</x:f>
        <x:v>524</x:v>
      </x:c>
      <x:c r="H633" s="20" t="n">
        <x:f>VLOOKUP(C633,'Governorate Master'!$A$2:$Q$13,6,FALSE)</x:f>
        <x:v>0.8390177353342428</x:v>
      </x:c>
      <x:c r="I633" s="20" t="n">
        <x:f>VLOOKUP(C633,'Governorate Master'!$A$2:$Q$13,15,FALSE)</x:f>
        <x:v>0.03614457831325301</x:v>
      </x:c>
      <x:c r="J633" s="12" t="str">
        <x:v>Location model input - competition/saturation context</x:v>
      </x:c>
      <x:c r="K633" s="12" t="str">
        <x:v>Business count is from 2018 while population/context indicators are newer; use as a historical proxy, not a current market count.</x:v>
      </x:c>
    </x:row>
    <x:row r="634">
      <x:c r="A634" s="12" t="str">
        <x:v>2211</x:v>
      </x:c>
      <x:c r="B634" s="12" t="str">
        <x:v>Manufacture of rubber tyres and tubes; retreading and rebuilding of rubber tyres</x:v>
      </x:c>
      <x:c r="C634" s="12" t="str">
        <x:v>الكرك</x:v>
      </x:c>
      <x:c r="D634" s="14" t="n">
        <x:v>0</x:v>
      </x:c>
      <x:c r="E634" s="14" t="n">
        <x:f>VLOOKUP(C634,'Governorate Master'!$A$2:$Q$13,3,FALSE)</x:f>
        <x:v>395400</x:v>
      </x:c>
      <x:c r="F634" s="66" t="n">
        <x:f>IF(E634=0,0,D634/E634*10000)</x:f>
        <x:v>0</x:v>
      </x:c>
      <x:c r="G634" s="67" t="n">
        <x:f>VLOOKUP(C634,'Governorate Master'!$A$2:$Q$13,7,FALSE)</x:f>
        <x:v>113.1</x:v>
      </x:c>
      <x:c r="H634" s="20" t="n">
        <x:f>VLOOKUP(C634,'Governorate Master'!$A$2:$Q$13,6,FALSE)</x:f>
        <x:v>0.5912999494183105</x:v>
      </x:c>
      <x:c r="I634" s="20" t="n">
        <x:f>VLOOKUP(C634,'Governorate Master'!$A$2:$Q$13,15,FALSE)</x:f>
        <x:v>0.08710801393728224</x:v>
      </x:c>
      <x:c r="J634" s="12" t="str">
        <x:v>Location model input - competition/saturation context</x:v>
      </x:c>
      <x:c r="K634" s="12" t="str">
        <x:v>Business count is from 2018 while population/context indicators are newer; use as a historical proxy, not a current market count.</x:v>
      </x:c>
    </x:row>
    <x:row r="635">
      <x:c r="A635" s="12" t="str">
        <x:v>2211</x:v>
      </x:c>
      <x:c r="B635" s="12" t="str">
        <x:v>Manufacture of rubber tyres and tubes; retreading and rebuilding of rubber tyres</x:v>
      </x:c>
      <x:c r="C635" s="12" t="str">
        <x:v>الطفيلة</x:v>
      </x:c>
      <x:c r="D635" s="14" t="n">
        <x:v>0</x:v>
      </x:c>
      <x:c r="E635" s="14" t="n">
        <x:f>VLOOKUP(C635,'Governorate Master'!$A$2:$Q$13,3,FALSE)</x:f>
        <x:v>120300</x:v>
      </x:c>
      <x:c r="F635" s="66" t="n">
        <x:f>IF(E635=0,0,D635/E635*10000)</x:f>
        <x:v>0</x:v>
      </x:c>
      <x:c r="G635" s="67" t="n">
        <x:f>VLOOKUP(C635,'Governorate Master'!$A$2:$Q$13,7,FALSE)</x:f>
        <x:v>54.4</x:v>
      </x:c>
      <x:c r="H635" s="20" t="n">
        <x:f>VLOOKUP(C635,'Governorate Master'!$A$2:$Q$13,6,FALSE)</x:f>
        <x:v>0.7797173732335827</x:v>
      </x:c>
      <x:c r="I635" s="20" t="n">
        <x:f>VLOOKUP(C635,'Governorate Master'!$A$2:$Q$13,15,FALSE)</x:f>
        <x:v>0.18452380952380953</x:v>
      </x:c>
      <x:c r="J635" s="12" t="str">
        <x:v>Location model input - competition/saturation context</x:v>
      </x:c>
      <x:c r="K635" s="12" t="str">
        <x:v>Business count is from 2018 while population/context indicators are newer; use as a historical proxy, not a current market count.</x:v>
      </x:c>
    </x:row>
    <x:row r="636">
      <x:c r="A636" s="12" t="str">
        <x:v>2211</x:v>
      </x:c>
      <x:c r="B636" s="12" t="str">
        <x:v>Manufacture of rubber tyres and tubes; retreading and rebuilding of rubber tyres</x:v>
      </x:c>
      <x:c r="C636" s="12" t="str">
        <x:v>معان</x:v>
      </x:c>
      <x:c r="D636" s="14" t="n">
        <x:v>0</x:v>
      </x:c>
      <x:c r="E636" s="14" t="n">
        <x:f>VLOOKUP(C636,'Governorate Master'!$A$2:$Q$13,3,FALSE)</x:f>
        <x:v>197900</x:v>
      </x:c>
      <x:c r="F636" s="66" t="n">
        <x:f>IF(E636=0,0,D636/E636*10000)</x:f>
        <x:v>0</x:v>
      </x:c>
      <x:c r="G636" s="67" t="n">
        <x:f>VLOOKUP(C636,'Governorate Master'!$A$2:$Q$13,7,FALSE)</x:f>
        <x:v>6</x:v>
      </x:c>
      <x:c r="H636" s="20" t="n">
        <x:f>VLOOKUP(C636,'Governorate Master'!$A$2:$Q$13,6,FALSE)</x:f>
        <x:v>0.5406771096513391</x:v>
      </x:c>
      <x:c r="I636" s="20" t="n">
        <x:f>VLOOKUP(C636,'Governorate Master'!$A$2:$Q$13,15,FALSE)</x:f>
        <x:v>0.026845637583892617</x:v>
      </x:c>
      <x:c r="J636" s="12" t="str">
        <x:v>Location model input - competition/saturation context</x:v>
      </x:c>
      <x:c r="K636" s="12" t="str">
        <x:v>Business count is from 2018 while population/context indicators are newer; use as a historical proxy, not a current market count.</x:v>
      </x:c>
    </x:row>
    <x:row r="637">
      <x:c r="A637" s="12" t="str">
        <x:v>2211</x:v>
      </x:c>
      <x:c r="B637" s="12" t="str">
        <x:v>Manufacture of rubber tyres and tubes; retreading and rebuilding of rubber tyres</x:v>
      </x:c>
      <x:c r="C637" s="12" t="str">
        <x:v>العقبة</x:v>
      </x:c>
      <x:c r="D637" s="14" t="n">
        <x:v>0</x:v>
      </x:c>
      <x:c r="E637" s="14" t="n">
        <x:f>VLOOKUP(C637,'Governorate Master'!$A$2:$Q$13,3,FALSE)</x:f>
        <x:v>250900</x:v>
      </x:c>
      <x:c r="F637" s="66" t="n">
        <x:f>IF(E637=0,0,D637/E637*10000)</x:f>
        <x:v>0</x:v>
      </x:c>
      <x:c r="G637" s="67" t="n">
        <x:f>VLOOKUP(C637,'Governorate Master'!$A$2:$Q$13,7,FALSE)</x:f>
        <x:v>36.3</x:v>
      </x:c>
      <x:c r="H637" s="20" t="n">
        <x:f>VLOOKUP(C637,'Governorate Master'!$A$2:$Q$13,6,FALSE)</x:f>
        <x:v>0.882024711040255</x:v>
      </x:c>
      <x:c r="I637" s="20" t="n">
        <x:f>VLOOKUP(C637,'Governorate Master'!$A$2:$Q$13,15,FALSE)</x:f>
        <x:v>-0.09</x:v>
      </x:c>
      <x:c r="J637" s="12" t="str">
        <x:v>Location model input - competition/saturation context</x:v>
      </x:c>
      <x:c r="K637" s="12" t="str">
        <x:v>Business count is from 2018 while population/context indicators are newer; use as a historical proxy, not a current market count.</x:v>
      </x:c>
    </x:row>
    <x:row r="638">
      <x:c r="A638" s="12" t="str">
        <x:v>2219</x:v>
      </x:c>
      <x:c r="B638" s="12" t="str">
        <x:v>Manufacture of other rubber products</x:v>
      </x:c>
      <x:c r="C638" s="12" t="str">
        <x:v>عمان</x:v>
      </x:c>
      <x:c r="D638" s="14" t="n">
        <x:v>6</x:v>
      </x:c>
      <x:c r="E638" s="14" t="n">
        <x:f>VLOOKUP(C638,'Governorate Master'!$A$2:$Q$13,3,FALSE)</x:f>
        <x:v>5004600</x:v>
      </x:c>
      <x:c r="F638" s="66" t="n">
        <x:f>IF(E638=0,0,D638/E638*10000)</x:f>
        <x:v>0.011988970147464332</x:v>
      </x:c>
      <x:c r="G638" s="67" t="n">
        <x:f>VLOOKUP(C638,'Governorate Master'!$A$2:$Q$13,7,FALSE)</x:f>
        <x:v>660.3</x:v>
      </x:c>
      <x:c r="H638" s="20" t="n">
        <x:f>VLOOKUP(C638,'Governorate Master'!$A$2:$Q$13,6,FALSE)</x:f>
        <x:v>0.9721656076409703</x:v>
      </x:c>
      <x:c r="I638" s="20" t="n">
        <x:f>VLOOKUP(C638,'Governorate Master'!$A$2:$Q$13,15,FALSE)</x:f>
        <x:v>0.06367041198501873</x:v>
      </x:c>
      <x:c r="J638" s="12" t="str">
        <x:v>Location model input - competition/saturation context</x:v>
      </x:c>
      <x:c r="K638" s="12" t="str">
        <x:v>Business count is from 2018 while population/context indicators are newer; use as a historical proxy, not a current market count.</x:v>
      </x:c>
    </x:row>
    <x:row r="639">
      <x:c r="A639" s="12" t="str">
        <x:v>2219</x:v>
      </x:c>
      <x:c r="B639" s="12" t="str">
        <x:v>Manufacture of other rubber products</x:v>
      </x:c>
      <x:c r="C639" s="12" t="str">
        <x:v>البلقاء</x:v>
      </x:c>
      <x:c r="D639" s="14" t="n">
        <x:v>1</x:v>
      </x:c>
      <x:c r="E639" s="14" t="n">
        <x:f>VLOOKUP(C639,'Governorate Master'!$A$2:$Q$13,3,FALSE)</x:f>
        <x:v>614000</x:v>
      </x:c>
      <x:c r="F639" s="66" t="n">
        <x:f>IF(E639=0,0,D639/E639*10000)</x:f>
        <x:v>0.016286644951140065</x:v>
      </x:c>
      <x:c r="G639" s="67" t="n">
        <x:f>VLOOKUP(C639,'Governorate Master'!$A$2:$Q$13,7,FALSE)</x:f>
        <x:v>548</x:v>
      </x:c>
      <x:c r="H639" s="20" t="n">
        <x:f>VLOOKUP(C639,'Governorate Master'!$A$2:$Q$13,6,FALSE)</x:f>
        <x:v>0.8210097719869707</x:v>
      </x:c>
      <x:c r="I639" s="20" t="n">
        <x:f>VLOOKUP(C639,'Governorate Master'!$A$2:$Q$13,15,FALSE)</x:f>
        <x:v>0.10794044665012408</x:v>
      </x:c>
      <x:c r="J639" s="12" t="str">
        <x:v>Location model input - competition/saturation context</x:v>
      </x:c>
      <x:c r="K639" s="12" t="str">
        <x:v>Business count is from 2018 while population/context indicators are newer; use as a historical proxy, not a current market count.</x:v>
      </x:c>
    </x:row>
    <x:row r="640">
      <x:c r="A640" s="12" t="str">
        <x:v>2219</x:v>
      </x:c>
      <x:c r="B640" s="12" t="str">
        <x:v>Manufacture of other rubber products</x:v>
      </x:c>
      <x:c r="C640" s="12" t="str">
        <x:v>الزرقاء</x:v>
      </x:c>
      <x:c r="D640" s="14" t="n">
        <x:v>0</x:v>
      </x:c>
      <x:c r="E640" s="14" t="n">
        <x:f>VLOOKUP(C640,'Governorate Master'!$A$2:$Q$13,3,FALSE)</x:f>
        <x:v>1704500</x:v>
      </x:c>
      <x:c r="F640" s="66" t="n">
        <x:f>IF(E640=0,0,D640/E640*10000)</x:f>
        <x:v>0</x:v>
      </x:c>
      <x:c r="G640" s="67" t="n">
        <x:f>VLOOKUP(C640,'Governorate Master'!$A$2:$Q$13,7,FALSE)</x:f>
        <x:v>358</x:v>
      </x:c>
      <x:c r="H640" s="20" t="n">
        <x:f>VLOOKUP(C640,'Governorate Master'!$A$2:$Q$13,6,FALSE)</x:f>
        <x:v>0.9636256966852449</x:v>
      </x:c>
      <x:c r="I640" s="20" t="n">
        <x:f>VLOOKUP(C640,'Governorate Master'!$A$2:$Q$13,15,FALSE)</x:f>
        <x:v>-0.06808762581409118</x:v>
      </x:c>
      <x:c r="J640" s="12" t="str">
        <x:v>Location model input - competition/saturation context</x:v>
      </x:c>
      <x:c r="K640" s="12" t="str">
        <x:v>Business count is from 2018 while population/context indicators are newer; use as a historical proxy, not a current market count.</x:v>
      </x:c>
    </x:row>
    <x:row r="641">
      <x:c r="A641" s="12" t="str">
        <x:v>2219</x:v>
      </x:c>
      <x:c r="B641" s="12" t="str">
        <x:v>Manufacture of other rubber products</x:v>
      </x:c>
      <x:c r="C641" s="12" t="str">
        <x:v>مادبا</x:v>
      </x:c>
      <x:c r="D641" s="14" t="n">
        <x:v>0</x:v>
      </x:c>
      <x:c r="E641" s="14" t="n">
        <x:f>VLOOKUP(C641,'Governorate Master'!$A$2:$Q$13,3,FALSE)</x:f>
        <x:v>236200</x:v>
      </x:c>
      <x:c r="F641" s="66" t="n">
        <x:f>IF(E641=0,0,D641/E641*10000)</x:f>
        <x:v>0</x:v>
      </x:c>
      <x:c r="G641" s="67" t="n">
        <x:f>VLOOKUP(C641,'Governorate Master'!$A$2:$Q$13,7,FALSE)</x:f>
        <x:v>251.4</x:v>
      </x:c>
      <x:c r="H641" s="20" t="n">
        <x:f>VLOOKUP(C641,'Governorate Master'!$A$2:$Q$13,6,FALSE)</x:f>
        <x:v>0.7823878069432684</x:v>
      </x:c>
      <x:c r="I641" s="20" t="n">
        <x:f>VLOOKUP(C641,'Governorate Master'!$A$2:$Q$13,15,FALSE)</x:f>
        <x:v>-0.18823529411764706</x:v>
      </x:c>
      <x:c r="J641" s="12" t="str">
        <x:v>Location model input - competition/saturation context</x:v>
      </x:c>
      <x:c r="K641" s="12" t="str">
        <x:v>Business count is from 2018 while population/context indicators are newer; use as a historical proxy, not a current market count.</x:v>
      </x:c>
    </x:row>
    <x:row r="642">
      <x:c r="A642" s="12" t="str">
        <x:v>2219</x:v>
      </x:c>
      <x:c r="B642" s="12" t="str">
        <x:v>Manufacture of other rubber products</x:v>
      </x:c>
      <x:c r="C642" s="12" t="str">
        <x:v>إربد</x:v>
      </x:c>
      <x:c r="D642" s="14" t="n">
        <x:v>1</x:v>
      </x:c>
      <x:c r="E642" s="14" t="n">
        <x:f>VLOOKUP(C642,'Governorate Master'!$A$2:$Q$13,3,FALSE)</x:f>
        <x:v>2210500</x:v>
      </x:c>
      <x:c r="F642" s="66" t="n">
        <x:f>IF(E642=0,0,D642/E642*10000)</x:f>
        <x:v>0.004523863379325944</x:v>
      </x:c>
      <x:c r="G642" s="67" t="n">
        <x:f>VLOOKUP(C642,'Governorate Master'!$A$2:$Q$13,7,FALSE)</x:f>
        <x:v>1406.4</x:v>
      </x:c>
      <x:c r="H642" s="20" t="n">
        <x:f>VLOOKUP(C642,'Governorate Master'!$A$2:$Q$13,6,FALSE)</x:f>
        <x:v>0.9235014702555983</x:v>
      </x:c>
      <x:c r="I642" s="20" t="n">
        <x:f>VLOOKUP(C642,'Governorate Master'!$A$2:$Q$13,15,FALSE)</x:f>
        <x:v>0.07086922474549726</x:v>
      </x:c>
      <x:c r="J642" s="12" t="str">
        <x:v>Location model input - competition/saturation context</x:v>
      </x:c>
      <x:c r="K642" s="12" t="str">
        <x:v>Business count is from 2018 while population/context indicators are newer; use as a historical proxy, not a current market count.</x:v>
      </x:c>
    </x:row>
    <x:row r="643">
      <x:c r="A643" s="12" t="str">
        <x:v>2219</x:v>
      </x:c>
      <x:c r="B643" s="12" t="str">
        <x:v>Manufacture of other rubber products</x:v>
      </x:c>
      <x:c r="C643" s="12" t="str">
        <x:v>المفرق</x:v>
      </x:c>
      <x:c r="D643" s="14" t="n">
        <x:v>0</x:v>
      </x:c>
      <x:c r="E643" s="14" t="n">
        <x:f>VLOOKUP(C643,'Governorate Master'!$A$2:$Q$13,3,FALSE)</x:f>
        <x:v>686800</x:v>
      </x:c>
      <x:c r="F643" s="66" t="n">
        <x:f>IF(E643=0,0,D643/E643*10000)</x:f>
        <x:v>0</x:v>
      </x:c>
      <x:c r="G643" s="67" t="n">
        <x:f>VLOOKUP(C643,'Governorate Master'!$A$2:$Q$13,7,FALSE)</x:f>
        <x:v>25.9</x:v>
      </x:c>
      <x:c r="H643" s="20" t="n">
        <x:f>VLOOKUP(C643,'Governorate Master'!$A$2:$Q$13,6,FALSE)</x:f>
        <x:v>0.6965637740244612</x:v>
      </x:c>
      <x:c r="I643" s="20" t="n">
        <x:f>VLOOKUP(C643,'Governorate Master'!$A$2:$Q$13,15,FALSE)</x:f>
        <x:v>-0.016638935108153077</x:v>
      </x:c>
      <x:c r="J643" s="12" t="str">
        <x:v>Location model input - competition/saturation context</x:v>
      </x:c>
      <x:c r="K643" s="12" t="str">
        <x:v>Business count is from 2018 while population/context indicators are newer; use as a historical proxy, not a current market count.</x:v>
      </x:c>
    </x:row>
    <x:row r="644">
      <x:c r="A644" s="12" t="str">
        <x:v>2219</x:v>
      </x:c>
      <x:c r="B644" s="12" t="str">
        <x:v>Manufacture of other rubber products</x:v>
      </x:c>
      <x:c r="C644" s="12" t="str">
        <x:v>جرش</x:v>
      </x:c>
      <x:c r="D644" s="14" t="n">
        <x:v>0</x:v>
      </x:c>
      <x:c r="E644" s="14" t="n">
        <x:f>VLOOKUP(C644,'Governorate Master'!$A$2:$Q$13,3,FALSE)</x:f>
        <x:v>296000</x:v>
      </x:c>
      <x:c r="F644" s="66" t="n">
        <x:f>IF(E644=0,0,D644/E644*10000)</x:f>
        <x:v>0</x:v>
      </x:c>
      <x:c r="G644" s="67" t="n">
        <x:f>VLOOKUP(C644,'Governorate Master'!$A$2:$Q$13,7,FALSE)</x:f>
        <x:v>722.3</x:v>
      </x:c>
      <x:c r="H644" s="20" t="n">
        <x:f>VLOOKUP(C644,'Governorate Master'!$A$2:$Q$13,6,FALSE)</x:f>
        <x:v>0.7695945945945946</x:v>
      </x:c>
      <x:c r="I644" s="20" t="n">
        <x:f>VLOOKUP(C644,'Governorate Master'!$A$2:$Q$13,15,FALSE)</x:f>
        <x:v>-0.06527415143603134</x:v>
      </x:c>
      <x:c r="J644" s="12" t="str">
        <x:v>Location model input - competition/saturation context</x:v>
      </x:c>
      <x:c r="K644" s="12" t="str">
        <x:v>Business count is from 2018 while population/context indicators are newer; use as a historical proxy, not a current market count.</x:v>
      </x:c>
    </x:row>
    <x:row r="645">
      <x:c r="A645" s="12" t="str">
        <x:v>2219</x:v>
      </x:c>
      <x:c r="B645" s="12" t="str">
        <x:v>Manufacture of other rubber products</x:v>
      </x:c>
      <x:c r="C645" s="12" t="str">
        <x:v>عجلون</x:v>
      </x:c>
      <x:c r="D645" s="14" t="n">
        <x:v>0</x:v>
      </x:c>
      <x:c r="E645" s="14" t="n">
        <x:f>VLOOKUP(C645,'Governorate Master'!$A$2:$Q$13,3,FALSE)</x:f>
        <x:v>219900</x:v>
      </x:c>
      <x:c r="F645" s="66" t="n">
        <x:f>IF(E645=0,0,D645/E645*10000)</x:f>
        <x:v>0</x:v>
      </x:c>
      <x:c r="G645" s="67" t="n">
        <x:f>VLOOKUP(C645,'Governorate Master'!$A$2:$Q$13,7,FALSE)</x:f>
        <x:v>524</x:v>
      </x:c>
      <x:c r="H645" s="20" t="n">
        <x:f>VLOOKUP(C645,'Governorate Master'!$A$2:$Q$13,6,FALSE)</x:f>
        <x:v>0.8390177353342428</x:v>
      </x:c>
      <x:c r="I645" s="20" t="n">
        <x:f>VLOOKUP(C645,'Governorate Master'!$A$2:$Q$13,15,FALSE)</x:f>
        <x:v>0.03614457831325301</x:v>
      </x:c>
      <x:c r="J645" s="12" t="str">
        <x:v>Location model input - competition/saturation context</x:v>
      </x:c>
      <x:c r="K645" s="12" t="str">
        <x:v>Business count is from 2018 while population/context indicators are newer; use as a historical proxy, not a current market count.</x:v>
      </x:c>
    </x:row>
    <x:row r="646">
      <x:c r="A646" s="12" t="str">
        <x:v>2219</x:v>
      </x:c>
      <x:c r="B646" s="12" t="str">
        <x:v>Manufacture of other rubber products</x:v>
      </x:c>
      <x:c r="C646" s="12" t="str">
        <x:v>الكرك</x:v>
      </x:c>
      <x:c r="D646" s="14" t="n">
        <x:v>0</x:v>
      </x:c>
      <x:c r="E646" s="14" t="n">
        <x:f>VLOOKUP(C646,'Governorate Master'!$A$2:$Q$13,3,FALSE)</x:f>
        <x:v>395400</x:v>
      </x:c>
      <x:c r="F646" s="66" t="n">
        <x:f>IF(E646=0,0,D646/E646*10000)</x:f>
        <x:v>0</x:v>
      </x:c>
      <x:c r="G646" s="67" t="n">
        <x:f>VLOOKUP(C646,'Governorate Master'!$A$2:$Q$13,7,FALSE)</x:f>
        <x:v>113.1</x:v>
      </x:c>
      <x:c r="H646" s="20" t="n">
        <x:f>VLOOKUP(C646,'Governorate Master'!$A$2:$Q$13,6,FALSE)</x:f>
        <x:v>0.5912999494183105</x:v>
      </x:c>
      <x:c r="I646" s="20" t="n">
        <x:f>VLOOKUP(C646,'Governorate Master'!$A$2:$Q$13,15,FALSE)</x:f>
        <x:v>0.08710801393728224</x:v>
      </x:c>
      <x:c r="J646" s="12" t="str">
        <x:v>Location model input - competition/saturation context</x:v>
      </x:c>
      <x:c r="K646" s="12" t="str">
        <x:v>Business count is from 2018 while population/context indicators are newer; use as a historical proxy, not a current market count.</x:v>
      </x:c>
    </x:row>
    <x:row r="647">
      <x:c r="A647" s="12" t="str">
        <x:v>2219</x:v>
      </x:c>
      <x:c r="B647" s="12" t="str">
        <x:v>Manufacture of other rubber products</x:v>
      </x:c>
      <x:c r="C647" s="12" t="str">
        <x:v>الطفيلة</x:v>
      </x:c>
      <x:c r="D647" s="14" t="n">
        <x:v>0</x:v>
      </x:c>
      <x:c r="E647" s="14" t="n">
        <x:f>VLOOKUP(C647,'Governorate Master'!$A$2:$Q$13,3,FALSE)</x:f>
        <x:v>120300</x:v>
      </x:c>
      <x:c r="F647" s="66" t="n">
        <x:f>IF(E647=0,0,D647/E647*10000)</x:f>
        <x:v>0</x:v>
      </x:c>
      <x:c r="G647" s="67" t="n">
        <x:f>VLOOKUP(C647,'Governorate Master'!$A$2:$Q$13,7,FALSE)</x:f>
        <x:v>54.4</x:v>
      </x:c>
      <x:c r="H647" s="20" t="n">
        <x:f>VLOOKUP(C647,'Governorate Master'!$A$2:$Q$13,6,FALSE)</x:f>
        <x:v>0.7797173732335827</x:v>
      </x:c>
      <x:c r="I647" s="20" t="n">
        <x:f>VLOOKUP(C647,'Governorate Master'!$A$2:$Q$13,15,FALSE)</x:f>
        <x:v>0.18452380952380953</x:v>
      </x:c>
      <x:c r="J647" s="12" t="str">
        <x:v>Location model input - competition/saturation context</x:v>
      </x:c>
      <x:c r="K647" s="12" t="str">
        <x:v>Business count is from 2018 while population/context indicators are newer; use as a historical proxy, not a current market count.</x:v>
      </x:c>
    </x:row>
    <x:row r="648">
      <x:c r="A648" s="12" t="str">
        <x:v>2219</x:v>
      </x:c>
      <x:c r="B648" s="12" t="str">
        <x:v>Manufacture of other rubber products</x:v>
      </x:c>
      <x:c r="C648" s="12" t="str">
        <x:v>معان</x:v>
      </x:c>
      <x:c r="D648" s="14" t="n">
        <x:v>0</x:v>
      </x:c>
      <x:c r="E648" s="14" t="n">
        <x:f>VLOOKUP(C648,'Governorate Master'!$A$2:$Q$13,3,FALSE)</x:f>
        <x:v>197900</x:v>
      </x:c>
      <x:c r="F648" s="66" t="n">
        <x:f>IF(E648=0,0,D648/E648*10000)</x:f>
        <x:v>0</x:v>
      </x:c>
      <x:c r="G648" s="67" t="n">
        <x:f>VLOOKUP(C648,'Governorate Master'!$A$2:$Q$13,7,FALSE)</x:f>
        <x:v>6</x:v>
      </x:c>
      <x:c r="H648" s="20" t="n">
        <x:f>VLOOKUP(C648,'Governorate Master'!$A$2:$Q$13,6,FALSE)</x:f>
        <x:v>0.5406771096513391</x:v>
      </x:c>
      <x:c r="I648" s="20" t="n">
        <x:f>VLOOKUP(C648,'Governorate Master'!$A$2:$Q$13,15,FALSE)</x:f>
        <x:v>0.026845637583892617</x:v>
      </x:c>
      <x:c r="J648" s="12" t="str">
        <x:v>Location model input - competition/saturation context</x:v>
      </x:c>
      <x:c r="K648" s="12" t="str">
        <x:v>Business count is from 2018 while population/context indicators are newer; use as a historical proxy, not a current market count.</x:v>
      </x:c>
    </x:row>
    <x:row r="649">
      <x:c r="A649" s="12" t="str">
        <x:v>2219</x:v>
      </x:c>
      <x:c r="B649" s="12" t="str">
        <x:v>Manufacture of other rubber products</x:v>
      </x:c>
      <x:c r="C649" s="12" t="str">
        <x:v>العقبة</x:v>
      </x:c>
      <x:c r="D649" s="14" t="n">
        <x:v>0</x:v>
      </x:c>
      <x:c r="E649" s="14" t="n">
        <x:f>VLOOKUP(C649,'Governorate Master'!$A$2:$Q$13,3,FALSE)</x:f>
        <x:v>250900</x:v>
      </x:c>
      <x:c r="F649" s="66" t="n">
        <x:f>IF(E649=0,0,D649/E649*10000)</x:f>
        <x:v>0</x:v>
      </x:c>
      <x:c r="G649" s="67" t="n">
        <x:f>VLOOKUP(C649,'Governorate Master'!$A$2:$Q$13,7,FALSE)</x:f>
        <x:v>36.3</x:v>
      </x:c>
      <x:c r="H649" s="20" t="n">
        <x:f>VLOOKUP(C649,'Governorate Master'!$A$2:$Q$13,6,FALSE)</x:f>
        <x:v>0.882024711040255</x:v>
      </x:c>
      <x:c r="I649" s="20" t="n">
        <x:f>VLOOKUP(C649,'Governorate Master'!$A$2:$Q$13,15,FALSE)</x:f>
        <x:v>-0.09</x:v>
      </x:c>
      <x:c r="J649" s="12" t="str">
        <x:v>Location model input - competition/saturation context</x:v>
      </x:c>
      <x:c r="K649" s="12" t="str">
        <x:v>Business count is from 2018 while population/context indicators are newer; use as a historical proxy, not a current market count.</x:v>
      </x:c>
    </x:row>
    <x:row r="650">
      <x:c r="A650" s="12" t="str">
        <x:v>2220</x:v>
      </x:c>
      <x:c r="B650" s="12" t="str">
        <x:v>Manufacture of plastics products</x:v>
      </x:c>
      <x:c r="C650" s="12" t="str">
        <x:v>عمان</x:v>
      </x:c>
      <x:c r="D650" s="14" t="n">
        <x:v>208</x:v>
      </x:c>
      <x:c r="E650" s="14" t="n">
        <x:f>VLOOKUP(C650,'Governorate Master'!$A$2:$Q$13,3,FALSE)</x:f>
        <x:v>5004600</x:v>
      </x:c>
      <x:c r="F650" s="66" t="n">
        <x:f>IF(E650=0,0,D650/E650*10000)</x:f>
        <x:v>0.41561763177876354</x:v>
      </x:c>
      <x:c r="G650" s="67" t="n">
        <x:f>VLOOKUP(C650,'Governorate Master'!$A$2:$Q$13,7,FALSE)</x:f>
        <x:v>660.3</x:v>
      </x:c>
      <x:c r="H650" s="20" t="n">
        <x:f>VLOOKUP(C650,'Governorate Master'!$A$2:$Q$13,6,FALSE)</x:f>
        <x:v>0.9721656076409703</x:v>
      </x:c>
      <x:c r="I650" s="20" t="n">
        <x:f>VLOOKUP(C650,'Governorate Master'!$A$2:$Q$13,15,FALSE)</x:f>
        <x:v>0.06367041198501873</x:v>
      </x:c>
      <x:c r="J650" s="12" t="str">
        <x:v>Location model input - competition/saturation context</x:v>
      </x:c>
      <x:c r="K650" s="12" t="str">
        <x:v>Business count is from 2018 while population/context indicators are newer; use as a historical proxy, not a current market count.</x:v>
      </x:c>
    </x:row>
    <x:row r="651">
      <x:c r="A651" s="12" t="str">
        <x:v>2220</x:v>
      </x:c>
      <x:c r="B651" s="12" t="str">
        <x:v>Manufacture of plastics products</x:v>
      </x:c>
      <x:c r="C651" s="12" t="str">
        <x:v>البلقاء</x:v>
      </x:c>
      <x:c r="D651" s="14" t="n">
        <x:v>9</x:v>
      </x:c>
      <x:c r="E651" s="14" t="n">
        <x:f>VLOOKUP(C651,'Governorate Master'!$A$2:$Q$13,3,FALSE)</x:f>
        <x:v>614000</x:v>
      </x:c>
      <x:c r="F651" s="66" t="n">
        <x:f>IF(E651=0,0,D651/E651*10000)</x:f>
        <x:v>0.1465798045602606</x:v>
      </x:c>
      <x:c r="G651" s="67" t="n">
        <x:f>VLOOKUP(C651,'Governorate Master'!$A$2:$Q$13,7,FALSE)</x:f>
        <x:v>548</x:v>
      </x:c>
      <x:c r="H651" s="20" t="n">
        <x:f>VLOOKUP(C651,'Governorate Master'!$A$2:$Q$13,6,FALSE)</x:f>
        <x:v>0.8210097719869707</x:v>
      </x:c>
      <x:c r="I651" s="20" t="n">
        <x:f>VLOOKUP(C651,'Governorate Master'!$A$2:$Q$13,15,FALSE)</x:f>
        <x:v>0.10794044665012408</x:v>
      </x:c>
      <x:c r="J651" s="12" t="str">
        <x:v>Location model input - competition/saturation context</x:v>
      </x:c>
      <x:c r="K651" s="12" t="str">
        <x:v>Business count is from 2018 while population/context indicators are newer; use as a historical proxy, not a current market count.</x:v>
      </x:c>
    </x:row>
    <x:row r="652">
      <x:c r="A652" s="12" t="str">
        <x:v>2220</x:v>
      </x:c>
      <x:c r="B652" s="12" t="str">
        <x:v>Manufacture of plastics products</x:v>
      </x:c>
      <x:c r="C652" s="12" t="str">
        <x:v>الزرقاء</x:v>
      </x:c>
      <x:c r="D652" s="14" t="n">
        <x:v>24</x:v>
      </x:c>
      <x:c r="E652" s="14" t="n">
        <x:f>VLOOKUP(C652,'Governorate Master'!$A$2:$Q$13,3,FALSE)</x:f>
        <x:v>1704500</x:v>
      </x:c>
      <x:c r="F652" s="66" t="n">
        <x:f>IF(E652=0,0,D652/E652*10000)</x:f>
        <x:v>0.14080375476679377</x:v>
      </x:c>
      <x:c r="G652" s="67" t="n">
        <x:f>VLOOKUP(C652,'Governorate Master'!$A$2:$Q$13,7,FALSE)</x:f>
        <x:v>358</x:v>
      </x:c>
      <x:c r="H652" s="20" t="n">
        <x:f>VLOOKUP(C652,'Governorate Master'!$A$2:$Q$13,6,FALSE)</x:f>
        <x:v>0.9636256966852449</x:v>
      </x:c>
      <x:c r="I652" s="20" t="n">
        <x:f>VLOOKUP(C652,'Governorate Master'!$A$2:$Q$13,15,FALSE)</x:f>
        <x:v>-0.06808762581409118</x:v>
      </x:c>
      <x:c r="J652" s="12" t="str">
        <x:v>Location model input - competition/saturation context</x:v>
      </x:c>
      <x:c r="K652" s="12" t="str">
        <x:v>Business count is from 2018 while population/context indicators are newer; use as a historical proxy, not a current market count.</x:v>
      </x:c>
    </x:row>
    <x:row r="653">
      <x:c r="A653" s="12" t="str">
        <x:v>2220</x:v>
      </x:c>
      <x:c r="B653" s="12" t="str">
        <x:v>Manufacture of plastics products</x:v>
      </x:c>
      <x:c r="C653" s="12" t="str">
        <x:v>مادبا</x:v>
      </x:c>
      <x:c r="D653" s="14" t="n">
        <x:v>1</x:v>
      </x:c>
      <x:c r="E653" s="14" t="n">
        <x:f>VLOOKUP(C653,'Governorate Master'!$A$2:$Q$13,3,FALSE)</x:f>
        <x:v>236200</x:v>
      </x:c>
      <x:c r="F653" s="66" t="n">
        <x:f>IF(E653=0,0,D653/E653*10000)</x:f>
        <x:v>0.04233700254022015</x:v>
      </x:c>
      <x:c r="G653" s="67" t="n">
        <x:f>VLOOKUP(C653,'Governorate Master'!$A$2:$Q$13,7,FALSE)</x:f>
        <x:v>251.4</x:v>
      </x:c>
      <x:c r="H653" s="20" t="n">
        <x:f>VLOOKUP(C653,'Governorate Master'!$A$2:$Q$13,6,FALSE)</x:f>
        <x:v>0.7823878069432684</x:v>
      </x:c>
      <x:c r="I653" s="20" t="n">
        <x:f>VLOOKUP(C653,'Governorate Master'!$A$2:$Q$13,15,FALSE)</x:f>
        <x:v>-0.18823529411764706</x:v>
      </x:c>
      <x:c r="J653" s="12" t="str">
        <x:v>Location model input - competition/saturation context</x:v>
      </x:c>
      <x:c r="K653" s="12" t="str">
        <x:v>Business count is from 2018 while population/context indicators are newer; use as a historical proxy, not a current market count.</x:v>
      </x:c>
    </x:row>
    <x:row r="654">
      <x:c r="A654" s="12" t="str">
        <x:v>2220</x:v>
      </x:c>
      <x:c r="B654" s="12" t="str">
        <x:v>Manufacture of plastics products</x:v>
      </x:c>
      <x:c r="C654" s="12" t="str">
        <x:v>إربد</x:v>
      </x:c>
      <x:c r="D654" s="14" t="n">
        <x:v>22</x:v>
      </x:c>
      <x:c r="E654" s="14" t="n">
        <x:f>VLOOKUP(C654,'Governorate Master'!$A$2:$Q$13,3,FALSE)</x:f>
        <x:v>2210500</x:v>
      </x:c>
      <x:c r="F654" s="66" t="n">
        <x:f>IF(E654=0,0,D654/E654*10000)</x:f>
        <x:v>0.09952499434517077</x:v>
      </x:c>
      <x:c r="G654" s="67" t="n">
        <x:f>VLOOKUP(C654,'Governorate Master'!$A$2:$Q$13,7,FALSE)</x:f>
        <x:v>1406.4</x:v>
      </x:c>
      <x:c r="H654" s="20" t="n">
        <x:f>VLOOKUP(C654,'Governorate Master'!$A$2:$Q$13,6,FALSE)</x:f>
        <x:v>0.9235014702555983</x:v>
      </x:c>
      <x:c r="I654" s="20" t="n">
        <x:f>VLOOKUP(C654,'Governorate Master'!$A$2:$Q$13,15,FALSE)</x:f>
        <x:v>0.07086922474549726</x:v>
      </x:c>
      <x:c r="J654" s="12" t="str">
        <x:v>Location model input - competition/saturation context</x:v>
      </x:c>
      <x:c r="K654" s="12" t="str">
        <x:v>Business count is from 2018 while population/context indicators are newer; use as a historical proxy, not a current market count.</x:v>
      </x:c>
    </x:row>
    <x:row r="655">
      <x:c r="A655" s="12" t="str">
        <x:v>2220</x:v>
      </x:c>
      <x:c r="B655" s="12" t="str">
        <x:v>Manufacture of plastics products</x:v>
      </x:c>
      <x:c r="C655" s="12" t="str">
        <x:v>المفرق</x:v>
      </x:c>
      <x:c r="D655" s="14" t="n">
        <x:v>5</x:v>
      </x:c>
      <x:c r="E655" s="14" t="n">
        <x:f>VLOOKUP(C655,'Governorate Master'!$A$2:$Q$13,3,FALSE)</x:f>
        <x:v>686800</x:v>
      </x:c>
      <x:c r="F655" s="66" t="n">
        <x:f>IF(E655=0,0,D655/E655*10000)</x:f>
        <x:v>0.0728013977868375</x:v>
      </x:c>
      <x:c r="G655" s="67" t="n">
        <x:f>VLOOKUP(C655,'Governorate Master'!$A$2:$Q$13,7,FALSE)</x:f>
        <x:v>25.9</x:v>
      </x:c>
      <x:c r="H655" s="20" t="n">
        <x:f>VLOOKUP(C655,'Governorate Master'!$A$2:$Q$13,6,FALSE)</x:f>
        <x:v>0.6965637740244612</x:v>
      </x:c>
      <x:c r="I655" s="20" t="n">
        <x:f>VLOOKUP(C655,'Governorate Master'!$A$2:$Q$13,15,FALSE)</x:f>
        <x:v>-0.016638935108153077</x:v>
      </x:c>
      <x:c r="J655" s="12" t="str">
        <x:v>Location model input - competition/saturation context</x:v>
      </x:c>
      <x:c r="K655" s="12" t="str">
        <x:v>Business count is from 2018 while population/context indicators are newer; use as a historical proxy, not a current market count.</x:v>
      </x:c>
    </x:row>
    <x:row r="656">
      <x:c r="A656" s="12" t="str">
        <x:v>2220</x:v>
      </x:c>
      <x:c r="B656" s="12" t="str">
        <x:v>Manufacture of plastics products</x:v>
      </x:c>
      <x:c r="C656" s="12" t="str">
        <x:v>جرش</x:v>
      </x:c>
      <x:c r="D656" s="14" t="n">
        <x:v>0</x:v>
      </x:c>
      <x:c r="E656" s="14" t="n">
        <x:f>VLOOKUP(C656,'Governorate Master'!$A$2:$Q$13,3,FALSE)</x:f>
        <x:v>296000</x:v>
      </x:c>
      <x:c r="F656" s="66" t="n">
        <x:f>IF(E656=0,0,D656/E656*10000)</x:f>
        <x:v>0</x:v>
      </x:c>
      <x:c r="G656" s="67" t="n">
        <x:f>VLOOKUP(C656,'Governorate Master'!$A$2:$Q$13,7,FALSE)</x:f>
        <x:v>722.3</x:v>
      </x:c>
      <x:c r="H656" s="20" t="n">
        <x:f>VLOOKUP(C656,'Governorate Master'!$A$2:$Q$13,6,FALSE)</x:f>
        <x:v>0.7695945945945946</x:v>
      </x:c>
      <x:c r="I656" s="20" t="n">
        <x:f>VLOOKUP(C656,'Governorate Master'!$A$2:$Q$13,15,FALSE)</x:f>
        <x:v>-0.06527415143603134</x:v>
      </x:c>
      <x:c r="J656" s="12" t="str">
        <x:v>Location model input - competition/saturation context</x:v>
      </x:c>
      <x:c r="K656" s="12" t="str">
        <x:v>Business count is from 2018 while population/context indicators are newer; use as a historical proxy, not a current market count.</x:v>
      </x:c>
    </x:row>
    <x:row r="657">
      <x:c r="A657" s="12" t="str">
        <x:v>2220</x:v>
      </x:c>
      <x:c r="B657" s="12" t="str">
        <x:v>Manufacture of plastics products</x:v>
      </x:c>
      <x:c r="C657" s="12" t="str">
        <x:v>عجلون</x:v>
      </x:c>
      <x:c r="D657" s="14" t="n">
        <x:v>1</x:v>
      </x:c>
      <x:c r="E657" s="14" t="n">
        <x:f>VLOOKUP(C657,'Governorate Master'!$A$2:$Q$13,3,FALSE)</x:f>
        <x:v>219900</x:v>
      </x:c>
      <x:c r="F657" s="66" t="n">
        <x:f>IF(E657=0,0,D657/E657*10000)</x:f>
        <x:v>0.04547521600727603</x:v>
      </x:c>
      <x:c r="G657" s="67" t="n">
        <x:f>VLOOKUP(C657,'Governorate Master'!$A$2:$Q$13,7,FALSE)</x:f>
        <x:v>524</x:v>
      </x:c>
      <x:c r="H657" s="20" t="n">
        <x:f>VLOOKUP(C657,'Governorate Master'!$A$2:$Q$13,6,FALSE)</x:f>
        <x:v>0.8390177353342428</x:v>
      </x:c>
      <x:c r="I657" s="20" t="n">
        <x:f>VLOOKUP(C657,'Governorate Master'!$A$2:$Q$13,15,FALSE)</x:f>
        <x:v>0.03614457831325301</x:v>
      </x:c>
      <x:c r="J657" s="12" t="str">
        <x:v>Location model input - competition/saturation context</x:v>
      </x:c>
      <x:c r="K657" s="12" t="str">
        <x:v>Business count is from 2018 while population/context indicators are newer; use as a historical proxy, not a current market count.</x:v>
      </x:c>
    </x:row>
    <x:row r="658">
      <x:c r="A658" s="12" t="str">
        <x:v>2220</x:v>
      </x:c>
      <x:c r="B658" s="12" t="str">
        <x:v>Manufacture of plastics products</x:v>
      </x:c>
      <x:c r="C658" s="12" t="str">
        <x:v>الكرك</x:v>
      </x:c>
      <x:c r="D658" s="14" t="n">
        <x:v>0</x:v>
      </x:c>
      <x:c r="E658" s="14" t="n">
        <x:f>VLOOKUP(C658,'Governorate Master'!$A$2:$Q$13,3,FALSE)</x:f>
        <x:v>395400</x:v>
      </x:c>
      <x:c r="F658" s="66" t="n">
        <x:f>IF(E658=0,0,D658/E658*10000)</x:f>
        <x:v>0</x:v>
      </x:c>
      <x:c r="G658" s="67" t="n">
        <x:f>VLOOKUP(C658,'Governorate Master'!$A$2:$Q$13,7,FALSE)</x:f>
        <x:v>113.1</x:v>
      </x:c>
      <x:c r="H658" s="20" t="n">
        <x:f>VLOOKUP(C658,'Governorate Master'!$A$2:$Q$13,6,FALSE)</x:f>
        <x:v>0.5912999494183105</x:v>
      </x:c>
      <x:c r="I658" s="20" t="n">
        <x:f>VLOOKUP(C658,'Governorate Master'!$A$2:$Q$13,15,FALSE)</x:f>
        <x:v>0.08710801393728224</x:v>
      </x:c>
      <x:c r="J658" s="12" t="str">
        <x:v>Location model input - competition/saturation context</x:v>
      </x:c>
      <x:c r="K658" s="12" t="str">
        <x:v>Business count is from 2018 while population/context indicators are newer; use as a historical proxy, not a current market count.</x:v>
      </x:c>
    </x:row>
    <x:row r="659">
      <x:c r="A659" s="12" t="str">
        <x:v>2220</x:v>
      </x:c>
      <x:c r="B659" s="12" t="str">
        <x:v>Manufacture of plastics products</x:v>
      </x:c>
      <x:c r="C659" s="12" t="str">
        <x:v>الطفيلة</x:v>
      </x:c>
      <x:c r="D659" s="14" t="n">
        <x:v>0</x:v>
      </x:c>
      <x:c r="E659" s="14" t="n">
        <x:f>VLOOKUP(C659,'Governorate Master'!$A$2:$Q$13,3,FALSE)</x:f>
        <x:v>120300</x:v>
      </x:c>
      <x:c r="F659" s="66" t="n">
        <x:f>IF(E659=0,0,D659/E659*10000)</x:f>
        <x:v>0</x:v>
      </x:c>
      <x:c r="G659" s="67" t="n">
        <x:f>VLOOKUP(C659,'Governorate Master'!$A$2:$Q$13,7,FALSE)</x:f>
        <x:v>54.4</x:v>
      </x:c>
      <x:c r="H659" s="20" t="n">
        <x:f>VLOOKUP(C659,'Governorate Master'!$A$2:$Q$13,6,FALSE)</x:f>
        <x:v>0.7797173732335827</x:v>
      </x:c>
      <x:c r="I659" s="20" t="n">
        <x:f>VLOOKUP(C659,'Governorate Master'!$A$2:$Q$13,15,FALSE)</x:f>
        <x:v>0.18452380952380953</x:v>
      </x:c>
      <x:c r="J659" s="12" t="str">
        <x:v>Location model input - competition/saturation context</x:v>
      </x:c>
      <x:c r="K659" s="12" t="str">
        <x:v>Business count is from 2018 while population/context indicators are newer; use as a historical proxy, not a current market count.</x:v>
      </x:c>
    </x:row>
    <x:row r="660">
      <x:c r="A660" s="12" t="str">
        <x:v>2220</x:v>
      </x:c>
      <x:c r="B660" s="12" t="str">
        <x:v>Manufacture of plastics products</x:v>
      </x:c>
      <x:c r="C660" s="12" t="str">
        <x:v>معان</x:v>
      </x:c>
      <x:c r="D660" s="14" t="n">
        <x:v>1</x:v>
      </x:c>
      <x:c r="E660" s="14" t="n">
        <x:f>VLOOKUP(C660,'Governorate Master'!$A$2:$Q$13,3,FALSE)</x:f>
        <x:v>197900</x:v>
      </x:c>
      <x:c r="F660" s="66" t="n">
        <x:f>IF(E660=0,0,D660/E660*10000)</x:f>
        <x:v>0.05053057099545225</x:v>
      </x:c>
      <x:c r="G660" s="67" t="n">
        <x:f>VLOOKUP(C660,'Governorate Master'!$A$2:$Q$13,7,FALSE)</x:f>
        <x:v>6</x:v>
      </x:c>
      <x:c r="H660" s="20" t="n">
        <x:f>VLOOKUP(C660,'Governorate Master'!$A$2:$Q$13,6,FALSE)</x:f>
        <x:v>0.5406771096513391</x:v>
      </x:c>
      <x:c r="I660" s="20" t="n">
        <x:f>VLOOKUP(C660,'Governorate Master'!$A$2:$Q$13,15,FALSE)</x:f>
        <x:v>0.026845637583892617</x:v>
      </x:c>
      <x:c r="J660" s="12" t="str">
        <x:v>Location model input - competition/saturation context</x:v>
      </x:c>
      <x:c r="K660" s="12" t="str">
        <x:v>Business count is from 2018 while population/context indicators are newer; use as a historical proxy, not a current market count.</x:v>
      </x:c>
    </x:row>
    <x:row r="661">
      <x:c r="A661" s="12" t="str">
        <x:v>2220</x:v>
      </x:c>
      <x:c r="B661" s="12" t="str">
        <x:v>Manufacture of plastics products</x:v>
      </x:c>
      <x:c r="C661" s="12" t="str">
        <x:v>العقبة</x:v>
      </x:c>
      <x:c r="D661" s="14" t="n">
        <x:v>2</x:v>
      </x:c>
      <x:c r="E661" s="14" t="n">
        <x:f>VLOOKUP(C661,'Governorate Master'!$A$2:$Q$13,3,FALSE)</x:f>
        <x:v>250900</x:v>
      </x:c>
      <x:c r="F661" s="66" t="n">
        <x:f>IF(E661=0,0,D661/E661*10000)</x:f>
        <x:v>0.07971303308090873</x:v>
      </x:c>
      <x:c r="G661" s="67" t="n">
        <x:f>VLOOKUP(C661,'Governorate Master'!$A$2:$Q$13,7,FALSE)</x:f>
        <x:v>36.3</x:v>
      </x:c>
      <x:c r="H661" s="20" t="n">
        <x:f>VLOOKUP(C661,'Governorate Master'!$A$2:$Q$13,6,FALSE)</x:f>
        <x:v>0.882024711040255</x:v>
      </x:c>
      <x:c r="I661" s="20" t="n">
        <x:f>VLOOKUP(C661,'Governorate Master'!$A$2:$Q$13,15,FALSE)</x:f>
        <x:v>-0.09</x:v>
      </x:c>
      <x:c r="J661" s="12" t="str">
        <x:v>Location model input - competition/saturation context</x:v>
      </x:c>
      <x:c r="K661" s="12" t="str">
        <x:v>Business count is from 2018 while population/context indicators are newer; use as a historical proxy, not a current market count.</x:v>
      </x:c>
    </x:row>
    <x:row r="662">
      <x:c r="A662" s="12" t="str">
        <x:v>2310</x:v>
      </x:c>
      <x:c r="B662" s="12" t="str">
        <x:v>Manufacture of glass and glass products</x:v>
      </x:c>
      <x:c r="C662" s="12" t="str">
        <x:v>عمان</x:v>
      </x:c>
      <x:c r="D662" s="14" t="n">
        <x:v>36</x:v>
      </x:c>
      <x:c r="E662" s="14" t="n">
        <x:f>VLOOKUP(C662,'Governorate Master'!$A$2:$Q$13,3,FALSE)</x:f>
        <x:v>5004600</x:v>
      </x:c>
      <x:c r="F662" s="66" t="n">
        <x:f>IF(E662=0,0,D662/E662*10000)</x:f>
        <x:v>0.071933820884786</x:v>
      </x:c>
      <x:c r="G662" s="67" t="n">
        <x:f>VLOOKUP(C662,'Governorate Master'!$A$2:$Q$13,7,FALSE)</x:f>
        <x:v>660.3</x:v>
      </x:c>
      <x:c r="H662" s="20" t="n">
        <x:f>VLOOKUP(C662,'Governorate Master'!$A$2:$Q$13,6,FALSE)</x:f>
        <x:v>0.9721656076409703</x:v>
      </x:c>
      <x:c r="I662" s="20" t="n">
        <x:f>VLOOKUP(C662,'Governorate Master'!$A$2:$Q$13,15,FALSE)</x:f>
        <x:v>0.06367041198501873</x:v>
      </x:c>
      <x:c r="J662" s="12" t="str">
        <x:v>Location model input - competition/saturation context</x:v>
      </x:c>
      <x:c r="K662" s="12" t="str">
        <x:v>Business count is from 2018 while population/context indicators are newer; use as a historical proxy, not a current market count.</x:v>
      </x:c>
    </x:row>
    <x:row r="663">
      <x:c r="A663" s="12" t="str">
        <x:v>2310</x:v>
      </x:c>
      <x:c r="B663" s="12" t="str">
        <x:v>Manufacture of glass and glass products</x:v>
      </x:c>
      <x:c r="C663" s="12" t="str">
        <x:v>البلقاء</x:v>
      </x:c>
      <x:c r="D663" s="14" t="n">
        <x:v>0</x:v>
      </x:c>
      <x:c r="E663" s="14" t="n">
        <x:f>VLOOKUP(C663,'Governorate Master'!$A$2:$Q$13,3,FALSE)</x:f>
        <x:v>614000</x:v>
      </x:c>
      <x:c r="F663" s="66" t="n">
        <x:f>IF(E663=0,0,D663/E663*10000)</x:f>
        <x:v>0</x:v>
      </x:c>
      <x:c r="G663" s="67" t="n">
        <x:f>VLOOKUP(C663,'Governorate Master'!$A$2:$Q$13,7,FALSE)</x:f>
        <x:v>548</x:v>
      </x:c>
      <x:c r="H663" s="20" t="n">
        <x:f>VLOOKUP(C663,'Governorate Master'!$A$2:$Q$13,6,FALSE)</x:f>
        <x:v>0.8210097719869707</x:v>
      </x:c>
      <x:c r="I663" s="20" t="n">
        <x:f>VLOOKUP(C663,'Governorate Master'!$A$2:$Q$13,15,FALSE)</x:f>
        <x:v>0.10794044665012408</x:v>
      </x:c>
      <x:c r="J663" s="12" t="str">
        <x:v>Location model input - competition/saturation context</x:v>
      </x:c>
      <x:c r="K663" s="12" t="str">
        <x:v>Business count is from 2018 while population/context indicators are newer; use as a historical proxy, not a current market count.</x:v>
      </x:c>
    </x:row>
    <x:row r="664">
      <x:c r="A664" s="12" t="str">
        <x:v>2310</x:v>
      </x:c>
      <x:c r="B664" s="12" t="str">
        <x:v>Manufacture of glass and glass products</x:v>
      </x:c>
      <x:c r="C664" s="12" t="str">
        <x:v>الزرقاء</x:v>
      </x:c>
      <x:c r="D664" s="14" t="n">
        <x:v>3</x:v>
      </x:c>
      <x:c r="E664" s="14" t="n">
        <x:f>VLOOKUP(C664,'Governorate Master'!$A$2:$Q$13,3,FALSE)</x:f>
        <x:v>1704500</x:v>
      </x:c>
      <x:c r="F664" s="66" t="n">
        <x:f>IF(E664=0,0,D664/E664*10000)</x:f>
        <x:v>0.01760046934584922</x:v>
      </x:c>
      <x:c r="G664" s="67" t="n">
        <x:f>VLOOKUP(C664,'Governorate Master'!$A$2:$Q$13,7,FALSE)</x:f>
        <x:v>358</x:v>
      </x:c>
      <x:c r="H664" s="20" t="n">
        <x:f>VLOOKUP(C664,'Governorate Master'!$A$2:$Q$13,6,FALSE)</x:f>
        <x:v>0.9636256966852449</x:v>
      </x:c>
      <x:c r="I664" s="20" t="n">
        <x:f>VLOOKUP(C664,'Governorate Master'!$A$2:$Q$13,15,FALSE)</x:f>
        <x:v>-0.06808762581409118</x:v>
      </x:c>
      <x:c r="J664" s="12" t="str">
        <x:v>Location model input - competition/saturation context</x:v>
      </x:c>
      <x:c r="K664" s="12" t="str">
        <x:v>Business count is from 2018 while population/context indicators are newer; use as a historical proxy, not a current market count.</x:v>
      </x:c>
    </x:row>
    <x:row r="665">
      <x:c r="A665" s="12" t="str">
        <x:v>2310</x:v>
      </x:c>
      <x:c r="B665" s="12" t="str">
        <x:v>Manufacture of glass and glass products</x:v>
      </x:c>
      <x:c r="C665" s="12" t="str">
        <x:v>مادبا</x:v>
      </x:c>
      <x:c r="D665" s="14" t="n">
        <x:v>0</x:v>
      </x:c>
      <x:c r="E665" s="14" t="n">
        <x:f>VLOOKUP(C665,'Governorate Master'!$A$2:$Q$13,3,FALSE)</x:f>
        <x:v>236200</x:v>
      </x:c>
      <x:c r="F665" s="66" t="n">
        <x:f>IF(E665=0,0,D665/E665*10000)</x:f>
        <x:v>0</x:v>
      </x:c>
      <x:c r="G665" s="67" t="n">
        <x:f>VLOOKUP(C665,'Governorate Master'!$A$2:$Q$13,7,FALSE)</x:f>
        <x:v>251.4</x:v>
      </x:c>
      <x:c r="H665" s="20" t="n">
        <x:f>VLOOKUP(C665,'Governorate Master'!$A$2:$Q$13,6,FALSE)</x:f>
        <x:v>0.7823878069432684</x:v>
      </x:c>
      <x:c r="I665" s="20" t="n">
        <x:f>VLOOKUP(C665,'Governorate Master'!$A$2:$Q$13,15,FALSE)</x:f>
        <x:v>-0.18823529411764706</x:v>
      </x:c>
      <x:c r="J665" s="12" t="str">
        <x:v>Location model input - competition/saturation context</x:v>
      </x:c>
      <x:c r="K665" s="12" t="str">
        <x:v>Business count is from 2018 while population/context indicators are newer; use as a historical proxy, not a current market count.</x:v>
      </x:c>
    </x:row>
    <x:row r="666">
      <x:c r="A666" s="12" t="str">
        <x:v>2310</x:v>
      </x:c>
      <x:c r="B666" s="12" t="str">
        <x:v>Manufacture of glass and glass products</x:v>
      </x:c>
      <x:c r="C666" s="12" t="str">
        <x:v>إربد</x:v>
      </x:c>
      <x:c r="D666" s="14" t="n">
        <x:v>7</x:v>
      </x:c>
      <x:c r="E666" s="14" t="n">
        <x:f>VLOOKUP(C666,'Governorate Master'!$A$2:$Q$13,3,FALSE)</x:f>
        <x:v>2210500</x:v>
      </x:c>
      <x:c r="F666" s="66" t="n">
        <x:f>IF(E666=0,0,D666/E666*10000)</x:f>
        <x:v>0.03166704365528161</x:v>
      </x:c>
      <x:c r="G666" s="67" t="n">
        <x:f>VLOOKUP(C666,'Governorate Master'!$A$2:$Q$13,7,FALSE)</x:f>
        <x:v>1406.4</x:v>
      </x:c>
      <x:c r="H666" s="20" t="n">
        <x:f>VLOOKUP(C666,'Governorate Master'!$A$2:$Q$13,6,FALSE)</x:f>
        <x:v>0.9235014702555983</x:v>
      </x:c>
      <x:c r="I666" s="20" t="n">
        <x:f>VLOOKUP(C666,'Governorate Master'!$A$2:$Q$13,15,FALSE)</x:f>
        <x:v>0.07086922474549726</x:v>
      </x:c>
      <x:c r="J666" s="12" t="str">
        <x:v>Location model input - competition/saturation context</x:v>
      </x:c>
      <x:c r="K666" s="12" t="str">
        <x:v>Business count is from 2018 while population/context indicators are newer; use as a historical proxy, not a current market count.</x:v>
      </x:c>
    </x:row>
    <x:row r="667">
      <x:c r="A667" s="12" t="str">
        <x:v>2310</x:v>
      </x:c>
      <x:c r="B667" s="12" t="str">
        <x:v>Manufacture of glass and glass products</x:v>
      </x:c>
      <x:c r="C667" s="12" t="str">
        <x:v>المفرق</x:v>
      </x:c>
      <x:c r="D667" s="14" t="n">
        <x:v>0</x:v>
      </x:c>
      <x:c r="E667" s="14" t="n">
        <x:f>VLOOKUP(C667,'Governorate Master'!$A$2:$Q$13,3,FALSE)</x:f>
        <x:v>686800</x:v>
      </x:c>
      <x:c r="F667" s="66" t="n">
        <x:f>IF(E667=0,0,D667/E667*10000)</x:f>
        <x:v>0</x:v>
      </x:c>
      <x:c r="G667" s="67" t="n">
        <x:f>VLOOKUP(C667,'Governorate Master'!$A$2:$Q$13,7,FALSE)</x:f>
        <x:v>25.9</x:v>
      </x:c>
      <x:c r="H667" s="20" t="n">
        <x:f>VLOOKUP(C667,'Governorate Master'!$A$2:$Q$13,6,FALSE)</x:f>
        <x:v>0.6965637740244612</x:v>
      </x:c>
      <x:c r="I667" s="20" t="n">
        <x:f>VLOOKUP(C667,'Governorate Master'!$A$2:$Q$13,15,FALSE)</x:f>
        <x:v>-0.016638935108153077</x:v>
      </x:c>
      <x:c r="J667" s="12" t="str">
        <x:v>Location model input - competition/saturation context</x:v>
      </x:c>
      <x:c r="K667" s="12" t="str">
        <x:v>Business count is from 2018 while population/context indicators are newer; use as a historical proxy, not a current market count.</x:v>
      </x:c>
    </x:row>
    <x:row r="668">
      <x:c r="A668" s="12" t="str">
        <x:v>2310</x:v>
      </x:c>
      <x:c r="B668" s="12" t="str">
        <x:v>Manufacture of glass and glass products</x:v>
      </x:c>
      <x:c r="C668" s="12" t="str">
        <x:v>جرش</x:v>
      </x:c>
      <x:c r="D668" s="14" t="n">
        <x:v>0</x:v>
      </x:c>
      <x:c r="E668" s="14" t="n">
        <x:f>VLOOKUP(C668,'Governorate Master'!$A$2:$Q$13,3,FALSE)</x:f>
        <x:v>296000</x:v>
      </x:c>
      <x:c r="F668" s="66" t="n">
        <x:f>IF(E668=0,0,D668/E668*10000)</x:f>
        <x:v>0</x:v>
      </x:c>
      <x:c r="G668" s="67" t="n">
        <x:f>VLOOKUP(C668,'Governorate Master'!$A$2:$Q$13,7,FALSE)</x:f>
        <x:v>722.3</x:v>
      </x:c>
      <x:c r="H668" s="20" t="n">
        <x:f>VLOOKUP(C668,'Governorate Master'!$A$2:$Q$13,6,FALSE)</x:f>
        <x:v>0.7695945945945946</x:v>
      </x:c>
      <x:c r="I668" s="20" t="n">
        <x:f>VLOOKUP(C668,'Governorate Master'!$A$2:$Q$13,15,FALSE)</x:f>
        <x:v>-0.06527415143603134</x:v>
      </x:c>
      <x:c r="J668" s="12" t="str">
        <x:v>Location model input - competition/saturation context</x:v>
      </x:c>
      <x:c r="K668" s="12" t="str">
        <x:v>Business count is from 2018 while population/context indicators are newer; use as a historical proxy, not a current market count.</x:v>
      </x:c>
    </x:row>
    <x:row r="669">
      <x:c r="A669" s="12" t="str">
        <x:v>2310</x:v>
      </x:c>
      <x:c r="B669" s="12" t="str">
        <x:v>Manufacture of glass and glass products</x:v>
      </x:c>
      <x:c r="C669" s="12" t="str">
        <x:v>عجلون</x:v>
      </x:c>
      <x:c r="D669" s="14" t="n">
        <x:v>0</x:v>
      </x:c>
      <x:c r="E669" s="14" t="n">
        <x:f>VLOOKUP(C669,'Governorate Master'!$A$2:$Q$13,3,FALSE)</x:f>
        <x:v>219900</x:v>
      </x:c>
      <x:c r="F669" s="66" t="n">
        <x:f>IF(E669=0,0,D669/E669*10000)</x:f>
        <x:v>0</x:v>
      </x:c>
      <x:c r="G669" s="67" t="n">
        <x:f>VLOOKUP(C669,'Governorate Master'!$A$2:$Q$13,7,FALSE)</x:f>
        <x:v>524</x:v>
      </x:c>
      <x:c r="H669" s="20" t="n">
        <x:f>VLOOKUP(C669,'Governorate Master'!$A$2:$Q$13,6,FALSE)</x:f>
        <x:v>0.8390177353342428</x:v>
      </x:c>
      <x:c r="I669" s="20" t="n">
        <x:f>VLOOKUP(C669,'Governorate Master'!$A$2:$Q$13,15,FALSE)</x:f>
        <x:v>0.03614457831325301</x:v>
      </x:c>
      <x:c r="J669" s="12" t="str">
        <x:v>Location model input - competition/saturation context</x:v>
      </x:c>
      <x:c r="K669" s="12" t="str">
        <x:v>Business count is from 2018 while population/context indicators are newer; use as a historical proxy, not a current market count.</x:v>
      </x:c>
    </x:row>
    <x:row r="670">
      <x:c r="A670" s="12" t="str">
        <x:v>2310</x:v>
      </x:c>
      <x:c r="B670" s="12" t="str">
        <x:v>Manufacture of glass and glass products</x:v>
      </x:c>
      <x:c r="C670" s="12" t="str">
        <x:v>الكرك</x:v>
      </x:c>
      <x:c r="D670" s="14" t="n">
        <x:v>3</x:v>
      </x:c>
      <x:c r="E670" s="14" t="n">
        <x:f>VLOOKUP(C670,'Governorate Master'!$A$2:$Q$13,3,FALSE)</x:f>
        <x:v>395400</x:v>
      </x:c>
      <x:c r="F670" s="66" t="n">
        <x:f>IF(E670=0,0,D670/E670*10000)</x:f>
        <x:v>0.07587253414264036</x:v>
      </x:c>
      <x:c r="G670" s="67" t="n">
        <x:f>VLOOKUP(C670,'Governorate Master'!$A$2:$Q$13,7,FALSE)</x:f>
        <x:v>113.1</x:v>
      </x:c>
      <x:c r="H670" s="20" t="n">
        <x:f>VLOOKUP(C670,'Governorate Master'!$A$2:$Q$13,6,FALSE)</x:f>
        <x:v>0.5912999494183105</x:v>
      </x:c>
      <x:c r="I670" s="20" t="n">
        <x:f>VLOOKUP(C670,'Governorate Master'!$A$2:$Q$13,15,FALSE)</x:f>
        <x:v>0.08710801393728224</x:v>
      </x:c>
      <x:c r="J670" s="12" t="str">
        <x:v>Location model input - competition/saturation context</x:v>
      </x:c>
      <x:c r="K670" s="12" t="str">
        <x:v>Business count is from 2018 while population/context indicators are newer; use as a historical proxy, not a current market count.</x:v>
      </x:c>
    </x:row>
    <x:row r="671">
      <x:c r="A671" s="12" t="str">
        <x:v>2310</x:v>
      </x:c>
      <x:c r="B671" s="12" t="str">
        <x:v>Manufacture of glass and glass products</x:v>
      </x:c>
      <x:c r="C671" s="12" t="str">
        <x:v>الطفيلة</x:v>
      </x:c>
      <x:c r="D671" s="14" t="n">
        <x:v>0</x:v>
      </x:c>
      <x:c r="E671" s="14" t="n">
        <x:f>VLOOKUP(C671,'Governorate Master'!$A$2:$Q$13,3,FALSE)</x:f>
        <x:v>120300</x:v>
      </x:c>
      <x:c r="F671" s="66" t="n">
        <x:f>IF(E671=0,0,D671/E671*10000)</x:f>
        <x:v>0</x:v>
      </x:c>
      <x:c r="G671" s="67" t="n">
        <x:f>VLOOKUP(C671,'Governorate Master'!$A$2:$Q$13,7,FALSE)</x:f>
        <x:v>54.4</x:v>
      </x:c>
      <x:c r="H671" s="20" t="n">
        <x:f>VLOOKUP(C671,'Governorate Master'!$A$2:$Q$13,6,FALSE)</x:f>
        <x:v>0.7797173732335827</x:v>
      </x:c>
      <x:c r="I671" s="20" t="n">
        <x:f>VLOOKUP(C671,'Governorate Master'!$A$2:$Q$13,15,FALSE)</x:f>
        <x:v>0.18452380952380953</x:v>
      </x:c>
      <x:c r="J671" s="12" t="str">
        <x:v>Location model input - competition/saturation context</x:v>
      </x:c>
      <x:c r="K671" s="12" t="str">
        <x:v>Business count is from 2018 while population/context indicators are newer; use as a historical proxy, not a current market count.</x:v>
      </x:c>
    </x:row>
    <x:row r="672">
      <x:c r="A672" s="12" t="str">
        <x:v>2310</x:v>
      </x:c>
      <x:c r="B672" s="12" t="str">
        <x:v>Manufacture of glass and glass products</x:v>
      </x:c>
      <x:c r="C672" s="12" t="str">
        <x:v>معان</x:v>
      </x:c>
      <x:c r="D672" s="14" t="n">
        <x:v>1</x:v>
      </x:c>
      <x:c r="E672" s="14" t="n">
        <x:f>VLOOKUP(C672,'Governorate Master'!$A$2:$Q$13,3,FALSE)</x:f>
        <x:v>197900</x:v>
      </x:c>
      <x:c r="F672" s="66" t="n">
        <x:f>IF(E672=0,0,D672/E672*10000)</x:f>
        <x:v>0.05053057099545225</x:v>
      </x:c>
      <x:c r="G672" s="67" t="n">
        <x:f>VLOOKUP(C672,'Governorate Master'!$A$2:$Q$13,7,FALSE)</x:f>
        <x:v>6</x:v>
      </x:c>
      <x:c r="H672" s="20" t="n">
        <x:f>VLOOKUP(C672,'Governorate Master'!$A$2:$Q$13,6,FALSE)</x:f>
        <x:v>0.5406771096513391</x:v>
      </x:c>
      <x:c r="I672" s="20" t="n">
        <x:f>VLOOKUP(C672,'Governorate Master'!$A$2:$Q$13,15,FALSE)</x:f>
        <x:v>0.026845637583892617</x:v>
      </x:c>
      <x:c r="J672" s="12" t="str">
        <x:v>Location model input - competition/saturation context</x:v>
      </x:c>
      <x:c r="K672" s="12" t="str">
        <x:v>Business count is from 2018 while population/context indicators are newer; use as a historical proxy, not a current market count.</x:v>
      </x:c>
    </x:row>
    <x:row r="673">
      <x:c r="A673" s="12" t="str">
        <x:v>2310</x:v>
      </x:c>
      <x:c r="B673" s="12" t="str">
        <x:v>Manufacture of glass and glass products</x:v>
      </x:c>
      <x:c r="C673" s="12" t="str">
        <x:v>العقبة</x:v>
      </x:c>
      <x:c r="D673" s="14" t="n">
        <x:v>2</x:v>
      </x:c>
      <x:c r="E673" s="14" t="n">
        <x:f>VLOOKUP(C673,'Governorate Master'!$A$2:$Q$13,3,FALSE)</x:f>
        <x:v>250900</x:v>
      </x:c>
      <x:c r="F673" s="66" t="n">
        <x:f>IF(E673=0,0,D673/E673*10000)</x:f>
        <x:v>0.07971303308090873</x:v>
      </x:c>
      <x:c r="G673" s="67" t="n">
        <x:f>VLOOKUP(C673,'Governorate Master'!$A$2:$Q$13,7,FALSE)</x:f>
        <x:v>36.3</x:v>
      </x:c>
      <x:c r="H673" s="20" t="n">
        <x:f>VLOOKUP(C673,'Governorate Master'!$A$2:$Q$13,6,FALSE)</x:f>
        <x:v>0.882024711040255</x:v>
      </x:c>
      <x:c r="I673" s="20" t="n">
        <x:f>VLOOKUP(C673,'Governorate Master'!$A$2:$Q$13,15,FALSE)</x:f>
        <x:v>-0.09</x:v>
      </x:c>
      <x:c r="J673" s="12" t="str">
        <x:v>Location model input - competition/saturation context</x:v>
      </x:c>
      <x:c r="K673" s="12" t="str">
        <x:v>Business count is from 2018 while population/context indicators are newer; use as a historical proxy, not a current market count.</x:v>
      </x:c>
    </x:row>
    <x:row r="674">
      <x:c r="A674" s="12" t="str">
        <x:v>2391</x:v>
      </x:c>
      <x:c r="B674" s="12" t="str">
        <x:v>Manufacture of refractory products</x:v>
      </x:c>
      <x:c r="C674" s="12" t="str">
        <x:v>عمان</x:v>
      </x:c>
      <x:c r="D674" s="14" t="n">
        <x:v>4</x:v>
      </x:c>
      <x:c r="E674" s="14" t="n">
        <x:f>VLOOKUP(C674,'Governorate Master'!$A$2:$Q$13,3,FALSE)</x:f>
        <x:v>5004600</x:v>
      </x:c>
      <x:c r="F674" s="66" t="n">
        <x:f>IF(E674=0,0,D674/E674*10000)</x:f>
        <x:v>0.007992646764976222</x:v>
      </x:c>
      <x:c r="G674" s="67" t="n">
        <x:f>VLOOKUP(C674,'Governorate Master'!$A$2:$Q$13,7,FALSE)</x:f>
        <x:v>660.3</x:v>
      </x:c>
      <x:c r="H674" s="20" t="n">
        <x:f>VLOOKUP(C674,'Governorate Master'!$A$2:$Q$13,6,FALSE)</x:f>
        <x:v>0.9721656076409703</x:v>
      </x:c>
      <x:c r="I674" s="20" t="n">
        <x:f>VLOOKUP(C674,'Governorate Master'!$A$2:$Q$13,15,FALSE)</x:f>
        <x:v>0.06367041198501873</x:v>
      </x:c>
      <x:c r="J674" s="12" t="str">
        <x:v>Location model input - competition/saturation context</x:v>
      </x:c>
      <x:c r="K674" s="12" t="str">
        <x:v>Business count is from 2018 while population/context indicators are newer; use as a historical proxy, not a current market count.</x:v>
      </x:c>
    </x:row>
    <x:row r="675">
      <x:c r="A675" s="12" t="str">
        <x:v>2391</x:v>
      </x:c>
      <x:c r="B675" s="12" t="str">
        <x:v>Manufacture of refractory products</x:v>
      </x:c>
      <x:c r="C675" s="12" t="str">
        <x:v>البلقاء</x:v>
      </x:c>
      <x:c r="D675" s="14" t="n">
        <x:v>0</x:v>
      </x:c>
      <x:c r="E675" s="14" t="n">
        <x:f>VLOOKUP(C675,'Governorate Master'!$A$2:$Q$13,3,FALSE)</x:f>
        <x:v>614000</x:v>
      </x:c>
      <x:c r="F675" s="66" t="n">
        <x:f>IF(E675=0,0,D675/E675*10000)</x:f>
        <x:v>0</x:v>
      </x:c>
      <x:c r="G675" s="67" t="n">
        <x:f>VLOOKUP(C675,'Governorate Master'!$A$2:$Q$13,7,FALSE)</x:f>
        <x:v>548</x:v>
      </x:c>
      <x:c r="H675" s="20" t="n">
        <x:f>VLOOKUP(C675,'Governorate Master'!$A$2:$Q$13,6,FALSE)</x:f>
        <x:v>0.8210097719869707</x:v>
      </x:c>
      <x:c r="I675" s="20" t="n">
        <x:f>VLOOKUP(C675,'Governorate Master'!$A$2:$Q$13,15,FALSE)</x:f>
        <x:v>0.10794044665012408</x:v>
      </x:c>
      <x:c r="J675" s="12" t="str">
        <x:v>Location model input - competition/saturation context</x:v>
      </x:c>
      <x:c r="K675" s="12" t="str">
        <x:v>Business count is from 2018 while population/context indicators are newer; use as a historical proxy, not a current market count.</x:v>
      </x:c>
    </x:row>
    <x:row r="676">
      <x:c r="A676" s="12" t="str">
        <x:v>2391</x:v>
      </x:c>
      <x:c r="B676" s="12" t="str">
        <x:v>Manufacture of refractory products</x:v>
      </x:c>
      <x:c r="C676" s="12" t="str">
        <x:v>الزرقاء</x:v>
      </x:c>
      <x:c r="D676" s="14" t="n">
        <x:v>2</x:v>
      </x:c>
      <x:c r="E676" s="14" t="n">
        <x:f>VLOOKUP(C676,'Governorate Master'!$A$2:$Q$13,3,FALSE)</x:f>
        <x:v>1704500</x:v>
      </x:c>
      <x:c r="F676" s="66" t="n">
        <x:f>IF(E676=0,0,D676/E676*10000)</x:f>
        <x:v>0.011733646230566148</x:v>
      </x:c>
      <x:c r="G676" s="67" t="n">
        <x:f>VLOOKUP(C676,'Governorate Master'!$A$2:$Q$13,7,FALSE)</x:f>
        <x:v>358</x:v>
      </x:c>
      <x:c r="H676" s="20" t="n">
        <x:f>VLOOKUP(C676,'Governorate Master'!$A$2:$Q$13,6,FALSE)</x:f>
        <x:v>0.9636256966852449</x:v>
      </x:c>
      <x:c r="I676" s="20" t="n">
        <x:f>VLOOKUP(C676,'Governorate Master'!$A$2:$Q$13,15,FALSE)</x:f>
        <x:v>-0.06808762581409118</x:v>
      </x:c>
      <x:c r="J676" s="12" t="str">
        <x:v>Location model input - competition/saturation context</x:v>
      </x:c>
      <x:c r="K676" s="12" t="str">
        <x:v>Business count is from 2018 while population/context indicators are newer; use as a historical proxy, not a current market count.</x:v>
      </x:c>
    </x:row>
    <x:row r="677">
      <x:c r="A677" s="12" t="str">
        <x:v>2391</x:v>
      </x:c>
      <x:c r="B677" s="12" t="str">
        <x:v>Manufacture of refractory products</x:v>
      </x:c>
      <x:c r="C677" s="12" t="str">
        <x:v>مادبا</x:v>
      </x:c>
      <x:c r="D677" s="14" t="n">
        <x:v>1</x:v>
      </x:c>
      <x:c r="E677" s="14" t="n">
        <x:f>VLOOKUP(C677,'Governorate Master'!$A$2:$Q$13,3,FALSE)</x:f>
        <x:v>236200</x:v>
      </x:c>
      <x:c r="F677" s="66" t="n">
        <x:f>IF(E677=0,0,D677/E677*10000)</x:f>
        <x:v>0.04233700254022015</x:v>
      </x:c>
      <x:c r="G677" s="67" t="n">
        <x:f>VLOOKUP(C677,'Governorate Master'!$A$2:$Q$13,7,FALSE)</x:f>
        <x:v>251.4</x:v>
      </x:c>
      <x:c r="H677" s="20" t="n">
        <x:f>VLOOKUP(C677,'Governorate Master'!$A$2:$Q$13,6,FALSE)</x:f>
        <x:v>0.7823878069432684</x:v>
      </x:c>
      <x:c r="I677" s="20" t="n">
        <x:f>VLOOKUP(C677,'Governorate Master'!$A$2:$Q$13,15,FALSE)</x:f>
        <x:v>-0.18823529411764706</x:v>
      </x:c>
      <x:c r="J677" s="12" t="str">
        <x:v>Location model input - competition/saturation context</x:v>
      </x:c>
      <x:c r="K677" s="12" t="str">
        <x:v>Business count is from 2018 while population/context indicators are newer; use as a historical proxy, not a current market count.</x:v>
      </x:c>
    </x:row>
    <x:row r="678">
      <x:c r="A678" s="12" t="str">
        <x:v>2391</x:v>
      </x:c>
      <x:c r="B678" s="12" t="str">
        <x:v>Manufacture of refractory products</x:v>
      </x:c>
      <x:c r="C678" s="12" t="str">
        <x:v>إربد</x:v>
      </x:c>
      <x:c r="D678" s="14" t="n">
        <x:v>2</x:v>
      </x:c>
      <x:c r="E678" s="14" t="n">
        <x:f>VLOOKUP(C678,'Governorate Master'!$A$2:$Q$13,3,FALSE)</x:f>
        <x:v>2210500</x:v>
      </x:c>
      <x:c r="F678" s="66" t="n">
        <x:f>IF(E678=0,0,D678/E678*10000)</x:f>
        <x:v>0.009047726758651889</x:v>
      </x:c>
      <x:c r="G678" s="67" t="n">
        <x:f>VLOOKUP(C678,'Governorate Master'!$A$2:$Q$13,7,FALSE)</x:f>
        <x:v>1406.4</x:v>
      </x:c>
      <x:c r="H678" s="20" t="n">
        <x:f>VLOOKUP(C678,'Governorate Master'!$A$2:$Q$13,6,FALSE)</x:f>
        <x:v>0.9235014702555983</x:v>
      </x:c>
      <x:c r="I678" s="20" t="n">
        <x:f>VLOOKUP(C678,'Governorate Master'!$A$2:$Q$13,15,FALSE)</x:f>
        <x:v>0.07086922474549726</x:v>
      </x:c>
      <x:c r="J678" s="12" t="str">
        <x:v>Location model input - competition/saturation context</x:v>
      </x:c>
      <x:c r="K678" s="12" t="str">
        <x:v>Business count is from 2018 while population/context indicators are newer; use as a historical proxy, not a current market count.</x:v>
      </x:c>
    </x:row>
    <x:row r="679">
      <x:c r="A679" s="12" t="str">
        <x:v>2391</x:v>
      </x:c>
      <x:c r="B679" s="12" t="str">
        <x:v>Manufacture of refractory products</x:v>
      </x:c>
      <x:c r="C679" s="12" t="str">
        <x:v>المفرق</x:v>
      </x:c>
      <x:c r="D679" s="14" t="n">
        <x:v>0</x:v>
      </x:c>
      <x:c r="E679" s="14" t="n">
        <x:f>VLOOKUP(C679,'Governorate Master'!$A$2:$Q$13,3,FALSE)</x:f>
        <x:v>686800</x:v>
      </x:c>
      <x:c r="F679" s="66" t="n">
        <x:f>IF(E679=0,0,D679/E679*10000)</x:f>
        <x:v>0</x:v>
      </x:c>
      <x:c r="G679" s="67" t="n">
        <x:f>VLOOKUP(C679,'Governorate Master'!$A$2:$Q$13,7,FALSE)</x:f>
        <x:v>25.9</x:v>
      </x:c>
      <x:c r="H679" s="20" t="n">
        <x:f>VLOOKUP(C679,'Governorate Master'!$A$2:$Q$13,6,FALSE)</x:f>
        <x:v>0.6965637740244612</x:v>
      </x:c>
      <x:c r="I679" s="20" t="n">
        <x:f>VLOOKUP(C679,'Governorate Master'!$A$2:$Q$13,15,FALSE)</x:f>
        <x:v>-0.016638935108153077</x:v>
      </x:c>
      <x:c r="J679" s="12" t="str">
        <x:v>Location model input - competition/saturation context</x:v>
      </x:c>
      <x:c r="K679" s="12" t="str">
        <x:v>Business count is from 2018 while population/context indicators are newer; use as a historical proxy, not a current market count.</x:v>
      </x:c>
    </x:row>
    <x:row r="680">
      <x:c r="A680" s="12" t="str">
        <x:v>2391</x:v>
      </x:c>
      <x:c r="B680" s="12" t="str">
        <x:v>Manufacture of refractory products</x:v>
      </x:c>
      <x:c r="C680" s="12" t="str">
        <x:v>جرش</x:v>
      </x:c>
      <x:c r="D680" s="14" t="n">
        <x:v>0</x:v>
      </x:c>
      <x:c r="E680" s="14" t="n">
        <x:f>VLOOKUP(C680,'Governorate Master'!$A$2:$Q$13,3,FALSE)</x:f>
        <x:v>296000</x:v>
      </x:c>
      <x:c r="F680" s="66" t="n">
        <x:f>IF(E680=0,0,D680/E680*10000)</x:f>
        <x:v>0</x:v>
      </x:c>
      <x:c r="G680" s="67" t="n">
        <x:f>VLOOKUP(C680,'Governorate Master'!$A$2:$Q$13,7,FALSE)</x:f>
        <x:v>722.3</x:v>
      </x:c>
      <x:c r="H680" s="20" t="n">
        <x:f>VLOOKUP(C680,'Governorate Master'!$A$2:$Q$13,6,FALSE)</x:f>
        <x:v>0.7695945945945946</x:v>
      </x:c>
      <x:c r="I680" s="20" t="n">
        <x:f>VLOOKUP(C680,'Governorate Master'!$A$2:$Q$13,15,FALSE)</x:f>
        <x:v>-0.06527415143603134</x:v>
      </x:c>
      <x:c r="J680" s="12" t="str">
        <x:v>Location model input - competition/saturation context</x:v>
      </x:c>
      <x:c r="K680" s="12" t="str">
        <x:v>Business count is from 2018 while population/context indicators are newer; use as a historical proxy, not a current market count.</x:v>
      </x:c>
    </x:row>
    <x:row r="681">
      <x:c r="A681" s="12" t="str">
        <x:v>2391</x:v>
      </x:c>
      <x:c r="B681" s="12" t="str">
        <x:v>Manufacture of refractory products</x:v>
      </x:c>
      <x:c r="C681" s="12" t="str">
        <x:v>عجلون</x:v>
      </x:c>
      <x:c r="D681" s="14" t="n">
        <x:v>1</x:v>
      </x:c>
      <x:c r="E681" s="14" t="n">
        <x:f>VLOOKUP(C681,'Governorate Master'!$A$2:$Q$13,3,FALSE)</x:f>
        <x:v>219900</x:v>
      </x:c>
      <x:c r="F681" s="66" t="n">
        <x:f>IF(E681=0,0,D681/E681*10000)</x:f>
        <x:v>0.04547521600727603</x:v>
      </x:c>
      <x:c r="G681" s="67" t="n">
        <x:f>VLOOKUP(C681,'Governorate Master'!$A$2:$Q$13,7,FALSE)</x:f>
        <x:v>524</x:v>
      </x:c>
      <x:c r="H681" s="20" t="n">
        <x:f>VLOOKUP(C681,'Governorate Master'!$A$2:$Q$13,6,FALSE)</x:f>
        <x:v>0.8390177353342428</x:v>
      </x:c>
      <x:c r="I681" s="20" t="n">
        <x:f>VLOOKUP(C681,'Governorate Master'!$A$2:$Q$13,15,FALSE)</x:f>
        <x:v>0.03614457831325301</x:v>
      </x:c>
      <x:c r="J681" s="12" t="str">
        <x:v>Location model input - competition/saturation context</x:v>
      </x:c>
      <x:c r="K681" s="12" t="str">
        <x:v>Business count is from 2018 while population/context indicators are newer; use as a historical proxy, not a current market count.</x:v>
      </x:c>
    </x:row>
    <x:row r="682">
      <x:c r="A682" s="12" t="str">
        <x:v>2391</x:v>
      </x:c>
      <x:c r="B682" s="12" t="str">
        <x:v>Manufacture of refractory products</x:v>
      </x:c>
      <x:c r="C682" s="12" t="str">
        <x:v>الكرك</x:v>
      </x:c>
      <x:c r="D682" s="14" t="n">
        <x:v>1</x:v>
      </x:c>
      <x:c r="E682" s="14" t="n">
        <x:f>VLOOKUP(C682,'Governorate Master'!$A$2:$Q$13,3,FALSE)</x:f>
        <x:v>395400</x:v>
      </x:c>
      <x:c r="F682" s="66" t="n">
        <x:f>IF(E682=0,0,D682/E682*10000)</x:f>
        <x:v>0.025290844714213452</x:v>
      </x:c>
      <x:c r="G682" s="67" t="n">
        <x:f>VLOOKUP(C682,'Governorate Master'!$A$2:$Q$13,7,FALSE)</x:f>
        <x:v>113.1</x:v>
      </x:c>
      <x:c r="H682" s="20" t="n">
        <x:f>VLOOKUP(C682,'Governorate Master'!$A$2:$Q$13,6,FALSE)</x:f>
        <x:v>0.5912999494183105</x:v>
      </x:c>
      <x:c r="I682" s="20" t="n">
        <x:f>VLOOKUP(C682,'Governorate Master'!$A$2:$Q$13,15,FALSE)</x:f>
        <x:v>0.08710801393728224</x:v>
      </x:c>
      <x:c r="J682" s="12" t="str">
        <x:v>Location model input - competition/saturation context</x:v>
      </x:c>
      <x:c r="K682" s="12" t="str">
        <x:v>Business count is from 2018 while population/context indicators are newer; use as a historical proxy, not a current market count.</x:v>
      </x:c>
    </x:row>
    <x:row r="683">
      <x:c r="A683" s="12" t="str">
        <x:v>2391</x:v>
      </x:c>
      <x:c r="B683" s="12" t="str">
        <x:v>Manufacture of refractory products</x:v>
      </x:c>
      <x:c r="C683" s="12" t="str">
        <x:v>الطفيلة</x:v>
      </x:c>
      <x:c r="D683" s="14" t="n">
        <x:v>0</x:v>
      </x:c>
      <x:c r="E683" s="14" t="n">
        <x:f>VLOOKUP(C683,'Governorate Master'!$A$2:$Q$13,3,FALSE)</x:f>
        <x:v>120300</x:v>
      </x:c>
      <x:c r="F683" s="66" t="n">
        <x:f>IF(E683=0,0,D683/E683*10000)</x:f>
        <x:v>0</x:v>
      </x:c>
      <x:c r="G683" s="67" t="n">
        <x:f>VLOOKUP(C683,'Governorate Master'!$A$2:$Q$13,7,FALSE)</x:f>
        <x:v>54.4</x:v>
      </x:c>
      <x:c r="H683" s="20" t="n">
        <x:f>VLOOKUP(C683,'Governorate Master'!$A$2:$Q$13,6,FALSE)</x:f>
        <x:v>0.7797173732335827</x:v>
      </x:c>
      <x:c r="I683" s="20" t="n">
        <x:f>VLOOKUP(C683,'Governorate Master'!$A$2:$Q$13,15,FALSE)</x:f>
        <x:v>0.18452380952380953</x:v>
      </x:c>
      <x:c r="J683" s="12" t="str">
        <x:v>Location model input - competition/saturation context</x:v>
      </x:c>
      <x:c r="K683" s="12" t="str">
        <x:v>Business count is from 2018 while population/context indicators are newer; use as a historical proxy, not a current market count.</x:v>
      </x:c>
    </x:row>
    <x:row r="684">
      <x:c r="A684" s="12" t="str">
        <x:v>2391</x:v>
      </x:c>
      <x:c r="B684" s="12" t="str">
        <x:v>Manufacture of refractory products</x:v>
      </x:c>
      <x:c r="C684" s="12" t="str">
        <x:v>معان</x:v>
      </x:c>
      <x:c r="D684" s="14" t="n">
        <x:v>0</x:v>
      </x:c>
      <x:c r="E684" s="14" t="n">
        <x:f>VLOOKUP(C684,'Governorate Master'!$A$2:$Q$13,3,FALSE)</x:f>
        <x:v>197900</x:v>
      </x:c>
      <x:c r="F684" s="66" t="n">
        <x:f>IF(E684=0,0,D684/E684*10000)</x:f>
        <x:v>0</x:v>
      </x:c>
      <x:c r="G684" s="67" t="n">
        <x:f>VLOOKUP(C684,'Governorate Master'!$A$2:$Q$13,7,FALSE)</x:f>
        <x:v>6</x:v>
      </x:c>
      <x:c r="H684" s="20" t="n">
        <x:f>VLOOKUP(C684,'Governorate Master'!$A$2:$Q$13,6,FALSE)</x:f>
        <x:v>0.5406771096513391</x:v>
      </x:c>
      <x:c r="I684" s="20" t="n">
        <x:f>VLOOKUP(C684,'Governorate Master'!$A$2:$Q$13,15,FALSE)</x:f>
        <x:v>0.026845637583892617</x:v>
      </x:c>
      <x:c r="J684" s="12" t="str">
        <x:v>Location model input - competition/saturation context</x:v>
      </x:c>
      <x:c r="K684" s="12" t="str">
        <x:v>Business count is from 2018 while population/context indicators are newer; use as a historical proxy, not a current market count.</x:v>
      </x:c>
    </x:row>
    <x:row r="685">
      <x:c r="A685" s="12" t="str">
        <x:v>2391</x:v>
      </x:c>
      <x:c r="B685" s="12" t="str">
        <x:v>Manufacture of refractory products</x:v>
      </x:c>
      <x:c r="C685" s="12" t="str">
        <x:v>العقبة</x:v>
      </x:c>
      <x:c r="D685" s="14" t="n">
        <x:v>0</x:v>
      </x:c>
      <x:c r="E685" s="14" t="n">
        <x:f>VLOOKUP(C685,'Governorate Master'!$A$2:$Q$13,3,FALSE)</x:f>
        <x:v>250900</x:v>
      </x:c>
      <x:c r="F685" s="66" t="n">
        <x:f>IF(E685=0,0,D685/E685*10000)</x:f>
        <x:v>0</x:v>
      </x:c>
      <x:c r="G685" s="67" t="n">
        <x:f>VLOOKUP(C685,'Governorate Master'!$A$2:$Q$13,7,FALSE)</x:f>
        <x:v>36.3</x:v>
      </x:c>
      <x:c r="H685" s="20" t="n">
        <x:f>VLOOKUP(C685,'Governorate Master'!$A$2:$Q$13,6,FALSE)</x:f>
        <x:v>0.882024711040255</x:v>
      </x:c>
      <x:c r="I685" s="20" t="n">
        <x:f>VLOOKUP(C685,'Governorate Master'!$A$2:$Q$13,15,FALSE)</x:f>
        <x:v>-0.09</x:v>
      </x:c>
      <x:c r="J685" s="12" t="str">
        <x:v>Location model input - competition/saturation context</x:v>
      </x:c>
      <x:c r="K685" s="12" t="str">
        <x:v>Business count is from 2018 while population/context indicators are newer; use as a historical proxy, not a current market count.</x:v>
      </x:c>
    </x:row>
    <x:row r="686">
      <x:c r="A686" s="12" t="str">
        <x:v>2392</x:v>
      </x:c>
      <x:c r="B686" s="12" t="str">
        <x:v>Manufacture of clay building materials</x:v>
      </x:c>
      <x:c r="C686" s="12" t="str">
        <x:v>عمان</x:v>
      </x:c>
      <x:c r="D686" s="14" t="n">
        <x:v>1</x:v>
      </x:c>
      <x:c r="E686" s="14" t="n">
        <x:f>VLOOKUP(C686,'Governorate Master'!$A$2:$Q$13,3,FALSE)</x:f>
        <x:v>5004600</x:v>
      </x:c>
      <x:c r="F686" s="66" t="n">
        <x:f>IF(E686=0,0,D686/E686*10000)</x:f>
        <x:v>0.0019981616912440555</x:v>
      </x:c>
      <x:c r="G686" s="67" t="n">
        <x:f>VLOOKUP(C686,'Governorate Master'!$A$2:$Q$13,7,FALSE)</x:f>
        <x:v>660.3</x:v>
      </x:c>
      <x:c r="H686" s="20" t="n">
        <x:f>VLOOKUP(C686,'Governorate Master'!$A$2:$Q$13,6,FALSE)</x:f>
        <x:v>0.9721656076409703</x:v>
      </x:c>
      <x:c r="I686" s="20" t="n">
        <x:f>VLOOKUP(C686,'Governorate Master'!$A$2:$Q$13,15,FALSE)</x:f>
        <x:v>0.06367041198501873</x:v>
      </x:c>
      <x:c r="J686" s="12" t="str">
        <x:v>Location model input - competition/saturation context</x:v>
      </x:c>
      <x:c r="K686" s="12" t="str">
        <x:v>Business count is from 2018 while population/context indicators are newer; use as a historical proxy, not a current market count.</x:v>
      </x:c>
    </x:row>
    <x:row r="687">
      <x:c r="A687" s="12" t="str">
        <x:v>2392</x:v>
      </x:c>
      <x:c r="B687" s="12" t="str">
        <x:v>Manufacture of clay building materials</x:v>
      </x:c>
      <x:c r="C687" s="12" t="str">
        <x:v>البلقاء</x:v>
      </x:c>
      <x:c r="D687" s="14" t="n">
        <x:v>1</x:v>
      </x:c>
      <x:c r="E687" s="14" t="n">
        <x:f>VLOOKUP(C687,'Governorate Master'!$A$2:$Q$13,3,FALSE)</x:f>
        <x:v>614000</x:v>
      </x:c>
      <x:c r="F687" s="66" t="n">
        <x:f>IF(E687=0,0,D687/E687*10000)</x:f>
        <x:v>0.016286644951140065</x:v>
      </x:c>
      <x:c r="G687" s="67" t="n">
        <x:f>VLOOKUP(C687,'Governorate Master'!$A$2:$Q$13,7,FALSE)</x:f>
        <x:v>548</x:v>
      </x:c>
      <x:c r="H687" s="20" t="n">
        <x:f>VLOOKUP(C687,'Governorate Master'!$A$2:$Q$13,6,FALSE)</x:f>
        <x:v>0.8210097719869707</x:v>
      </x:c>
      <x:c r="I687" s="20" t="n">
        <x:f>VLOOKUP(C687,'Governorate Master'!$A$2:$Q$13,15,FALSE)</x:f>
        <x:v>0.10794044665012408</x:v>
      </x:c>
      <x:c r="J687" s="12" t="str">
        <x:v>Location model input - competition/saturation context</x:v>
      </x:c>
      <x:c r="K687" s="12" t="str">
        <x:v>Business count is from 2018 while population/context indicators are newer; use as a historical proxy, not a current market count.</x:v>
      </x:c>
    </x:row>
    <x:row r="688">
      <x:c r="A688" s="12" t="str">
        <x:v>2392</x:v>
      </x:c>
      <x:c r="B688" s="12" t="str">
        <x:v>Manufacture of clay building materials</x:v>
      </x:c>
      <x:c r="C688" s="12" t="str">
        <x:v>الزرقاء</x:v>
      </x:c>
      <x:c r="D688" s="14" t="n">
        <x:v>1</x:v>
      </x:c>
      <x:c r="E688" s="14" t="n">
        <x:f>VLOOKUP(C688,'Governorate Master'!$A$2:$Q$13,3,FALSE)</x:f>
        <x:v>1704500</x:v>
      </x:c>
      <x:c r="F688" s="66" t="n">
        <x:f>IF(E688=0,0,D688/E688*10000)</x:f>
        <x:v>0.005866823115283074</x:v>
      </x:c>
      <x:c r="G688" s="67" t="n">
        <x:f>VLOOKUP(C688,'Governorate Master'!$A$2:$Q$13,7,FALSE)</x:f>
        <x:v>358</x:v>
      </x:c>
      <x:c r="H688" s="20" t="n">
        <x:f>VLOOKUP(C688,'Governorate Master'!$A$2:$Q$13,6,FALSE)</x:f>
        <x:v>0.9636256966852449</x:v>
      </x:c>
      <x:c r="I688" s="20" t="n">
        <x:f>VLOOKUP(C688,'Governorate Master'!$A$2:$Q$13,15,FALSE)</x:f>
        <x:v>-0.06808762581409118</x:v>
      </x:c>
      <x:c r="J688" s="12" t="str">
        <x:v>Location model input - competition/saturation context</x:v>
      </x:c>
      <x:c r="K688" s="12" t="str">
        <x:v>Business count is from 2018 while population/context indicators are newer; use as a historical proxy, not a current market count.</x:v>
      </x:c>
    </x:row>
    <x:row r="689">
      <x:c r="A689" s="12" t="str">
        <x:v>2392</x:v>
      </x:c>
      <x:c r="B689" s="12" t="str">
        <x:v>Manufacture of clay building materials</x:v>
      </x:c>
      <x:c r="C689" s="12" t="str">
        <x:v>مادبا</x:v>
      </x:c>
      <x:c r="D689" s="14" t="n">
        <x:v>0</x:v>
      </x:c>
      <x:c r="E689" s="14" t="n">
        <x:f>VLOOKUP(C689,'Governorate Master'!$A$2:$Q$13,3,FALSE)</x:f>
        <x:v>236200</x:v>
      </x:c>
      <x:c r="F689" s="66" t="n">
        <x:f>IF(E689=0,0,D689/E689*10000)</x:f>
        <x:v>0</x:v>
      </x:c>
      <x:c r="G689" s="67" t="n">
        <x:f>VLOOKUP(C689,'Governorate Master'!$A$2:$Q$13,7,FALSE)</x:f>
        <x:v>251.4</x:v>
      </x:c>
      <x:c r="H689" s="20" t="n">
        <x:f>VLOOKUP(C689,'Governorate Master'!$A$2:$Q$13,6,FALSE)</x:f>
        <x:v>0.7823878069432684</x:v>
      </x:c>
      <x:c r="I689" s="20" t="n">
        <x:f>VLOOKUP(C689,'Governorate Master'!$A$2:$Q$13,15,FALSE)</x:f>
        <x:v>-0.18823529411764706</x:v>
      </x:c>
      <x:c r="J689" s="12" t="str">
        <x:v>Location model input - competition/saturation context</x:v>
      </x:c>
      <x:c r="K689" s="12" t="str">
        <x:v>Business count is from 2018 while population/context indicators are newer; use as a historical proxy, not a current market count.</x:v>
      </x:c>
    </x:row>
    <x:row r="690">
      <x:c r="A690" s="12" t="str">
        <x:v>2392</x:v>
      </x:c>
      <x:c r="B690" s="12" t="str">
        <x:v>Manufacture of clay building materials</x:v>
      </x:c>
      <x:c r="C690" s="12" t="str">
        <x:v>إربد</x:v>
      </x:c>
      <x:c r="D690" s="14" t="n">
        <x:v>0</x:v>
      </x:c>
      <x:c r="E690" s="14" t="n">
        <x:f>VLOOKUP(C690,'Governorate Master'!$A$2:$Q$13,3,FALSE)</x:f>
        <x:v>2210500</x:v>
      </x:c>
      <x:c r="F690" s="66" t="n">
        <x:f>IF(E690=0,0,D690/E690*10000)</x:f>
        <x:v>0</x:v>
      </x:c>
      <x:c r="G690" s="67" t="n">
        <x:f>VLOOKUP(C690,'Governorate Master'!$A$2:$Q$13,7,FALSE)</x:f>
        <x:v>1406.4</x:v>
      </x:c>
      <x:c r="H690" s="20" t="n">
        <x:f>VLOOKUP(C690,'Governorate Master'!$A$2:$Q$13,6,FALSE)</x:f>
        <x:v>0.9235014702555983</x:v>
      </x:c>
      <x:c r="I690" s="20" t="n">
        <x:f>VLOOKUP(C690,'Governorate Master'!$A$2:$Q$13,15,FALSE)</x:f>
        <x:v>0.07086922474549726</x:v>
      </x:c>
      <x:c r="J690" s="12" t="str">
        <x:v>Location model input - competition/saturation context</x:v>
      </x:c>
      <x:c r="K690" s="12" t="str">
        <x:v>Business count is from 2018 while population/context indicators are newer; use as a historical proxy, not a current market count.</x:v>
      </x:c>
    </x:row>
    <x:row r="691">
      <x:c r="A691" s="12" t="str">
        <x:v>2392</x:v>
      </x:c>
      <x:c r="B691" s="12" t="str">
        <x:v>Manufacture of clay building materials</x:v>
      </x:c>
      <x:c r="C691" s="12" t="str">
        <x:v>المفرق</x:v>
      </x:c>
      <x:c r="D691" s="14" t="n">
        <x:v>0</x:v>
      </x:c>
      <x:c r="E691" s="14" t="n">
        <x:f>VLOOKUP(C691,'Governorate Master'!$A$2:$Q$13,3,FALSE)</x:f>
        <x:v>686800</x:v>
      </x:c>
      <x:c r="F691" s="66" t="n">
        <x:f>IF(E691=0,0,D691/E691*10000)</x:f>
        <x:v>0</x:v>
      </x:c>
      <x:c r="G691" s="67" t="n">
        <x:f>VLOOKUP(C691,'Governorate Master'!$A$2:$Q$13,7,FALSE)</x:f>
        <x:v>25.9</x:v>
      </x:c>
      <x:c r="H691" s="20" t="n">
        <x:f>VLOOKUP(C691,'Governorate Master'!$A$2:$Q$13,6,FALSE)</x:f>
        <x:v>0.6965637740244612</x:v>
      </x:c>
      <x:c r="I691" s="20" t="n">
        <x:f>VLOOKUP(C691,'Governorate Master'!$A$2:$Q$13,15,FALSE)</x:f>
        <x:v>-0.016638935108153077</x:v>
      </x:c>
      <x:c r="J691" s="12" t="str">
        <x:v>Location model input - competition/saturation context</x:v>
      </x:c>
      <x:c r="K691" s="12" t="str">
        <x:v>Business count is from 2018 while population/context indicators are newer; use as a historical proxy, not a current market count.</x:v>
      </x:c>
    </x:row>
    <x:row r="692">
      <x:c r="A692" s="12" t="str">
        <x:v>2392</x:v>
      </x:c>
      <x:c r="B692" s="12" t="str">
        <x:v>Manufacture of clay building materials</x:v>
      </x:c>
      <x:c r="C692" s="12" t="str">
        <x:v>جرش</x:v>
      </x:c>
      <x:c r="D692" s="14" t="n">
        <x:v>0</x:v>
      </x:c>
      <x:c r="E692" s="14" t="n">
        <x:f>VLOOKUP(C692,'Governorate Master'!$A$2:$Q$13,3,FALSE)</x:f>
        <x:v>296000</x:v>
      </x:c>
      <x:c r="F692" s="66" t="n">
        <x:f>IF(E692=0,0,D692/E692*10000)</x:f>
        <x:v>0</x:v>
      </x:c>
      <x:c r="G692" s="67" t="n">
        <x:f>VLOOKUP(C692,'Governorate Master'!$A$2:$Q$13,7,FALSE)</x:f>
        <x:v>722.3</x:v>
      </x:c>
      <x:c r="H692" s="20" t="n">
        <x:f>VLOOKUP(C692,'Governorate Master'!$A$2:$Q$13,6,FALSE)</x:f>
        <x:v>0.7695945945945946</x:v>
      </x:c>
      <x:c r="I692" s="20" t="n">
        <x:f>VLOOKUP(C692,'Governorate Master'!$A$2:$Q$13,15,FALSE)</x:f>
        <x:v>-0.06527415143603134</x:v>
      </x:c>
      <x:c r="J692" s="12" t="str">
        <x:v>Location model input - competition/saturation context</x:v>
      </x:c>
      <x:c r="K692" s="12" t="str">
        <x:v>Business count is from 2018 while population/context indicators are newer; use as a historical proxy, not a current market count.</x:v>
      </x:c>
    </x:row>
    <x:row r="693">
      <x:c r="A693" s="12" t="str">
        <x:v>2392</x:v>
      </x:c>
      <x:c r="B693" s="12" t="str">
        <x:v>Manufacture of clay building materials</x:v>
      </x:c>
      <x:c r="C693" s="12" t="str">
        <x:v>عجلون</x:v>
      </x:c>
      <x:c r="D693" s="14" t="n">
        <x:v>0</x:v>
      </x:c>
      <x:c r="E693" s="14" t="n">
        <x:f>VLOOKUP(C693,'Governorate Master'!$A$2:$Q$13,3,FALSE)</x:f>
        <x:v>219900</x:v>
      </x:c>
      <x:c r="F693" s="66" t="n">
        <x:f>IF(E693=0,0,D693/E693*10000)</x:f>
        <x:v>0</x:v>
      </x:c>
      <x:c r="G693" s="67" t="n">
        <x:f>VLOOKUP(C693,'Governorate Master'!$A$2:$Q$13,7,FALSE)</x:f>
        <x:v>524</x:v>
      </x:c>
      <x:c r="H693" s="20" t="n">
        <x:f>VLOOKUP(C693,'Governorate Master'!$A$2:$Q$13,6,FALSE)</x:f>
        <x:v>0.8390177353342428</x:v>
      </x:c>
      <x:c r="I693" s="20" t="n">
        <x:f>VLOOKUP(C693,'Governorate Master'!$A$2:$Q$13,15,FALSE)</x:f>
        <x:v>0.03614457831325301</x:v>
      </x:c>
      <x:c r="J693" s="12" t="str">
        <x:v>Location model input - competition/saturation context</x:v>
      </x:c>
      <x:c r="K693" s="12" t="str">
        <x:v>Business count is from 2018 while population/context indicators are newer; use as a historical proxy, not a current market count.</x:v>
      </x:c>
    </x:row>
    <x:row r="694">
      <x:c r="A694" s="12" t="str">
        <x:v>2392</x:v>
      </x:c>
      <x:c r="B694" s="12" t="str">
        <x:v>Manufacture of clay building materials</x:v>
      </x:c>
      <x:c r="C694" s="12" t="str">
        <x:v>الكرك</x:v>
      </x:c>
      <x:c r="D694" s="14" t="n">
        <x:v>0</x:v>
      </x:c>
      <x:c r="E694" s="14" t="n">
        <x:f>VLOOKUP(C694,'Governorate Master'!$A$2:$Q$13,3,FALSE)</x:f>
        <x:v>395400</x:v>
      </x:c>
      <x:c r="F694" s="66" t="n">
        <x:f>IF(E694=0,0,D694/E694*10000)</x:f>
        <x:v>0</x:v>
      </x:c>
      <x:c r="G694" s="67" t="n">
        <x:f>VLOOKUP(C694,'Governorate Master'!$A$2:$Q$13,7,FALSE)</x:f>
        <x:v>113.1</x:v>
      </x:c>
      <x:c r="H694" s="20" t="n">
        <x:f>VLOOKUP(C694,'Governorate Master'!$A$2:$Q$13,6,FALSE)</x:f>
        <x:v>0.5912999494183105</x:v>
      </x:c>
      <x:c r="I694" s="20" t="n">
        <x:f>VLOOKUP(C694,'Governorate Master'!$A$2:$Q$13,15,FALSE)</x:f>
        <x:v>0.08710801393728224</x:v>
      </x:c>
      <x:c r="J694" s="12" t="str">
        <x:v>Location model input - competition/saturation context</x:v>
      </x:c>
      <x:c r="K694" s="12" t="str">
        <x:v>Business count is from 2018 while population/context indicators are newer; use as a historical proxy, not a current market count.</x:v>
      </x:c>
    </x:row>
    <x:row r="695">
      <x:c r="A695" s="12" t="str">
        <x:v>2392</x:v>
      </x:c>
      <x:c r="B695" s="12" t="str">
        <x:v>Manufacture of clay building materials</x:v>
      </x:c>
      <x:c r="C695" s="12" t="str">
        <x:v>الطفيلة</x:v>
      </x:c>
      <x:c r="D695" s="14" t="n">
        <x:v>0</x:v>
      </x:c>
      <x:c r="E695" s="14" t="n">
        <x:f>VLOOKUP(C695,'Governorate Master'!$A$2:$Q$13,3,FALSE)</x:f>
        <x:v>120300</x:v>
      </x:c>
      <x:c r="F695" s="66" t="n">
        <x:f>IF(E695=0,0,D695/E695*10000)</x:f>
        <x:v>0</x:v>
      </x:c>
      <x:c r="G695" s="67" t="n">
        <x:f>VLOOKUP(C695,'Governorate Master'!$A$2:$Q$13,7,FALSE)</x:f>
        <x:v>54.4</x:v>
      </x:c>
      <x:c r="H695" s="20" t="n">
        <x:f>VLOOKUP(C695,'Governorate Master'!$A$2:$Q$13,6,FALSE)</x:f>
        <x:v>0.7797173732335827</x:v>
      </x:c>
      <x:c r="I695" s="20" t="n">
        <x:f>VLOOKUP(C695,'Governorate Master'!$A$2:$Q$13,15,FALSE)</x:f>
        <x:v>0.18452380952380953</x:v>
      </x:c>
      <x:c r="J695" s="12" t="str">
        <x:v>Location model input - competition/saturation context</x:v>
      </x:c>
      <x:c r="K695" s="12" t="str">
        <x:v>Business count is from 2018 while population/context indicators are newer; use as a historical proxy, not a current market count.</x:v>
      </x:c>
    </x:row>
    <x:row r="696">
      <x:c r="A696" s="12" t="str">
        <x:v>2392</x:v>
      </x:c>
      <x:c r="B696" s="12" t="str">
        <x:v>Manufacture of clay building materials</x:v>
      </x:c>
      <x:c r="C696" s="12" t="str">
        <x:v>معان</x:v>
      </x:c>
      <x:c r="D696" s="14" t="n">
        <x:v>1</x:v>
      </x:c>
      <x:c r="E696" s="14" t="n">
        <x:f>VLOOKUP(C696,'Governorate Master'!$A$2:$Q$13,3,FALSE)</x:f>
        <x:v>197900</x:v>
      </x:c>
      <x:c r="F696" s="66" t="n">
        <x:f>IF(E696=0,0,D696/E696*10000)</x:f>
        <x:v>0.05053057099545225</x:v>
      </x:c>
      <x:c r="G696" s="67" t="n">
        <x:f>VLOOKUP(C696,'Governorate Master'!$A$2:$Q$13,7,FALSE)</x:f>
        <x:v>6</x:v>
      </x:c>
      <x:c r="H696" s="20" t="n">
        <x:f>VLOOKUP(C696,'Governorate Master'!$A$2:$Q$13,6,FALSE)</x:f>
        <x:v>0.5406771096513391</x:v>
      </x:c>
      <x:c r="I696" s="20" t="n">
        <x:f>VLOOKUP(C696,'Governorate Master'!$A$2:$Q$13,15,FALSE)</x:f>
        <x:v>0.026845637583892617</x:v>
      </x:c>
      <x:c r="J696" s="12" t="str">
        <x:v>Location model input - competition/saturation context</x:v>
      </x:c>
      <x:c r="K696" s="12" t="str">
        <x:v>Business count is from 2018 while population/context indicators are newer; use as a historical proxy, not a current market count.</x:v>
      </x:c>
    </x:row>
    <x:row r="697">
      <x:c r="A697" s="12" t="str">
        <x:v>2392</x:v>
      </x:c>
      <x:c r="B697" s="12" t="str">
        <x:v>Manufacture of clay building materials</x:v>
      </x:c>
      <x:c r="C697" s="12" t="str">
        <x:v>العقبة</x:v>
      </x:c>
      <x:c r="D697" s="14" t="n">
        <x:v>0</x:v>
      </x:c>
      <x:c r="E697" s="14" t="n">
        <x:f>VLOOKUP(C697,'Governorate Master'!$A$2:$Q$13,3,FALSE)</x:f>
        <x:v>250900</x:v>
      </x:c>
      <x:c r="F697" s="66" t="n">
        <x:f>IF(E697=0,0,D697/E697*10000)</x:f>
        <x:v>0</x:v>
      </x:c>
      <x:c r="G697" s="67" t="n">
        <x:f>VLOOKUP(C697,'Governorate Master'!$A$2:$Q$13,7,FALSE)</x:f>
        <x:v>36.3</x:v>
      </x:c>
      <x:c r="H697" s="20" t="n">
        <x:f>VLOOKUP(C697,'Governorate Master'!$A$2:$Q$13,6,FALSE)</x:f>
        <x:v>0.882024711040255</x:v>
      </x:c>
      <x:c r="I697" s="20" t="n">
        <x:f>VLOOKUP(C697,'Governorate Master'!$A$2:$Q$13,15,FALSE)</x:f>
        <x:v>-0.09</x:v>
      </x:c>
      <x:c r="J697" s="12" t="str">
        <x:v>Location model input - competition/saturation context</x:v>
      </x:c>
      <x:c r="K697" s="12" t="str">
        <x:v>Business count is from 2018 while population/context indicators are newer; use as a historical proxy, not a current market count.</x:v>
      </x:c>
    </x:row>
    <x:row r="698">
      <x:c r="A698" s="12" t="str">
        <x:v>2393</x:v>
      </x:c>
      <x:c r="B698" s="12" t="str">
        <x:v>Manufacture of other porcelain and ceramic products</x:v>
      </x:c>
      <x:c r="C698" s="12" t="str">
        <x:v>عمان</x:v>
      </x:c>
      <x:c r="D698" s="14" t="n">
        <x:v>8</x:v>
      </x:c>
      <x:c r="E698" s="14" t="n">
        <x:f>VLOOKUP(C698,'Governorate Master'!$A$2:$Q$13,3,FALSE)</x:f>
        <x:v>5004600</x:v>
      </x:c>
      <x:c r="F698" s="66" t="n">
        <x:f>IF(E698=0,0,D698/E698*10000)</x:f>
        <x:v>0.015985293529952444</x:v>
      </x:c>
      <x:c r="G698" s="67" t="n">
        <x:f>VLOOKUP(C698,'Governorate Master'!$A$2:$Q$13,7,FALSE)</x:f>
        <x:v>660.3</x:v>
      </x:c>
      <x:c r="H698" s="20" t="n">
        <x:f>VLOOKUP(C698,'Governorate Master'!$A$2:$Q$13,6,FALSE)</x:f>
        <x:v>0.9721656076409703</x:v>
      </x:c>
      <x:c r="I698" s="20" t="n">
        <x:f>VLOOKUP(C698,'Governorate Master'!$A$2:$Q$13,15,FALSE)</x:f>
        <x:v>0.06367041198501873</x:v>
      </x:c>
      <x:c r="J698" s="12" t="str">
        <x:v>Location model input - competition/saturation context</x:v>
      </x:c>
      <x:c r="K698" s="12" t="str">
        <x:v>Business count is from 2018 while population/context indicators are newer; use as a historical proxy, not a current market count.</x:v>
      </x:c>
    </x:row>
    <x:row r="699">
      <x:c r="A699" s="12" t="str">
        <x:v>2393</x:v>
      </x:c>
      <x:c r="B699" s="12" t="str">
        <x:v>Manufacture of other porcelain and ceramic products</x:v>
      </x:c>
      <x:c r="C699" s="12" t="str">
        <x:v>البلقاء</x:v>
      </x:c>
      <x:c r="D699" s="14" t="n">
        <x:v>1</x:v>
      </x:c>
      <x:c r="E699" s="14" t="n">
        <x:f>VLOOKUP(C699,'Governorate Master'!$A$2:$Q$13,3,FALSE)</x:f>
        <x:v>614000</x:v>
      </x:c>
      <x:c r="F699" s="66" t="n">
        <x:f>IF(E699=0,0,D699/E699*10000)</x:f>
        <x:v>0.016286644951140065</x:v>
      </x:c>
      <x:c r="G699" s="67" t="n">
        <x:f>VLOOKUP(C699,'Governorate Master'!$A$2:$Q$13,7,FALSE)</x:f>
        <x:v>548</x:v>
      </x:c>
      <x:c r="H699" s="20" t="n">
        <x:f>VLOOKUP(C699,'Governorate Master'!$A$2:$Q$13,6,FALSE)</x:f>
        <x:v>0.8210097719869707</x:v>
      </x:c>
      <x:c r="I699" s="20" t="n">
        <x:f>VLOOKUP(C699,'Governorate Master'!$A$2:$Q$13,15,FALSE)</x:f>
        <x:v>0.10794044665012408</x:v>
      </x:c>
      <x:c r="J699" s="12" t="str">
        <x:v>Location model input - competition/saturation context</x:v>
      </x:c>
      <x:c r="K699" s="12" t="str">
        <x:v>Business count is from 2018 while population/context indicators are newer; use as a historical proxy, not a current market count.</x:v>
      </x:c>
    </x:row>
    <x:row r="700">
      <x:c r="A700" s="12" t="str">
        <x:v>2393</x:v>
      </x:c>
      <x:c r="B700" s="12" t="str">
        <x:v>Manufacture of other porcelain and ceramic products</x:v>
      </x:c>
      <x:c r="C700" s="12" t="str">
        <x:v>الزرقاء</x:v>
      </x:c>
      <x:c r="D700" s="14" t="n">
        <x:v>0</x:v>
      </x:c>
      <x:c r="E700" s="14" t="n">
        <x:f>VLOOKUP(C700,'Governorate Master'!$A$2:$Q$13,3,FALSE)</x:f>
        <x:v>1704500</x:v>
      </x:c>
      <x:c r="F700" s="66" t="n">
        <x:f>IF(E700=0,0,D700/E700*10000)</x:f>
        <x:v>0</x:v>
      </x:c>
      <x:c r="G700" s="67" t="n">
        <x:f>VLOOKUP(C700,'Governorate Master'!$A$2:$Q$13,7,FALSE)</x:f>
        <x:v>358</x:v>
      </x:c>
      <x:c r="H700" s="20" t="n">
        <x:f>VLOOKUP(C700,'Governorate Master'!$A$2:$Q$13,6,FALSE)</x:f>
        <x:v>0.9636256966852449</x:v>
      </x:c>
      <x:c r="I700" s="20" t="n">
        <x:f>VLOOKUP(C700,'Governorate Master'!$A$2:$Q$13,15,FALSE)</x:f>
        <x:v>-0.06808762581409118</x:v>
      </x:c>
      <x:c r="J700" s="12" t="str">
        <x:v>Location model input - competition/saturation context</x:v>
      </x:c>
      <x:c r="K700" s="12" t="str">
        <x:v>Business count is from 2018 while population/context indicators are newer; use as a historical proxy, not a current market count.</x:v>
      </x:c>
    </x:row>
    <x:row r="701">
      <x:c r="A701" s="12" t="str">
        <x:v>2393</x:v>
      </x:c>
      <x:c r="B701" s="12" t="str">
        <x:v>Manufacture of other porcelain and ceramic products</x:v>
      </x:c>
      <x:c r="C701" s="12" t="str">
        <x:v>مادبا</x:v>
      </x:c>
      <x:c r="D701" s="14" t="n">
        <x:v>4</x:v>
      </x:c>
      <x:c r="E701" s="14" t="n">
        <x:f>VLOOKUP(C701,'Governorate Master'!$A$2:$Q$13,3,FALSE)</x:f>
        <x:v>236200</x:v>
      </x:c>
      <x:c r="F701" s="66" t="n">
        <x:f>IF(E701=0,0,D701/E701*10000)</x:f>
        <x:v>0.1693480101608806</x:v>
      </x:c>
      <x:c r="G701" s="67" t="n">
        <x:f>VLOOKUP(C701,'Governorate Master'!$A$2:$Q$13,7,FALSE)</x:f>
        <x:v>251.4</x:v>
      </x:c>
      <x:c r="H701" s="20" t="n">
        <x:f>VLOOKUP(C701,'Governorate Master'!$A$2:$Q$13,6,FALSE)</x:f>
        <x:v>0.7823878069432684</x:v>
      </x:c>
      <x:c r="I701" s="20" t="n">
        <x:f>VLOOKUP(C701,'Governorate Master'!$A$2:$Q$13,15,FALSE)</x:f>
        <x:v>-0.18823529411764706</x:v>
      </x:c>
      <x:c r="J701" s="12" t="str">
        <x:v>Location model input - competition/saturation context</x:v>
      </x:c>
      <x:c r="K701" s="12" t="str">
        <x:v>Business count is from 2018 while population/context indicators are newer; use as a historical proxy, not a current market count.</x:v>
      </x:c>
    </x:row>
    <x:row r="702">
      <x:c r="A702" s="12" t="str">
        <x:v>2393</x:v>
      </x:c>
      <x:c r="B702" s="12" t="str">
        <x:v>Manufacture of other porcelain and ceramic products</x:v>
      </x:c>
      <x:c r="C702" s="12" t="str">
        <x:v>إربد</x:v>
      </x:c>
      <x:c r="D702" s="14" t="n">
        <x:v>0</x:v>
      </x:c>
      <x:c r="E702" s="14" t="n">
        <x:f>VLOOKUP(C702,'Governorate Master'!$A$2:$Q$13,3,FALSE)</x:f>
        <x:v>2210500</x:v>
      </x:c>
      <x:c r="F702" s="66" t="n">
        <x:f>IF(E702=0,0,D702/E702*10000)</x:f>
        <x:v>0</x:v>
      </x:c>
      <x:c r="G702" s="67" t="n">
        <x:f>VLOOKUP(C702,'Governorate Master'!$A$2:$Q$13,7,FALSE)</x:f>
        <x:v>1406.4</x:v>
      </x:c>
      <x:c r="H702" s="20" t="n">
        <x:f>VLOOKUP(C702,'Governorate Master'!$A$2:$Q$13,6,FALSE)</x:f>
        <x:v>0.9235014702555983</x:v>
      </x:c>
      <x:c r="I702" s="20" t="n">
        <x:f>VLOOKUP(C702,'Governorate Master'!$A$2:$Q$13,15,FALSE)</x:f>
        <x:v>0.07086922474549726</x:v>
      </x:c>
      <x:c r="J702" s="12" t="str">
        <x:v>Location model input - competition/saturation context</x:v>
      </x:c>
      <x:c r="K702" s="12" t="str">
        <x:v>Business count is from 2018 while population/context indicators are newer; use as a historical proxy, not a current market count.</x:v>
      </x:c>
    </x:row>
    <x:row r="703">
      <x:c r="A703" s="12" t="str">
        <x:v>2393</x:v>
      </x:c>
      <x:c r="B703" s="12" t="str">
        <x:v>Manufacture of other porcelain and ceramic products</x:v>
      </x:c>
      <x:c r="C703" s="12" t="str">
        <x:v>المفرق</x:v>
      </x:c>
      <x:c r="D703" s="14" t="n">
        <x:v>0</x:v>
      </x:c>
      <x:c r="E703" s="14" t="n">
        <x:f>VLOOKUP(C703,'Governorate Master'!$A$2:$Q$13,3,FALSE)</x:f>
        <x:v>686800</x:v>
      </x:c>
      <x:c r="F703" s="66" t="n">
        <x:f>IF(E703=0,0,D703/E703*10000)</x:f>
        <x:v>0</x:v>
      </x:c>
      <x:c r="G703" s="67" t="n">
        <x:f>VLOOKUP(C703,'Governorate Master'!$A$2:$Q$13,7,FALSE)</x:f>
        <x:v>25.9</x:v>
      </x:c>
      <x:c r="H703" s="20" t="n">
        <x:f>VLOOKUP(C703,'Governorate Master'!$A$2:$Q$13,6,FALSE)</x:f>
        <x:v>0.6965637740244612</x:v>
      </x:c>
      <x:c r="I703" s="20" t="n">
        <x:f>VLOOKUP(C703,'Governorate Master'!$A$2:$Q$13,15,FALSE)</x:f>
        <x:v>-0.016638935108153077</x:v>
      </x:c>
      <x:c r="J703" s="12" t="str">
        <x:v>Location model input - competition/saturation context</x:v>
      </x:c>
      <x:c r="K703" s="12" t="str">
        <x:v>Business count is from 2018 while population/context indicators are newer; use as a historical proxy, not a current market count.</x:v>
      </x:c>
    </x:row>
    <x:row r="704">
      <x:c r="A704" s="12" t="str">
        <x:v>2393</x:v>
      </x:c>
      <x:c r="B704" s="12" t="str">
        <x:v>Manufacture of other porcelain and ceramic products</x:v>
      </x:c>
      <x:c r="C704" s="12" t="str">
        <x:v>جرش</x:v>
      </x:c>
      <x:c r="D704" s="14" t="n">
        <x:v>0</x:v>
      </x:c>
      <x:c r="E704" s="14" t="n">
        <x:f>VLOOKUP(C704,'Governorate Master'!$A$2:$Q$13,3,FALSE)</x:f>
        <x:v>296000</x:v>
      </x:c>
      <x:c r="F704" s="66" t="n">
        <x:f>IF(E704=0,0,D704/E704*10000)</x:f>
        <x:v>0</x:v>
      </x:c>
      <x:c r="G704" s="67" t="n">
        <x:f>VLOOKUP(C704,'Governorate Master'!$A$2:$Q$13,7,FALSE)</x:f>
        <x:v>722.3</x:v>
      </x:c>
      <x:c r="H704" s="20" t="n">
        <x:f>VLOOKUP(C704,'Governorate Master'!$A$2:$Q$13,6,FALSE)</x:f>
        <x:v>0.7695945945945946</x:v>
      </x:c>
      <x:c r="I704" s="20" t="n">
        <x:f>VLOOKUP(C704,'Governorate Master'!$A$2:$Q$13,15,FALSE)</x:f>
        <x:v>-0.06527415143603134</x:v>
      </x:c>
      <x:c r="J704" s="12" t="str">
        <x:v>Location model input - competition/saturation context</x:v>
      </x:c>
      <x:c r="K704" s="12" t="str">
        <x:v>Business count is from 2018 while population/context indicators are newer; use as a historical proxy, not a current market count.</x:v>
      </x:c>
    </x:row>
    <x:row r="705">
      <x:c r="A705" s="12" t="str">
        <x:v>2393</x:v>
      </x:c>
      <x:c r="B705" s="12" t="str">
        <x:v>Manufacture of other porcelain and ceramic products</x:v>
      </x:c>
      <x:c r="C705" s="12" t="str">
        <x:v>عجلون</x:v>
      </x:c>
      <x:c r="D705" s="14" t="n">
        <x:v>0</x:v>
      </x:c>
      <x:c r="E705" s="14" t="n">
        <x:f>VLOOKUP(C705,'Governorate Master'!$A$2:$Q$13,3,FALSE)</x:f>
        <x:v>219900</x:v>
      </x:c>
      <x:c r="F705" s="66" t="n">
        <x:f>IF(E705=0,0,D705/E705*10000)</x:f>
        <x:v>0</x:v>
      </x:c>
      <x:c r="G705" s="67" t="n">
        <x:f>VLOOKUP(C705,'Governorate Master'!$A$2:$Q$13,7,FALSE)</x:f>
        <x:v>524</x:v>
      </x:c>
      <x:c r="H705" s="20" t="n">
        <x:f>VLOOKUP(C705,'Governorate Master'!$A$2:$Q$13,6,FALSE)</x:f>
        <x:v>0.8390177353342428</x:v>
      </x:c>
      <x:c r="I705" s="20" t="n">
        <x:f>VLOOKUP(C705,'Governorate Master'!$A$2:$Q$13,15,FALSE)</x:f>
        <x:v>0.03614457831325301</x:v>
      </x:c>
      <x:c r="J705" s="12" t="str">
        <x:v>Location model input - competition/saturation context</x:v>
      </x:c>
      <x:c r="K705" s="12" t="str">
        <x:v>Business count is from 2018 while population/context indicators are newer; use as a historical proxy, not a current market count.</x:v>
      </x:c>
    </x:row>
    <x:row r="706">
      <x:c r="A706" s="12" t="str">
        <x:v>2393</x:v>
      </x:c>
      <x:c r="B706" s="12" t="str">
        <x:v>Manufacture of other porcelain and ceramic products</x:v>
      </x:c>
      <x:c r="C706" s="12" t="str">
        <x:v>الكرك</x:v>
      </x:c>
      <x:c r="D706" s="14" t="n">
        <x:v>0</x:v>
      </x:c>
      <x:c r="E706" s="14" t="n">
        <x:f>VLOOKUP(C706,'Governorate Master'!$A$2:$Q$13,3,FALSE)</x:f>
        <x:v>395400</x:v>
      </x:c>
      <x:c r="F706" s="66" t="n">
        <x:f>IF(E706=0,0,D706/E706*10000)</x:f>
        <x:v>0</x:v>
      </x:c>
      <x:c r="G706" s="67" t="n">
        <x:f>VLOOKUP(C706,'Governorate Master'!$A$2:$Q$13,7,FALSE)</x:f>
        <x:v>113.1</x:v>
      </x:c>
      <x:c r="H706" s="20" t="n">
        <x:f>VLOOKUP(C706,'Governorate Master'!$A$2:$Q$13,6,FALSE)</x:f>
        <x:v>0.5912999494183105</x:v>
      </x:c>
      <x:c r="I706" s="20" t="n">
        <x:f>VLOOKUP(C706,'Governorate Master'!$A$2:$Q$13,15,FALSE)</x:f>
        <x:v>0.08710801393728224</x:v>
      </x:c>
      <x:c r="J706" s="12" t="str">
        <x:v>Location model input - competition/saturation context</x:v>
      </x:c>
      <x:c r="K706" s="12" t="str">
        <x:v>Business count is from 2018 while population/context indicators are newer; use as a historical proxy, not a current market count.</x:v>
      </x:c>
    </x:row>
    <x:row r="707">
      <x:c r="A707" s="12" t="str">
        <x:v>2393</x:v>
      </x:c>
      <x:c r="B707" s="12" t="str">
        <x:v>Manufacture of other porcelain and ceramic products</x:v>
      </x:c>
      <x:c r="C707" s="12" t="str">
        <x:v>الطفيلة</x:v>
      </x:c>
      <x:c r="D707" s="14" t="n">
        <x:v>0</x:v>
      </x:c>
      <x:c r="E707" s="14" t="n">
        <x:f>VLOOKUP(C707,'Governorate Master'!$A$2:$Q$13,3,FALSE)</x:f>
        <x:v>120300</x:v>
      </x:c>
      <x:c r="F707" s="66" t="n">
        <x:f>IF(E707=0,0,D707/E707*10000)</x:f>
        <x:v>0</x:v>
      </x:c>
      <x:c r="G707" s="67" t="n">
        <x:f>VLOOKUP(C707,'Governorate Master'!$A$2:$Q$13,7,FALSE)</x:f>
        <x:v>54.4</x:v>
      </x:c>
      <x:c r="H707" s="20" t="n">
        <x:f>VLOOKUP(C707,'Governorate Master'!$A$2:$Q$13,6,FALSE)</x:f>
        <x:v>0.7797173732335827</x:v>
      </x:c>
      <x:c r="I707" s="20" t="n">
        <x:f>VLOOKUP(C707,'Governorate Master'!$A$2:$Q$13,15,FALSE)</x:f>
        <x:v>0.18452380952380953</x:v>
      </x:c>
      <x:c r="J707" s="12" t="str">
        <x:v>Location model input - competition/saturation context</x:v>
      </x:c>
      <x:c r="K707" s="12" t="str">
        <x:v>Business count is from 2018 while population/context indicators are newer; use as a historical proxy, not a current market count.</x:v>
      </x:c>
    </x:row>
    <x:row r="708">
      <x:c r="A708" s="12" t="str">
        <x:v>2393</x:v>
      </x:c>
      <x:c r="B708" s="12" t="str">
        <x:v>Manufacture of other porcelain and ceramic products</x:v>
      </x:c>
      <x:c r="C708" s="12" t="str">
        <x:v>معان</x:v>
      </x:c>
      <x:c r="D708" s="14" t="n">
        <x:v>2</x:v>
      </x:c>
      <x:c r="E708" s="14" t="n">
        <x:f>VLOOKUP(C708,'Governorate Master'!$A$2:$Q$13,3,FALSE)</x:f>
        <x:v>197900</x:v>
      </x:c>
      <x:c r="F708" s="66" t="n">
        <x:f>IF(E708=0,0,D708/E708*10000)</x:f>
        <x:v>0.1010611419909045</x:v>
      </x:c>
      <x:c r="G708" s="67" t="n">
        <x:f>VLOOKUP(C708,'Governorate Master'!$A$2:$Q$13,7,FALSE)</x:f>
        <x:v>6</x:v>
      </x:c>
      <x:c r="H708" s="20" t="n">
        <x:f>VLOOKUP(C708,'Governorate Master'!$A$2:$Q$13,6,FALSE)</x:f>
        <x:v>0.5406771096513391</x:v>
      </x:c>
      <x:c r="I708" s="20" t="n">
        <x:f>VLOOKUP(C708,'Governorate Master'!$A$2:$Q$13,15,FALSE)</x:f>
        <x:v>0.026845637583892617</x:v>
      </x:c>
      <x:c r="J708" s="12" t="str">
        <x:v>Location model input - competition/saturation context</x:v>
      </x:c>
      <x:c r="K708" s="12" t="str">
        <x:v>Business count is from 2018 while population/context indicators are newer; use as a historical proxy, not a current market count.</x:v>
      </x:c>
    </x:row>
    <x:row r="709">
      <x:c r="A709" s="12" t="str">
        <x:v>2393</x:v>
      </x:c>
      <x:c r="B709" s="12" t="str">
        <x:v>Manufacture of other porcelain and ceramic products</x:v>
      </x:c>
      <x:c r="C709" s="12" t="str">
        <x:v>العقبة</x:v>
      </x:c>
      <x:c r="D709" s="14" t="n">
        <x:v>0</x:v>
      </x:c>
      <x:c r="E709" s="14" t="n">
        <x:f>VLOOKUP(C709,'Governorate Master'!$A$2:$Q$13,3,FALSE)</x:f>
        <x:v>250900</x:v>
      </x:c>
      <x:c r="F709" s="66" t="n">
        <x:f>IF(E709=0,0,D709/E709*10000)</x:f>
        <x:v>0</x:v>
      </x:c>
      <x:c r="G709" s="67" t="n">
        <x:f>VLOOKUP(C709,'Governorate Master'!$A$2:$Q$13,7,FALSE)</x:f>
        <x:v>36.3</x:v>
      </x:c>
      <x:c r="H709" s="20" t="n">
        <x:f>VLOOKUP(C709,'Governorate Master'!$A$2:$Q$13,6,FALSE)</x:f>
        <x:v>0.882024711040255</x:v>
      </x:c>
      <x:c r="I709" s="20" t="n">
        <x:f>VLOOKUP(C709,'Governorate Master'!$A$2:$Q$13,15,FALSE)</x:f>
        <x:v>-0.09</x:v>
      </x:c>
      <x:c r="J709" s="12" t="str">
        <x:v>Location model input - competition/saturation context</x:v>
      </x:c>
      <x:c r="K709" s="12" t="str">
        <x:v>Business count is from 2018 while population/context indicators are newer; use as a historical proxy, not a current market count.</x:v>
      </x:c>
    </x:row>
    <x:row r="710">
      <x:c r="A710" s="12" t="str">
        <x:v>2394</x:v>
      </x:c>
      <x:c r="B710" s="12" t="str">
        <x:v>Manufacture of cement, lime and plaster</x:v>
      </x:c>
      <x:c r="C710" s="12" t="str">
        <x:v>عمان</x:v>
      </x:c>
      <x:c r="D710" s="14" t="n">
        <x:v>6</x:v>
      </x:c>
      <x:c r="E710" s="14" t="n">
        <x:f>VLOOKUP(C710,'Governorate Master'!$A$2:$Q$13,3,FALSE)</x:f>
        <x:v>5004600</x:v>
      </x:c>
      <x:c r="F710" s="66" t="n">
        <x:f>IF(E710=0,0,D710/E710*10000)</x:f>
        <x:v>0.011988970147464332</x:v>
      </x:c>
      <x:c r="G710" s="67" t="n">
        <x:f>VLOOKUP(C710,'Governorate Master'!$A$2:$Q$13,7,FALSE)</x:f>
        <x:v>660.3</x:v>
      </x:c>
      <x:c r="H710" s="20" t="n">
        <x:f>VLOOKUP(C710,'Governorate Master'!$A$2:$Q$13,6,FALSE)</x:f>
        <x:v>0.9721656076409703</x:v>
      </x:c>
      <x:c r="I710" s="20" t="n">
        <x:f>VLOOKUP(C710,'Governorate Master'!$A$2:$Q$13,15,FALSE)</x:f>
        <x:v>0.06367041198501873</x:v>
      </x:c>
      <x:c r="J710" s="12" t="str">
        <x:v>Location model input - competition/saturation context</x:v>
      </x:c>
      <x:c r="K710" s="12" t="str">
        <x:v>Business count is from 2018 while population/context indicators are newer; use as a historical proxy, not a current market count.</x:v>
      </x:c>
    </x:row>
    <x:row r="711">
      <x:c r="A711" s="12" t="str">
        <x:v>2394</x:v>
      </x:c>
      <x:c r="B711" s="12" t="str">
        <x:v>Manufacture of cement, lime and plaster</x:v>
      </x:c>
      <x:c r="C711" s="12" t="str">
        <x:v>البلقاء</x:v>
      </x:c>
      <x:c r="D711" s="14" t="n">
        <x:v>0</x:v>
      </x:c>
      <x:c r="E711" s="14" t="n">
        <x:f>VLOOKUP(C711,'Governorate Master'!$A$2:$Q$13,3,FALSE)</x:f>
        <x:v>614000</x:v>
      </x:c>
      <x:c r="F711" s="66" t="n">
        <x:f>IF(E711=0,0,D711/E711*10000)</x:f>
        <x:v>0</x:v>
      </x:c>
      <x:c r="G711" s="67" t="n">
        <x:f>VLOOKUP(C711,'Governorate Master'!$A$2:$Q$13,7,FALSE)</x:f>
        <x:v>548</x:v>
      </x:c>
      <x:c r="H711" s="20" t="n">
        <x:f>VLOOKUP(C711,'Governorate Master'!$A$2:$Q$13,6,FALSE)</x:f>
        <x:v>0.8210097719869707</x:v>
      </x:c>
      <x:c r="I711" s="20" t="n">
        <x:f>VLOOKUP(C711,'Governorate Master'!$A$2:$Q$13,15,FALSE)</x:f>
        <x:v>0.10794044665012408</x:v>
      </x:c>
      <x:c r="J711" s="12" t="str">
        <x:v>Location model input - competition/saturation context</x:v>
      </x:c>
      <x:c r="K711" s="12" t="str">
        <x:v>Business count is from 2018 while population/context indicators are newer; use as a historical proxy, not a current market count.</x:v>
      </x:c>
    </x:row>
    <x:row r="712">
      <x:c r="A712" s="12" t="str">
        <x:v>2394</x:v>
      </x:c>
      <x:c r="B712" s="12" t="str">
        <x:v>Manufacture of cement, lime and plaster</x:v>
      </x:c>
      <x:c r="C712" s="12" t="str">
        <x:v>الزرقاء</x:v>
      </x:c>
      <x:c r="D712" s="14" t="n">
        <x:v>1</x:v>
      </x:c>
      <x:c r="E712" s="14" t="n">
        <x:f>VLOOKUP(C712,'Governorate Master'!$A$2:$Q$13,3,FALSE)</x:f>
        <x:v>1704500</x:v>
      </x:c>
      <x:c r="F712" s="66" t="n">
        <x:f>IF(E712=0,0,D712/E712*10000)</x:f>
        <x:v>0.005866823115283074</x:v>
      </x:c>
      <x:c r="G712" s="67" t="n">
        <x:f>VLOOKUP(C712,'Governorate Master'!$A$2:$Q$13,7,FALSE)</x:f>
        <x:v>358</x:v>
      </x:c>
      <x:c r="H712" s="20" t="n">
        <x:f>VLOOKUP(C712,'Governorate Master'!$A$2:$Q$13,6,FALSE)</x:f>
        <x:v>0.9636256966852449</x:v>
      </x:c>
      <x:c r="I712" s="20" t="n">
        <x:f>VLOOKUP(C712,'Governorate Master'!$A$2:$Q$13,15,FALSE)</x:f>
        <x:v>-0.06808762581409118</x:v>
      </x:c>
      <x:c r="J712" s="12" t="str">
        <x:v>Location model input - competition/saturation context</x:v>
      </x:c>
      <x:c r="K712" s="12" t="str">
        <x:v>Business count is from 2018 while population/context indicators are newer; use as a historical proxy, not a current market count.</x:v>
      </x:c>
    </x:row>
    <x:row r="713">
      <x:c r="A713" s="12" t="str">
        <x:v>2394</x:v>
      </x:c>
      <x:c r="B713" s="12" t="str">
        <x:v>Manufacture of cement, lime and plaster</x:v>
      </x:c>
      <x:c r="C713" s="12" t="str">
        <x:v>مادبا</x:v>
      </x:c>
      <x:c r="D713" s="14" t="n">
        <x:v>0</x:v>
      </x:c>
      <x:c r="E713" s="14" t="n">
        <x:f>VLOOKUP(C713,'Governorate Master'!$A$2:$Q$13,3,FALSE)</x:f>
        <x:v>236200</x:v>
      </x:c>
      <x:c r="F713" s="66" t="n">
        <x:f>IF(E713=0,0,D713/E713*10000)</x:f>
        <x:v>0</x:v>
      </x:c>
      <x:c r="G713" s="67" t="n">
        <x:f>VLOOKUP(C713,'Governorate Master'!$A$2:$Q$13,7,FALSE)</x:f>
        <x:v>251.4</x:v>
      </x:c>
      <x:c r="H713" s="20" t="n">
        <x:f>VLOOKUP(C713,'Governorate Master'!$A$2:$Q$13,6,FALSE)</x:f>
        <x:v>0.7823878069432684</x:v>
      </x:c>
      <x:c r="I713" s="20" t="n">
        <x:f>VLOOKUP(C713,'Governorate Master'!$A$2:$Q$13,15,FALSE)</x:f>
        <x:v>-0.18823529411764706</x:v>
      </x:c>
      <x:c r="J713" s="12" t="str">
        <x:v>Location model input - competition/saturation context</x:v>
      </x:c>
      <x:c r="K713" s="12" t="str">
        <x:v>Business count is from 2018 while population/context indicators are newer; use as a historical proxy, not a current market count.</x:v>
      </x:c>
    </x:row>
    <x:row r="714">
      <x:c r="A714" s="12" t="str">
        <x:v>2394</x:v>
      </x:c>
      <x:c r="B714" s="12" t="str">
        <x:v>Manufacture of cement, lime and plaster</x:v>
      </x:c>
      <x:c r="C714" s="12" t="str">
        <x:v>إربد</x:v>
      </x:c>
      <x:c r="D714" s="14" t="n">
        <x:v>0</x:v>
      </x:c>
      <x:c r="E714" s="14" t="n">
        <x:f>VLOOKUP(C714,'Governorate Master'!$A$2:$Q$13,3,FALSE)</x:f>
        <x:v>2210500</x:v>
      </x:c>
      <x:c r="F714" s="66" t="n">
        <x:f>IF(E714=0,0,D714/E714*10000)</x:f>
        <x:v>0</x:v>
      </x:c>
      <x:c r="G714" s="67" t="n">
        <x:f>VLOOKUP(C714,'Governorate Master'!$A$2:$Q$13,7,FALSE)</x:f>
        <x:v>1406.4</x:v>
      </x:c>
      <x:c r="H714" s="20" t="n">
        <x:f>VLOOKUP(C714,'Governorate Master'!$A$2:$Q$13,6,FALSE)</x:f>
        <x:v>0.9235014702555983</x:v>
      </x:c>
      <x:c r="I714" s="20" t="n">
        <x:f>VLOOKUP(C714,'Governorate Master'!$A$2:$Q$13,15,FALSE)</x:f>
        <x:v>0.07086922474549726</x:v>
      </x:c>
      <x:c r="J714" s="12" t="str">
        <x:v>Location model input - competition/saturation context</x:v>
      </x:c>
      <x:c r="K714" s="12" t="str">
        <x:v>Business count is from 2018 while population/context indicators are newer; use as a historical proxy, not a current market count.</x:v>
      </x:c>
    </x:row>
    <x:row r="715">
      <x:c r="A715" s="12" t="str">
        <x:v>2394</x:v>
      </x:c>
      <x:c r="B715" s="12" t="str">
        <x:v>Manufacture of cement, lime and plaster</x:v>
      </x:c>
      <x:c r="C715" s="12" t="str">
        <x:v>المفرق</x:v>
      </x:c>
      <x:c r="D715" s="14" t="n">
        <x:v>0</x:v>
      </x:c>
      <x:c r="E715" s="14" t="n">
        <x:f>VLOOKUP(C715,'Governorate Master'!$A$2:$Q$13,3,FALSE)</x:f>
        <x:v>686800</x:v>
      </x:c>
      <x:c r="F715" s="66" t="n">
        <x:f>IF(E715=0,0,D715/E715*10000)</x:f>
        <x:v>0</x:v>
      </x:c>
      <x:c r="G715" s="67" t="n">
        <x:f>VLOOKUP(C715,'Governorate Master'!$A$2:$Q$13,7,FALSE)</x:f>
        <x:v>25.9</x:v>
      </x:c>
      <x:c r="H715" s="20" t="n">
        <x:f>VLOOKUP(C715,'Governorate Master'!$A$2:$Q$13,6,FALSE)</x:f>
        <x:v>0.6965637740244612</x:v>
      </x:c>
      <x:c r="I715" s="20" t="n">
        <x:f>VLOOKUP(C715,'Governorate Master'!$A$2:$Q$13,15,FALSE)</x:f>
        <x:v>-0.016638935108153077</x:v>
      </x:c>
      <x:c r="J715" s="12" t="str">
        <x:v>Location model input - competition/saturation context</x:v>
      </x:c>
      <x:c r="K715" s="12" t="str">
        <x:v>Business count is from 2018 while population/context indicators are newer; use as a historical proxy, not a current market count.</x:v>
      </x:c>
    </x:row>
    <x:row r="716">
      <x:c r="A716" s="12" t="str">
        <x:v>2394</x:v>
      </x:c>
      <x:c r="B716" s="12" t="str">
        <x:v>Manufacture of cement, lime and plaster</x:v>
      </x:c>
      <x:c r="C716" s="12" t="str">
        <x:v>جرش</x:v>
      </x:c>
      <x:c r="D716" s="14" t="n">
        <x:v>0</x:v>
      </x:c>
      <x:c r="E716" s="14" t="n">
        <x:f>VLOOKUP(C716,'Governorate Master'!$A$2:$Q$13,3,FALSE)</x:f>
        <x:v>296000</x:v>
      </x:c>
      <x:c r="F716" s="66" t="n">
        <x:f>IF(E716=0,0,D716/E716*10000)</x:f>
        <x:v>0</x:v>
      </x:c>
      <x:c r="G716" s="67" t="n">
        <x:f>VLOOKUP(C716,'Governorate Master'!$A$2:$Q$13,7,FALSE)</x:f>
        <x:v>722.3</x:v>
      </x:c>
      <x:c r="H716" s="20" t="n">
        <x:f>VLOOKUP(C716,'Governorate Master'!$A$2:$Q$13,6,FALSE)</x:f>
        <x:v>0.7695945945945946</x:v>
      </x:c>
      <x:c r="I716" s="20" t="n">
        <x:f>VLOOKUP(C716,'Governorate Master'!$A$2:$Q$13,15,FALSE)</x:f>
        <x:v>-0.06527415143603134</x:v>
      </x:c>
      <x:c r="J716" s="12" t="str">
        <x:v>Location model input - competition/saturation context</x:v>
      </x:c>
      <x:c r="K716" s="12" t="str">
        <x:v>Business count is from 2018 while population/context indicators are newer; use as a historical proxy, not a current market count.</x:v>
      </x:c>
    </x:row>
    <x:row r="717">
      <x:c r="A717" s="12" t="str">
        <x:v>2394</x:v>
      </x:c>
      <x:c r="B717" s="12" t="str">
        <x:v>Manufacture of cement, lime and plaster</x:v>
      </x:c>
      <x:c r="C717" s="12" t="str">
        <x:v>عجلون</x:v>
      </x:c>
      <x:c r="D717" s="14" t="n">
        <x:v>0</x:v>
      </x:c>
      <x:c r="E717" s="14" t="n">
        <x:f>VLOOKUP(C717,'Governorate Master'!$A$2:$Q$13,3,FALSE)</x:f>
        <x:v>219900</x:v>
      </x:c>
      <x:c r="F717" s="66" t="n">
        <x:f>IF(E717=0,0,D717/E717*10000)</x:f>
        <x:v>0</x:v>
      </x:c>
      <x:c r="G717" s="67" t="n">
        <x:f>VLOOKUP(C717,'Governorate Master'!$A$2:$Q$13,7,FALSE)</x:f>
        <x:v>524</x:v>
      </x:c>
      <x:c r="H717" s="20" t="n">
        <x:f>VLOOKUP(C717,'Governorate Master'!$A$2:$Q$13,6,FALSE)</x:f>
        <x:v>0.8390177353342428</x:v>
      </x:c>
      <x:c r="I717" s="20" t="n">
        <x:f>VLOOKUP(C717,'Governorate Master'!$A$2:$Q$13,15,FALSE)</x:f>
        <x:v>0.03614457831325301</x:v>
      </x:c>
      <x:c r="J717" s="12" t="str">
        <x:v>Location model input - competition/saturation context</x:v>
      </x:c>
      <x:c r="K717" s="12" t="str">
        <x:v>Business count is from 2018 while population/context indicators are newer; use as a historical proxy, not a current market count.</x:v>
      </x:c>
    </x:row>
    <x:row r="718">
      <x:c r="A718" s="12" t="str">
        <x:v>2394</x:v>
      </x:c>
      <x:c r="B718" s="12" t="str">
        <x:v>Manufacture of cement, lime and plaster</x:v>
      </x:c>
      <x:c r="C718" s="12" t="str">
        <x:v>الكرك</x:v>
      </x:c>
      <x:c r="D718" s="14" t="n">
        <x:v>0</x:v>
      </x:c>
      <x:c r="E718" s="14" t="n">
        <x:f>VLOOKUP(C718,'Governorate Master'!$A$2:$Q$13,3,FALSE)</x:f>
        <x:v>395400</x:v>
      </x:c>
      <x:c r="F718" s="66" t="n">
        <x:f>IF(E718=0,0,D718/E718*10000)</x:f>
        <x:v>0</x:v>
      </x:c>
      <x:c r="G718" s="67" t="n">
        <x:f>VLOOKUP(C718,'Governorate Master'!$A$2:$Q$13,7,FALSE)</x:f>
        <x:v>113.1</x:v>
      </x:c>
      <x:c r="H718" s="20" t="n">
        <x:f>VLOOKUP(C718,'Governorate Master'!$A$2:$Q$13,6,FALSE)</x:f>
        <x:v>0.5912999494183105</x:v>
      </x:c>
      <x:c r="I718" s="20" t="n">
        <x:f>VLOOKUP(C718,'Governorate Master'!$A$2:$Q$13,15,FALSE)</x:f>
        <x:v>0.08710801393728224</x:v>
      </x:c>
      <x:c r="J718" s="12" t="str">
        <x:v>Location model input - competition/saturation context</x:v>
      </x:c>
      <x:c r="K718" s="12" t="str">
        <x:v>Business count is from 2018 while population/context indicators are newer; use as a historical proxy, not a current market count.</x:v>
      </x:c>
    </x:row>
    <x:row r="719">
      <x:c r="A719" s="12" t="str">
        <x:v>2394</x:v>
      </x:c>
      <x:c r="B719" s="12" t="str">
        <x:v>Manufacture of cement, lime and plaster</x:v>
      </x:c>
      <x:c r="C719" s="12" t="str">
        <x:v>الطفيلة</x:v>
      </x:c>
      <x:c r="D719" s="14" t="n">
        <x:v>0</x:v>
      </x:c>
      <x:c r="E719" s="14" t="n">
        <x:f>VLOOKUP(C719,'Governorate Master'!$A$2:$Q$13,3,FALSE)</x:f>
        <x:v>120300</x:v>
      </x:c>
      <x:c r="F719" s="66" t="n">
        <x:f>IF(E719=0,0,D719/E719*10000)</x:f>
        <x:v>0</x:v>
      </x:c>
      <x:c r="G719" s="67" t="n">
        <x:f>VLOOKUP(C719,'Governorate Master'!$A$2:$Q$13,7,FALSE)</x:f>
        <x:v>54.4</x:v>
      </x:c>
      <x:c r="H719" s="20" t="n">
        <x:f>VLOOKUP(C719,'Governorate Master'!$A$2:$Q$13,6,FALSE)</x:f>
        <x:v>0.7797173732335827</x:v>
      </x:c>
      <x:c r="I719" s="20" t="n">
        <x:f>VLOOKUP(C719,'Governorate Master'!$A$2:$Q$13,15,FALSE)</x:f>
        <x:v>0.18452380952380953</x:v>
      </x:c>
      <x:c r="J719" s="12" t="str">
        <x:v>Location model input - competition/saturation context</x:v>
      </x:c>
      <x:c r="K719" s="12" t="str">
        <x:v>Business count is from 2018 while population/context indicators are newer; use as a historical proxy, not a current market count.</x:v>
      </x:c>
    </x:row>
    <x:row r="720">
      <x:c r="A720" s="12" t="str">
        <x:v>2394</x:v>
      </x:c>
      <x:c r="B720" s="12" t="str">
        <x:v>Manufacture of cement, lime and plaster</x:v>
      </x:c>
      <x:c r="C720" s="12" t="str">
        <x:v>معان</x:v>
      </x:c>
      <x:c r="D720" s="14" t="n">
        <x:v>0</x:v>
      </x:c>
      <x:c r="E720" s="14" t="n">
        <x:f>VLOOKUP(C720,'Governorate Master'!$A$2:$Q$13,3,FALSE)</x:f>
        <x:v>197900</x:v>
      </x:c>
      <x:c r="F720" s="66" t="n">
        <x:f>IF(E720=0,0,D720/E720*10000)</x:f>
        <x:v>0</x:v>
      </x:c>
      <x:c r="G720" s="67" t="n">
        <x:f>VLOOKUP(C720,'Governorate Master'!$A$2:$Q$13,7,FALSE)</x:f>
        <x:v>6</x:v>
      </x:c>
      <x:c r="H720" s="20" t="n">
        <x:f>VLOOKUP(C720,'Governorate Master'!$A$2:$Q$13,6,FALSE)</x:f>
        <x:v>0.5406771096513391</x:v>
      </x:c>
      <x:c r="I720" s="20" t="n">
        <x:f>VLOOKUP(C720,'Governorate Master'!$A$2:$Q$13,15,FALSE)</x:f>
        <x:v>0.026845637583892617</x:v>
      </x:c>
      <x:c r="J720" s="12" t="str">
        <x:v>Location model input - competition/saturation context</x:v>
      </x:c>
      <x:c r="K720" s="12" t="str">
        <x:v>Business count is from 2018 while population/context indicators are newer; use as a historical proxy, not a current market count.</x:v>
      </x:c>
    </x:row>
    <x:row r="721">
      <x:c r="A721" s="12" t="str">
        <x:v>2394</x:v>
      </x:c>
      <x:c r="B721" s="12" t="str">
        <x:v>Manufacture of cement, lime and plaster</x:v>
      </x:c>
      <x:c r="C721" s="12" t="str">
        <x:v>العقبة</x:v>
      </x:c>
      <x:c r="D721" s="14" t="n">
        <x:v>3</x:v>
      </x:c>
      <x:c r="E721" s="14" t="n">
        <x:f>VLOOKUP(C721,'Governorate Master'!$A$2:$Q$13,3,FALSE)</x:f>
        <x:v>250900</x:v>
      </x:c>
      <x:c r="F721" s="66" t="n">
        <x:f>IF(E721=0,0,D721/E721*10000)</x:f>
        <x:v>0.11956954962136308</x:v>
      </x:c>
      <x:c r="G721" s="67" t="n">
        <x:f>VLOOKUP(C721,'Governorate Master'!$A$2:$Q$13,7,FALSE)</x:f>
        <x:v>36.3</x:v>
      </x:c>
      <x:c r="H721" s="20" t="n">
        <x:f>VLOOKUP(C721,'Governorate Master'!$A$2:$Q$13,6,FALSE)</x:f>
        <x:v>0.882024711040255</x:v>
      </x:c>
      <x:c r="I721" s="20" t="n">
        <x:f>VLOOKUP(C721,'Governorate Master'!$A$2:$Q$13,15,FALSE)</x:f>
        <x:v>-0.09</x:v>
      </x:c>
      <x:c r="J721" s="12" t="str">
        <x:v>Location model input - competition/saturation context</x:v>
      </x:c>
      <x:c r="K721" s="12" t="str">
        <x:v>Business count is from 2018 while population/context indicators are newer; use as a historical proxy, not a current market count.</x:v>
      </x:c>
    </x:row>
    <x:row r="722">
      <x:c r="A722" s="12" t="str">
        <x:v>2395</x:v>
      </x:c>
      <x:c r="B722" s="12" t="str">
        <x:v>Manufacture of articles of concrete, cement and plaster</x:v>
      </x:c>
      <x:c r="C722" s="12" t="str">
        <x:v>عمان</x:v>
      </x:c>
      <x:c r="D722" s="14" t="n">
        <x:v>270</x:v>
      </x:c>
      <x:c r="E722" s="14" t="n">
        <x:f>VLOOKUP(C722,'Governorate Master'!$A$2:$Q$13,3,FALSE)</x:f>
        <x:v>5004600</x:v>
      </x:c>
      <x:c r="F722" s="66" t="n">
        <x:f>IF(E722=0,0,D722/E722*10000)</x:f>
        <x:v>0.539503656635895</x:v>
      </x:c>
      <x:c r="G722" s="67" t="n">
        <x:f>VLOOKUP(C722,'Governorate Master'!$A$2:$Q$13,7,FALSE)</x:f>
        <x:v>660.3</x:v>
      </x:c>
      <x:c r="H722" s="20" t="n">
        <x:f>VLOOKUP(C722,'Governorate Master'!$A$2:$Q$13,6,FALSE)</x:f>
        <x:v>0.9721656076409703</x:v>
      </x:c>
      <x:c r="I722" s="20" t="n">
        <x:f>VLOOKUP(C722,'Governorate Master'!$A$2:$Q$13,15,FALSE)</x:f>
        <x:v>0.06367041198501873</x:v>
      </x:c>
      <x:c r="J722" s="12" t="str">
        <x:v>Location model input - competition/saturation context</x:v>
      </x:c>
      <x:c r="K722" s="12" t="str">
        <x:v>Business count is from 2018 while population/context indicators are newer; use as a historical proxy, not a current market count.</x:v>
      </x:c>
    </x:row>
    <x:row r="723">
      <x:c r="A723" s="12" t="str">
        <x:v>2395</x:v>
      </x:c>
      <x:c r="B723" s="12" t="str">
        <x:v>Manufacture of articles of concrete, cement and plaster</x:v>
      </x:c>
      <x:c r="C723" s="12" t="str">
        <x:v>البلقاء</x:v>
      </x:c>
      <x:c r="D723" s="14" t="n">
        <x:v>87</x:v>
      </x:c>
      <x:c r="E723" s="14" t="n">
        <x:f>VLOOKUP(C723,'Governorate Master'!$A$2:$Q$13,3,FALSE)</x:f>
        <x:v>614000</x:v>
      </x:c>
      <x:c r="F723" s="66" t="n">
        <x:f>IF(E723=0,0,D723/E723*10000)</x:f>
        <x:v>1.4169381107491856</x:v>
      </x:c>
      <x:c r="G723" s="67" t="n">
        <x:f>VLOOKUP(C723,'Governorate Master'!$A$2:$Q$13,7,FALSE)</x:f>
        <x:v>548</x:v>
      </x:c>
      <x:c r="H723" s="20" t="n">
        <x:f>VLOOKUP(C723,'Governorate Master'!$A$2:$Q$13,6,FALSE)</x:f>
        <x:v>0.8210097719869707</x:v>
      </x:c>
      <x:c r="I723" s="20" t="n">
        <x:f>VLOOKUP(C723,'Governorate Master'!$A$2:$Q$13,15,FALSE)</x:f>
        <x:v>0.10794044665012408</x:v>
      </x:c>
      <x:c r="J723" s="12" t="str">
        <x:v>Location model input - competition/saturation context</x:v>
      </x:c>
      <x:c r="K723" s="12" t="str">
        <x:v>Business count is from 2018 while population/context indicators are newer; use as a historical proxy, not a current market count.</x:v>
      </x:c>
    </x:row>
    <x:row r="724">
      <x:c r="A724" s="12" t="str">
        <x:v>2395</x:v>
      </x:c>
      <x:c r="B724" s="12" t="str">
        <x:v>Manufacture of articles of concrete, cement and plaster</x:v>
      </x:c>
      <x:c r="C724" s="12" t="str">
        <x:v>الزرقاء</x:v>
      </x:c>
      <x:c r="D724" s="14" t="n">
        <x:v>240</x:v>
      </x:c>
      <x:c r="E724" s="14" t="n">
        <x:f>VLOOKUP(C724,'Governorate Master'!$A$2:$Q$13,3,FALSE)</x:f>
        <x:v>1704500</x:v>
      </x:c>
      <x:c r="F724" s="66" t="n">
        <x:f>IF(E724=0,0,D724/E724*10000)</x:f>
        <x:v>1.4080375476679377</x:v>
      </x:c>
      <x:c r="G724" s="67" t="n">
        <x:f>VLOOKUP(C724,'Governorate Master'!$A$2:$Q$13,7,FALSE)</x:f>
        <x:v>358</x:v>
      </x:c>
      <x:c r="H724" s="20" t="n">
        <x:f>VLOOKUP(C724,'Governorate Master'!$A$2:$Q$13,6,FALSE)</x:f>
        <x:v>0.9636256966852449</x:v>
      </x:c>
      <x:c r="I724" s="20" t="n">
        <x:f>VLOOKUP(C724,'Governorate Master'!$A$2:$Q$13,15,FALSE)</x:f>
        <x:v>-0.06808762581409118</x:v>
      </x:c>
      <x:c r="J724" s="12" t="str">
        <x:v>Location model input - competition/saturation context</x:v>
      </x:c>
      <x:c r="K724" s="12" t="str">
        <x:v>Business count is from 2018 while population/context indicators are newer; use as a historical proxy, not a current market count.</x:v>
      </x:c>
    </x:row>
    <x:row r="725">
      <x:c r="A725" s="12" t="str">
        <x:v>2395</x:v>
      </x:c>
      <x:c r="B725" s="12" t="str">
        <x:v>Manufacture of articles of concrete, cement and plaster</x:v>
      </x:c>
      <x:c r="C725" s="12" t="str">
        <x:v>مادبا</x:v>
      </x:c>
      <x:c r="D725" s="14" t="n">
        <x:v>40</x:v>
      </x:c>
      <x:c r="E725" s="14" t="n">
        <x:f>VLOOKUP(C725,'Governorate Master'!$A$2:$Q$13,3,FALSE)</x:f>
        <x:v>236200</x:v>
      </x:c>
      <x:c r="F725" s="66" t="n">
        <x:f>IF(E725=0,0,D725/E725*10000)</x:f>
        <x:v>1.6934801016088061</x:v>
      </x:c>
      <x:c r="G725" s="67" t="n">
        <x:f>VLOOKUP(C725,'Governorate Master'!$A$2:$Q$13,7,FALSE)</x:f>
        <x:v>251.4</x:v>
      </x:c>
      <x:c r="H725" s="20" t="n">
        <x:f>VLOOKUP(C725,'Governorate Master'!$A$2:$Q$13,6,FALSE)</x:f>
        <x:v>0.7823878069432684</x:v>
      </x:c>
      <x:c r="I725" s="20" t="n">
        <x:f>VLOOKUP(C725,'Governorate Master'!$A$2:$Q$13,15,FALSE)</x:f>
        <x:v>-0.18823529411764706</x:v>
      </x:c>
      <x:c r="J725" s="12" t="str">
        <x:v>Location model input - competition/saturation context</x:v>
      </x:c>
      <x:c r="K725" s="12" t="str">
        <x:v>Business count is from 2018 while population/context indicators are newer; use as a historical proxy, not a current market count.</x:v>
      </x:c>
    </x:row>
    <x:row r="726">
      <x:c r="A726" s="12" t="str">
        <x:v>2395</x:v>
      </x:c>
      <x:c r="B726" s="12" t="str">
        <x:v>Manufacture of articles of concrete, cement and plaster</x:v>
      </x:c>
      <x:c r="C726" s="12" t="str">
        <x:v>إربد</x:v>
      </x:c>
      <x:c r="D726" s="14" t="n">
        <x:v>205</x:v>
      </x:c>
      <x:c r="E726" s="14" t="n">
        <x:f>VLOOKUP(C726,'Governorate Master'!$A$2:$Q$13,3,FALSE)</x:f>
        <x:v>2210500</x:v>
      </x:c>
      <x:c r="F726" s="66" t="n">
        <x:f>IF(E726=0,0,D726/E726*10000)</x:f>
        <x:v>0.9273919927618185</x:v>
      </x:c>
      <x:c r="G726" s="67" t="n">
        <x:f>VLOOKUP(C726,'Governorate Master'!$A$2:$Q$13,7,FALSE)</x:f>
        <x:v>1406.4</x:v>
      </x:c>
      <x:c r="H726" s="20" t="n">
        <x:f>VLOOKUP(C726,'Governorate Master'!$A$2:$Q$13,6,FALSE)</x:f>
        <x:v>0.9235014702555983</x:v>
      </x:c>
      <x:c r="I726" s="20" t="n">
        <x:f>VLOOKUP(C726,'Governorate Master'!$A$2:$Q$13,15,FALSE)</x:f>
        <x:v>0.07086922474549726</x:v>
      </x:c>
      <x:c r="J726" s="12" t="str">
        <x:v>Location model input - competition/saturation context</x:v>
      </x:c>
      <x:c r="K726" s="12" t="str">
        <x:v>Business count is from 2018 while population/context indicators are newer; use as a historical proxy, not a current market count.</x:v>
      </x:c>
    </x:row>
    <x:row r="727">
      <x:c r="A727" s="12" t="str">
        <x:v>2395</x:v>
      </x:c>
      <x:c r="B727" s="12" t="str">
        <x:v>Manufacture of articles of concrete, cement and plaster</x:v>
      </x:c>
      <x:c r="C727" s="12" t="str">
        <x:v>المفرق</x:v>
      </x:c>
      <x:c r="D727" s="14" t="n">
        <x:v>65</x:v>
      </x:c>
      <x:c r="E727" s="14" t="n">
        <x:f>VLOOKUP(C727,'Governorate Master'!$A$2:$Q$13,3,FALSE)</x:f>
        <x:v>686800</x:v>
      </x:c>
      <x:c r="F727" s="66" t="n">
        <x:f>IF(E727=0,0,D727/E727*10000)</x:f>
        <x:v>0.9464181712288876</x:v>
      </x:c>
      <x:c r="G727" s="67" t="n">
        <x:f>VLOOKUP(C727,'Governorate Master'!$A$2:$Q$13,7,FALSE)</x:f>
        <x:v>25.9</x:v>
      </x:c>
      <x:c r="H727" s="20" t="n">
        <x:f>VLOOKUP(C727,'Governorate Master'!$A$2:$Q$13,6,FALSE)</x:f>
        <x:v>0.6965637740244612</x:v>
      </x:c>
      <x:c r="I727" s="20" t="n">
        <x:f>VLOOKUP(C727,'Governorate Master'!$A$2:$Q$13,15,FALSE)</x:f>
        <x:v>-0.016638935108153077</x:v>
      </x:c>
      <x:c r="J727" s="12" t="str">
        <x:v>Location model input - competition/saturation context</x:v>
      </x:c>
      <x:c r="K727" s="12" t="str">
        <x:v>Business count is from 2018 while population/context indicators are newer; use as a historical proxy, not a current market count.</x:v>
      </x:c>
    </x:row>
    <x:row r="728">
      <x:c r="A728" s="12" t="str">
        <x:v>2395</x:v>
      </x:c>
      <x:c r="B728" s="12" t="str">
        <x:v>Manufacture of articles of concrete, cement and plaster</x:v>
      </x:c>
      <x:c r="C728" s="12" t="str">
        <x:v>جرش</x:v>
      </x:c>
      <x:c r="D728" s="14" t="n">
        <x:v>44</x:v>
      </x:c>
      <x:c r="E728" s="14" t="n">
        <x:f>VLOOKUP(C728,'Governorate Master'!$A$2:$Q$13,3,FALSE)</x:f>
        <x:v>296000</x:v>
      </x:c>
      <x:c r="F728" s="66" t="n">
        <x:f>IF(E728=0,0,D728/E728*10000)</x:f>
        <x:v>1.4864864864864866</x:v>
      </x:c>
      <x:c r="G728" s="67" t="n">
        <x:f>VLOOKUP(C728,'Governorate Master'!$A$2:$Q$13,7,FALSE)</x:f>
        <x:v>722.3</x:v>
      </x:c>
      <x:c r="H728" s="20" t="n">
        <x:f>VLOOKUP(C728,'Governorate Master'!$A$2:$Q$13,6,FALSE)</x:f>
        <x:v>0.7695945945945946</x:v>
      </x:c>
      <x:c r="I728" s="20" t="n">
        <x:f>VLOOKUP(C728,'Governorate Master'!$A$2:$Q$13,15,FALSE)</x:f>
        <x:v>-0.06527415143603134</x:v>
      </x:c>
      <x:c r="J728" s="12" t="str">
        <x:v>Location model input - competition/saturation context</x:v>
      </x:c>
      <x:c r="K728" s="12" t="str">
        <x:v>Business count is from 2018 while population/context indicators are newer; use as a historical proxy, not a current market count.</x:v>
      </x:c>
    </x:row>
    <x:row r="729">
      <x:c r="A729" s="12" t="str">
        <x:v>2395</x:v>
      </x:c>
      <x:c r="B729" s="12" t="str">
        <x:v>Manufacture of articles of concrete, cement and plaster</x:v>
      </x:c>
      <x:c r="C729" s="12" t="str">
        <x:v>عجلون</x:v>
      </x:c>
      <x:c r="D729" s="14" t="n">
        <x:v>36</x:v>
      </x:c>
      <x:c r="E729" s="14" t="n">
        <x:f>VLOOKUP(C729,'Governorate Master'!$A$2:$Q$13,3,FALSE)</x:f>
        <x:v>219900</x:v>
      </x:c>
      <x:c r="F729" s="66" t="n">
        <x:f>IF(E729=0,0,D729/E729*10000)</x:f>
        <x:v>1.6371077762619373</x:v>
      </x:c>
      <x:c r="G729" s="67" t="n">
        <x:f>VLOOKUP(C729,'Governorate Master'!$A$2:$Q$13,7,FALSE)</x:f>
        <x:v>524</x:v>
      </x:c>
      <x:c r="H729" s="20" t="n">
        <x:f>VLOOKUP(C729,'Governorate Master'!$A$2:$Q$13,6,FALSE)</x:f>
        <x:v>0.8390177353342428</x:v>
      </x:c>
      <x:c r="I729" s="20" t="n">
        <x:f>VLOOKUP(C729,'Governorate Master'!$A$2:$Q$13,15,FALSE)</x:f>
        <x:v>0.03614457831325301</x:v>
      </x:c>
      <x:c r="J729" s="12" t="str">
        <x:v>Location model input - competition/saturation context</x:v>
      </x:c>
      <x:c r="K729" s="12" t="str">
        <x:v>Business count is from 2018 while population/context indicators are newer; use as a historical proxy, not a current market count.</x:v>
      </x:c>
    </x:row>
    <x:row r="730">
      <x:c r="A730" s="12" t="str">
        <x:v>2395</x:v>
      </x:c>
      <x:c r="B730" s="12" t="str">
        <x:v>Manufacture of articles of concrete, cement and plaster</x:v>
      </x:c>
      <x:c r="C730" s="12" t="str">
        <x:v>الكرك</x:v>
      </x:c>
      <x:c r="D730" s="14" t="n">
        <x:v>64</x:v>
      </x:c>
      <x:c r="E730" s="14" t="n">
        <x:f>VLOOKUP(C730,'Governorate Master'!$A$2:$Q$13,3,FALSE)</x:f>
        <x:v>395400</x:v>
      </x:c>
      <x:c r="F730" s="66" t="n">
        <x:f>IF(E730=0,0,D730/E730*10000)</x:f>
        <x:v>1.618614061709661</x:v>
      </x:c>
      <x:c r="G730" s="67" t="n">
        <x:f>VLOOKUP(C730,'Governorate Master'!$A$2:$Q$13,7,FALSE)</x:f>
        <x:v>113.1</x:v>
      </x:c>
      <x:c r="H730" s="20" t="n">
        <x:f>VLOOKUP(C730,'Governorate Master'!$A$2:$Q$13,6,FALSE)</x:f>
        <x:v>0.5912999494183105</x:v>
      </x:c>
      <x:c r="I730" s="20" t="n">
        <x:f>VLOOKUP(C730,'Governorate Master'!$A$2:$Q$13,15,FALSE)</x:f>
        <x:v>0.08710801393728224</x:v>
      </x:c>
      <x:c r="J730" s="12" t="str">
        <x:v>Location model input - competition/saturation context</x:v>
      </x:c>
      <x:c r="K730" s="12" t="str">
        <x:v>Business count is from 2018 while population/context indicators are newer; use as a historical proxy, not a current market count.</x:v>
      </x:c>
    </x:row>
    <x:row r="731">
      <x:c r="A731" s="12" t="str">
        <x:v>2395</x:v>
      </x:c>
      <x:c r="B731" s="12" t="str">
        <x:v>Manufacture of articles of concrete, cement and plaster</x:v>
      </x:c>
      <x:c r="C731" s="12" t="str">
        <x:v>الطفيلة</x:v>
      </x:c>
      <x:c r="D731" s="14" t="n">
        <x:v>25</x:v>
      </x:c>
      <x:c r="E731" s="14" t="n">
        <x:f>VLOOKUP(C731,'Governorate Master'!$A$2:$Q$13,3,FALSE)</x:f>
        <x:v>120300</x:v>
      </x:c>
      <x:c r="F731" s="66" t="n">
        <x:f>IF(E731=0,0,D731/E731*10000)</x:f>
        <x:v>2.0781379883624274</x:v>
      </x:c>
      <x:c r="G731" s="67" t="n">
        <x:f>VLOOKUP(C731,'Governorate Master'!$A$2:$Q$13,7,FALSE)</x:f>
        <x:v>54.4</x:v>
      </x:c>
      <x:c r="H731" s="20" t="n">
        <x:f>VLOOKUP(C731,'Governorate Master'!$A$2:$Q$13,6,FALSE)</x:f>
        <x:v>0.7797173732335827</x:v>
      </x:c>
      <x:c r="I731" s="20" t="n">
        <x:f>VLOOKUP(C731,'Governorate Master'!$A$2:$Q$13,15,FALSE)</x:f>
        <x:v>0.18452380952380953</x:v>
      </x:c>
      <x:c r="J731" s="12" t="str">
        <x:v>Location model input - competition/saturation context</x:v>
      </x:c>
      <x:c r="K731" s="12" t="str">
        <x:v>Business count is from 2018 while population/context indicators are newer; use as a historical proxy, not a current market count.</x:v>
      </x:c>
    </x:row>
    <x:row r="732">
      <x:c r="A732" s="12" t="str">
        <x:v>2395</x:v>
      </x:c>
      <x:c r="B732" s="12" t="str">
        <x:v>Manufacture of articles of concrete, cement and plaster</x:v>
      </x:c>
      <x:c r="C732" s="12" t="str">
        <x:v>معان</x:v>
      </x:c>
      <x:c r="D732" s="14" t="n">
        <x:v>34</x:v>
      </x:c>
      <x:c r="E732" s="14" t="n">
        <x:f>VLOOKUP(C732,'Governorate Master'!$A$2:$Q$13,3,FALSE)</x:f>
        <x:v>197900</x:v>
      </x:c>
      <x:c r="F732" s="66" t="n">
        <x:f>IF(E732=0,0,D732/E732*10000)</x:f>
        <x:v>1.7180394138453765</x:v>
      </x:c>
      <x:c r="G732" s="67" t="n">
        <x:f>VLOOKUP(C732,'Governorate Master'!$A$2:$Q$13,7,FALSE)</x:f>
        <x:v>6</x:v>
      </x:c>
      <x:c r="H732" s="20" t="n">
        <x:f>VLOOKUP(C732,'Governorate Master'!$A$2:$Q$13,6,FALSE)</x:f>
        <x:v>0.5406771096513391</x:v>
      </x:c>
      <x:c r="I732" s="20" t="n">
        <x:f>VLOOKUP(C732,'Governorate Master'!$A$2:$Q$13,15,FALSE)</x:f>
        <x:v>0.026845637583892617</x:v>
      </x:c>
      <x:c r="J732" s="12" t="str">
        <x:v>Location model input - competition/saturation context</x:v>
      </x:c>
      <x:c r="K732" s="12" t="str">
        <x:v>Business count is from 2018 while population/context indicators are newer; use as a historical proxy, not a current market count.</x:v>
      </x:c>
    </x:row>
    <x:row r="733">
      <x:c r="A733" s="12" t="str">
        <x:v>2395</x:v>
      </x:c>
      <x:c r="B733" s="12" t="str">
        <x:v>Manufacture of articles of concrete, cement and plaster</x:v>
      </x:c>
      <x:c r="C733" s="12" t="str">
        <x:v>العقبة</x:v>
      </x:c>
      <x:c r="D733" s="14" t="n">
        <x:v>32</x:v>
      </x:c>
      <x:c r="E733" s="14" t="n">
        <x:f>VLOOKUP(C733,'Governorate Master'!$A$2:$Q$13,3,FALSE)</x:f>
        <x:v>250900</x:v>
      </x:c>
      <x:c r="F733" s="66" t="n">
        <x:f>IF(E733=0,0,D733/E733*10000)</x:f>
        <x:v>1.2754085292945396</x:v>
      </x:c>
      <x:c r="G733" s="67" t="n">
        <x:f>VLOOKUP(C733,'Governorate Master'!$A$2:$Q$13,7,FALSE)</x:f>
        <x:v>36.3</x:v>
      </x:c>
      <x:c r="H733" s="20" t="n">
        <x:f>VLOOKUP(C733,'Governorate Master'!$A$2:$Q$13,6,FALSE)</x:f>
        <x:v>0.882024711040255</x:v>
      </x:c>
      <x:c r="I733" s="20" t="n">
        <x:f>VLOOKUP(C733,'Governorate Master'!$A$2:$Q$13,15,FALSE)</x:f>
        <x:v>-0.09</x:v>
      </x:c>
      <x:c r="J733" s="12" t="str">
        <x:v>Location model input - competition/saturation context</x:v>
      </x:c>
      <x:c r="K733" s="12" t="str">
        <x:v>Business count is from 2018 while population/context indicators are newer; use as a historical proxy, not a current market count.</x:v>
      </x:c>
    </x:row>
    <x:row r="734">
      <x:c r="A734" s="12" t="str">
        <x:v>2396</x:v>
      </x:c>
      <x:c r="B734" s="12" t="str">
        <x:v>Cutting, shaping and finishing of stone</x:v>
      </x:c>
      <x:c r="C734" s="12" t="str">
        <x:v>عمان</x:v>
      </x:c>
      <x:c r="D734" s="14" t="n">
        <x:v>433</x:v>
      </x:c>
      <x:c r="E734" s="14" t="n">
        <x:f>VLOOKUP(C734,'Governorate Master'!$A$2:$Q$13,3,FALSE)</x:f>
        <x:v>5004600</x:v>
      </x:c>
      <x:c r="F734" s="66" t="n">
        <x:f>IF(E734=0,0,D734/E734*10000)</x:f>
        <x:v>0.865204012308676</x:v>
      </x:c>
      <x:c r="G734" s="67" t="n">
        <x:f>VLOOKUP(C734,'Governorate Master'!$A$2:$Q$13,7,FALSE)</x:f>
        <x:v>660.3</x:v>
      </x:c>
      <x:c r="H734" s="20" t="n">
        <x:f>VLOOKUP(C734,'Governorate Master'!$A$2:$Q$13,6,FALSE)</x:f>
        <x:v>0.9721656076409703</x:v>
      </x:c>
      <x:c r="I734" s="20" t="n">
        <x:f>VLOOKUP(C734,'Governorate Master'!$A$2:$Q$13,15,FALSE)</x:f>
        <x:v>0.06367041198501873</x:v>
      </x:c>
      <x:c r="J734" s="12" t="str">
        <x:v>Location model input - competition/saturation context</x:v>
      </x:c>
      <x:c r="K734" s="12" t="str">
        <x:v>Business count is from 2018 while population/context indicators are newer; use as a historical proxy, not a current market count.</x:v>
      </x:c>
    </x:row>
    <x:row r="735">
      <x:c r="A735" s="12" t="str">
        <x:v>2396</x:v>
      </x:c>
      <x:c r="B735" s="12" t="str">
        <x:v>Cutting, shaping and finishing of stone</x:v>
      </x:c>
      <x:c r="C735" s="12" t="str">
        <x:v>البلقاء</x:v>
      </x:c>
      <x:c r="D735" s="14" t="n">
        <x:v>39</x:v>
      </x:c>
      <x:c r="E735" s="14" t="n">
        <x:f>VLOOKUP(C735,'Governorate Master'!$A$2:$Q$13,3,FALSE)</x:f>
        <x:v>614000</x:v>
      </x:c>
      <x:c r="F735" s="66" t="n">
        <x:f>IF(E735=0,0,D735/E735*10000)</x:f>
        <x:v>0.6351791530944626</x:v>
      </x:c>
      <x:c r="G735" s="67" t="n">
        <x:f>VLOOKUP(C735,'Governorate Master'!$A$2:$Q$13,7,FALSE)</x:f>
        <x:v>548</x:v>
      </x:c>
      <x:c r="H735" s="20" t="n">
        <x:f>VLOOKUP(C735,'Governorate Master'!$A$2:$Q$13,6,FALSE)</x:f>
        <x:v>0.8210097719869707</x:v>
      </x:c>
      <x:c r="I735" s="20" t="n">
        <x:f>VLOOKUP(C735,'Governorate Master'!$A$2:$Q$13,15,FALSE)</x:f>
        <x:v>0.10794044665012408</x:v>
      </x:c>
      <x:c r="J735" s="12" t="str">
        <x:v>Location model input - competition/saturation context</x:v>
      </x:c>
      <x:c r="K735" s="12" t="str">
        <x:v>Business count is from 2018 while population/context indicators are newer; use as a historical proxy, not a current market count.</x:v>
      </x:c>
    </x:row>
    <x:row r="736">
      <x:c r="A736" s="12" t="str">
        <x:v>2396</x:v>
      </x:c>
      <x:c r="B736" s="12" t="str">
        <x:v>Cutting, shaping and finishing of stone</x:v>
      </x:c>
      <x:c r="C736" s="12" t="str">
        <x:v>الزرقاء</x:v>
      </x:c>
      <x:c r="D736" s="14" t="n">
        <x:v>169</x:v>
      </x:c>
      <x:c r="E736" s="14" t="n">
        <x:f>VLOOKUP(C736,'Governorate Master'!$A$2:$Q$13,3,FALSE)</x:f>
        <x:v>1704500</x:v>
      </x:c>
      <x:c r="F736" s="66" t="n">
        <x:f>IF(E736=0,0,D736/E736*10000)</x:f>
        <x:v>0.9914931064828395</x:v>
      </x:c>
      <x:c r="G736" s="67" t="n">
        <x:f>VLOOKUP(C736,'Governorate Master'!$A$2:$Q$13,7,FALSE)</x:f>
        <x:v>358</x:v>
      </x:c>
      <x:c r="H736" s="20" t="n">
        <x:f>VLOOKUP(C736,'Governorate Master'!$A$2:$Q$13,6,FALSE)</x:f>
        <x:v>0.9636256966852449</x:v>
      </x:c>
      <x:c r="I736" s="20" t="n">
        <x:f>VLOOKUP(C736,'Governorate Master'!$A$2:$Q$13,15,FALSE)</x:f>
        <x:v>-0.06808762581409118</x:v>
      </x:c>
      <x:c r="J736" s="12" t="str">
        <x:v>Location model input - competition/saturation context</x:v>
      </x:c>
      <x:c r="K736" s="12" t="str">
        <x:v>Business count is from 2018 while population/context indicators are newer; use as a historical proxy, not a current market count.</x:v>
      </x:c>
    </x:row>
    <x:row r="737">
      <x:c r="A737" s="12" t="str">
        <x:v>2396</x:v>
      </x:c>
      <x:c r="B737" s="12" t="str">
        <x:v>Cutting, shaping and finishing of stone</x:v>
      </x:c>
      <x:c r="C737" s="12" t="str">
        <x:v>مادبا</x:v>
      </x:c>
      <x:c r="D737" s="14" t="n">
        <x:v>20</x:v>
      </x:c>
      <x:c r="E737" s="14" t="n">
        <x:f>VLOOKUP(C737,'Governorate Master'!$A$2:$Q$13,3,FALSE)</x:f>
        <x:v>236200</x:v>
      </x:c>
      <x:c r="F737" s="66" t="n">
        <x:f>IF(E737=0,0,D737/E737*10000)</x:f>
        <x:v>0.8467400508044031</x:v>
      </x:c>
      <x:c r="G737" s="67" t="n">
        <x:f>VLOOKUP(C737,'Governorate Master'!$A$2:$Q$13,7,FALSE)</x:f>
        <x:v>251.4</x:v>
      </x:c>
      <x:c r="H737" s="20" t="n">
        <x:f>VLOOKUP(C737,'Governorate Master'!$A$2:$Q$13,6,FALSE)</x:f>
        <x:v>0.7823878069432684</x:v>
      </x:c>
      <x:c r="I737" s="20" t="n">
        <x:f>VLOOKUP(C737,'Governorate Master'!$A$2:$Q$13,15,FALSE)</x:f>
        <x:v>-0.18823529411764706</x:v>
      </x:c>
      <x:c r="J737" s="12" t="str">
        <x:v>Location model input - competition/saturation context</x:v>
      </x:c>
      <x:c r="K737" s="12" t="str">
        <x:v>Business count is from 2018 while population/context indicators are newer; use as a historical proxy, not a current market count.</x:v>
      </x:c>
    </x:row>
    <x:row r="738">
      <x:c r="A738" s="12" t="str">
        <x:v>2396</x:v>
      </x:c>
      <x:c r="B738" s="12" t="str">
        <x:v>Cutting, shaping and finishing of stone</x:v>
      </x:c>
      <x:c r="C738" s="12" t="str">
        <x:v>إربد</x:v>
      </x:c>
      <x:c r="D738" s="14" t="n">
        <x:v>185</x:v>
      </x:c>
      <x:c r="E738" s="14" t="n">
        <x:f>VLOOKUP(C738,'Governorate Master'!$A$2:$Q$13,3,FALSE)</x:f>
        <x:v>2210500</x:v>
      </x:c>
      <x:c r="F738" s="66" t="n">
        <x:f>IF(E738=0,0,D738/E738*10000)</x:f>
        <x:v>0.8369147251752996</x:v>
      </x:c>
      <x:c r="G738" s="67" t="n">
        <x:f>VLOOKUP(C738,'Governorate Master'!$A$2:$Q$13,7,FALSE)</x:f>
        <x:v>1406.4</x:v>
      </x:c>
      <x:c r="H738" s="20" t="n">
        <x:f>VLOOKUP(C738,'Governorate Master'!$A$2:$Q$13,6,FALSE)</x:f>
        <x:v>0.9235014702555983</x:v>
      </x:c>
      <x:c r="I738" s="20" t="n">
        <x:f>VLOOKUP(C738,'Governorate Master'!$A$2:$Q$13,15,FALSE)</x:f>
        <x:v>0.07086922474549726</x:v>
      </x:c>
      <x:c r="J738" s="12" t="str">
        <x:v>Location model input - competition/saturation context</x:v>
      </x:c>
      <x:c r="K738" s="12" t="str">
        <x:v>Business count is from 2018 while population/context indicators are newer; use as a historical proxy, not a current market count.</x:v>
      </x:c>
    </x:row>
    <x:row r="739">
      <x:c r="A739" s="12" t="str">
        <x:v>2396</x:v>
      </x:c>
      <x:c r="B739" s="12" t="str">
        <x:v>Cutting, shaping and finishing of stone</x:v>
      </x:c>
      <x:c r="C739" s="12" t="str">
        <x:v>المفرق</x:v>
      </x:c>
      <x:c r="D739" s="14" t="n">
        <x:v>38</x:v>
      </x:c>
      <x:c r="E739" s="14" t="n">
        <x:f>VLOOKUP(C739,'Governorate Master'!$A$2:$Q$13,3,FALSE)</x:f>
        <x:v>686800</x:v>
      </x:c>
      <x:c r="F739" s="66" t="n">
        <x:f>IF(E739=0,0,D739/E739*10000)</x:f>
        <x:v>0.553290623179965</x:v>
      </x:c>
      <x:c r="G739" s="67" t="n">
        <x:f>VLOOKUP(C739,'Governorate Master'!$A$2:$Q$13,7,FALSE)</x:f>
        <x:v>25.9</x:v>
      </x:c>
      <x:c r="H739" s="20" t="n">
        <x:f>VLOOKUP(C739,'Governorate Master'!$A$2:$Q$13,6,FALSE)</x:f>
        <x:v>0.6965637740244612</x:v>
      </x:c>
      <x:c r="I739" s="20" t="n">
        <x:f>VLOOKUP(C739,'Governorate Master'!$A$2:$Q$13,15,FALSE)</x:f>
        <x:v>-0.016638935108153077</x:v>
      </x:c>
      <x:c r="J739" s="12" t="str">
        <x:v>Location model input - competition/saturation context</x:v>
      </x:c>
      <x:c r="K739" s="12" t="str">
        <x:v>Business count is from 2018 while population/context indicators are newer; use as a historical proxy, not a current market count.</x:v>
      </x:c>
    </x:row>
    <x:row r="740">
      <x:c r="A740" s="12" t="str">
        <x:v>2396</x:v>
      </x:c>
      <x:c r="B740" s="12" t="str">
        <x:v>Cutting, shaping and finishing of stone</x:v>
      </x:c>
      <x:c r="C740" s="12" t="str">
        <x:v>جرش</x:v>
      </x:c>
      <x:c r="D740" s="14" t="n">
        <x:v>4</x:v>
      </x:c>
      <x:c r="E740" s="14" t="n">
        <x:f>VLOOKUP(C740,'Governorate Master'!$A$2:$Q$13,3,FALSE)</x:f>
        <x:v>296000</x:v>
      </x:c>
      <x:c r="F740" s="66" t="n">
        <x:f>IF(E740=0,0,D740/E740*10000)</x:f>
        <x:v>0.13513513513513514</x:v>
      </x:c>
      <x:c r="G740" s="67" t="n">
        <x:f>VLOOKUP(C740,'Governorate Master'!$A$2:$Q$13,7,FALSE)</x:f>
        <x:v>722.3</x:v>
      </x:c>
      <x:c r="H740" s="20" t="n">
        <x:f>VLOOKUP(C740,'Governorate Master'!$A$2:$Q$13,6,FALSE)</x:f>
        <x:v>0.7695945945945946</x:v>
      </x:c>
      <x:c r="I740" s="20" t="n">
        <x:f>VLOOKUP(C740,'Governorate Master'!$A$2:$Q$13,15,FALSE)</x:f>
        <x:v>-0.06527415143603134</x:v>
      </x:c>
      <x:c r="J740" s="12" t="str">
        <x:v>Location model input - competition/saturation context</x:v>
      </x:c>
      <x:c r="K740" s="12" t="str">
        <x:v>Business count is from 2018 while population/context indicators are newer; use as a historical proxy, not a current market count.</x:v>
      </x:c>
    </x:row>
    <x:row r="741">
      <x:c r="A741" s="12" t="str">
        <x:v>2396</x:v>
      </x:c>
      <x:c r="B741" s="12" t="str">
        <x:v>Cutting, shaping and finishing of stone</x:v>
      </x:c>
      <x:c r="C741" s="12" t="str">
        <x:v>عجلون</x:v>
      </x:c>
      <x:c r="D741" s="14" t="n">
        <x:v>7</x:v>
      </x:c>
      <x:c r="E741" s="14" t="n">
        <x:f>VLOOKUP(C741,'Governorate Master'!$A$2:$Q$13,3,FALSE)</x:f>
        <x:v>219900</x:v>
      </x:c>
      <x:c r="F741" s="66" t="n">
        <x:f>IF(E741=0,0,D741/E741*10000)</x:f>
        <x:v>0.3183265120509322</x:v>
      </x:c>
      <x:c r="G741" s="67" t="n">
        <x:f>VLOOKUP(C741,'Governorate Master'!$A$2:$Q$13,7,FALSE)</x:f>
        <x:v>524</x:v>
      </x:c>
      <x:c r="H741" s="20" t="n">
        <x:f>VLOOKUP(C741,'Governorate Master'!$A$2:$Q$13,6,FALSE)</x:f>
        <x:v>0.8390177353342428</x:v>
      </x:c>
      <x:c r="I741" s="20" t="n">
        <x:f>VLOOKUP(C741,'Governorate Master'!$A$2:$Q$13,15,FALSE)</x:f>
        <x:v>0.03614457831325301</x:v>
      </x:c>
      <x:c r="J741" s="12" t="str">
        <x:v>Location model input - competition/saturation context</x:v>
      </x:c>
      <x:c r="K741" s="12" t="str">
        <x:v>Business count is from 2018 while population/context indicators are newer; use as a historical proxy, not a current market count.</x:v>
      </x:c>
    </x:row>
    <x:row r="742">
      <x:c r="A742" s="12" t="str">
        <x:v>2396</x:v>
      </x:c>
      <x:c r="B742" s="12" t="str">
        <x:v>Cutting, shaping and finishing of stone</x:v>
      </x:c>
      <x:c r="C742" s="12" t="str">
        <x:v>الكرك</x:v>
      </x:c>
      <x:c r="D742" s="14" t="n">
        <x:v>16</x:v>
      </x:c>
      <x:c r="E742" s="14" t="n">
        <x:f>VLOOKUP(C742,'Governorate Master'!$A$2:$Q$13,3,FALSE)</x:f>
        <x:v>395400</x:v>
      </x:c>
      <x:c r="F742" s="66" t="n">
        <x:f>IF(E742=0,0,D742/E742*10000)</x:f>
        <x:v>0.40465351542741523</x:v>
      </x:c>
      <x:c r="G742" s="67" t="n">
        <x:f>VLOOKUP(C742,'Governorate Master'!$A$2:$Q$13,7,FALSE)</x:f>
        <x:v>113.1</x:v>
      </x:c>
      <x:c r="H742" s="20" t="n">
        <x:f>VLOOKUP(C742,'Governorate Master'!$A$2:$Q$13,6,FALSE)</x:f>
        <x:v>0.5912999494183105</x:v>
      </x:c>
      <x:c r="I742" s="20" t="n">
        <x:f>VLOOKUP(C742,'Governorate Master'!$A$2:$Q$13,15,FALSE)</x:f>
        <x:v>0.08710801393728224</x:v>
      </x:c>
      <x:c r="J742" s="12" t="str">
        <x:v>Location model input - competition/saturation context</x:v>
      </x:c>
      <x:c r="K742" s="12" t="str">
        <x:v>Business count is from 2018 while population/context indicators are newer; use as a historical proxy, not a current market count.</x:v>
      </x:c>
    </x:row>
    <x:row r="743">
      <x:c r="A743" s="12" t="str">
        <x:v>2396</x:v>
      </x:c>
      <x:c r="B743" s="12" t="str">
        <x:v>Cutting, shaping and finishing of stone</x:v>
      </x:c>
      <x:c r="C743" s="12" t="str">
        <x:v>الطفيلة</x:v>
      </x:c>
      <x:c r="D743" s="14" t="n">
        <x:v>1</x:v>
      </x:c>
      <x:c r="E743" s="14" t="n">
        <x:f>VLOOKUP(C743,'Governorate Master'!$A$2:$Q$13,3,FALSE)</x:f>
        <x:v>120300</x:v>
      </x:c>
      <x:c r="F743" s="66" t="n">
        <x:f>IF(E743=0,0,D743/E743*10000)</x:f>
        <x:v>0.0831255195344971</x:v>
      </x:c>
      <x:c r="G743" s="67" t="n">
        <x:f>VLOOKUP(C743,'Governorate Master'!$A$2:$Q$13,7,FALSE)</x:f>
        <x:v>54.4</x:v>
      </x:c>
      <x:c r="H743" s="20" t="n">
        <x:f>VLOOKUP(C743,'Governorate Master'!$A$2:$Q$13,6,FALSE)</x:f>
        <x:v>0.7797173732335827</x:v>
      </x:c>
      <x:c r="I743" s="20" t="n">
        <x:f>VLOOKUP(C743,'Governorate Master'!$A$2:$Q$13,15,FALSE)</x:f>
        <x:v>0.18452380952380953</x:v>
      </x:c>
      <x:c r="J743" s="12" t="str">
        <x:v>Location model input - competition/saturation context</x:v>
      </x:c>
      <x:c r="K743" s="12" t="str">
        <x:v>Business count is from 2018 while population/context indicators are newer; use as a historical proxy, not a current market count.</x:v>
      </x:c>
    </x:row>
    <x:row r="744">
      <x:c r="A744" s="12" t="str">
        <x:v>2396</x:v>
      </x:c>
      <x:c r="B744" s="12" t="str">
        <x:v>Cutting, shaping and finishing of stone</x:v>
      </x:c>
      <x:c r="C744" s="12" t="str">
        <x:v>معان</x:v>
      </x:c>
      <x:c r="D744" s="14" t="n">
        <x:v>17</x:v>
      </x:c>
      <x:c r="E744" s="14" t="n">
        <x:f>VLOOKUP(C744,'Governorate Master'!$A$2:$Q$13,3,FALSE)</x:f>
        <x:v>197900</x:v>
      </x:c>
      <x:c r="F744" s="66" t="n">
        <x:f>IF(E744=0,0,D744/E744*10000)</x:f>
        <x:v>0.8590197069226883</x:v>
      </x:c>
      <x:c r="G744" s="67" t="n">
        <x:f>VLOOKUP(C744,'Governorate Master'!$A$2:$Q$13,7,FALSE)</x:f>
        <x:v>6</x:v>
      </x:c>
      <x:c r="H744" s="20" t="n">
        <x:f>VLOOKUP(C744,'Governorate Master'!$A$2:$Q$13,6,FALSE)</x:f>
        <x:v>0.5406771096513391</x:v>
      </x:c>
      <x:c r="I744" s="20" t="n">
        <x:f>VLOOKUP(C744,'Governorate Master'!$A$2:$Q$13,15,FALSE)</x:f>
        <x:v>0.026845637583892617</x:v>
      </x:c>
      <x:c r="J744" s="12" t="str">
        <x:v>Location model input - competition/saturation context</x:v>
      </x:c>
      <x:c r="K744" s="12" t="str">
        <x:v>Business count is from 2018 while population/context indicators are newer; use as a historical proxy, not a current market count.</x:v>
      </x:c>
    </x:row>
    <x:row r="745">
      <x:c r="A745" s="12" t="str">
        <x:v>2396</x:v>
      </x:c>
      <x:c r="B745" s="12" t="str">
        <x:v>Cutting, shaping and finishing of stone</x:v>
      </x:c>
      <x:c r="C745" s="12" t="str">
        <x:v>العقبة</x:v>
      </x:c>
      <x:c r="D745" s="14" t="n">
        <x:v>17</x:v>
      </x:c>
      <x:c r="E745" s="14" t="n">
        <x:f>VLOOKUP(C745,'Governorate Master'!$A$2:$Q$13,3,FALSE)</x:f>
        <x:v>250900</x:v>
      </x:c>
      <x:c r="F745" s="66" t="n">
        <x:f>IF(E745=0,0,D745/E745*10000)</x:f>
        <x:v>0.6775607811877241</x:v>
      </x:c>
      <x:c r="G745" s="67" t="n">
        <x:f>VLOOKUP(C745,'Governorate Master'!$A$2:$Q$13,7,FALSE)</x:f>
        <x:v>36.3</x:v>
      </x:c>
      <x:c r="H745" s="20" t="n">
        <x:f>VLOOKUP(C745,'Governorate Master'!$A$2:$Q$13,6,FALSE)</x:f>
        <x:v>0.882024711040255</x:v>
      </x:c>
      <x:c r="I745" s="20" t="n">
        <x:f>VLOOKUP(C745,'Governorate Master'!$A$2:$Q$13,15,FALSE)</x:f>
        <x:v>-0.09</x:v>
      </x:c>
      <x:c r="J745" s="12" t="str">
        <x:v>Location model input - competition/saturation context</x:v>
      </x:c>
      <x:c r="K745" s="12" t="str">
        <x:v>Business count is from 2018 while population/context indicators are newer; use as a historical proxy, not a current market count.</x:v>
      </x:c>
    </x:row>
    <x:row r="746">
      <x:c r="A746" s="12" t="str">
        <x:v>2399</x:v>
      </x:c>
      <x:c r="B746" s="12" t="str">
        <x:v>Manufacture of other non-metallic mineral products n.e.c.</x:v>
      </x:c>
      <x:c r="C746" s="12" t="str">
        <x:v>عمان</x:v>
      </x:c>
      <x:c r="D746" s="14" t="n">
        <x:v>2</x:v>
      </x:c>
      <x:c r="E746" s="14" t="n">
        <x:f>VLOOKUP(C746,'Governorate Master'!$A$2:$Q$13,3,FALSE)</x:f>
        <x:v>5004600</x:v>
      </x:c>
      <x:c r="F746" s="66" t="n">
        <x:f>IF(E746=0,0,D746/E746*10000)</x:f>
        <x:v>0.003996323382488111</x:v>
      </x:c>
      <x:c r="G746" s="67" t="n">
        <x:f>VLOOKUP(C746,'Governorate Master'!$A$2:$Q$13,7,FALSE)</x:f>
        <x:v>660.3</x:v>
      </x:c>
      <x:c r="H746" s="20" t="n">
        <x:f>VLOOKUP(C746,'Governorate Master'!$A$2:$Q$13,6,FALSE)</x:f>
        <x:v>0.9721656076409703</x:v>
      </x:c>
      <x:c r="I746" s="20" t="n">
        <x:f>VLOOKUP(C746,'Governorate Master'!$A$2:$Q$13,15,FALSE)</x:f>
        <x:v>0.06367041198501873</x:v>
      </x:c>
      <x:c r="J746" s="12" t="str">
        <x:v>Location model input - competition/saturation context</x:v>
      </x:c>
      <x:c r="K746" s="12" t="str">
        <x:v>Business count is from 2018 while population/context indicators are newer; use as a historical proxy, not a current market count.</x:v>
      </x:c>
    </x:row>
    <x:row r="747">
      <x:c r="A747" s="12" t="str">
        <x:v>2399</x:v>
      </x:c>
      <x:c r="B747" s="12" t="str">
        <x:v>Manufacture of other non-metallic mineral products n.e.c.</x:v>
      </x:c>
      <x:c r="C747" s="12" t="str">
        <x:v>البلقاء</x:v>
      </x:c>
      <x:c r="D747" s="14" t="n">
        <x:v>0</x:v>
      </x:c>
      <x:c r="E747" s="14" t="n">
        <x:f>VLOOKUP(C747,'Governorate Master'!$A$2:$Q$13,3,FALSE)</x:f>
        <x:v>614000</x:v>
      </x:c>
      <x:c r="F747" s="66" t="n">
        <x:f>IF(E747=0,0,D747/E747*10000)</x:f>
        <x:v>0</x:v>
      </x:c>
      <x:c r="G747" s="67" t="n">
        <x:f>VLOOKUP(C747,'Governorate Master'!$A$2:$Q$13,7,FALSE)</x:f>
        <x:v>548</x:v>
      </x:c>
      <x:c r="H747" s="20" t="n">
        <x:f>VLOOKUP(C747,'Governorate Master'!$A$2:$Q$13,6,FALSE)</x:f>
        <x:v>0.8210097719869707</x:v>
      </x:c>
      <x:c r="I747" s="20" t="n">
        <x:f>VLOOKUP(C747,'Governorate Master'!$A$2:$Q$13,15,FALSE)</x:f>
        <x:v>0.10794044665012408</x:v>
      </x:c>
      <x:c r="J747" s="12" t="str">
        <x:v>Location model input - competition/saturation context</x:v>
      </x:c>
      <x:c r="K747" s="12" t="str">
        <x:v>Business count is from 2018 while population/context indicators are newer; use as a historical proxy, not a current market count.</x:v>
      </x:c>
    </x:row>
    <x:row r="748">
      <x:c r="A748" s="12" t="str">
        <x:v>2399</x:v>
      </x:c>
      <x:c r="B748" s="12" t="str">
        <x:v>Manufacture of other non-metallic mineral products n.e.c.</x:v>
      </x:c>
      <x:c r="C748" s="12" t="str">
        <x:v>الزرقاء</x:v>
      </x:c>
      <x:c r="D748" s="14" t="n">
        <x:v>0</x:v>
      </x:c>
      <x:c r="E748" s="14" t="n">
        <x:f>VLOOKUP(C748,'Governorate Master'!$A$2:$Q$13,3,FALSE)</x:f>
        <x:v>1704500</x:v>
      </x:c>
      <x:c r="F748" s="66" t="n">
        <x:f>IF(E748=0,0,D748/E748*10000)</x:f>
        <x:v>0</x:v>
      </x:c>
      <x:c r="G748" s="67" t="n">
        <x:f>VLOOKUP(C748,'Governorate Master'!$A$2:$Q$13,7,FALSE)</x:f>
        <x:v>358</x:v>
      </x:c>
      <x:c r="H748" s="20" t="n">
        <x:f>VLOOKUP(C748,'Governorate Master'!$A$2:$Q$13,6,FALSE)</x:f>
        <x:v>0.9636256966852449</x:v>
      </x:c>
      <x:c r="I748" s="20" t="n">
        <x:f>VLOOKUP(C748,'Governorate Master'!$A$2:$Q$13,15,FALSE)</x:f>
        <x:v>-0.06808762581409118</x:v>
      </x:c>
      <x:c r="J748" s="12" t="str">
        <x:v>Location model input - competition/saturation context</x:v>
      </x:c>
      <x:c r="K748" s="12" t="str">
        <x:v>Business count is from 2018 while population/context indicators are newer; use as a historical proxy, not a current market count.</x:v>
      </x:c>
    </x:row>
    <x:row r="749">
      <x:c r="A749" s="12" t="str">
        <x:v>2399</x:v>
      </x:c>
      <x:c r="B749" s="12" t="str">
        <x:v>Manufacture of other non-metallic mineral products n.e.c.</x:v>
      </x:c>
      <x:c r="C749" s="12" t="str">
        <x:v>مادبا</x:v>
      </x:c>
      <x:c r="D749" s="14" t="n">
        <x:v>0</x:v>
      </x:c>
      <x:c r="E749" s="14" t="n">
        <x:f>VLOOKUP(C749,'Governorate Master'!$A$2:$Q$13,3,FALSE)</x:f>
        <x:v>236200</x:v>
      </x:c>
      <x:c r="F749" s="66" t="n">
        <x:f>IF(E749=0,0,D749/E749*10000)</x:f>
        <x:v>0</x:v>
      </x:c>
      <x:c r="G749" s="67" t="n">
        <x:f>VLOOKUP(C749,'Governorate Master'!$A$2:$Q$13,7,FALSE)</x:f>
        <x:v>251.4</x:v>
      </x:c>
      <x:c r="H749" s="20" t="n">
        <x:f>VLOOKUP(C749,'Governorate Master'!$A$2:$Q$13,6,FALSE)</x:f>
        <x:v>0.7823878069432684</x:v>
      </x:c>
      <x:c r="I749" s="20" t="n">
        <x:f>VLOOKUP(C749,'Governorate Master'!$A$2:$Q$13,15,FALSE)</x:f>
        <x:v>-0.18823529411764706</x:v>
      </x:c>
      <x:c r="J749" s="12" t="str">
        <x:v>Location model input - competition/saturation context</x:v>
      </x:c>
      <x:c r="K749" s="12" t="str">
        <x:v>Business count is from 2018 while population/context indicators are newer; use as a historical proxy, not a current market count.</x:v>
      </x:c>
    </x:row>
    <x:row r="750">
      <x:c r="A750" s="12" t="str">
        <x:v>2399</x:v>
      </x:c>
      <x:c r="B750" s="12" t="str">
        <x:v>Manufacture of other non-metallic mineral products n.e.c.</x:v>
      </x:c>
      <x:c r="C750" s="12" t="str">
        <x:v>إربد</x:v>
      </x:c>
      <x:c r="D750" s="14" t="n">
        <x:v>1</x:v>
      </x:c>
      <x:c r="E750" s="14" t="n">
        <x:f>VLOOKUP(C750,'Governorate Master'!$A$2:$Q$13,3,FALSE)</x:f>
        <x:v>2210500</x:v>
      </x:c>
      <x:c r="F750" s="66" t="n">
        <x:f>IF(E750=0,0,D750/E750*10000)</x:f>
        <x:v>0.004523863379325944</x:v>
      </x:c>
      <x:c r="G750" s="67" t="n">
        <x:f>VLOOKUP(C750,'Governorate Master'!$A$2:$Q$13,7,FALSE)</x:f>
        <x:v>1406.4</x:v>
      </x:c>
      <x:c r="H750" s="20" t="n">
        <x:f>VLOOKUP(C750,'Governorate Master'!$A$2:$Q$13,6,FALSE)</x:f>
        <x:v>0.9235014702555983</x:v>
      </x:c>
      <x:c r="I750" s="20" t="n">
        <x:f>VLOOKUP(C750,'Governorate Master'!$A$2:$Q$13,15,FALSE)</x:f>
        <x:v>0.07086922474549726</x:v>
      </x:c>
      <x:c r="J750" s="12" t="str">
        <x:v>Location model input - competition/saturation context</x:v>
      </x:c>
      <x:c r="K750" s="12" t="str">
        <x:v>Business count is from 2018 while population/context indicators are newer; use as a historical proxy, not a current market count.</x:v>
      </x:c>
    </x:row>
    <x:row r="751">
      <x:c r="A751" s="12" t="str">
        <x:v>2399</x:v>
      </x:c>
      <x:c r="B751" s="12" t="str">
        <x:v>Manufacture of other non-metallic mineral products n.e.c.</x:v>
      </x:c>
      <x:c r="C751" s="12" t="str">
        <x:v>المفرق</x:v>
      </x:c>
      <x:c r="D751" s="14" t="n">
        <x:v>0</x:v>
      </x:c>
      <x:c r="E751" s="14" t="n">
        <x:f>VLOOKUP(C751,'Governorate Master'!$A$2:$Q$13,3,FALSE)</x:f>
        <x:v>686800</x:v>
      </x:c>
      <x:c r="F751" s="66" t="n">
        <x:f>IF(E751=0,0,D751/E751*10000)</x:f>
        <x:v>0</x:v>
      </x:c>
      <x:c r="G751" s="67" t="n">
        <x:f>VLOOKUP(C751,'Governorate Master'!$A$2:$Q$13,7,FALSE)</x:f>
        <x:v>25.9</x:v>
      </x:c>
      <x:c r="H751" s="20" t="n">
        <x:f>VLOOKUP(C751,'Governorate Master'!$A$2:$Q$13,6,FALSE)</x:f>
        <x:v>0.6965637740244612</x:v>
      </x:c>
      <x:c r="I751" s="20" t="n">
        <x:f>VLOOKUP(C751,'Governorate Master'!$A$2:$Q$13,15,FALSE)</x:f>
        <x:v>-0.016638935108153077</x:v>
      </x:c>
      <x:c r="J751" s="12" t="str">
        <x:v>Location model input - competition/saturation context</x:v>
      </x:c>
      <x:c r="K751" s="12" t="str">
        <x:v>Business count is from 2018 while population/context indicators are newer; use as a historical proxy, not a current market count.</x:v>
      </x:c>
    </x:row>
    <x:row r="752">
      <x:c r="A752" s="12" t="str">
        <x:v>2399</x:v>
      </x:c>
      <x:c r="B752" s="12" t="str">
        <x:v>Manufacture of other non-metallic mineral products n.e.c.</x:v>
      </x:c>
      <x:c r="C752" s="12" t="str">
        <x:v>جرش</x:v>
      </x:c>
      <x:c r="D752" s="14" t="n">
        <x:v>0</x:v>
      </x:c>
      <x:c r="E752" s="14" t="n">
        <x:f>VLOOKUP(C752,'Governorate Master'!$A$2:$Q$13,3,FALSE)</x:f>
        <x:v>296000</x:v>
      </x:c>
      <x:c r="F752" s="66" t="n">
        <x:f>IF(E752=0,0,D752/E752*10000)</x:f>
        <x:v>0</x:v>
      </x:c>
      <x:c r="G752" s="67" t="n">
        <x:f>VLOOKUP(C752,'Governorate Master'!$A$2:$Q$13,7,FALSE)</x:f>
        <x:v>722.3</x:v>
      </x:c>
      <x:c r="H752" s="20" t="n">
        <x:f>VLOOKUP(C752,'Governorate Master'!$A$2:$Q$13,6,FALSE)</x:f>
        <x:v>0.7695945945945946</x:v>
      </x:c>
      <x:c r="I752" s="20" t="n">
        <x:f>VLOOKUP(C752,'Governorate Master'!$A$2:$Q$13,15,FALSE)</x:f>
        <x:v>-0.06527415143603134</x:v>
      </x:c>
      <x:c r="J752" s="12" t="str">
        <x:v>Location model input - competition/saturation context</x:v>
      </x:c>
      <x:c r="K752" s="12" t="str">
        <x:v>Business count is from 2018 while population/context indicators are newer; use as a historical proxy, not a current market count.</x:v>
      </x:c>
    </x:row>
    <x:row r="753">
      <x:c r="A753" s="12" t="str">
        <x:v>2399</x:v>
      </x:c>
      <x:c r="B753" s="12" t="str">
        <x:v>Manufacture of other non-metallic mineral products n.e.c.</x:v>
      </x:c>
      <x:c r="C753" s="12" t="str">
        <x:v>عجلون</x:v>
      </x:c>
      <x:c r="D753" s="14" t="n">
        <x:v>0</x:v>
      </x:c>
      <x:c r="E753" s="14" t="n">
        <x:f>VLOOKUP(C753,'Governorate Master'!$A$2:$Q$13,3,FALSE)</x:f>
        <x:v>219900</x:v>
      </x:c>
      <x:c r="F753" s="66" t="n">
        <x:f>IF(E753=0,0,D753/E753*10000)</x:f>
        <x:v>0</x:v>
      </x:c>
      <x:c r="G753" s="67" t="n">
        <x:f>VLOOKUP(C753,'Governorate Master'!$A$2:$Q$13,7,FALSE)</x:f>
        <x:v>524</x:v>
      </x:c>
      <x:c r="H753" s="20" t="n">
        <x:f>VLOOKUP(C753,'Governorate Master'!$A$2:$Q$13,6,FALSE)</x:f>
        <x:v>0.8390177353342428</x:v>
      </x:c>
      <x:c r="I753" s="20" t="n">
        <x:f>VLOOKUP(C753,'Governorate Master'!$A$2:$Q$13,15,FALSE)</x:f>
        <x:v>0.03614457831325301</x:v>
      </x:c>
      <x:c r="J753" s="12" t="str">
        <x:v>Location model input - competition/saturation context</x:v>
      </x:c>
      <x:c r="K753" s="12" t="str">
        <x:v>Business count is from 2018 while population/context indicators are newer; use as a historical proxy, not a current market count.</x:v>
      </x:c>
    </x:row>
    <x:row r="754">
      <x:c r="A754" s="12" t="str">
        <x:v>2399</x:v>
      </x:c>
      <x:c r="B754" s="12" t="str">
        <x:v>Manufacture of other non-metallic mineral products n.e.c.</x:v>
      </x:c>
      <x:c r="C754" s="12" t="str">
        <x:v>الكرك</x:v>
      </x:c>
      <x:c r="D754" s="14" t="n">
        <x:v>0</x:v>
      </x:c>
      <x:c r="E754" s="14" t="n">
        <x:f>VLOOKUP(C754,'Governorate Master'!$A$2:$Q$13,3,FALSE)</x:f>
        <x:v>395400</x:v>
      </x:c>
      <x:c r="F754" s="66" t="n">
        <x:f>IF(E754=0,0,D754/E754*10000)</x:f>
        <x:v>0</x:v>
      </x:c>
      <x:c r="G754" s="67" t="n">
        <x:f>VLOOKUP(C754,'Governorate Master'!$A$2:$Q$13,7,FALSE)</x:f>
        <x:v>113.1</x:v>
      </x:c>
      <x:c r="H754" s="20" t="n">
        <x:f>VLOOKUP(C754,'Governorate Master'!$A$2:$Q$13,6,FALSE)</x:f>
        <x:v>0.5912999494183105</x:v>
      </x:c>
      <x:c r="I754" s="20" t="n">
        <x:f>VLOOKUP(C754,'Governorate Master'!$A$2:$Q$13,15,FALSE)</x:f>
        <x:v>0.08710801393728224</x:v>
      </x:c>
      <x:c r="J754" s="12" t="str">
        <x:v>Location model input - competition/saturation context</x:v>
      </x:c>
      <x:c r="K754" s="12" t="str">
        <x:v>Business count is from 2018 while population/context indicators are newer; use as a historical proxy, not a current market count.</x:v>
      </x:c>
    </x:row>
    <x:row r="755">
      <x:c r="A755" s="12" t="str">
        <x:v>2399</x:v>
      </x:c>
      <x:c r="B755" s="12" t="str">
        <x:v>Manufacture of other non-metallic mineral products n.e.c.</x:v>
      </x:c>
      <x:c r="C755" s="12" t="str">
        <x:v>الطفيلة</x:v>
      </x:c>
      <x:c r="D755" s="14" t="n">
        <x:v>0</x:v>
      </x:c>
      <x:c r="E755" s="14" t="n">
        <x:f>VLOOKUP(C755,'Governorate Master'!$A$2:$Q$13,3,FALSE)</x:f>
        <x:v>120300</x:v>
      </x:c>
      <x:c r="F755" s="66" t="n">
        <x:f>IF(E755=0,0,D755/E755*10000)</x:f>
        <x:v>0</x:v>
      </x:c>
      <x:c r="G755" s="67" t="n">
        <x:f>VLOOKUP(C755,'Governorate Master'!$A$2:$Q$13,7,FALSE)</x:f>
        <x:v>54.4</x:v>
      </x:c>
      <x:c r="H755" s="20" t="n">
        <x:f>VLOOKUP(C755,'Governorate Master'!$A$2:$Q$13,6,FALSE)</x:f>
        <x:v>0.7797173732335827</x:v>
      </x:c>
      <x:c r="I755" s="20" t="n">
        <x:f>VLOOKUP(C755,'Governorate Master'!$A$2:$Q$13,15,FALSE)</x:f>
        <x:v>0.18452380952380953</x:v>
      </x:c>
      <x:c r="J755" s="12" t="str">
        <x:v>Location model input - competition/saturation context</x:v>
      </x:c>
      <x:c r="K755" s="12" t="str">
        <x:v>Business count is from 2018 while population/context indicators are newer; use as a historical proxy, not a current market count.</x:v>
      </x:c>
    </x:row>
    <x:row r="756">
      <x:c r="A756" s="12" t="str">
        <x:v>2399</x:v>
      </x:c>
      <x:c r="B756" s="12" t="str">
        <x:v>Manufacture of other non-metallic mineral products n.e.c.</x:v>
      </x:c>
      <x:c r="C756" s="12" t="str">
        <x:v>معان</x:v>
      </x:c>
      <x:c r="D756" s="14" t="n">
        <x:v>0</x:v>
      </x:c>
      <x:c r="E756" s="14" t="n">
        <x:f>VLOOKUP(C756,'Governorate Master'!$A$2:$Q$13,3,FALSE)</x:f>
        <x:v>197900</x:v>
      </x:c>
      <x:c r="F756" s="66" t="n">
        <x:f>IF(E756=0,0,D756/E756*10000)</x:f>
        <x:v>0</x:v>
      </x:c>
      <x:c r="G756" s="67" t="n">
        <x:f>VLOOKUP(C756,'Governorate Master'!$A$2:$Q$13,7,FALSE)</x:f>
        <x:v>6</x:v>
      </x:c>
      <x:c r="H756" s="20" t="n">
        <x:f>VLOOKUP(C756,'Governorate Master'!$A$2:$Q$13,6,FALSE)</x:f>
        <x:v>0.5406771096513391</x:v>
      </x:c>
      <x:c r="I756" s="20" t="n">
        <x:f>VLOOKUP(C756,'Governorate Master'!$A$2:$Q$13,15,FALSE)</x:f>
        <x:v>0.026845637583892617</x:v>
      </x:c>
      <x:c r="J756" s="12" t="str">
        <x:v>Location model input - competition/saturation context</x:v>
      </x:c>
      <x:c r="K756" s="12" t="str">
        <x:v>Business count is from 2018 while population/context indicators are newer; use as a historical proxy, not a current market count.</x:v>
      </x:c>
    </x:row>
    <x:row r="757">
      <x:c r="A757" s="12" t="str">
        <x:v>2399</x:v>
      </x:c>
      <x:c r="B757" s="12" t="str">
        <x:v>Manufacture of other non-metallic mineral products n.e.c.</x:v>
      </x:c>
      <x:c r="C757" s="12" t="str">
        <x:v>العقبة</x:v>
      </x:c>
      <x:c r="D757" s="14" t="n">
        <x:v>0</x:v>
      </x:c>
      <x:c r="E757" s="14" t="n">
        <x:f>VLOOKUP(C757,'Governorate Master'!$A$2:$Q$13,3,FALSE)</x:f>
        <x:v>250900</x:v>
      </x:c>
      <x:c r="F757" s="66" t="n">
        <x:f>IF(E757=0,0,D757/E757*10000)</x:f>
        <x:v>0</x:v>
      </x:c>
      <x:c r="G757" s="67" t="n">
        <x:f>VLOOKUP(C757,'Governorate Master'!$A$2:$Q$13,7,FALSE)</x:f>
        <x:v>36.3</x:v>
      </x:c>
      <x:c r="H757" s="20" t="n">
        <x:f>VLOOKUP(C757,'Governorate Master'!$A$2:$Q$13,6,FALSE)</x:f>
        <x:v>0.882024711040255</x:v>
      </x:c>
      <x:c r="I757" s="20" t="n">
        <x:f>VLOOKUP(C757,'Governorate Master'!$A$2:$Q$13,15,FALSE)</x:f>
        <x:v>-0.09</x:v>
      </x:c>
      <x:c r="J757" s="12" t="str">
        <x:v>Location model input - competition/saturation context</x:v>
      </x:c>
      <x:c r="K757" s="12" t="str">
        <x:v>Business count is from 2018 while population/context indicators are newer; use as a historical proxy, not a current market count.</x:v>
      </x:c>
    </x:row>
    <x:row r="758">
      <x:c r="A758" s="12" t="str">
        <x:v>2410</x:v>
      </x:c>
      <x:c r="B758" s="12" t="str">
        <x:v>Manufacture of basic iron and steel</x:v>
      </x:c>
      <x:c r="C758" s="12" t="str">
        <x:v>عمان</x:v>
      </x:c>
      <x:c r="D758" s="14" t="n">
        <x:v>25</x:v>
      </x:c>
      <x:c r="E758" s="14" t="n">
        <x:f>VLOOKUP(C758,'Governorate Master'!$A$2:$Q$13,3,FALSE)</x:f>
        <x:v>5004600</x:v>
      </x:c>
      <x:c r="F758" s="66" t="n">
        <x:f>IF(E758=0,0,D758/E758*10000)</x:f>
        <x:v>0.04995404228110139</x:v>
      </x:c>
      <x:c r="G758" s="67" t="n">
        <x:f>VLOOKUP(C758,'Governorate Master'!$A$2:$Q$13,7,FALSE)</x:f>
        <x:v>660.3</x:v>
      </x:c>
      <x:c r="H758" s="20" t="n">
        <x:f>VLOOKUP(C758,'Governorate Master'!$A$2:$Q$13,6,FALSE)</x:f>
        <x:v>0.9721656076409703</x:v>
      </x:c>
      <x:c r="I758" s="20" t="n">
        <x:f>VLOOKUP(C758,'Governorate Master'!$A$2:$Q$13,15,FALSE)</x:f>
        <x:v>0.06367041198501873</x:v>
      </x:c>
      <x:c r="J758" s="12" t="str">
        <x:v>Location model input - competition/saturation context</x:v>
      </x:c>
      <x:c r="K758" s="12" t="str">
        <x:v>Business count is from 2018 while population/context indicators are newer; use as a historical proxy, not a current market count.</x:v>
      </x:c>
    </x:row>
    <x:row r="759">
      <x:c r="A759" s="12" t="str">
        <x:v>2410</x:v>
      </x:c>
      <x:c r="B759" s="12" t="str">
        <x:v>Manufacture of basic iron and steel</x:v>
      </x:c>
      <x:c r="C759" s="12" t="str">
        <x:v>البلقاء</x:v>
      </x:c>
      <x:c r="D759" s="14" t="n">
        <x:v>0</x:v>
      </x:c>
      <x:c r="E759" s="14" t="n">
        <x:f>VLOOKUP(C759,'Governorate Master'!$A$2:$Q$13,3,FALSE)</x:f>
        <x:v>614000</x:v>
      </x:c>
      <x:c r="F759" s="66" t="n">
        <x:f>IF(E759=0,0,D759/E759*10000)</x:f>
        <x:v>0</x:v>
      </x:c>
      <x:c r="G759" s="67" t="n">
        <x:f>VLOOKUP(C759,'Governorate Master'!$A$2:$Q$13,7,FALSE)</x:f>
        <x:v>548</x:v>
      </x:c>
      <x:c r="H759" s="20" t="n">
        <x:f>VLOOKUP(C759,'Governorate Master'!$A$2:$Q$13,6,FALSE)</x:f>
        <x:v>0.8210097719869707</x:v>
      </x:c>
      <x:c r="I759" s="20" t="n">
        <x:f>VLOOKUP(C759,'Governorate Master'!$A$2:$Q$13,15,FALSE)</x:f>
        <x:v>0.10794044665012408</x:v>
      </x:c>
      <x:c r="J759" s="12" t="str">
        <x:v>Location model input - competition/saturation context</x:v>
      </x:c>
      <x:c r="K759" s="12" t="str">
        <x:v>Business count is from 2018 while population/context indicators are newer; use as a historical proxy, not a current market count.</x:v>
      </x:c>
    </x:row>
    <x:row r="760">
      <x:c r="A760" s="12" t="str">
        <x:v>2410</x:v>
      </x:c>
      <x:c r="B760" s="12" t="str">
        <x:v>Manufacture of basic iron and steel</x:v>
      </x:c>
      <x:c r="C760" s="12" t="str">
        <x:v>الزرقاء</x:v>
      </x:c>
      <x:c r="D760" s="14" t="n">
        <x:v>10</x:v>
      </x:c>
      <x:c r="E760" s="14" t="n">
        <x:f>VLOOKUP(C760,'Governorate Master'!$A$2:$Q$13,3,FALSE)</x:f>
        <x:v>1704500</x:v>
      </x:c>
      <x:c r="F760" s="66" t="n">
        <x:f>IF(E760=0,0,D760/E760*10000)</x:f>
        <x:v>0.05866823115283075</x:v>
      </x:c>
      <x:c r="G760" s="67" t="n">
        <x:f>VLOOKUP(C760,'Governorate Master'!$A$2:$Q$13,7,FALSE)</x:f>
        <x:v>358</x:v>
      </x:c>
      <x:c r="H760" s="20" t="n">
        <x:f>VLOOKUP(C760,'Governorate Master'!$A$2:$Q$13,6,FALSE)</x:f>
        <x:v>0.9636256966852449</x:v>
      </x:c>
      <x:c r="I760" s="20" t="n">
        <x:f>VLOOKUP(C760,'Governorate Master'!$A$2:$Q$13,15,FALSE)</x:f>
        <x:v>-0.06808762581409118</x:v>
      </x:c>
      <x:c r="J760" s="12" t="str">
        <x:v>Location model input - competition/saturation context</x:v>
      </x:c>
      <x:c r="K760" s="12" t="str">
        <x:v>Business count is from 2018 while population/context indicators are newer; use as a historical proxy, not a current market count.</x:v>
      </x:c>
    </x:row>
    <x:row r="761">
      <x:c r="A761" s="12" t="str">
        <x:v>2410</x:v>
      </x:c>
      <x:c r="B761" s="12" t="str">
        <x:v>Manufacture of basic iron and steel</x:v>
      </x:c>
      <x:c r="C761" s="12" t="str">
        <x:v>مادبا</x:v>
      </x:c>
      <x:c r="D761" s="14" t="n">
        <x:v>0</x:v>
      </x:c>
      <x:c r="E761" s="14" t="n">
        <x:f>VLOOKUP(C761,'Governorate Master'!$A$2:$Q$13,3,FALSE)</x:f>
        <x:v>236200</x:v>
      </x:c>
      <x:c r="F761" s="66" t="n">
        <x:f>IF(E761=0,0,D761/E761*10000)</x:f>
        <x:v>0</x:v>
      </x:c>
      <x:c r="G761" s="67" t="n">
        <x:f>VLOOKUP(C761,'Governorate Master'!$A$2:$Q$13,7,FALSE)</x:f>
        <x:v>251.4</x:v>
      </x:c>
      <x:c r="H761" s="20" t="n">
        <x:f>VLOOKUP(C761,'Governorate Master'!$A$2:$Q$13,6,FALSE)</x:f>
        <x:v>0.7823878069432684</x:v>
      </x:c>
      <x:c r="I761" s="20" t="n">
        <x:f>VLOOKUP(C761,'Governorate Master'!$A$2:$Q$13,15,FALSE)</x:f>
        <x:v>-0.18823529411764706</x:v>
      </x:c>
      <x:c r="J761" s="12" t="str">
        <x:v>Location model input - competition/saturation context</x:v>
      </x:c>
      <x:c r="K761" s="12" t="str">
        <x:v>Business count is from 2018 while population/context indicators are newer; use as a historical proxy, not a current market count.</x:v>
      </x:c>
    </x:row>
    <x:row r="762">
      <x:c r="A762" s="12" t="str">
        <x:v>2410</x:v>
      </x:c>
      <x:c r="B762" s="12" t="str">
        <x:v>Manufacture of basic iron and steel</x:v>
      </x:c>
      <x:c r="C762" s="12" t="str">
        <x:v>إربد</x:v>
      </x:c>
      <x:c r="D762" s="14" t="n">
        <x:v>1</x:v>
      </x:c>
      <x:c r="E762" s="14" t="n">
        <x:f>VLOOKUP(C762,'Governorate Master'!$A$2:$Q$13,3,FALSE)</x:f>
        <x:v>2210500</x:v>
      </x:c>
      <x:c r="F762" s="66" t="n">
        <x:f>IF(E762=0,0,D762/E762*10000)</x:f>
        <x:v>0.004523863379325944</x:v>
      </x:c>
      <x:c r="G762" s="67" t="n">
        <x:f>VLOOKUP(C762,'Governorate Master'!$A$2:$Q$13,7,FALSE)</x:f>
        <x:v>1406.4</x:v>
      </x:c>
      <x:c r="H762" s="20" t="n">
        <x:f>VLOOKUP(C762,'Governorate Master'!$A$2:$Q$13,6,FALSE)</x:f>
        <x:v>0.9235014702555983</x:v>
      </x:c>
      <x:c r="I762" s="20" t="n">
        <x:f>VLOOKUP(C762,'Governorate Master'!$A$2:$Q$13,15,FALSE)</x:f>
        <x:v>0.07086922474549726</x:v>
      </x:c>
      <x:c r="J762" s="12" t="str">
        <x:v>Location model input - competition/saturation context</x:v>
      </x:c>
      <x:c r="K762" s="12" t="str">
        <x:v>Business count is from 2018 while population/context indicators are newer; use as a historical proxy, not a current market count.</x:v>
      </x:c>
    </x:row>
    <x:row r="763">
      <x:c r="A763" s="12" t="str">
        <x:v>2410</x:v>
      </x:c>
      <x:c r="B763" s="12" t="str">
        <x:v>Manufacture of basic iron and steel</x:v>
      </x:c>
      <x:c r="C763" s="12" t="str">
        <x:v>المفرق</x:v>
      </x:c>
      <x:c r="D763" s="14" t="n">
        <x:v>0</x:v>
      </x:c>
      <x:c r="E763" s="14" t="n">
        <x:f>VLOOKUP(C763,'Governorate Master'!$A$2:$Q$13,3,FALSE)</x:f>
        <x:v>686800</x:v>
      </x:c>
      <x:c r="F763" s="66" t="n">
        <x:f>IF(E763=0,0,D763/E763*10000)</x:f>
        <x:v>0</x:v>
      </x:c>
      <x:c r="G763" s="67" t="n">
        <x:f>VLOOKUP(C763,'Governorate Master'!$A$2:$Q$13,7,FALSE)</x:f>
        <x:v>25.9</x:v>
      </x:c>
      <x:c r="H763" s="20" t="n">
        <x:f>VLOOKUP(C763,'Governorate Master'!$A$2:$Q$13,6,FALSE)</x:f>
        <x:v>0.6965637740244612</x:v>
      </x:c>
      <x:c r="I763" s="20" t="n">
        <x:f>VLOOKUP(C763,'Governorate Master'!$A$2:$Q$13,15,FALSE)</x:f>
        <x:v>-0.016638935108153077</x:v>
      </x:c>
      <x:c r="J763" s="12" t="str">
        <x:v>Location model input - competition/saturation context</x:v>
      </x:c>
      <x:c r="K763" s="12" t="str">
        <x:v>Business count is from 2018 while population/context indicators are newer; use as a historical proxy, not a current market count.</x:v>
      </x:c>
    </x:row>
    <x:row r="764">
      <x:c r="A764" s="12" t="str">
        <x:v>2410</x:v>
      </x:c>
      <x:c r="B764" s="12" t="str">
        <x:v>Manufacture of basic iron and steel</x:v>
      </x:c>
      <x:c r="C764" s="12" t="str">
        <x:v>جرش</x:v>
      </x:c>
      <x:c r="D764" s="14" t="n">
        <x:v>0</x:v>
      </x:c>
      <x:c r="E764" s="14" t="n">
        <x:f>VLOOKUP(C764,'Governorate Master'!$A$2:$Q$13,3,FALSE)</x:f>
        <x:v>296000</x:v>
      </x:c>
      <x:c r="F764" s="66" t="n">
        <x:f>IF(E764=0,0,D764/E764*10000)</x:f>
        <x:v>0</x:v>
      </x:c>
      <x:c r="G764" s="67" t="n">
        <x:f>VLOOKUP(C764,'Governorate Master'!$A$2:$Q$13,7,FALSE)</x:f>
        <x:v>722.3</x:v>
      </x:c>
      <x:c r="H764" s="20" t="n">
        <x:f>VLOOKUP(C764,'Governorate Master'!$A$2:$Q$13,6,FALSE)</x:f>
        <x:v>0.7695945945945946</x:v>
      </x:c>
      <x:c r="I764" s="20" t="n">
        <x:f>VLOOKUP(C764,'Governorate Master'!$A$2:$Q$13,15,FALSE)</x:f>
        <x:v>-0.06527415143603134</x:v>
      </x:c>
      <x:c r="J764" s="12" t="str">
        <x:v>Location model input - competition/saturation context</x:v>
      </x:c>
      <x:c r="K764" s="12" t="str">
        <x:v>Business count is from 2018 while population/context indicators are newer; use as a historical proxy, not a current market count.</x:v>
      </x:c>
    </x:row>
    <x:row r="765">
      <x:c r="A765" s="12" t="str">
        <x:v>2410</x:v>
      </x:c>
      <x:c r="B765" s="12" t="str">
        <x:v>Manufacture of basic iron and steel</x:v>
      </x:c>
      <x:c r="C765" s="12" t="str">
        <x:v>عجلون</x:v>
      </x:c>
      <x:c r="D765" s="14" t="n">
        <x:v>0</x:v>
      </x:c>
      <x:c r="E765" s="14" t="n">
        <x:f>VLOOKUP(C765,'Governorate Master'!$A$2:$Q$13,3,FALSE)</x:f>
        <x:v>219900</x:v>
      </x:c>
      <x:c r="F765" s="66" t="n">
        <x:f>IF(E765=0,0,D765/E765*10000)</x:f>
        <x:v>0</x:v>
      </x:c>
      <x:c r="G765" s="67" t="n">
        <x:f>VLOOKUP(C765,'Governorate Master'!$A$2:$Q$13,7,FALSE)</x:f>
        <x:v>524</x:v>
      </x:c>
      <x:c r="H765" s="20" t="n">
        <x:f>VLOOKUP(C765,'Governorate Master'!$A$2:$Q$13,6,FALSE)</x:f>
        <x:v>0.8390177353342428</x:v>
      </x:c>
      <x:c r="I765" s="20" t="n">
        <x:f>VLOOKUP(C765,'Governorate Master'!$A$2:$Q$13,15,FALSE)</x:f>
        <x:v>0.03614457831325301</x:v>
      </x:c>
      <x:c r="J765" s="12" t="str">
        <x:v>Location model input - competition/saturation context</x:v>
      </x:c>
      <x:c r="K765" s="12" t="str">
        <x:v>Business count is from 2018 while population/context indicators are newer; use as a historical proxy, not a current market count.</x:v>
      </x:c>
    </x:row>
    <x:row r="766">
      <x:c r="A766" s="12" t="str">
        <x:v>2410</x:v>
      </x:c>
      <x:c r="B766" s="12" t="str">
        <x:v>Manufacture of basic iron and steel</x:v>
      </x:c>
      <x:c r="C766" s="12" t="str">
        <x:v>الكرك</x:v>
      </x:c>
      <x:c r="D766" s="14" t="n">
        <x:v>0</x:v>
      </x:c>
      <x:c r="E766" s="14" t="n">
        <x:f>VLOOKUP(C766,'Governorate Master'!$A$2:$Q$13,3,FALSE)</x:f>
        <x:v>395400</x:v>
      </x:c>
      <x:c r="F766" s="66" t="n">
        <x:f>IF(E766=0,0,D766/E766*10000)</x:f>
        <x:v>0</x:v>
      </x:c>
      <x:c r="G766" s="67" t="n">
        <x:f>VLOOKUP(C766,'Governorate Master'!$A$2:$Q$13,7,FALSE)</x:f>
        <x:v>113.1</x:v>
      </x:c>
      <x:c r="H766" s="20" t="n">
        <x:f>VLOOKUP(C766,'Governorate Master'!$A$2:$Q$13,6,FALSE)</x:f>
        <x:v>0.5912999494183105</x:v>
      </x:c>
      <x:c r="I766" s="20" t="n">
        <x:f>VLOOKUP(C766,'Governorate Master'!$A$2:$Q$13,15,FALSE)</x:f>
        <x:v>0.08710801393728224</x:v>
      </x:c>
      <x:c r="J766" s="12" t="str">
        <x:v>Location model input - competition/saturation context</x:v>
      </x:c>
      <x:c r="K766" s="12" t="str">
        <x:v>Business count is from 2018 while population/context indicators are newer; use as a historical proxy, not a current market count.</x:v>
      </x:c>
    </x:row>
    <x:row r="767">
      <x:c r="A767" s="12" t="str">
        <x:v>2410</x:v>
      </x:c>
      <x:c r="B767" s="12" t="str">
        <x:v>Manufacture of basic iron and steel</x:v>
      </x:c>
      <x:c r="C767" s="12" t="str">
        <x:v>الطفيلة</x:v>
      </x:c>
      <x:c r="D767" s="14" t="n">
        <x:v>0</x:v>
      </x:c>
      <x:c r="E767" s="14" t="n">
        <x:f>VLOOKUP(C767,'Governorate Master'!$A$2:$Q$13,3,FALSE)</x:f>
        <x:v>120300</x:v>
      </x:c>
      <x:c r="F767" s="66" t="n">
        <x:f>IF(E767=0,0,D767/E767*10000)</x:f>
        <x:v>0</x:v>
      </x:c>
      <x:c r="G767" s="67" t="n">
        <x:f>VLOOKUP(C767,'Governorate Master'!$A$2:$Q$13,7,FALSE)</x:f>
        <x:v>54.4</x:v>
      </x:c>
      <x:c r="H767" s="20" t="n">
        <x:f>VLOOKUP(C767,'Governorate Master'!$A$2:$Q$13,6,FALSE)</x:f>
        <x:v>0.7797173732335827</x:v>
      </x:c>
      <x:c r="I767" s="20" t="n">
        <x:f>VLOOKUP(C767,'Governorate Master'!$A$2:$Q$13,15,FALSE)</x:f>
        <x:v>0.18452380952380953</x:v>
      </x:c>
      <x:c r="J767" s="12" t="str">
        <x:v>Location model input - competition/saturation context</x:v>
      </x:c>
      <x:c r="K767" s="12" t="str">
        <x:v>Business count is from 2018 while population/context indicators are newer; use as a historical proxy, not a current market count.</x:v>
      </x:c>
    </x:row>
    <x:row r="768">
      <x:c r="A768" s="12" t="str">
        <x:v>2410</x:v>
      </x:c>
      <x:c r="B768" s="12" t="str">
        <x:v>Manufacture of basic iron and steel</x:v>
      </x:c>
      <x:c r="C768" s="12" t="str">
        <x:v>معان</x:v>
      </x:c>
      <x:c r="D768" s="14" t="n">
        <x:v>0</x:v>
      </x:c>
      <x:c r="E768" s="14" t="n">
        <x:f>VLOOKUP(C768,'Governorate Master'!$A$2:$Q$13,3,FALSE)</x:f>
        <x:v>197900</x:v>
      </x:c>
      <x:c r="F768" s="66" t="n">
        <x:f>IF(E768=0,0,D768/E768*10000)</x:f>
        <x:v>0</x:v>
      </x:c>
      <x:c r="G768" s="67" t="n">
        <x:f>VLOOKUP(C768,'Governorate Master'!$A$2:$Q$13,7,FALSE)</x:f>
        <x:v>6</x:v>
      </x:c>
      <x:c r="H768" s="20" t="n">
        <x:f>VLOOKUP(C768,'Governorate Master'!$A$2:$Q$13,6,FALSE)</x:f>
        <x:v>0.5406771096513391</x:v>
      </x:c>
      <x:c r="I768" s="20" t="n">
        <x:f>VLOOKUP(C768,'Governorate Master'!$A$2:$Q$13,15,FALSE)</x:f>
        <x:v>0.026845637583892617</x:v>
      </x:c>
      <x:c r="J768" s="12" t="str">
        <x:v>Location model input - competition/saturation context</x:v>
      </x:c>
      <x:c r="K768" s="12" t="str">
        <x:v>Business count is from 2018 while population/context indicators are newer; use as a historical proxy, not a current market count.</x:v>
      </x:c>
    </x:row>
    <x:row r="769">
      <x:c r="A769" s="12" t="str">
        <x:v>2410</x:v>
      </x:c>
      <x:c r="B769" s="12" t="str">
        <x:v>Manufacture of basic iron and steel</x:v>
      </x:c>
      <x:c r="C769" s="12" t="str">
        <x:v>العقبة</x:v>
      </x:c>
      <x:c r="D769" s="14" t="n">
        <x:v>0</x:v>
      </x:c>
      <x:c r="E769" s="14" t="n">
        <x:f>VLOOKUP(C769,'Governorate Master'!$A$2:$Q$13,3,FALSE)</x:f>
        <x:v>250900</x:v>
      </x:c>
      <x:c r="F769" s="66" t="n">
        <x:f>IF(E769=0,0,D769/E769*10000)</x:f>
        <x:v>0</x:v>
      </x:c>
      <x:c r="G769" s="67" t="n">
        <x:f>VLOOKUP(C769,'Governorate Master'!$A$2:$Q$13,7,FALSE)</x:f>
        <x:v>36.3</x:v>
      </x:c>
      <x:c r="H769" s="20" t="n">
        <x:f>VLOOKUP(C769,'Governorate Master'!$A$2:$Q$13,6,FALSE)</x:f>
        <x:v>0.882024711040255</x:v>
      </x:c>
      <x:c r="I769" s="20" t="n">
        <x:f>VLOOKUP(C769,'Governorate Master'!$A$2:$Q$13,15,FALSE)</x:f>
        <x:v>-0.09</x:v>
      </x:c>
      <x:c r="J769" s="12" t="str">
        <x:v>Location model input - competition/saturation context</x:v>
      </x:c>
      <x:c r="K769" s="12" t="str">
        <x:v>Business count is from 2018 while population/context indicators are newer; use as a historical proxy, not a current market count.</x:v>
      </x:c>
    </x:row>
    <x:row r="770">
      <x:c r="A770" s="12" t="str">
        <x:v>2420</x:v>
      </x:c>
      <x:c r="B770" s="12" t="str">
        <x:v>Manufacture of basic precious and other non- ferrous metals</x:v>
      </x:c>
      <x:c r="C770" s="12" t="str">
        <x:v>عمان</x:v>
      </x:c>
      <x:c r="D770" s="14" t="n">
        <x:v>17</x:v>
      </x:c>
      <x:c r="E770" s="14" t="n">
        <x:f>VLOOKUP(C770,'Governorate Master'!$A$2:$Q$13,3,FALSE)</x:f>
        <x:v>5004600</x:v>
      </x:c>
      <x:c r="F770" s="66" t="n">
        <x:f>IF(E770=0,0,D770/E770*10000)</x:f>
        <x:v>0.03396874875114894</x:v>
      </x:c>
      <x:c r="G770" s="67" t="n">
        <x:f>VLOOKUP(C770,'Governorate Master'!$A$2:$Q$13,7,FALSE)</x:f>
        <x:v>660.3</x:v>
      </x:c>
      <x:c r="H770" s="20" t="n">
        <x:f>VLOOKUP(C770,'Governorate Master'!$A$2:$Q$13,6,FALSE)</x:f>
        <x:v>0.9721656076409703</x:v>
      </x:c>
      <x:c r="I770" s="20" t="n">
        <x:f>VLOOKUP(C770,'Governorate Master'!$A$2:$Q$13,15,FALSE)</x:f>
        <x:v>0.06367041198501873</x:v>
      </x:c>
      <x:c r="J770" s="12" t="str">
        <x:v>Location model input - competition/saturation context</x:v>
      </x:c>
      <x:c r="K770" s="12" t="str">
        <x:v>Business count is from 2018 while population/context indicators are newer; use as a historical proxy, not a current market count.</x:v>
      </x:c>
    </x:row>
    <x:row r="771">
      <x:c r="A771" s="12" t="str">
        <x:v>2420</x:v>
      </x:c>
      <x:c r="B771" s="12" t="str">
        <x:v>Manufacture of basic precious and other non- ferrous metals</x:v>
      </x:c>
      <x:c r="C771" s="12" t="str">
        <x:v>البلقاء</x:v>
      </x:c>
      <x:c r="D771" s="14" t="n">
        <x:v>0</x:v>
      </x:c>
      <x:c r="E771" s="14" t="n">
        <x:f>VLOOKUP(C771,'Governorate Master'!$A$2:$Q$13,3,FALSE)</x:f>
        <x:v>614000</x:v>
      </x:c>
      <x:c r="F771" s="66" t="n">
        <x:f>IF(E771=0,0,D771/E771*10000)</x:f>
        <x:v>0</x:v>
      </x:c>
      <x:c r="G771" s="67" t="n">
        <x:f>VLOOKUP(C771,'Governorate Master'!$A$2:$Q$13,7,FALSE)</x:f>
        <x:v>548</x:v>
      </x:c>
      <x:c r="H771" s="20" t="n">
        <x:f>VLOOKUP(C771,'Governorate Master'!$A$2:$Q$13,6,FALSE)</x:f>
        <x:v>0.8210097719869707</x:v>
      </x:c>
      <x:c r="I771" s="20" t="n">
        <x:f>VLOOKUP(C771,'Governorate Master'!$A$2:$Q$13,15,FALSE)</x:f>
        <x:v>0.10794044665012408</x:v>
      </x:c>
      <x:c r="J771" s="12" t="str">
        <x:v>Location model input - competition/saturation context</x:v>
      </x:c>
      <x:c r="K771" s="12" t="str">
        <x:v>Business count is from 2018 while population/context indicators are newer; use as a historical proxy, not a current market count.</x:v>
      </x:c>
    </x:row>
    <x:row r="772">
      <x:c r="A772" s="12" t="str">
        <x:v>2420</x:v>
      </x:c>
      <x:c r="B772" s="12" t="str">
        <x:v>Manufacture of basic precious and other non- ferrous metals</x:v>
      </x:c>
      <x:c r="C772" s="12" t="str">
        <x:v>الزرقاء</x:v>
      </x:c>
      <x:c r="D772" s="14" t="n">
        <x:v>0</x:v>
      </x:c>
      <x:c r="E772" s="14" t="n">
        <x:f>VLOOKUP(C772,'Governorate Master'!$A$2:$Q$13,3,FALSE)</x:f>
        <x:v>1704500</x:v>
      </x:c>
      <x:c r="F772" s="66" t="n">
        <x:f>IF(E772=0,0,D772/E772*10000)</x:f>
        <x:v>0</x:v>
      </x:c>
      <x:c r="G772" s="67" t="n">
        <x:f>VLOOKUP(C772,'Governorate Master'!$A$2:$Q$13,7,FALSE)</x:f>
        <x:v>358</x:v>
      </x:c>
      <x:c r="H772" s="20" t="n">
        <x:f>VLOOKUP(C772,'Governorate Master'!$A$2:$Q$13,6,FALSE)</x:f>
        <x:v>0.9636256966852449</x:v>
      </x:c>
      <x:c r="I772" s="20" t="n">
        <x:f>VLOOKUP(C772,'Governorate Master'!$A$2:$Q$13,15,FALSE)</x:f>
        <x:v>-0.06808762581409118</x:v>
      </x:c>
      <x:c r="J772" s="12" t="str">
        <x:v>Location model input - competition/saturation context</x:v>
      </x:c>
      <x:c r="K772" s="12" t="str">
        <x:v>Business count is from 2018 while population/context indicators are newer; use as a historical proxy, not a current market count.</x:v>
      </x:c>
    </x:row>
    <x:row r="773">
      <x:c r="A773" s="12" t="str">
        <x:v>2420</x:v>
      </x:c>
      <x:c r="B773" s="12" t="str">
        <x:v>Manufacture of basic precious and other non- ferrous metals</x:v>
      </x:c>
      <x:c r="C773" s="12" t="str">
        <x:v>مادبا</x:v>
      </x:c>
      <x:c r="D773" s="14" t="n">
        <x:v>0</x:v>
      </x:c>
      <x:c r="E773" s="14" t="n">
        <x:f>VLOOKUP(C773,'Governorate Master'!$A$2:$Q$13,3,FALSE)</x:f>
        <x:v>236200</x:v>
      </x:c>
      <x:c r="F773" s="66" t="n">
        <x:f>IF(E773=0,0,D773/E773*10000)</x:f>
        <x:v>0</x:v>
      </x:c>
      <x:c r="G773" s="67" t="n">
        <x:f>VLOOKUP(C773,'Governorate Master'!$A$2:$Q$13,7,FALSE)</x:f>
        <x:v>251.4</x:v>
      </x:c>
      <x:c r="H773" s="20" t="n">
        <x:f>VLOOKUP(C773,'Governorate Master'!$A$2:$Q$13,6,FALSE)</x:f>
        <x:v>0.7823878069432684</x:v>
      </x:c>
      <x:c r="I773" s="20" t="n">
        <x:f>VLOOKUP(C773,'Governorate Master'!$A$2:$Q$13,15,FALSE)</x:f>
        <x:v>-0.18823529411764706</x:v>
      </x:c>
      <x:c r="J773" s="12" t="str">
        <x:v>Location model input - competition/saturation context</x:v>
      </x:c>
      <x:c r="K773" s="12" t="str">
        <x:v>Business count is from 2018 while population/context indicators are newer; use as a historical proxy, not a current market count.</x:v>
      </x:c>
    </x:row>
    <x:row r="774">
      <x:c r="A774" s="12" t="str">
        <x:v>2420</x:v>
      </x:c>
      <x:c r="B774" s="12" t="str">
        <x:v>Manufacture of basic precious and other non- ferrous metals</x:v>
      </x:c>
      <x:c r="C774" s="12" t="str">
        <x:v>إربد</x:v>
      </x:c>
      <x:c r="D774" s="14" t="n">
        <x:v>0</x:v>
      </x:c>
      <x:c r="E774" s="14" t="n">
        <x:f>VLOOKUP(C774,'Governorate Master'!$A$2:$Q$13,3,FALSE)</x:f>
        <x:v>2210500</x:v>
      </x:c>
      <x:c r="F774" s="66" t="n">
        <x:f>IF(E774=0,0,D774/E774*10000)</x:f>
        <x:v>0</x:v>
      </x:c>
      <x:c r="G774" s="67" t="n">
        <x:f>VLOOKUP(C774,'Governorate Master'!$A$2:$Q$13,7,FALSE)</x:f>
        <x:v>1406.4</x:v>
      </x:c>
      <x:c r="H774" s="20" t="n">
        <x:f>VLOOKUP(C774,'Governorate Master'!$A$2:$Q$13,6,FALSE)</x:f>
        <x:v>0.9235014702555983</x:v>
      </x:c>
      <x:c r="I774" s="20" t="n">
        <x:f>VLOOKUP(C774,'Governorate Master'!$A$2:$Q$13,15,FALSE)</x:f>
        <x:v>0.07086922474549726</x:v>
      </x:c>
      <x:c r="J774" s="12" t="str">
        <x:v>Location model input - competition/saturation context</x:v>
      </x:c>
      <x:c r="K774" s="12" t="str">
        <x:v>Business count is from 2018 while population/context indicators are newer; use as a historical proxy, not a current market count.</x:v>
      </x:c>
    </x:row>
    <x:row r="775">
      <x:c r="A775" s="12" t="str">
        <x:v>2420</x:v>
      </x:c>
      <x:c r="B775" s="12" t="str">
        <x:v>Manufacture of basic precious and other non- ferrous metals</x:v>
      </x:c>
      <x:c r="C775" s="12" t="str">
        <x:v>المفرق</x:v>
      </x:c>
      <x:c r="D775" s="14" t="n">
        <x:v>1</x:v>
      </x:c>
      <x:c r="E775" s="14" t="n">
        <x:f>VLOOKUP(C775,'Governorate Master'!$A$2:$Q$13,3,FALSE)</x:f>
        <x:v>686800</x:v>
      </x:c>
      <x:c r="F775" s="66" t="n">
        <x:f>IF(E775=0,0,D775/E775*10000)</x:f>
        <x:v>0.014560279557367502</x:v>
      </x:c>
      <x:c r="G775" s="67" t="n">
        <x:f>VLOOKUP(C775,'Governorate Master'!$A$2:$Q$13,7,FALSE)</x:f>
        <x:v>25.9</x:v>
      </x:c>
      <x:c r="H775" s="20" t="n">
        <x:f>VLOOKUP(C775,'Governorate Master'!$A$2:$Q$13,6,FALSE)</x:f>
        <x:v>0.6965637740244612</x:v>
      </x:c>
      <x:c r="I775" s="20" t="n">
        <x:f>VLOOKUP(C775,'Governorate Master'!$A$2:$Q$13,15,FALSE)</x:f>
        <x:v>-0.016638935108153077</x:v>
      </x:c>
      <x:c r="J775" s="12" t="str">
        <x:v>Location model input - competition/saturation context</x:v>
      </x:c>
      <x:c r="K775" s="12" t="str">
        <x:v>Business count is from 2018 while population/context indicators are newer; use as a historical proxy, not a current market count.</x:v>
      </x:c>
    </x:row>
    <x:row r="776">
      <x:c r="A776" s="12" t="str">
        <x:v>2420</x:v>
      </x:c>
      <x:c r="B776" s="12" t="str">
        <x:v>Manufacture of basic precious and other non- ferrous metals</x:v>
      </x:c>
      <x:c r="C776" s="12" t="str">
        <x:v>جرش</x:v>
      </x:c>
      <x:c r="D776" s="14" t="n">
        <x:v>0</x:v>
      </x:c>
      <x:c r="E776" s="14" t="n">
        <x:f>VLOOKUP(C776,'Governorate Master'!$A$2:$Q$13,3,FALSE)</x:f>
        <x:v>296000</x:v>
      </x:c>
      <x:c r="F776" s="66" t="n">
        <x:f>IF(E776=0,0,D776/E776*10000)</x:f>
        <x:v>0</x:v>
      </x:c>
      <x:c r="G776" s="67" t="n">
        <x:f>VLOOKUP(C776,'Governorate Master'!$A$2:$Q$13,7,FALSE)</x:f>
        <x:v>722.3</x:v>
      </x:c>
      <x:c r="H776" s="20" t="n">
        <x:f>VLOOKUP(C776,'Governorate Master'!$A$2:$Q$13,6,FALSE)</x:f>
        <x:v>0.7695945945945946</x:v>
      </x:c>
      <x:c r="I776" s="20" t="n">
        <x:f>VLOOKUP(C776,'Governorate Master'!$A$2:$Q$13,15,FALSE)</x:f>
        <x:v>-0.06527415143603134</x:v>
      </x:c>
      <x:c r="J776" s="12" t="str">
        <x:v>Location model input - competition/saturation context</x:v>
      </x:c>
      <x:c r="K776" s="12" t="str">
        <x:v>Business count is from 2018 while population/context indicators are newer; use as a historical proxy, not a current market count.</x:v>
      </x:c>
    </x:row>
    <x:row r="777">
      <x:c r="A777" s="12" t="str">
        <x:v>2420</x:v>
      </x:c>
      <x:c r="B777" s="12" t="str">
        <x:v>Manufacture of basic precious and other non- ferrous metals</x:v>
      </x:c>
      <x:c r="C777" s="12" t="str">
        <x:v>عجلون</x:v>
      </x:c>
      <x:c r="D777" s="14" t="n">
        <x:v>0</x:v>
      </x:c>
      <x:c r="E777" s="14" t="n">
        <x:f>VLOOKUP(C777,'Governorate Master'!$A$2:$Q$13,3,FALSE)</x:f>
        <x:v>219900</x:v>
      </x:c>
      <x:c r="F777" s="66" t="n">
        <x:f>IF(E777=0,0,D777/E777*10000)</x:f>
        <x:v>0</x:v>
      </x:c>
      <x:c r="G777" s="67" t="n">
        <x:f>VLOOKUP(C777,'Governorate Master'!$A$2:$Q$13,7,FALSE)</x:f>
        <x:v>524</x:v>
      </x:c>
      <x:c r="H777" s="20" t="n">
        <x:f>VLOOKUP(C777,'Governorate Master'!$A$2:$Q$13,6,FALSE)</x:f>
        <x:v>0.8390177353342428</x:v>
      </x:c>
      <x:c r="I777" s="20" t="n">
        <x:f>VLOOKUP(C777,'Governorate Master'!$A$2:$Q$13,15,FALSE)</x:f>
        <x:v>0.03614457831325301</x:v>
      </x:c>
      <x:c r="J777" s="12" t="str">
        <x:v>Location model input - competition/saturation context</x:v>
      </x:c>
      <x:c r="K777" s="12" t="str">
        <x:v>Business count is from 2018 while population/context indicators are newer; use as a historical proxy, not a current market count.</x:v>
      </x:c>
    </x:row>
    <x:row r="778">
      <x:c r="A778" s="12" t="str">
        <x:v>2420</x:v>
      </x:c>
      <x:c r="B778" s="12" t="str">
        <x:v>Manufacture of basic precious and other non- ferrous metals</x:v>
      </x:c>
      <x:c r="C778" s="12" t="str">
        <x:v>الكرك</x:v>
      </x:c>
      <x:c r="D778" s="14" t="n">
        <x:v>0</x:v>
      </x:c>
      <x:c r="E778" s="14" t="n">
        <x:f>VLOOKUP(C778,'Governorate Master'!$A$2:$Q$13,3,FALSE)</x:f>
        <x:v>395400</x:v>
      </x:c>
      <x:c r="F778" s="66" t="n">
        <x:f>IF(E778=0,0,D778/E778*10000)</x:f>
        <x:v>0</x:v>
      </x:c>
      <x:c r="G778" s="67" t="n">
        <x:f>VLOOKUP(C778,'Governorate Master'!$A$2:$Q$13,7,FALSE)</x:f>
        <x:v>113.1</x:v>
      </x:c>
      <x:c r="H778" s="20" t="n">
        <x:f>VLOOKUP(C778,'Governorate Master'!$A$2:$Q$13,6,FALSE)</x:f>
        <x:v>0.5912999494183105</x:v>
      </x:c>
      <x:c r="I778" s="20" t="n">
        <x:f>VLOOKUP(C778,'Governorate Master'!$A$2:$Q$13,15,FALSE)</x:f>
        <x:v>0.08710801393728224</x:v>
      </x:c>
      <x:c r="J778" s="12" t="str">
        <x:v>Location model input - competition/saturation context</x:v>
      </x:c>
      <x:c r="K778" s="12" t="str">
        <x:v>Business count is from 2018 while population/context indicators are newer; use as a historical proxy, not a current market count.</x:v>
      </x:c>
    </x:row>
    <x:row r="779">
      <x:c r="A779" s="12" t="str">
        <x:v>2420</x:v>
      </x:c>
      <x:c r="B779" s="12" t="str">
        <x:v>Manufacture of basic precious and other non- ferrous metals</x:v>
      </x:c>
      <x:c r="C779" s="12" t="str">
        <x:v>الطفيلة</x:v>
      </x:c>
      <x:c r="D779" s="14" t="n">
        <x:v>0</x:v>
      </x:c>
      <x:c r="E779" s="14" t="n">
        <x:f>VLOOKUP(C779,'Governorate Master'!$A$2:$Q$13,3,FALSE)</x:f>
        <x:v>120300</x:v>
      </x:c>
      <x:c r="F779" s="66" t="n">
        <x:f>IF(E779=0,0,D779/E779*10000)</x:f>
        <x:v>0</x:v>
      </x:c>
      <x:c r="G779" s="67" t="n">
        <x:f>VLOOKUP(C779,'Governorate Master'!$A$2:$Q$13,7,FALSE)</x:f>
        <x:v>54.4</x:v>
      </x:c>
      <x:c r="H779" s="20" t="n">
        <x:f>VLOOKUP(C779,'Governorate Master'!$A$2:$Q$13,6,FALSE)</x:f>
        <x:v>0.7797173732335827</x:v>
      </x:c>
      <x:c r="I779" s="20" t="n">
        <x:f>VLOOKUP(C779,'Governorate Master'!$A$2:$Q$13,15,FALSE)</x:f>
        <x:v>0.18452380952380953</x:v>
      </x:c>
      <x:c r="J779" s="12" t="str">
        <x:v>Location model input - competition/saturation context</x:v>
      </x:c>
      <x:c r="K779" s="12" t="str">
        <x:v>Business count is from 2018 while population/context indicators are newer; use as a historical proxy, not a current market count.</x:v>
      </x:c>
    </x:row>
    <x:row r="780">
      <x:c r="A780" s="12" t="str">
        <x:v>2420</x:v>
      </x:c>
      <x:c r="B780" s="12" t="str">
        <x:v>Manufacture of basic precious and other non- ferrous metals</x:v>
      </x:c>
      <x:c r="C780" s="12" t="str">
        <x:v>معان</x:v>
      </x:c>
      <x:c r="D780" s="14" t="n">
        <x:v>0</x:v>
      </x:c>
      <x:c r="E780" s="14" t="n">
        <x:f>VLOOKUP(C780,'Governorate Master'!$A$2:$Q$13,3,FALSE)</x:f>
        <x:v>197900</x:v>
      </x:c>
      <x:c r="F780" s="66" t="n">
        <x:f>IF(E780=0,0,D780/E780*10000)</x:f>
        <x:v>0</x:v>
      </x:c>
      <x:c r="G780" s="67" t="n">
        <x:f>VLOOKUP(C780,'Governorate Master'!$A$2:$Q$13,7,FALSE)</x:f>
        <x:v>6</x:v>
      </x:c>
      <x:c r="H780" s="20" t="n">
        <x:f>VLOOKUP(C780,'Governorate Master'!$A$2:$Q$13,6,FALSE)</x:f>
        <x:v>0.5406771096513391</x:v>
      </x:c>
      <x:c r="I780" s="20" t="n">
        <x:f>VLOOKUP(C780,'Governorate Master'!$A$2:$Q$13,15,FALSE)</x:f>
        <x:v>0.026845637583892617</x:v>
      </x:c>
      <x:c r="J780" s="12" t="str">
        <x:v>Location model input - competition/saturation context</x:v>
      </x:c>
      <x:c r="K780" s="12" t="str">
        <x:v>Business count is from 2018 while population/context indicators are newer; use as a historical proxy, not a current market count.</x:v>
      </x:c>
    </x:row>
    <x:row r="781">
      <x:c r="A781" s="12" t="str">
        <x:v>2420</x:v>
      </x:c>
      <x:c r="B781" s="12" t="str">
        <x:v>Manufacture of basic precious and other non- ferrous metals</x:v>
      </x:c>
      <x:c r="C781" s="12" t="str">
        <x:v>العقبة</x:v>
      </x:c>
      <x:c r="D781" s="14" t="n">
        <x:v>1</x:v>
      </x:c>
      <x:c r="E781" s="14" t="n">
        <x:f>VLOOKUP(C781,'Governorate Master'!$A$2:$Q$13,3,FALSE)</x:f>
        <x:v>250900</x:v>
      </x:c>
      <x:c r="F781" s="66" t="n">
        <x:f>IF(E781=0,0,D781/E781*10000)</x:f>
        <x:v>0.03985651654045436</x:v>
      </x:c>
      <x:c r="G781" s="67" t="n">
        <x:f>VLOOKUP(C781,'Governorate Master'!$A$2:$Q$13,7,FALSE)</x:f>
        <x:v>36.3</x:v>
      </x:c>
      <x:c r="H781" s="20" t="n">
        <x:f>VLOOKUP(C781,'Governorate Master'!$A$2:$Q$13,6,FALSE)</x:f>
        <x:v>0.882024711040255</x:v>
      </x:c>
      <x:c r="I781" s="20" t="n">
        <x:f>VLOOKUP(C781,'Governorate Master'!$A$2:$Q$13,15,FALSE)</x:f>
        <x:v>-0.09</x:v>
      </x:c>
      <x:c r="J781" s="12" t="str">
        <x:v>Location model input - competition/saturation context</x:v>
      </x:c>
      <x:c r="K781" s="12" t="str">
        <x:v>Business count is from 2018 while population/context indicators are newer; use as a historical proxy, not a current market count.</x:v>
      </x:c>
    </x:row>
    <x:row r="782">
      <x:c r="A782" s="12" t="str">
        <x:v>2431</x:v>
      </x:c>
      <x:c r="B782" s="12" t="str">
        <x:v>Casting of iron and steel</x:v>
      </x:c>
      <x:c r="C782" s="12" t="str">
        <x:v>عمان</x:v>
      </x:c>
      <x:c r="D782" s="14" t="n">
        <x:v>33</x:v>
      </x:c>
      <x:c r="E782" s="14" t="n">
        <x:f>VLOOKUP(C782,'Governorate Master'!$A$2:$Q$13,3,FALSE)</x:f>
        <x:v>5004600</x:v>
      </x:c>
      <x:c r="F782" s="66" t="n">
        <x:f>IF(E782=0,0,D782/E782*10000)</x:f>
        <x:v>0.06593933581105384</x:v>
      </x:c>
      <x:c r="G782" s="67" t="n">
        <x:f>VLOOKUP(C782,'Governorate Master'!$A$2:$Q$13,7,FALSE)</x:f>
        <x:v>660.3</x:v>
      </x:c>
      <x:c r="H782" s="20" t="n">
        <x:f>VLOOKUP(C782,'Governorate Master'!$A$2:$Q$13,6,FALSE)</x:f>
        <x:v>0.9721656076409703</x:v>
      </x:c>
      <x:c r="I782" s="20" t="n">
        <x:f>VLOOKUP(C782,'Governorate Master'!$A$2:$Q$13,15,FALSE)</x:f>
        <x:v>0.06367041198501873</x:v>
      </x:c>
      <x:c r="J782" s="12" t="str">
        <x:v>Location model input - competition/saturation context</x:v>
      </x:c>
      <x:c r="K782" s="12" t="str">
        <x:v>Business count is from 2018 while population/context indicators are newer; use as a historical proxy, not a current market count.</x:v>
      </x:c>
    </x:row>
    <x:row r="783">
      <x:c r="A783" s="12" t="str">
        <x:v>2431</x:v>
      </x:c>
      <x:c r="B783" s="12" t="str">
        <x:v>Casting of iron and steel</x:v>
      </x:c>
      <x:c r="C783" s="12" t="str">
        <x:v>البلقاء</x:v>
      </x:c>
      <x:c r="D783" s="14" t="n">
        <x:v>0</x:v>
      </x:c>
      <x:c r="E783" s="14" t="n">
        <x:f>VLOOKUP(C783,'Governorate Master'!$A$2:$Q$13,3,FALSE)</x:f>
        <x:v>614000</x:v>
      </x:c>
      <x:c r="F783" s="66" t="n">
        <x:f>IF(E783=0,0,D783/E783*10000)</x:f>
        <x:v>0</x:v>
      </x:c>
      <x:c r="G783" s="67" t="n">
        <x:f>VLOOKUP(C783,'Governorate Master'!$A$2:$Q$13,7,FALSE)</x:f>
        <x:v>548</x:v>
      </x:c>
      <x:c r="H783" s="20" t="n">
        <x:f>VLOOKUP(C783,'Governorate Master'!$A$2:$Q$13,6,FALSE)</x:f>
        <x:v>0.8210097719869707</x:v>
      </x:c>
      <x:c r="I783" s="20" t="n">
        <x:f>VLOOKUP(C783,'Governorate Master'!$A$2:$Q$13,15,FALSE)</x:f>
        <x:v>0.10794044665012408</x:v>
      </x:c>
      <x:c r="J783" s="12" t="str">
        <x:v>Location model input - competition/saturation context</x:v>
      </x:c>
      <x:c r="K783" s="12" t="str">
        <x:v>Business count is from 2018 while population/context indicators are newer; use as a historical proxy, not a current market count.</x:v>
      </x:c>
    </x:row>
    <x:row r="784">
      <x:c r="A784" s="12" t="str">
        <x:v>2431</x:v>
      </x:c>
      <x:c r="B784" s="12" t="str">
        <x:v>Casting of iron and steel</x:v>
      </x:c>
      <x:c r="C784" s="12" t="str">
        <x:v>الزرقاء</x:v>
      </x:c>
      <x:c r="D784" s="14" t="n">
        <x:v>2</x:v>
      </x:c>
      <x:c r="E784" s="14" t="n">
        <x:f>VLOOKUP(C784,'Governorate Master'!$A$2:$Q$13,3,FALSE)</x:f>
        <x:v>1704500</x:v>
      </x:c>
      <x:c r="F784" s="66" t="n">
        <x:f>IF(E784=0,0,D784/E784*10000)</x:f>
        <x:v>0.011733646230566148</x:v>
      </x:c>
      <x:c r="G784" s="67" t="n">
        <x:f>VLOOKUP(C784,'Governorate Master'!$A$2:$Q$13,7,FALSE)</x:f>
        <x:v>358</x:v>
      </x:c>
      <x:c r="H784" s="20" t="n">
        <x:f>VLOOKUP(C784,'Governorate Master'!$A$2:$Q$13,6,FALSE)</x:f>
        <x:v>0.9636256966852449</x:v>
      </x:c>
      <x:c r="I784" s="20" t="n">
        <x:f>VLOOKUP(C784,'Governorate Master'!$A$2:$Q$13,15,FALSE)</x:f>
        <x:v>-0.06808762581409118</x:v>
      </x:c>
      <x:c r="J784" s="12" t="str">
        <x:v>Location model input - competition/saturation context</x:v>
      </x:c>
      <x:c r="K784" s="12" t="str">
        <x:v>Business count is from 2018 while population/context indicators are newer; use as a historical proxy, not a current market count.</x:v>
      </x:c>
    </x:row>
    <x:row r="785">
      <x:c r="A785" s="12" t="str">
        <x:v>2431</x:v>
      </x:c>
      <x:c r="B785" s="12" t="str">
        <x:v>Casting of iron and steel</x:v>
      </x:c>
      <x:c r="C785" s="12" t="str">
        <x:v>مادبا</x:v>
      </x:c>
      <x:c r="D785" s="14" t="n">
        <x:v>0</x:v>
      </x:c>
      <x:c r="E785" s="14" t="n">
        <x:f>VLOOKUP(C785,'Governorate Master'!$A$2:$Q$13,3,FALSE)</x:f>
        <x:v>236200</x:v>
      </x:c>
      <x:c r="F785" s="66" t="n">
        <x:f>IF(E785=0,0,D785/E785*10000)</x:f>
        <x:v>0</x:v>
      </x:c>
      <x:c r="G785" s="67" t="n">
        <x:f>VLOOKUP(C785,'Governorate Master'!$A$2:$Q$13,7,FALSE)</x:f>
        <x:v>251.4</x:v>
      </x:c>
      <x:c r="H785" s="20" t="n">
        <x:f>VLOOKUP(C785,'Governorate Master'!$A$2:$Q$13,6,FALSE)</x:f>
        <x:v>0.7823878069432684</x:v>
      </x:c>
      <x:c r="I785" s="20" t="n">
        <x:f>VLOOKUP(C785,'Governorate Master'!$A$2:$Q$13,15,FALSE)</x:f>
        <x:v>-0.18823529411764706</x:v>
      </x:c>
      <x:c r="J785" s="12" t="str">
        <x:v>Location model input - competition/saturation context</x:v>
      </x:c>
      <x:c r="K785" s="12" t="str">
        <x:v>Business count is from 2018 while population/context indicators are newer; use as a historical proxy, not a current market count.</x:v>
      </x:c>
    </x:row>
    <x:row r="786">
      <x:c r="A786" s="12" t="str">
        <x:v>2431</x:v>
      </x:c>
      <x:c r="B786" s="12" t="str">
        <x:v>Casting of iron and steel</x:v>
      </x:c>
      <x:c r="C786" s="12" t="str">
        <x:v>إربد</x:v>
      </x:c>
      <x:c r="D786" s="14" t="n">
        <x:v>5</x:v>
      </x:c>
      <x:c r="E786" s="14" t="n">
        <x:f>VLOOKUP(C786,'Governorate Master'!$A$2:$Q$13,3,FALSE)</x:f>
        <x:v>2210500</x:v>
      </x:c>
      <x:c r="F786" s="66" t="n">
        <x:f>IF(E786=0,0,D786/E786*10000)</x:f>
        <x:v>0.022619316896629722</x:v>
      </x:c>
      <x:c r="G786" s="67" t="n">
        <x:f>VLOOKUP(C786,'Governorate Master'!$A$2:$Q$13,7,FALSE)</x:f>
        <x:v>1406.4</x:v>
      </x:c>
      <x:c r="H786" s="20" t="n">
        <x:f>VLOOKUP(C786,'Governorate Master'!$A$2:$Q$13,6,FALSE)</x:f>
        <x:v>0.9235014702555983</x:v>
      </x:c>
      <x:c r="I786" s="20" t="n">
        <x:f>VLOOKUP(C786,'Governorate Master'!$A$2:$Q$13,15,FALSE)</x:f>
        <x:v>0.07086922474549726</x:v>
      </x:c>
      <x:c r="J786" s="12" t="str">
        <x:v>Location model input - competition/saturation context</x:v>
      </x:c>
      <x:c r="K786" s="12" t="str">
        <x:v>Business count is from 2018 while population/context indicators are newer; use as a historical proxy, not a current market count.</x:v>
      </x:c>
    </x:row>
    <x:row r="787">
      <x:c r="A787" s="12" t="str">
        <x:v>2431</x:v>
      </x:c>
      <x:c r="B787" s="12" t="str">
        <x:v>Casting of iron and steel</x:v>
      </x:c>
      <x:c r="C787" s="12" t="str">
        <x:v>المفرق</x:v>
      </x:c>
      <x:c r="D787" s="14" t="n">
        <x:v>0</x:v>
      </x:c>
      <x:c r="E787" s="14" t="n">
        <x:f>VLOOKUP(C787,'Governorate Master'!$A$2:$Q$13,3,FALSE)</x:f>
        <x:v>686800</x:v>
      </x:c>
      <x:c r="F787" s="66" t="n">
        <x:f>IF(E787=0,0,D787/E787*10000)</x:f>
        <x:v>0</x:v>
      </x:c>
      <x:c r="G787" s="67" t="n">
        <x:f>VLOOKUP(C787,'Governorate Master'!$A$2:$Q$13,7,FALSE)</x:f>
        <x:v>25.9</x:v>
      </x:c>
      <x:c r="H787" s="20" t="n">
        <x:f>VLOOKUP(C787,'Governorate Master'!$A$2:$Q$13,6,FALSE)</x:f>
        <x:v>0.6965637740244612</x:v>
      </x:c>
      <x:c r="I787" s="20" t="n">
        <x:f>VLOOKUP(C787,'Governorate Master'!$A$2:$Q$13,15,FALSE)</x:f>
        <x:v>-0.016638935108153077</x:v>
      </x:c>
      <x:c r="J787" s="12" t="str">
        <x:v>Location model input - competition/saturation context</x:v>
      </x:c>
      <x:c r="K787" s="12" t="str">
        <x:v>Business count is from 2018 while population/context indicators are newer; use as a historical proxy, not a current market count.</x:v>
      </x:c>
    </x:row>
    <x:row r="788">
      <x:c r="A788" s="12" t="str">
        <x:v>2431</x:v>
      </x:c>
      <x:c r="B788" s="12" t="str">
        <x:v>Casting of iron and steel</x:v>
      </x:c>
      <x:c r="C788" s="12" t="str">
        <x:v>جرش</x:v>
      </x:c>
      <x:c r="D788" s="14" t="n">
        <x:v>0</x:v>
      </x:c>
      <x:c r="E788" s="14" t="n">
        <x:f>VLOOKUP(C788,'Governorate Master'!$A$2:$Q$13,3,FALSE)</x:f>
        <x:v>296000</x:v>
      </x:c>
      <x:c r="F788" s="66" t="n">
        <x:f>IF(E788=0,0,D788/E788*10000)</x:f>
        <x:v>0</x:v>
      </x:c>
      <x:c r="G788" s="67" t="n">
        <x:f>VLOOKUP(C788,'Governorate Master'!$A$2:$Q$13,7,FALSE)</x:f>
        <x:v>722.3</x:v>
      </x:c>
      <x:c r="H788" s="20" t="n">
        <x:f>VLOOKUP(C788,'Governorate Master'!$A$2:$Q$13,6,FALSE)</x:f>
        <x:v>0.7695945945945946</x:v>
      </x:c>
      <x:c r="I788" s="20" t="n">
        <x:f>VLOOKUP(C788,'Governorate Master'!$A$2:$Q$13,15,FALSE)</x:f>
        <x:v>-0.06527415143603134</x:v>
      </x:c>
      <x:c r="J788" s="12" t="str">
        <x:v>Location model input - competition/saturation context</x:v>
      </x:c>
      <x:c r="K788" s="12" t="str">
        <x:v>Business count is from 2018 while population/context indicators are newer; use as a historical proxy, not a current market count.</x:v>
      </x:c>
    </x:row>
    <x:row r="789">
      <x:c r="A789" s="12" t="str">
        <x:v>2431</x:v>
      </x:c>
      <x:c r="B789" s="12" t="str">
        <x:v>Casting of iron and steel</x:v>
      </x:c>
      <x:c r="C789" s="12" t="str">
        <x:v>عجلون</x:v>
      </x:c>
      <x:c r="D789" s="14" t="n">
        <x:v>0</x:v>
      </x:c>
      <x:c r="E789" s="14" t="n">
        <x:f>VLOOKUP(C789,'Governorate Master'!$A$2:$Q$13,3,FALSE)</x:f>
        <x:v>219900</x:v>
      </x:c>
      <x:c r="F789" s="66" t="n">
        <x:f>IF(E789=0,0,D789/E789*10000)</x:f>
        <x:v>0</x:v>
      </x:c>
      <x:c r="G789" s="67" t="n">
        <x:f>VLOOKUP(C789,'Governorate Master'!$A$2:$Q$13,7,FALSE)</x:f>
        <x:v>524</x:v>
      </x:c>
      <x:c r="H789" s="20" t="n">
        <x:f>VLOOKUP(C789,'Governorate Master'!$A$2:$Q$13,6,FALSE)</x:f>
        <x:v>0.8390177353342428</x:v>
      </x:c>
      <x:c r="I789" s="20" t="n">
        <x:f>VLOOKUP(C789,'Governorate Master'!$A$2:$Q$13,15,FALSE)</x:f>
        <x:v>0.03614457831325301</x:v>
      </x:c>
      <x:c r="J789" s="12" t="str">
        <x:v>Location model input - competition/saturation context</x:v>
      </x:c>
      <x:c r="K789" s="12" t="str">
        <x:v>Business count is from 2018 while population/context indicators are newer; use as a historical proxy, not a current market count.</x:v>
      </x:c>
    </x:row>
    <x:row r="790">
      <x:c r="A790" s="12" t="str">
        <x:v>2431</x:v>
      </x:c>
      <x:c r="B790" s="12" t="str">
        <x:v>Casting of iron and steel</x:v>
      </x:c>
      <x:c r="C790" s="12" t="str">
        <x:v>الكرك</x:v>
      </x:c>
      <x:c r="D790" s="14" t="n">
        <x:v>0</x:v>
      </x:c>
      <x:c r="E790" s="14" t="n">
        <x:f>VLOOKUP(C790,'Governorate Master'!$A$2:$Q$13,3,FALSE)</x:f>
        <x:v>395400</x:v>
      </x:c>
      <x:c r="F790" s="66" t="n">
        <x:f>IF(E790=0,0,D790/E790*10000)</x:f>
        <x:v>0</x:v>
      </x:c>
      <x:c r="G790" s="67" t="n">
        <x:f>VLOOKUP(C790,'Governorate Master'!$A$2:$Q$13,7,FALSE)</x:f>
        <x:v>113.1</x:v>
      </x:c>
      <x:c r="H790" s="20" t="n">
        <x:f>VLOOKUP(C790,'Governorate Master'!$A$2:$Q$13,6,FALSE)</x:f>
        <x:v>0.5912999494183105</x:v>
      </x:c>
      <x:c r="I790" s="20" t="n">
        <x:f>VLOOKUP(C790,'Governorate Master'!$A$2:$Q$13,15,FALSE)</x:f>
        <x:v>0.08710801393728224</x:v>
      </x:c>
      <x:c r="J790" s="12" t="str">
        <x:v>Location model input - competition/saturation context</x:v>
      </x:c>
      <x:c r="K790" s="12" t="str">
        <x:v>Business count is from 2018 while population/context indicators are newer; use as a historical proxy, not a current market count.</x:v>
      </x:c>
    </x:row>
    <x:row r="791">
      <x:c r="A791" s="12" t="str">
        <x:v>2431</x:v>
      </x:c>
      <x:c r="B791" s="12" t="str">
        <x:v>Casting of iron and steel</x:v>
      </x:c>
      <x:c r="C791" s="12" t="str">
        <x:v>الطفيلة</x:v>
      </x:c>
      <x:c r="D791" s="14" t="n">
        <x:v>0</x:v>
      </x:c>
      <x:c r="E791" s="14" t="n">
        <x:f>VLOOKUP(C791,'Governorate Master'!$A$2:$Q$13,3,FALSE)</x:f>
        <x:v>120300</x:v>
      </x:c>
      <x:c r="F791" s="66" t="n">
        <x:f>IF(E791=0,0,D791/E791*10000)</x:f>
        <x:v>0</x:v>
      </x:c>
      <x:c r="G791" s="67" t="n">
        <x:f>VLOOKUP(C791,'Governorate Master'!$A$2:$Q$13,7,FALSE)</x:f>
        <x:v>54.4</x:v>
      </x:c>
      <x:c r="H791" s="20" t="n">
        <x:f>VLOOKUP(C791,'Governorate Master'!$A$2:$Q$13,6,FALSE)</x:f>
        <x:v>0.7797173732335827</x:v>
      </x:c>
      <x:c r="I791" s="20" t="n">
        <x:f>VLOOKUP(C791,'Governorate Master'!$A$2:$Q$13,15,FALSE)</x:f>
        <x:v>0.18452380952380953</x:v>
      </x:c>
      <x:c r="J791" s="12" t="str">
        <x:v>Location model input - competition/saturation context</x:v>
      </x:c>
      <x:c r="K791" s="12" t="str">
        <x:v>Business count is from 2018 while population/context indicators are newer; use as a historical proxy, not a current market count.</x:v>
      </x:c>
    </x:row>
    <x:row r="792">
      <x:c r="A792" s="12" t="str">
        <x:v>2431</x:v>
      </x:c>
      <x:c r="B792" s="12" t="str">
        <x:v>Casting of iron and steel</x:v>
      </x:c>
      <x:c r="C792" s="12" t="str">
        <x:v>معان</x:v>
      </x:c>
      <x:c r="D792" s="14" t="n">
        <x:v>0</x:v>
      </x:c>
      <x:c r="E792" s="14" t="n">
        <x:f>VLOOKUP(C792,'Governorate Master'!$A$2:$Q$13,3,FALSE)</x:f>
        <x:v>197900</x:v>
      </x:c>
      <x:c r="F792" s="66" t="n">
        <x:f>IF(E792=0,0,D792/E792*10000)</x:f>
        <x:v>0</x:v>
      </x:c>
      <x:c r="G792" s="67" t="n">
        <x:f>VLOOKUP(C792,'Governorate Master'!$A$2:$Q$13,7,FALSE)</x:f>
        <x:v>6</x:v>
      </x:c>
      <x:c r="H792" s="20" t="n">
        <x:f>VLOOKUP(C792,'Governorate Master'!$A$2:$Q$13,6,FALSE)</x:f>
        <x:v>0.5406771096513391</x:v>
      </x:c>
      <x:c r="I792" s="20" t="n">
        <x:f>VLOOKUP(C792,'Governorate Master'!$A$2:$Q$13,15,FALSE)</x:f>
        <x:v>0.026845637583892617</x:v>
      </x:c>
      <x:c r="J792" s="12" t="str">
        <x:v>Location model input - competition/saturation context</x:v>
      </x:c>
      <x:c r="K792" s="12" t="str">
        <x:v>Business count is from 2018 while population/context indicators are newer; use as a historical proxy, not a current market count.</x:v>
      </x:c>
    </x:row>
    <x:row r="793">
      <x:c r="A793" s="12" t="str">
        <x:v>2431</x:v>
      </x:c>
      <x:c r="B793" s="12" t="str">
        <x:v>Casting of iron and steel</x:v>
      </x:c>
      <x:c r="C793" s="12" t="str">
        <x:v>العقبة</x:v>
      </x:c>
      <x:c r="D793" s="14" t="n">
        <x:v>0</x:v>
      </x:c>
      <x:c r="E793" s="14" t="n">
        <x:f>VLOOKUP(C793,'Governorate Master'!$A$2:$Q$13,3,FALSE)</x:f>
        <x:v>250900</x:v>
      </x:c>
      <x:c r="F793" s="66" t="n">
        <x:f>IF(E793=0,0,D793/E793*10000)</x:f>
        <x:v>0</x:v>
      </x:c>
      <x:c r="G793" s="67" t="n">
        <x:f>VLOOKUP(C793,'Governorate Master'!$A$2:$Q$13,7,FALSE)</x:f>
        <x:v>36.3</x:v>
      </x:c>
      <x:c r="H793" s="20" t="n">
        <x:f>VLOOKUP(C793,'Governorate Master'!$A$2:$Q$13,6,FALSE)</x:f>
        <x:v>0.882024711040255</x:v>
      </x:c>
      <x:c r="I793" s="20" t="n">
        <x:f>VLOOKUP(C793,'Governorate Master'!$A$2:$Q$13,15,FALSE)</x:f>
        <x:v>-0.09</x:v>
      </x:c>
      <x:c r="J793" s="12" t="str">
        <x:v>Location model input - competition/saturation context</x:v>
      </x:c>
      <x:c r="K793" s="12" t="str">
        <x:v>Business count is from 2018 while population/context indicators are newer; use as a historical proxy, not a current market count.</x:v>
      </x:c>
    </x:row>
    <x:row r="794">
      <x:c r="A794" s="12" t="str">
        <x:v>2432</x:v>
      </x:c>
      <x:c r="B794" s="12" t="str">
        <x:v>Casting of non-ferrous metals</x:v>
      </x:c>
      <x:c r="C794" s="12" t="str">
        <x:v>عمان</x:v>
      </x:c>
      <x:c r="D794" s="14" t="n">
        <x:v>5</x:v>
      </x:c>
      <x:c r="E794" s="14" t="n">
        <x:f>VLOOKUP(C794,'Governorate Master'!$A$2:$Q$13,3,FALSE)</x:f>
        <x:v>5004600</x:v>
      </x:c>
      <x:c r="F794" s="66" t="n">
        <x:f>IF(E794=0,0,D794/E794*10000)</x:f>
        <x:v>0.009990808456220277</x:v>
      </x:c>
      <x:c r="G794" s="67" t="n">
        <x:f>VLOOKUP(C794,'Governorate Master'!$A$2:$Q$13,7,FALSE)</x:f>
        <x:v>660.3</x:v>
      </x:c>
      <x:c r="H794" s="20" t="n">
        <x:f>VLOOKUP(C794,'Governorate Master'!$A$2:$Q$13,6,FALSE)</x:f>
        <x:v>0.9721656076409703</x:v>
      </x:c>
      <x:c r="I794" s="20" t="n">
        <x:f>VLOOKUP(C794,'Governorate Master'!$A$2:$Q$13,15,FALSE)</x:f>
        <x:v>0.06367041198501873</x:v>
      </x:c>
      <x:c r="J794" s="12" t="str">
        <x:v>Location model input - competition/saturation context</x:v>
      </x:c>
      <x:c r="K794" s="12" t="str">
        <x:v>Business count is from 2018 while population/context indicators are newer; use as a historical proxy, not a current market count.</x:v>
      </x:c>
    </x:row>
    <x:row r="795">
      <x:c r="A795" s="12" t="str">
        <x:v>2432</x:v>
      </x:c>
      <x:c r="B795" s="12" t="str">
        <x:v>Casting of non-ferrous metals</x:v>
      </x:c>
      <x:c r="C795" s="12" t="str">
        <x:v>البلقاء</x:v>
      </x:c>
      <x:c r="D795" s="14" t="n">
        <x:v>1</x:v>
      </x:c>
      <x:c r="E795" s="14" t="n">
        <x:f>VLOOKUP(C795,'Governorate Master'!$A$2:$Q$13,3,FALSE)</x:f>
        <x:v>614000</x:v>
      </x:c>
      <x:c r="F795" s="66" t="n">
        <x:f>IF(E795=0,0,D795/E795*10000)</x:f>
        <x:v>0.016286644951140065</x:v>
      </x:c>
      <x:c r="G795" s="67" t="n">
        <x:f>VLOOKUP(C795,'Governorate Master'!$A$2:$Q$13,7,FALSE)</x:f>
        <x:v>548</x:v>
      </x:c>
      <x:c r="H795" s="20" t="n">
        <x:f>VLOOKUP(C795,'Governorate Master'!$A$2:$Q$13,6,FALSE)</x:f>
        <x:v>0.8210097719869707</x:v>
      </x:c>
      <x:c r="I795" s="20" t="n">
        <x:f>VLOOKUP(C795,'Governorate Master'!$A$2:$Q$13,15,FALSE)</x:f>
        <x:v>0.10794044665012408</x:v>
      </x:c>
      <x:c r="J795" s="12" t="str">
        <x:v>Location model input - competition/saturation context</x:v>
      </x:c>
      <x:c r="K795" s="12" t="str">
        <x:v>Business count is from 2018 while population/context indicators are newer; use as a historical proxy, not a current market count.</x:v>
      </x:c>
    </x:row>
    <x:row r="796">
      <x:c r="A796" s="12" t="str">
        <x:v>2432</x:v>
      </x:c>
      <x:c r="B796" s="12" t="str">
        <x:v>Casting of non-ferrous metals</x:v>
      </x:c>
      <x:c r="C796" s="12" t="str">
        <x:v>الزرقاء</x:v>
      </x:c>
      <x:c r="D796" s="14" t="n">
        <x:v>3</x:v>
      </x:c>
      <x:c r="E796" s="14" t="n">
        <x:f>VLOOKUP(C796,'Governorate Master'!$A$2:$Q$13,3,FALSE)</x:f>
        <x:v>1704500</x:v>
      </x:c>
      <x:c r="F796" s="66" t="n">
        <x:f>IF(E796=0,0,D796/E796*10000)</x:f>
        <x:v>0.01760046934584922</x:v>
      </x:c>
      <x:c r="G796" s="67" t="n">
        <x:f>VLOOKUP(C796,'Governorate Master'!$A$2:$Q$13,7,FALSE)</x:f>
        <x:v>358</x:v>
      </x:c>
      <x:c r="H796" s="20" t="n">
        <x:f>VLOOKUP(C796,'Governorate Master'!$A$2:$Q$13,6,FALSE)</x:f>
        <x:v>0.9636256966852449</x:v>
      </x:c>
      <x:c r="I796" s="20" t="n">
        <x:f>VLOOKUP(C796,'Governorate Master'!$A$2:$Q$13,15,FALSE)</x:f>
        <x:v>-0.06808762581409118</x:v>
      </x:c>
      <x:c r="J796" s="12" t="str">
        <x:v>Location model input - competition/saturation context</x:v>
      </x:c>
      <x:c r="K796" s="12" t="str">
        <x:v>Business count is from 2018 while population/context indicators are newer; use as a historical proxy, not a current market count.</x:v>
      </x:c>
    </x:row>
    <x:row r="797">
      <x:c r="A797" s="12" t="str">
        <x:v>2432</x:v>
      </x:c>
      <x:c r="B797" s="12" t="str">
        <x:v>Casting of non-ferrous metals</x:v>
      </x:c>
      <x:c r="C797" s="12" t="str">
        <x:v>مادبا</x:v>
      </x:c>
      <x:c r="D797" s="14" t="n">
        <x:v>0</x:v>
      </x:c>
      <x:c r="E797" s="14" t="n">
        <x:f>VLOOKUP(C797,'Governorate Master'!$A$2:$Q$13,3,FALSE)</x:f>
        <x:v>236200</x:v>
      </x:c>
      <x:c r="F797" s="66" t="n">
        <x:f>IF(E797=0,0,D797/E797*10000)</x:f>
        <x:v>0</x:v>
      </x:c>
      <x:c r="G797" s="67" t="n">
        <x:f>VLOOKUP(C797,'Governorate Master'!$A$2:$Q$13,7,FALSE)</x:f>
        <x:v>251.4</x:v>
      </x:c>
      <x:c r="H797" s="20" t="n">
        <x:f>VLOOKUP(C797,'Governorate Master'!$A$2:$Q$13,6,FALSE)</x:f>
        <x:v>0.7823878069432684</x:v>
      </x:c>
      <x:c r="I797" s="20" t="n">
        <x:f>VLOOKUP(C797,'Governorate Master'!$A$2:$Q$13,15,FALSE)</x:f>
        <x:v>-0.18823529411764706</x:v>
      </x:c>
      <x:c r="J797" s="12" t="str">
        <x:v>Location model input - competition/saturation context</x:v>
      </x:c>
      <x:c r="K797" s="12" t="str">
        <x:v>Business count is from 2018 while population/context indicators are newer; use as a historical proxy, not a current market count.</x:v>
      </x:c>
    </x:row>
    <x:row r="798">
      <x:c r="A798" s="12" t="str">
        <x:v>2432</x:v>
      </x:c>
      <x:c r="B798" s="12" t="str">
        <x:v>Casting of non-ferrous metals</x:v>
      </x:c>
      <x:c r="C798" s="12" t="str">
        <x:v>إربد</x:v>
      </x:c>
      <x:c r="D798" s="14" t="n">
        <x:v>1</x:v>
      </x:c>
      <x:c r="E798" s="14" t="n">
        <x:f>VLOOKUP(C798,'Governorate Master'!$A$2:$Q$13,3,FALSE)</x:f>
        <x:v>2210500</x:v>
      </x:c>
      <x:c r="F798" s="66" t="n">
        <x:f>IF(E798=0,0,D798/E798*10000)</x:f>
        <x:v>0.004523863379325944</x:v>
      </x:c>
      <x:c r="G798" s="67" t="n">
        <x:f>VLOOKUP(C798,'Governorate Master'!$A$2:$Q$13,7,FALSE)</x:f>
        <x:v>1406.4</x:v>
      </x:c>
      <x:c r="H798" s="20" t="n">
        <x:f>VLOOKUP(C798,'Governorate Master'!$A$2:$Q$13,6,FALSE)</x:f>
        <x:v>0.9235014702555983</x:v>
      </x:c>
      <x:c r="I798" s="20" t="n">
        <x:f>VLOOKUP(C798,'Governorate Master'!$A$2:$Q$13,15,FALSE)</x:f>
        <x:v>0.07086922474549726</x:v>
      </x:c>
      <x:c r="J798" s="12" t="str">
        <x:v>Location model input - competition/saturation context</x:v>
      </x:c>
      <x:c r="K798" s="12" t="str">
        <x:v>Business count is from 2018 while population/context indicators are newer; use as a historical proxy, not a current market count.</x:v>
      </x:c>
    </x:row>
    <x:row r="799">
      <x:c r="A799" s="12" t="str">
        <x:v>2432</x:v>
      </x:c>
      <x:c r="B799" s="12" t="str">
        <x:v>Casting of non-ferrous metals</x:v>
      </x:c>
      <x:c r="C799" s="12" t="str">
        <x:v>المفرق</x:v>
      </x:c>
      <x:c r="D799" s="14" t="n">
        <x:v>0</x:v>
      </x:c>
      <x:c r="E799" s="14" t="n">
        <x:f>VLOOKUP(C799,'Governorate Master'!$A$2:$Q$13,3,FALSE)</x:f>
        <x:v>686800</x:v>
      </x:c>
      <x:c r="F799" s="66" t="n">
        <x:f>IF(E799=0,0,D799/E799*10000)</x:f>
        <x:v>0</x:v>
      </x:c>
      <x:c r="G799" s="67" t="n">
        <x:f>VLOOKUP(C799,'Governorate Master'!$A$2:$Q$13,7,FALSE)</x:f>
        <x:v>25.9</x:v>
      </x:c>
      <x:c r="H799" s="20" t="n">
        <x:f>VLOOKUP(C799,'Governorate Master'!$A$2:$Q$13,6,FALSE)</x:f>
        <x:v>0.6965637740244612</x:v>
      </x:c>
      <x:c r="I799" s="20" t="n">
        <x:f>VLOOKUP(C799,'Governorate Master'!$A$2:$Q$13,15,FALSE)</x:f>
        <x:v>-0.016638935108153077</x:v>
      </x:c>
      <x:c r="J799" s="12" t="str">
        <x:v>Location model input - competition/saturation context</x:v>
      </x:c>
      <x:c r="K799" s="12" t="str">
        <x:v>Business count is from 2018 while population/context indicators are newer; use as a historical proxy, not a current market count.</x:v>
      </x:c>
    </x:row>
    <x:row r="800">
      <x:c r="A800" s="12" t="str">
        <x:v>2432</x:v>
      </x:c>
      <x:c r="B800" s="12" t="str">
        <x:v>Casting of non-ferrous metals</x:v>
      </x:c>
      <x:c r="C800" s="12" t="str">
        <x:v>جرش</x:v>
      </x:c>
      <x:c r="D800" s="14" t="n">
        <x:v>0</x:v>
      </x:c>
      <x:c r="E800" s="14" t="n">
        <x:f>VLOOKUP(C800,'Governorate Master'!$A$2:$Q$13,3,FALSE)</x:f>
        <x:v>296000</x:v>
      </x:c>
      <x:c r="F800" s="66" t="n">
        <x:f>IF(E800=0,0,D800/E800*10000)</x:f>
        <x:v>0</x:v>
      </x:c>
      <x:c r="G800" s="67" t="n">
        <x:f>VLOOKUP(C800,'Governorate Master'!$A$2:$Q$13,7,FALSE)</x:f>
        <x:v>722.3</x:v>
      </x:c>
      <x:c r="H800" s="20" t="n">
        <x:f>VLOOKUP(C800,'Governorate Master'!$A$2:$Q$13,6,FALSE)</x:f>
        <x:v>0.7695945945945946</x:v>
      </x:c>
      <x:c r="I800" s="20" t="n">
        <x:f>VLOOKUP(C800,'Governorate Master'!$A$2:$Q$13,15,FALSE)</x:f>
        <x:v>-0.06527415143603134</x:v>
      </x:c>
      <x:c r="J800" s="12" t="str">
        <x:v>Location model input - competition/saturation context</x:v>
      </x:c>
      <x:c r="K800" s="12" t="str">
        <x:v>Business count is from 2018 while population/context indicators are newer; use as a historical proxy, not a current market count.</x:v>
      </x:c>
    </x:row>
    <x:row r="801">
      <x:c r="A801" s="12" t="str">
        <x:v>2432</x:v>
      </x:c>
      <x:c r="B801" s="12" t="str">
        <x:v>Casting of non-ferrous metals</x:v>
      </x:c>
      <x:c r="C801" s="12" t="str">
        <x:v>عجلون</x:v>
      </x:c>
      <x:c r="D801" s="14" t="n">
        <x:v>0</x:v>
      </x:c>
      <x:c r="E801" s="14" t="n">
        <x:f>VLOOKUP(C801,'Governorate Master'!$A$2:$Q$13,3,FALSE)</x:f>
        <x:v>219900</x:v>
      </x:c>
      <x:c r="F801" s="66" t="n">
        <x:f>IF(E801=0,0,D801/E801*10000)</x:f>
        <x:v>0</x:v>
      </x:c>
      <x:c r="G801" s="67" t="n">
        <x:f>VLOOKUP(C801,'Governorate Master'!$A$2:$Q$13,7,FALSE)</x:f>
        <x:v>524</x:v>
      </x:c>
      <x:c r="H801" s="20" t="n">
        <x:f>VLOOKUP(C801,'Governorate Master'!$A$2:$Q$13,6,FALSE)</x:f>
        <x:v>0.8390177353342428</x:v>
      </x:c>
      <x:c r="I801" s="20" t="n">
        <x:f>VLOOKUP(C801,'Governorate Master'!$A$2:$Q$13,15,FALSE)</x:f>
        <x:v>0.03614457831325301</x:v>
      </x:c>
      <x:c r="J801" s="12" t="str">
        <x:v>Location model input - competition/saturation context</x:v>
      </x:c>
      <x:c r="K801" s="12" t="str">
        <x:v>Business count is from 2018 while population/context indicators are newer; use as a historical proxy, not a current market count.</x:v>
      </x:c>
    </x:row>
    <x:row r="802">
      <x:c r="A802" s="12" t="str">
        <x:v>2432</x:v>
      </x:c>
      <x:c r="B802" s="12" t="str">
        <x:v>Casting of non-ferrous metals</x:v>
      </x:c>
      <x:c r="C802" s="12" t="str">
        <x:v>الكرك</x:v>
      </x:c>
      <x:c r="D802" s="14" t="n">
        <x:v>0</x:v>
      </x:c>
      <x:c r="E802" s="14" t="n">
        <x:f>VLOOKUP(C802,'Governorate Master'!$A$2:$Q$13,3,FALSE)</x:f>
        <x:v>395400</x:v>
      </x:c>
      <x:c r="F802" s="66" t="n">
        <x:f>IF(E802=0,0,D802/E802*10000)</x:f>
        <x:v>0</x:v>
      </x:c>
      <x:c r="G802" s="67" t="n">
        <x:f>VLOOKUP(C802,'Governorate Master'!$A$2:$Q$13,7,FALSE)</x:f>
        <x:v>113.1</x:v>
      </x:c>
      <x:c r="H802" s="20" t="n">
        <x:f>VLOOKUP(C802,'Governorate Master'!$A$2:$Q$13,6,FALSE)</x:f>
        <x:v>0.5912999494183105</x:v>
      </x:c>
      <x:c r="I802" s="20" t="n">
        <x:f>VLOOKUP(C802,'Governorate Master'!$A$2:$Q$13,15,FALSE)</x:f>
        <x:v>0.08710801393728224</x:v>
      </x:c>
      <x:c r="J802" s="12" t="str">
        <x:v>Location model input - competition/saturation context</x:v>
      </x:c>
      <x:c r="K802" s="12" t="str">
        <x:v>Business count is from 2018 while population/context indicators are newer; use as a historical proxy, not a current market count.</x:v>
      </x:c>
    </x:row>
    <x:row r="803">
      <x:c r="A803" s="12" t="str">
        <x:v>2432</x:v>
      </x:c>
      <x:c r="B803" s="12" t="str">
        <x:v>Casting of non-ferrous metals</x:v>
      </x:c>
      <x:c r="C803" s="12" t="str">
        <x:v>الطفيلة</x:v>
      </x:c>
      <x:c r="D803" s="14" t="n">
        <x:v>0</x:v>
      </x:c>
      <x:c r="E803" s="14" t="n">
        <x:f>VLOOKUP(C803,'Governorate Master'!$A$2:$Q$13,3,FALSE)</x:f>
        <x:v>120300</x:v>
      </x:c>
      <x:c r="F803" s="66" t="n">
        <x:f>IF(E803=0,0,D803/E803*10000)</x:f>
        <x:v>0</x:v>
      </x:c>
      <x:c r="G803" s="67" t="n">
        <x:f>VLOOKUP(C803,'Governorate Master'!$A$2:$Q$13,7,FALSE)</x:f>
        <x:v>54.4</x:v>
      </x:c>
      <x:c r="H803" s="20" t="n">
        <x:f>VLOOKUP(C803,'Governorate Master'!$A$2:$Q$13,6,FALSE)</x:f>
        <x:v>0.7797173732335827</x:v>
      </x:c>
      <x:c r="I803" s="20" t="n">
        <x:f>VLOOKUP(C803,'Governorate Master'!$A$2:$Q$13,15,FALSE)</x:f>
        <x:v>0.18452380952380953</x:v>
      </x:c>
      <x:c r="J803" s="12" t="str">
        <x:v>Location model input - competition/saturation context</x:v>
      </x:c>
      <x:c r="K803" s="12" t="str">
        <x:v>Business count is from 2018 while population/context indicators are newer; use as a historical proxy, not a current market count.</x:v>
      </x:c>
    </x:row>
    <x:row r="804">
      <x:c r="A804" s="12" t="str">
        <x:v>2432</x:v>
      </x:c>
      <x:c r="B804" s="12" t="str">
        <x:v>Casting of non-ferrous metals</x:v>
      </x:c>
      <x:c r="C804" s="12" t="str">
        <x:v>معان</x:v>
      </x:c>
      <x:c r="D804" s="14" t="n">
        <x:v>0</x:v>
      </x:c>
      <x:c r="E804" s="14" t="n">
        <x:f>VLOOKUP(C804,'Governorate Master'!$A$2:$Q$13,3,FALSE)</x:f>
        <x:v>197900</x:v>
      </x:c>
      <x:c r="F804" s="66" t="n">
        <x:f>IF(E804=0,0,D804/E804*10000)</x:f>
        <x:v>0</x:v>
      </x:c>
      <x:c r="G804" s="67" t="n">
        <x:f>VLOOKUP(C804,'Governorate Master'!$A$2:$Q$13,7,FALSE)</x:f>
        <x:v>6</x:v>
      </x:c>
      <x:c r="H804" s="20" t="n">
        <x:f>VLOOKUP(C804,'Governorate Master'!$A$2:$Q$13,6,FALSE)</x:f>
        <x:v>0.5406771096513391</x:v>
      </x:c>
      <x:c r="I804" s="20" t="n">
        <x:f>VLOOKUP(C804,'Governorate Master'!$A$2:$Q$13,15,FALSE)</x:f>
        <x:v>0.026845637583892617</x:v>
      </x:c>
      <x:c r="J804" s="12" t="str">
        <x:v>Location model input - competition/saturation context</x:v>
      </x:c>
      <x:c r="K804" s="12" t="str">
        <x:v>Business count is from 2018 while population/context indicators are newer; use as a historical proxy, not a current market count.</x:v>
      </x:c>
    </x:row>
    <x:row r="805">
      <x:c r="A805" s="12" t="str">
        <x:v>2432</x:v>
      </x:c>
      <x:c r="B805" s="12" t="str">
        <x:v>Casting of non-ferrous metals</x:v>
      </x:c>
      <x:c r="C805" s="12" t="str">
        <x:v>العقبة</x:v>
      </x:c>
      <x:c r="D805" s="14" t="n">
        <x:v>0</x:v>
      </x:c>
      <x:c r="E805" s="14" t="n">
        <x:f>VLOOKUP(C805,'Governorate Master'!$A$2:$Q$13,3,FALSE)</x:f>
        <x:v>250900</x:v>
      </x:c>
      <x:c r="F805" s="66" t="n">
        <x:f>IF(E805=0,0,D805/E805*10000)</x:f>
        <x:v>0</x:v>
      </x:c>
      <x:c r="G805" s="67" t="n">
        <x:f>VLOOKUP(C805,'Governorate Master'!$A$2:$Q$13,7,FALSE)</x:f>
        <x:v>36.3</x:v>
      </x:c>
      <x:c r="H805" s="20" t="n">
        <x:f>VLOOKUP(C805,'Governorate Master'!$A$2:$Q$13,6,FALSE)</x:f>
        <x:v>0.882024711040255</x:v>
      </x:c>
      <x:c r="I805" s="20" t="n">
        <x:f>VLOOKUP(C805,'Governorate Master'!$A$2:$Q$13,15,FALSE)</x:f>
        <x:v>-0.09</x:v>
      </x:c>
      <x:c r="J805" s="12" t="str">
        <x:v>Location model input - competition/saturation context</x:v>
      </x:c>
      <x:c r="K805" s="12" t="str">
        <x:v>Business count is from 2018 while population/context indicators are newer; use as a historical proxy, not a current market count.</x:v>
      </x:c>
    </x:row>
    <x:row r="806">
      <x:c r="A806" s="12" t="str">
        <x:v>2511</x:v>
      </x:c>
      <x:c r="B806" s="12" t="str">
        <x:v>Manufacture of structural metal products</x:v>
      </x:c>
      <x:c r="C806" s="12" t="str">
        <x:v>عمان</x:v>
      </x:c>
      <x:c r="D806" s="14" t="n">
        <x:v>1159</x:v>
      </x:c>
      <x:c r="E806" s="14" t="n">
        <x:f>VLOOKUP(C806,'Governorate Master'!$A$2:$Q$13,3,FALSE)</x:f>
        <x:v>5004600</x:v>
      </x:c>
      <x:c r="F806" s="66" t="n">
        <x:f>IF(E806=0,0,D806/E806*10000)</x:f>
        <x:v>2.3158694001518603</x:v>
      </x:c>
      <x:c r="G806" s="67" t="n">
        <x:f>VLOOKUP(C806,'Governorate Master'!$A$2:$Q$13,7,FALSE)</x:f>
        <x:v>660.3</x:v>
      </x:c>
      <x:c r="H806" s="20" t="n">
        <x:f>VLOOKUP(C806,'Governorate Master'!$A$2:$Q$13,6,FALSE)</x:f>
        <x:v>0.9721656076409703</x:v>
      </x:c>
      <x:c r="I806" s="20" t="n">
        <x:f>VLOOKUP(C806,'Governorate Master'!$A$2:$Q$13,15,FALSE)</x:f>
        <x:v>0.06367041198501873</x:v>
      </x:c>
      <x:c r="J806" s="12" t="str">
        <x:v>Location model input - competition/saturation context</x:v>
      </x:c>
      <x:c r="K806" s="12" t="str">
        <x:v>Business count is from 2018 while population/context indicators are newer; use as a historical proxy, not a current market count.</x:v>
      </x:c>
    </x:row>
    <x:row r="807">
      <x:c r="A807" s="12" t="str">
        <x:v>2511</x:v>
      </x:c>
      <x:c r="B807" s="12" t="str">
        <x:v>Manufacture of structural metal products</x:v>
      </x:c>
      <x:c r="C807" s="12" t="str">
        <x:v>البلقاء</x:v>
      </x:c>
      <x:c r="D807" s="14" t="n">
        <x:v>300</x:v>
      </x:c>
      <x:c r="E807" s="14" t="n">
        <x:f>VLOOKUP(C807,'Governorate Master'!$A$2:$Q$13,3,FALSE)</x:f>
        <x:v>614000</x:v>
      </x:c>
      <x:c r="F807" s="66" t="n">
        <x:f>IF(E807=0,0,D807/E807*10000)</x:f>
        <x:v>4.88599348534202</x:v>
      </x:c>
      <x:c r="G807" s="67" t="n">
        <x:f>VLOOKUP(C807,'Governorate Master'!$A$2:$Q$13,7,FALSE)</x:f>
        <x:v>548</x:v>
      </x:c>
      <x:c r="H807" s="20" t="n">
        <x:f>VLOOKUP(C807,'Governorate Master'!$A$2:$Q$13,6,FALSE)</x:f>
        <x:v>0.8210097719869707</x:v>
      </x:c>
      <x:c r="I807" s="20" t="n">
        <x:f>VLOOKUP(C807,'Governorate Master'!$A$2:$Q$13,15,FALSE)</x:f>
        <x:v>0.10794044665012408</x:v>
      </x:c>
      <x:c r="J807" s="12" t="str">
        <x:v>Location model input - competition/saturation context</x:v>
      </x:c>
      <x:c r="K807" s="12" t="str">
        <x:v>Business count is from 2018 while population/context indicators are newer; use as a historical proxy, not a current market count.</x:v>
      </x:c>
    </x:row>
    <x:row r="808">
      <x:c r="A808" s="12" t="str">
        <x:v>2511</x:v>
      </x:c>
      <x:c r="B808" s="12" t="str">
        <x:v>Manufacture of structural metal products</x:v>
      </x:c>
      <x:c r="C808" s="12" t="str">
        <x:v>الزرقاء</x:v>
      </x:c>
      <x:c r="D808" s="14" t="n">
        <x:v>502</x:v>
      </x:c>
      <x:c r="E808" s="14" t="n">
        <x:f>VLOOKUP(C808,'Governorate Master'!$A$2:$Q$13,3,FALSE)</x:f>
        <x:v>1704500</x:v>
      </x:c>
      <x:c r="F808" s="66" t="n">
        <x:f>IF(E808=0,0,D808/E808*10000)</x:f>
        <x:v>2.9451452038721033</x:v>
      </x:c>
      <x:c r="G808" s="67" t="n">
        <x:f>VLOOKUP(C808,'Governorate Master'!$A$2:$Q$13,7,FALSE)</x:f>
        <x:v>358</x:v>
      </x:c>
      <x:c r="H808" s="20" t="n">
        <x:f>VLOOKUP(C808,'Governorate Master'!$A$2:$Q$13,6,FALSE)</x:f>
        <x:v>0.9636256966852449</x:v>
      </x:c>
      <x:c r="I808" s="20" t="n">
        <x:f>VLOOKUP(C808,'Governorate Master'!$A$2:$Q$13,15,FALSE)</x:f>
        <x:v>-0.06808762581409118</x:v>
      </x:c>
      <x:c r="J808" s="12" t="str">
        <x:v>Location model input - competition/saturation context</x:v>
      </x:c>
      <x:c r="K808" s="12" t="str">
        <x:v>Business count is from 2018 while population/context indicators are newer; use as a historical proxy, not a current market count.</x:v>
      </x:c>
    </x:row>
    <x:row r="809">
      <x:c r="A809" s="12" t="str">
        <x:v>2511</x:v>
      </x:c>
      <x:c r="B809" s="12" t="str">
        <x:v>Manufacture of structural metal products</x:v>
      </x:c>
      <x:c r="C809" s="12" t="str">
        <x:v>مادبا</x:v>
      </x:c>
      <x:c r="D809" s="14" t="n">
        <x:v>52</x:v>
      </x:c>
      <x:c r="E809" s="14" t="n">
        <x:f>VLOOKUP(C809,'Governorate Master'!$A$2:$Q$13,3,FALSE)</x:f>
        <x:v>236200</x:v>
      </x:c>
      <x:c r="F809" s="66" t="n">
        <x:f>IF(E809=0,0,D809/E809*10000)</x:f>
        <x:v>2.201524132091448</x:v>
      </x:c>
      <x:c r="G809" s="67" t="n">
        <x:f>VLOOKUP(C809,'Governorate Master'!$A$2:$Q$13,7,FALSE)</x:f>
        <x:v>251.4</x:v>
      </x:c>
      <x:c r="H809" s="20" t="n">
        <x:f>VLOOKUP(C809,'Governorate Master'!$A$2:$Q$13,6,FALSE)</x:f>
        <x:v>0.7823878069432684</x:v>
      </x:c>
      <x:c r="I809" s="20" t="n">
        <x:f>VLOOKUP(C809,'Governorate Master'!$A$2:$Q$13,15,FALSE)</x:f>
        <x:v>-0.18823529411764706</x:v>
      </x:c>
      <x:c r="J809" s="12" t="str">
        <x:v>Location model input - competition/saturation context</x:v>
      </x:c>
      <x:c r="K809" s="12" t="str">
        <x:v>Business count is from 2018 while population/context indicators are newer; use as a historical proxy, not a current market count.</x:v>
      </x:c>
    </x:row>
    <x:row r="810">
      <x:c r="A810" s="12" t="str">
        <x:v>2511</x:v>
      </x:c>
      <x:c r="B810" s="12" t="str">
        <x:v>Manufacture of structural metal products</x:v>
      </x:c>
      <x:c r="C810" s="12" t="str">
        <x:v>إربد</x:v>
      </x:c>
      <x:c r="D810" s="14" t="n">
        <x:v>645</x:v>
      </x:c>
      <x:c r="E810" s="14" t="n">
        <x:f>VLOOKUP(C810,'Governorate Master'!$A$2:$Q$13,3,FALSE)</x:f>
        <x:v>2210500</x:v>
      </x:c>
      <x:c r="F810" s="66" t="n">
        <x:f>IF(E810=0,0,D810/E810*10000)</x:f>
        <x:v>2.917891879665234</x:v>
      </x:c>
      <x:c r="G810" s="67" t="n">
        <x:f>VLOOKUP(C810,'Governorate Master'!$A$2:$Q$13,7,FALSE)</x:f>
        <x:v>1406.4</x:v>
      </x:c>
      <x:c r="H810" s="20" t="n">
        <x:f>VLOOKUP(C810,'Governorate Master'!$A$2:$Q$13,6,FALSE)</x:f>
        <x:v>0.9235014702555983</x:v>
      </x:c>
      <x:c r="I810" s="20" t="n">
        <x:f>VLOOKUP(C810,'Governorate Master'!$A$2:$Q$13,15,FALSE)</x:f>
        <x:v>0.07086922474549726</x:v>
      </x:c>
      <x:c r="J810" s="12" t="str">
        <x:v>Location model input - competition/saturation context</x:v>
      </x:c>
      <x:c r="K810" s="12" t="str">
        <x:v>Business count is from 2018 while population/context indicators are newer; use as a historical proxy, not a current market count.</x:v>
      </x:c>
    </x:row>
    <x:row r="811">
      <x:c r="A811" s="12" t="str">
        <x:v>2511</x:v>
      </x:c>
      <x:c r="B811" s="12" t="str">
        <x:v>Manufacture of structural metal products</x:v>
      </x:c>
      <x:c r="C811" s="12" t="str">
        <x:v>المفرق</x:v>
      </x:c>
      <x:c r="D811" s="14" t="n">
        <x:v>120</x:v>
      </x:c>
      <x:c r="E811" s="14" t="n">
        <x:f>VLOOKUP(C811,'Governorate Master'!$A$2:$Q$13,3,FALSE)</x:f>
        <x:v>686800</x:v>
      </x:c>
      <x:c r="F811" s="66" t="n">
        <x:f>IF(E811=0,0,D811/E811*10000)</x:f>
        <x:v>1.7472335468841003</x:v>
      </x:c>
      <x:c r="G811" s="67" t="n">
        <x:f>VLOOKUP(C811,'Governorate Master'!$A$2:$Q$13,7,FALSE)</x:f>
        <x:v>25.9</x:v>
      </x:c>
      <x:c r="H811" s="20" t="n">
        <x:f>VLOOKUP(C811,'Governorate Master'!$A$2:$Q$13,6,FALSE)</x:f>
        <x:v>0.6965637740244612</x:v>
      </x:c>
      <x:c r="I811" s="20" t="n">
        <x:f>VLOOKUP(C811,'Governorate Master'!$A$2:$Q$13,15,FALSE)</x:f>
        <x:v>-0.016638935108153077</x:v>
      </x:c>
      <x:c r="J811" s="12" t="str">
        <x:v>Location model input - competition/saturation context</x:v>
      </x:c>
      <x:c r="K811" s="12" t="str">
        <x:v>Business count is from 2018 while population/context indicators are newer; use as a historical proxy, not a current market count.</x:v>
      </x:c>
    </x:row>
    <x:row r="812">
      <x:c r="A812" s="12" t="str">
        <x:v>2511</x:v>
      </x:c>
      <x:c r="B812" s="12" t="str">
        <x:v>Manufacture of structural metal products</x:v>
      </x:c>
      <x:c r="C812" s="12" t="str">
        <x:v>جرش</x:v>
      </x:c>
      <x:c r="D812" s="14" t="n">
        <x:v>125</x:v>
      </x:c>
      <x:c r="E812" s="14" t="n">
        <x:f>VLOOKUP(C812,'Governorate Master'!$A$2:$Q$13,3,FALSE)</x:f>
        <x:v>296000</x:v>
      </x:c>
      <x:c r="F812" s="66" t="n">
        <x:f>IF(E812=0,0,D812/E812*10000)</x:f>
        <x:v>4.222972972972973</x:v>
      </x:c>
      <x:c r="G812" s="67" t="n">
        <x:f>VLOOKUP(C812,'Governorate Master'!$A$2:$Q$13,7,FALSE)</x:f>
        <x:v>722.3</x:v>
      </x:c>
      <x:c r="H812" s="20" t="n">
        <x:f>VLOOKUP(C812,'Governorate Master'!$A$2:$Q$13,6,FALSE)</x:f>
        <x:v>0.7695945945945946</x:v>
      </x:c>
      <x:c r="I812" s="20" t="n">
        <x:f>VLOOKUP(C812,'Governorate Master'!$A$2:$Q$13,15,FALSE)</x:f>
        <x:v>-0.06527415143603134</x:v>
      </x:c>
      <x:c r="J812" s="12" t="str">
        <x:v>Location model input - competition/saturation context</x:v>
      </x:c>
      <x:c r="K812" s="12" t="str">
        <x:v>Business count is from 2018 while population/context indicators are newer; use as a historical proxy, not a current market count.</x:v>
      </x:c>
    </x:row>
    <x:row r="813">
      <x:c r="A813" s="12" t="str">
        <x:v>2511</x:v>
      </x:c>
      <x:c r="B813" s="12" t="str">
        <x:v>Manufacture of structural metal products</x:v>
      </x:c>
      <x:c r="C813" s="12" t="str">
        <x:v>عجلون</x:v>
      </x:c>
      <x:c r="D813" s="14" t="n">
        <x:v>114</x:v>
      </x:c>
      <x:c r="E813" s="14" t="n">
        <x:f>VLOOKUP(C813,'Governorate Master'!$A$2:$Q$13,3,FALSE)</x:f>
        <x:v>219900</x:v>
      </x:c>
      <x:c r="F813" s="66" t="n">
        <x:f>IF(E813=0,0,D813/E813*10000)</x:f>
        <x:v>5.184174624829468</x:v>
      </x:c>
      <x:c r="G813" s="67" t="n">
        <x:f>VLOOKUP(C813,'Governorate Master'!$A$2:$Q$13,7,FALSE)</x:f>
        <x:v>524</x:v>
      </x:c>
      <x:c r="H813" s="20" t="n">
        <x:f>VLOOKUP(C813,'Governorate Master'!$A$2:$Q$13,6,FALSE)</x:f>
        <x:v>0.8390177353342428</x:v>
      </x:c>
      <x:c r="I813" s="20" t="n">
        <x:f>VLOOKUP(C813,'Governorate Master'!$A$2:$Q$13,15,FALSE)</x:f>
        <x:v>0.03614457831325301</x:v>
      </x:c>
      <x:c r="J813" s="12" t="str">
        <x:v>Location model input - competition/saturation context</x:v>
      </x:c>
      <x:c r="K813" s="12" t="str">
        <x:v>Business count is from 2018 while population/context indicators are newer; use as a historical proxy, not a current market count.</x:v>
      </x:c>
    </x:row>
    <x:row r="814">
      <x:c r="A814" s="12" t="str">
        <x:v>2511</x:v>
      </x:c>
      <x:c r="B814" s="12" t="str">
        <x:v>Manufacture of structural metal products</x:v>
      </x:c>
      <x:c r="C814" s="12" t="str">
        <x:v>الكرك</x:v>
      </x:c>
      <x:c r="D814" s="14" t="n">
        <x:v>146</x:v>
      </x:c>
      <x:c r="E814" s="14" t="n">
        <x:f>VLOOKUP(C814,'Governorate Master'!$A$2:$Q$13,3,FALSE)</x:f>
        <x:v>395400</x:v>
      </x:c>
      <x:c r="F814" s="66" t="n">
        <x:f>IF(E814=0,0,D814/E814*10000)</x:f>
        <x:v>3.6924633282751644</x:v>
      </x:c>
      <x:c r="G814" s="67" t="n">
        <x:f>VLOOKUP(C814,'Governorate Master'!$A$2:$Q$13,7,FALSE)</x:f>
        <x:v>113.1</x:v>
      </x:c>
      <x:c r="H814" s="20" t="n">
        <x:f>VLOOKUP(C814,'Governorate Master'!$A$2:$Q$13,6,FALSE)</x:f>
        <x:v>0.5912999494183105</x:v>
      </x:c>
      <x:c r="I814" s="20" t="n">
        <x:f>VLOOKUP(C814,'Governorate Master'!$A$2:$Q$13,15,FALSE)</x:f>
        <x:v>0.08710801393728224</x:v>
      </x:c>
      <x:c r="J814" s="12" t="str">
        <x:v>Location model input - competition/saturation context</x:v>
      </x:c>
      <x:c r="K814" s="12" t="str">
        <x:v>Business count is from 2018 while population/context indicators are newer; use as a historical proxy, not a current market count.</x:v>
      </x:c>
    </x:row>
    <x:row r="815">
      <x:c r="A815" s="12" t="str">
        <x:v>2511</x:v>
      </x:c>
      <x:c r="B815" s="12" t="str">
        <x:v>Manufacture of structural metal products</x:v>
      </x:c>
      <x:c r="C815" s="12" t="str">
        <x:v>الطفيلة</x:v>
      </x:c>
      <x:c r="D815" s="14" t="n">
        <x:v>40</x:v>
      </x:c>
      <x:c r="E815" s="14" t="n">
        <x:f>VLOOKUP(C815,'Governorate Master'!$A$2:$Q$13,3,FALSE)</x:f>
        <x:v>120300</x:v>
      </x:c>
      <x:c r="F815" s="66" t="n">
        <x:f>IF(E815=0,0,D815/E815*10000)</x:f>
        <x:v>3.3250207813798838</x:v>
      </x:c>
      <x:c r="G815" s="67" t="n">
        <x:f>VLOOKUP(C815,'Governorate Master'!$A$2:$Q$13,7,FALSE)</x:f>
        <x:v>54.4</x:v>
      </x:c>
      <x:c r="H815" s="20" t="n">
        <x:f>VLOOKUP(C815,'Governorate Master'!$A$2:$Q$13,6,FALSE)</x:f>
        <x:v>0.7797173732335827</x:v>
      </x:c>
      <x:c r="I815" s="20" t="n">
        <x:f>VLOOKUP(C815,'Governorate Master'!$A$2:$Q$13,15,FALSE)</x:f>
        <x:v>0.18452380952380953</x:v>
      </x:c>
      <x:c r="J815" s="12" t="str">
        <x:v>Location model input - competition/saturation context</x:v>
      </x:c>
      <x:c r="K815" s="12" t="str">
        <x:v>Business count is from 2018 while population/context indicators are newer; use as a historical proxy, not a current market count.</x:v>
      </x:c>
    </x:row>
    <x:row r="816">
      <x:c r="A816" s="12" t="str">
        <x:v>2511</x:v>
      </x:c>
      <x:c r="B816" s="12" t="str">
        <x:v>Manufacture of structural metal products</x:v>
      </x:c>
      <x:c r="C816" s="12" t="str">
        <x:v>معان</x:v>
      </x:c>
      <x:c r="D816" s="14" t="n">
        <x:v>50</x:v>
      </x:c>
      <x:c r="E816" s="14" t="n">
        <x:f>VLOOKUP(C816,'Governorate Master'!$A$2:$Q$13,3,FALSE)</x:f>
        <x:v>197900</x:v>
      </x:c>
      <x:c r="F816" s="66" t="n">
        <x:f>IF(E816=0,0,D816/E816*10000)</x:f>
        <x:v>2.5265285497726127</x:v>
      </x:c>
      <x:c r="G816" s="67" t="n">
        <x:f>VLOOKUP(C816,'Governorate Master'!$A$2:$Q$13,7,FALSE)</x:f>
        <x:v>6</x:v>
      </x:c>
      <x:c r="H816" s="20" t="n">
        <x:f>VLOOKUP(C816,'Governorate Master'!$A$2:$Q$13,6,FALSE)</x:f>
        <x:v>0.5406771096513391</x:v>
      </x:c>
      <x:c r="I816" s="20" t="n">
        <x:f>VLOOKUP(C816,'Governorate Master'!$A$2:$Q$13,15,FALSE)</x:f>
        <x:v>0.026845637583892617</x:v>
      </x:c>
      <x:c r="J816" s="12" t="str">
        <x:v>Location model input - competition/saturation context</x:v>
      </x:c>
      <x:c r="K816" s="12" t="str">
        <x:v>Business count is from 2018 while population/context indicators are newer; use as a historical proxy, not a current market count.</x:v>
      </x:c>
    </x:row>
    <x:row r="817">
      <x:c r="A817" s="12" t="str">
        <x:v>2511</x:v>
      </x:c>
      <x:c r="B817" s="12" t="str">
        <x:v>Manufacture of structural metal products</x:v>
      </x:c>
      <x:c r="C817" s="12" t="str">
        <x:v>العقبة</x:v>
      </x:c>
      <x:c r="D817" s="14" t="n">
        <x:v>75</x:v>
      </x:c>
      <x:c r="E817" s="14" t="n">
        <x:f>VLOOKUP(C817,'Governorate Master'!$A$2:$Q$13,3,FALSE)</x:f>
        <x:v>250900</x:v>
      </x:c>
      <x:c r="F817" s="66" t="n">
        <x:f>IF(E817=0,0,D817/E817*10000)</x:f>
        <x:v>2.989238740534077</x:v>
      </x:c>
      <x:c r="G817" s="67" t="n">
        <x:f>VLOOKUP(C817,'Governorate Master'!$A$2:$Q$13,7,FALSE)</x:f>
        <x:v>36.3</x:v>
      </x:c>
      <x:c r="H817" s="20" t="n">
        <x:f>VLOOKUP(C817,'Governorate Master'!$A$2:$Q$13,6,FALSE)</x:f>
        <x:v>0.882024711040255</x:v>
      </x:c>
      <x:c r="I817" s="20" t="n">
        <x:f>VLOOKUP(C817,'Governorate Master'!$A$2:$Q$13,15,FALSE)</x:f>
        <x:v>-0.09</x:v>
      </x:c>
      <x:c r="J817" s="12" t="str">
        <x:v>Location model input - competition/saturation context</x:v>
      </x:c>
      <x:c r="K817" s="12" t="str">
        <x:v>Business count is from 2018 while population/context indicators are newer; use as a historical proxy, not a current market count.</x:v>
      </x:c>
    </x:row>
    <x:row r="818">
      <x:c r="A818" s="12" t="str">
        <x:v>2512</x:v>
      </x:c>
      <x:c r="B818" s="12" t="str">
        <x:v>Manufacture of tanks, reservoirs and containers of metal</x:v>
      </x:c>
      <x:c r="C818" s="12" t="str">
        <x:v>عمان</x:v>
      </x:c>
      <x:c r="D818" s="14" t="n">
        <x:v>19</x:v>
      </x:c>
      <x:c r="E818" s="14" t="n">
        <x:f>VLOOKUP(C818,'Governorate Master'!$A$2:$Q$13,3,FALSE)</x:f>
        <x:v>5004600</x:v>
      </x:c>
      <x:c r="F818" s="66" t="n">
        <x:f>IF(E818=0,0,D818/E818*10000)</x:f>
        <x:v>0.037965072133637055</x:v>
      </x:c>
      <x:c r="G818" s="67" t="n">
        <x:f>VLOOKUP(C818,'Governorate Master'!$A$2:$Q$13,7,FALSE)</x:f>
        <x:v>660.3</x:v>
      </x:c>
      <x:c r="H818" s="20" t="n">
        <x:f>VLOOKUP(C818,'Governorate Master'!$A$2:$Q$13,6,FALSE)</x:f>
        <x:v>0.9721656076409703</x:v>
      </x:c>
      <x:c r="I818" s="20" t="n">
        <x:f>VLOOKUP(C818,'Governorate Master'!$A$2:$Q$13,15,FALSE)</x:f>
        <x:v>0.06367041198501873</x:v>
      </x:c>
      <x:c r="J818" s="12" t="str">
        <x:v>Location model input - competition/saturation context</x:v>
      </x:c>
      <x:c r="K818" s="12" t="str">
        <x:v>Business count is from 2018 while population/context indicators are newer; use as a historical proxy, not a current market count.</x:v>
      </x:c>
    </x:row>
    <x:row r="819">
      <x:c r="A819" s="12" t="str">
        <x:v>2512</x:v>
      </x:c>
      <x:c r="B819" s="12" t="str">
        <x:v>Manufacture of tanks, reservoirs and containers of metal</x:v>
      </x:c>
      <x:c r="C819" s="12" t="str">
        <x:v>البلقاء</x:v>
      </x:c>
      <x:c r="D819" s="14" t="n">
        <x:v>1</x:v>
      </x:c>
      <x:c r="E819" s="14" t="n">
        <x:f>VLOOKUP(C819,'Governorate Master'!$A$2:$Q$13,3,FALSE)</x:f>
        <x:v>614000</x:v>
      </x:c>
      <x:c r="F819" s="66" t="n">
        <x:f>IF(E819=0,0,D819/E819*10000)</x:f>
        <x:v>0.016286644951140065</x:v>
      </x:c>
      <x:c r="G819" s="67" t="n">
        <x:f>VLOOKUP(C819,'Governorate Master'!$A$2:$Q$13,7,FALSE)</x:f>
        <x:v>548</x:v>
      </x:c>
      <x:c r="H819" s="20" t="n">
        <x:f>VLOOKUP(C819,'Governorate Master'!$A$2:$Q$13,6,FALSE)</x:f>
        <x:v>0.8210097719869707</x:v>
      </x:c>
      <x:c r="I819" s="20" t="n">
        <x:f>VLOOKUP(C819,'Governorate Master'!$A$2:$Q$13,15,FALSE)</x:f>
        <x:v>0.10794044665012408</x:v>
      </x:c>
      <x:c r="J819" s="12" t="str">
        <x:v>Location model input - competition/saturation context</x:v>
      </x:c>
      <x:c r="K819" s="12" t="str">
        <x:v>Business count is from 2018 while population/context indicators are newer; use as a historical proxy, not a current market count.</x:v>
      </x:c>
    </x:row>
    <x:row r="820">
      <x:c r="A820" s="12" t="str">
        <x:v>2512</x:v>
      </x:c>
      <x:c r="B820" s="12" t="str">
        <x:v>Manufacture of tanks, reservoirs and containers of metal</x:v>
      </x:c>
      <x:c r="C820" s="12" t="str">
        <x:v>الزرقاء</x:v>
      </x:c>
      <x:c r="D820" s="14" t="n">
        <x:v>5</x:v>
      </x:c>
      <x:c r="E820" s="14" t="n">
        <x:f>VLOOKUP(C820,'Governorate Master'!$A$2:$Q$13,3,FALSE)</x:f>
        <x:v>1704500</x:v>
      </x:c>
      <x:c r="F820" s="66" t="n">
        <x:f>IF(E820=0,0,D820/E820*10000)</x:f>
        <x:v>0.029334115576415375</x:v>
      </x:c>
      <x:c r="G820" s="67" t="n">
        <x:f>VLOOKUP(C820,'Governorate Master'!$A$2:$Q$13,7,FALSE)</x:f>
        <x:v>358</x:v>
      </x:c>
      <x:c r="H820" s="20" t="n">
        <x:f>VLOOKUP(C820,'Governorate Master'!$A$2:$Q$13,6,FALSE)</x:f>
        <x:v>0.9636256966852449</x:v>
      </x:c>
      <x:c r="I820" s="20" t="n">
        <x:f>VLOOKUP(C820,'Governorate Master'!$A$2:$Q$13,15,FALSE)</x:f>
        <x:v>-0.06808762581409118</x:v>
      </x:c>
      <x:c r="J820" s="12" t="str">
        <x:v>Location model input - competition/saturation context</x:v>
      </x:c>
      <x:c r="K820" s="12" t="str">
        <x:v>Business count is from 2018 while population/context indicators are newer; use as a historical proxy, not a current market count.</x:v>
      </x:c>
    </x:row>
    <x:row r="821">
      <x:c r="A821" s="12" t="str">
        <x:v>2512</x:v>
      </x:c>
      <x:c r="B821" s="12" t="str">
        <x:v>Manufacture of tanks, reservoirs and containers of metal</x:v>
      </x:c>
      <x:c r="C821" s="12" t="str">
        <x:v>مادبا</x:v>
      </x:c>
      <x:c r="D821" s="14" t="n">
        <x:v>0</x:v>
      </x:c>
      <x:c r="E821" s="14" t="n">
        <x:f>VLOOKUP(C821,'Governorate Master'!$A$2:$Q$13,3,FALSE)</x:f>
        <x:v>236200</x:v>
      </x:c>
      <x:c r="F821" s="66" t="n">
        <x:f>IF(E821=0,0,D821/E821*10000)</x:f>
        <x:v>0</x:v>
      </x:c>
      <x:c r="G821" s="67" t="n">
        <x:f>VLOOKUP(C821,'Governorate Master'!$A$2:$Q$13,7,FALSE)</x:f>
        <x:v>251.4</x:v>
      </x:c>
      <x:c r="H821" s="20" t="n">
        <x:f>VLOOKUP(C821,'Governorate Master'!$A$2:$Q$13,6,FALSE)</x:f>
        <x:v>0.7823878069432684</x:v>
      </x:c>
      <x:c r="I821" s="20" t="n">
        <x:f>VLOOKUP(C821,'Governorate Master'!$A$2:$Q$13,15,FALSE)</x:f>
        <x:v>-0.18823529411764706</x:v>
      </x:c>
      <x:c r="J821" s="12" t="str">
        <x:v>Location model input - competition/saturation context</x:v>
      </x:c>
      <x:c r="K821" s="12" t="str">
        <x:v>Business count is from 2018 while population/context indicators are newer; use as a historical proxy, not a current market count.</x:v>
      </x:c>
    </x:row>
    <x:row r="822">
      <x:c r="A822" s="12" t="str">
        <x:v>2512</x:v>
      </x:c>
      <x:c r="B822" s="12" t="str">
        <x:v>Manufacture of tanks, reservoirs and containers of metal</x:v>
      </x:c>
      <x:c r="C822" s="12" t="str">
        <x:v>إربد</x:v>
      </x:c>
      <x:c r="D822" s="14" t="n">
        <x:v>4</x:v>
      </x:c>
      <x:c r="E822" s="14" t="n">
        <x:f>VLOOKUP(C822,'Governorate Master'!$A$2:$Q$13,3,FALSE)</x:f>
        <x:v>2210500</x:v>
      </x:c>
      <x:c r="F822" s="66" t="n">
        <x:f>IF(E822=0,0,D822/E822*10000)</x:f>
        <x:v>0.018095453517303777</x:v>
      </x:c>
      <x:c r="G822" s="67" t="n">
        <x:f>VLOOKUP(C822,'Governorate Master'!$A$2:$Q$13,7,FALSE)</x:f>
        <x:v>1406.4</x:v>
      </x:c>
      <x:c r="H822" s="20" t="n">
        <x:f>VLOOKUP(C822,'Governorate Master'!$A$2:$Q$13,6,FALSE)</x:f>
        <x:v>0.9235014702555983</x:v>
      </x:c>
      <x:c r="I822" s="20" t="n">
        <x:f>VLOOKUP(C822,'Governorate Master'!$A$2:$Q$13,15,FALSE)</x:f>
        <x:v>0.07086922474549726</x:v>
      </x:c>
      <x:c r="J822" s="12" t="str">
        <x:v>Location model input - competition/saturation context</x:v>
      </x:c>
      <x:c r="K822" s="12" t="str">
        <x:v>Business count is from 2018 while population/context indicators are newer; use as a historical proxy, not a current market count.</x:v>
      </x:c>
    </x:row>
    <x:row r="823">
      <x:c r="A823" s="12" t="str">
        <x:v>2512</x:v>
      </x:c>
      <x:c r="B823" s="12" t="str">
        <x:v>Manufacture of tanks, reservoirs and containers of metal</x:v>
      </x:c>
      <x:c r="C823" s="12" t="str">
        <x:v>المفرق</x:v>
      </x:c>
      <x:c r="D823" s="14" t="n">
        <x:v>1</x:v>
      </x:c>
      <x:c r="E823" s="14" t="n">
        <x:f>VLOOKUP(C823,'Governorate Master'!$A$2:$Q$13,3,FALSE)</x:f>
        <x:v>686800</x:v>
      </x:c>
      <x:c r="F823" s="66" t="n">
        <x:f>IF(E823=0,0,D823/E823*10000)</x:f>
        <x:v>0.014560279557367502</x:v>
      </x:c>
      <x:c r="G823" s="67" t="n">
        <x:f>VLOOKUP(C823,'Governorate Master'!$A$2:$Q$13,7,FALSE)</x:f>
        <x:v>25.9</x:v>
      </x:c>
      <x:c r="H823" s="20" t="n">
        <x:f>VLOOKUP(C823,'Governorate Master'!$A$2:$Q$13,6,FALSE)</x:f>
        <x:v>0.6965637740244612</x:v>
      </x:c>
      <x:c r="I823" s="20" t="n">
        <x:f>VLOOKUP(C823,'Governorate Master'!$A$2:$Q$13,15,FALSE)</x:f>
        <x:v>-0.016638935108153077</x:v>
      </x:c>
      <x:c r="J823" s="12" t="str">
        <x:v>Location model input - competition/saturation context</x:v>
      </x:c>
      <x:c r="K823" s="12" t="str">
        <x:v>Business count is from 2018 while population/context indicators are newer; use as a historical proxy, not a current market count.</x:v>
      </x:c>
    </x:row>
    <x:row r="824">
      <x:c r="A824" s="12" t="str">
        <x:v>2512</x:v>
      </x:c>
      <x:c r="B824" s="12" t="str">
        <x:v>Manufacture of tanks, reservoirs and containers of metal</x:v>
      </x:c>
      <x:c r="C824" s="12" t="str">
        <x:v>جرش</x:v>
      </x:c>
      <x:c r="D824" s="14" t="n">
        <x:v>1</x:v>
      </x:c>
      <x:c r="E824" s="14" t="n">
        <x:f>VLOOKUP(C824,'Governorate Master'!$A$2:$Q$13,3,FALSE)</x:f>
        <x:v>296000</x:v>
      </x:c>
      <x:c r="F824" s="66" t="n">
        <x:f>IF(E824=0,0,D824/E824*10000)</x:f>
        <x:v>0.033783783783783786</x:v>
      </x:c>
      <x:c r="G824" s="67" t="n">
        <x:f>VLOOKUP(C824,'Governorate Master'!$A$2:$Q$13,7,FALSE)</x:f>
        <x:v>722.3</x:v>
      </x:c>
      <x:c r="H824" s="20" t="n">
        <x:f>VLOOKUP(C824,'Governorate Master'!$A$2:$Q$13,6,FALSE)</x:f>
        <x:v>0.7695945945945946</x:v>
      </x:c>
      <x:c r="I824" s="20" t="n">
        <x:f>VLOOKUP(C824,'Governorate Master'!$A$2:$Q$13,15,FALSE)</x:f>
        <x:v>-0.06527415143603134</x:v>
      </x:c>
      <x:c r="J824" s="12" t="str">
        <x:v>Location model input - competition/saturation context</x:v>
      </x:c>
      <x:c r="K824" s="12" t="str">
        <x:v>Business count is from 2018 while population/context indicators are newer; use as a historical proxy, not a current market count.</x:v>
      </x:c>
    </x:row>
    <x:row r="825">
      <x:c r="A825" s="12" t="str">
        <x:v>2512</x:v>
      </x:c>
      <x:c r="B825" s="12" t="str">
        <x:v>Manufacture of tanks, reservoirs and containers of metal</x:v>
      </x:c>
      <x:c r="C825" s="12" t="str">
        <x:v>عجلون</x:v>
      </x:c>
      <x:c r="D825" s="14" t="n">
        <x:v>0</x:v>
      </x:c>
      <x:c r="E825" s="14" t="n">
        <x:f>VLOOKUP(C825,'Governorate Master'!$A$2:$Q$13,3,FALSE)</x:f>
        <x:v>219900</x:v>
      </x:c>
      <x:c r="F825" s="66" t="n">
        <x:f>IF(E825=0,0,D825/E825*10000)</x:f>
        <x:v>0</x:v>
      </x:c>
      <x:c r="G825" s="67" t="n">
        <x:f>VLOOKUP(C825,'Governorate Master'!$A$2:$Q$13,7,FALSE)</x:f>
        <x:v>524</x:v>
      </x:c>
      <x:c r="H825" s="20" t="n">
        <x:f>VLOOKUP(C825,'Governorate Master'!$A$2:$Q$13,6,FALSE)</x:f>
        <x:v>0.8390177353342428</x:v>
      </x:c>
      <x:c r="I825" s="20" t="n">
        <x:f>VLOOKUP(C825,'Governorate Master'!$A$2:$Q$13,15,FALSE)</x:f>
        <x:v>0.03614457831325301</x:v>
      </x:c>
      <x:c r="J825" s="12" t="str">
        <x:v>Location model input - competition/saturation context</x:v>
      </x:c>
      <x:c r="K825" s="12" t="str">
        <x:v>Business count is from 2018 while population/context indicators are newer; use as a historical proxy, not a current market count.</x:v>
      </x:c>
    </x:row>
    <x:row r="826">
      <x:c r="A826" s="12" t="str">
        <x:v>2512</x:v>
      </x:c>
      <x:c r="B826" s="12" t="str">
        <x:v>Manufacture of tanks, reservoirs and containers of metal</x:v>
      </x:c>
      <x:c r="C826" s="12" t="str">
        <x:v>الكرك</x:v>
      </x:c>
      <x:c r="D826" s="14" t="n">
        <x:v>0</x:v>
      </x:c>
      <x:c r="E826" s="14" t="n">
        <x:f>VLOOKUP(C826,'Governorate Master'!$A$2:$Q$13,3,FALSE)</x:f>
        <x:v>395400</x:v>
      </x:c>
      <x:c r="F826" s="66" t="n">
        <x:f>IF(E826=0,0,D826/E826*10000)</x:f>
        <x:v>0</x:v>
      </x:c>
      <x:c r="G826" s="67" t="n">
        <x:f>VLOOKUP(C826,'Governorate Master'!$A$2:$Q$13,7,FALSE)</x:f>
        <x:v>113.1</x:v>
      </x:c>
      <x:c r="H826" s="20" t="n">
        <x:f>VLOOKUP(C826,'Governorate Master'!$A$2:$Q$13,6,FALSE)</x:f>
        <x:v>0.5912999494183105</x:v>
      </x:c>
      <x:c r="I826" s="20" t="n">
        <x:f>VLOOKUP(C826,'Governorate Master'!$A$2:$Q$13,15,FALSE)</x:f>
        <x:v>0.08710801393728224</x:v>
      </x:c>
      <x:c r="J826" s="12" t="str">
        <x:v>Location model input - competition/saturation context</x:v>
      </x:c>
      <x:c r="K826" s="12" t="str">
        <x:v>Business count is from 2018 while population/context indicators are newer; use as a historical proxy, not a current market count.</x:v>
      </x:c>
    </x:row>
    <x:row r="827">
      <x:c r="A827" s="12" t="str">
        <x:v>2512</x:v>
      </x:c>
      <x:c r="B827" s="12" t="str">
        <x:v>Manufacture of tanks, reservoirs and containers of metal</x:v>
      </x:c>
      <x:c r="C827" s="12" t="str">
        <x:v>الطفيلة</x:v>
      </x:c>
      <x:c r="D827" s="14" t="n">
        <x:v>0</x:v>
      </x:c>
      <x:c r="E827" s="14" t="n">
        <x:f>VLOOKUP(C827,'Governorate Master'!$A$2:$Q$13,3,FALSE)</x:f>
        <x:v>120300</x:v>
      </x:c>
      <x:c r="F827" s="66" t="n">
        <x:f>IF(E827=0,0,D827/E827*10000)</x:f>
        <x:v>0</x:v>
      </x:c>
      <x:c r="G827" s="67" t="n">
        <x:f>VLOOKUP(C827,'Governorate Master'!$A$2:$Q$13,7,FALSE)</x:f>
        <x:v>54.4</x:v>
      </x:c>
      <x:c r="H827" s="20" t="n">
        <x:f>VLOOKUP(C827,'Governorate Master'!$A$2:$Q$13,6,FALSE)</x:f>
        <x:v>0.7797173732335827</x:v>
      </x:c>
      <x:c r="I827" s="20" t="n">
        <x:f>VLOOKUP(C827,'Governorate Master'!$A$2:$Q$13,15,FALSE)</x:f>
        <x:v>0.18452380952380953</x:v>
      </x:c>
      <x:c r="J827" s="12" t="str">
        <x:v>Location model input - competition/saturation context</x:v>
      </x:c>
      <x:c r="K827" s="12" t="str">
        <x:v>Business count is from 2018 while population/context indicators are newer; use as a historical proxy, not a current market count.</x:v>
      </x:c>
    </x:row>
    <x:row r="828">
      <x:c r="A828" s="12" t="str">
        <x:v>2512</x:v>
      </x:c>
      <x:c r="B828" s="12" t="str">
        <x:v>Manufacture of tanks, reservoirs and containers of metal</x:v>
      </x:c>
      <x:c r="C828" s="12" t="str">
        <x:v>معان</x:v>
      </x:c>
      <x:c r="D828" s="14" t="n">
        <x:v>0</x:v>
      </x:c>
      <x:c r="E828" s="14" t="n">
        <x:f>VLOOKUP(C828,'Governorate Master'!$A$2:$Q$13,3,FALSE)</x:f>
        <x:v>197900</x:v>
      </x:c>
      <x:c r="F828" s="66" t="n">
        <x:f>IF(E828=0,0,D828/E828*10000)</x:f>
        <x:v>0</x:v>
      </x:c>
      <x:c r="G828" s="67" t="n">
        <x:f>VLOOKUP(C828,'Governorate Master'!$A$2:$Q$13,7,FALSE)</x:f>
        <x:v>6</x:v>
      </x:c>
      <x:c r="H828" s="20" t="n">
        <x:f>VLOOKUP(C828,'Governorate Master'!$A$2:$Q$13,6,FALSE)</x:f>
        <x:v>0.5406771096513391</x:v>
      </x:c>
      <x:c r="I828" s="20" t="n">
        <x:f>VLOOKUP(C828,'Governorate Master'!$A$2:$Q$13,15,FALSE)</x:f>
        <x:v>0.026845637583892617</x:v>
      </x:c>
      <x:c r="J828" s="12" t="str">
        <x:v>Location model input - competition/saturation context</x:v>
      </x:c>
      <x:c r="K828" s="12" t="str">
        <x:v>Business count is from 2018 while population/context indicators are newer; use as a historical proxy, not a current market count.</x:v>
      </x:c>
    </x:row>
    <x:row r="829">
      <x:c r="A829" s="12" t="str">
        <x:v>2512</x:v>
      </x:c>
      <x:c r="B829" s="12" t="str">
        <x:v>Manufacture of tanks, reservoirs and containers of metal</x:v>
      </x:c>
      <x:c r="C829" s="12" t="str">
        <x:v>العقبة</x:v>
      </x:c>
      <x:c r="D829" s="14" t="n">
        <x:v>1</x:v>
      </x:c>
      <x:c r="E829" s="14" t="n">
        <x:f>VLOOKUP(C829,'Governorate Master'!$A$2:$Q$13,3,FALSE)</x:f>
        <x:v>250900</x:v>
      </x:c>
      <x:c r="F829" s="66" t="n">
        <x:f>IF(E829=0,0,D829/E829*10000)</x:f>
        <x:v>0.03985651654045436</x:v>
      </x:c>
      <x:c r="G829" s="67" t="n">
        <x:f>VLOOKUP(C829,'Governorate Master'!$A$2:$Q$13,7,FALSE)</x:f>
        <x:v>36.3</x:v>
      </x:c>
      <x:c r="H829" s="20" t="n">
        <x:f>VLOOKUP(C829,'Governorate Master'!$A$2:$Q$13,6,FALSE)</x:f>
        <x:v>0.882024711040255</x:v>
      </x:c>
      <x:c r="I829" s="20" t="n">
        <x:f>VLOOKUP(C829,'Governorate Master'!$A$2:$Q$13,15,FALSE)</x:f>
        <x:v>-0.09</x:v>
      </x:c>
      <x:c r="J829" s="12" t="str">
        <x:v>Location model input - competition/saturation context</x:v>
      </x:c>
      <x:c r="K829" s="12" t="str">
        <x:v>Business count is from 2018 while population/context indicators are newer; use as a historical proxy, not a current market count.</x:v>
      </x:c>
    </x:row>
    <x:row r="830">
      <x:c r="A830" s="12" t="str">
        <x:v>2513</x:v>
      </x:c>
      <x:c r="B830" s="12" t="str">
        <x:v>Manufacture of steam generators, except central heating hot water boilers</x:v>
      </x:c>
      <x:c r="C830" s="12" t="str">
        <x:v>عمان</x:v>
      </x:c>
      <x:c r="D830" s="14" t="n">
        <x:v>1</x:v>
      </x:c>
      <x:c r="E830" s="14" t="n">
        <x:f>VLOOKUP(C830,'Governorate Master'!$A$2:$Q$13,3,FALSE)</x:f>
        <x:v>5004600</x:v>
      </x:c>
      <x:c r="F830" s="66" t="n">
        <x:f>IF(E830=0,0,D830/E830*10000)</x:f>
        <x:v>0.0019981616912440555</x:v>
      </x:c>
      <x:c r="G830" s="67" t="n">
        <x:f>VLOOKUP(C830,'Governorate Master'!$A$2:$Q$13,7,FALSE)</x:f>
        <x:v>660.3</x:v>
      </x:c>
      <x:c r="H830" s="20" t="n">
        <x:f>VLOOKUP(C830,'Governorate Master'!$A$2:$Q$13,6,FALSE)</x:f>
        <x:v>0.9721656076409703</x:v>
      </x:c>
      <x:c r="I830" s="20" t="n">
        <x:f>VLOOKUP(C830,'Governorate Master'!$A$2:$Q$13,15,FALSE)</x:f>
        <x:v>0.06367041198501873</x:v>
      </x:c>
      <x:c r="J830" s="12" t="str">
        <x:v>Location model input - competition/saturation context</x:v>
      </x:c>
      <x:c r="K830" s="12" t="str">
        <x:v>Business count is from 2018 while population/context indicators are newer; use as a historical proxy, not a current market count.</x:v>
      </x:c>
    </x:row>
    <x:row r="831">
      <x:c r="A831" s="12" t="str">
        <x:v>2513</x:v>
      </x:c>
      <x:c r="B831" s="12" t="str">
        <x:v>Manufacture of steam generators, except central heating hot water boilers</x:v>
      </x:c>
      <x:c r="C831" s="12" t="str">
        <x:v>البلقاء</x:v>
      </x:c>
      <x:c r="D831" s="14" t="n">
        <x:v>0</x:v>
      </x:c>
      <x:c r="E831" s="14" t="n">
        <x:f>VLOOKUP(C831,'Governorate Master'!$A$2:$Q$13,3,FALSE)</x:f>
        <x:v>614000</x:v>
      </x:c>
      <x:c r="F831" s="66" t="n">
        <x:f>IF(E831=0,0,D831/E831*10000)</x:f>
        <x:v>0</x:v>
      </x:c>
      <x:c r="G831" s="67" t="n">
        <x:f>VLOOKUP(C831,'Governorate Master'!$A$2:$Q$13,7,FALSE)</x:f>
        <x:v>548</x:v>
      </x:c>
      <x:c r="H831" s="20" t="n">
        <x:f>VLOOKUP(C831,'Governorate Master'!$A$2:$Q$13,6,FALSE)</x:f>
        <x:v>0.8210097719869707</x:v>
      </x:c>
      <x:c r="I831" s="20" t="n">
        <x:f>VLOOKUP(C831,'Governorate Master'!$A$2:$Q$13,15,FALSE)</x:f>
        <x:v>0.10794044665012408</x:v>
      </x:c>
      <x:c r="J831" s="12" t="str">
        <x:v>Location model input - competition/saturation context</x:v>
      </x:c>
      <x:c r="K831" s="12" t="str">
        <x:v>Business count is from 2018 while population/context indicators are newer; use as a historical proxy, not a current market count.</x:v>
      </x:c>
    </x:row>
    <x:row r="832">
      <x:c r="A832" s="12" t="str">
        <x:v>2513</x:v>
      </x:c>
      <x:c r="B832" s="12" t="str">
        <x:v>Manufacture of steam generators, except central heating hot water boilers</x:v>
      </x:c>
      <x:c r="C832" s="12" t="str">
        <x:v>الزرقاء</x:v>
      </x:c>
      <x:c r="D832" s="14" t="n">
        <x:v>0</x:v>
      </x:c>
      <x:c r="E832" s="14" t="n">
        <x:f>VLOOKUP(C832,'Governorate Master'!$A$2:$Q$13,3,FALSE)</x:f>
        <x:v>1704500</x:v>
      </x:c>
      <x:c r="F832" s="66" t="n">
        <x:f>IF(E832=0,0,D832/E832*10000)</x:f>
        <x:v>0</x:v>
      </x:c>
      <x:c r="G832" s="67" t="n">
        <x:f>VLOOKUP(C832,'Governorate Master'!$A$2:$Q$13,7,FALSE)</x:f>
        <x:v>358</x:v>
      </x:c>
      <x:c r="H832" s="20" t="n">
        <x:f>VLOOKUP(C832,'Governorate Master'!$A$2:$Q$13,6,FALSE)</x:f>
        <x:v>0.9636256966852449</x:v>
      </x:c>
      <x:c r="I832" s="20" t="n">
        <x:f>VLOOKUP(C832,'Governorate Master'!$A$2:$Q$13,15,FALSE)</x:f>
        <x:v>-0.06808762581409118</x:v>
      </x:c>
      <x:c r="J832" s="12" t="str">
        <x:v>Location model input - competition/saturation context</x:v>
      </x:c>
      <x:c r="K832" s="12" t="str">
        <x:v>Business count is from 2018 while population/context indicators are newer; use as a historical proxy, not a current market count.</x:v>
      </x:c>
    </x:row>
    <x:row r="833">
      <x:c r="A833" s="12" t="str">
        <x:v>2513</x:v>
      </x:c>
      <x:c r="B833" s="12" t="str">
        <x:v>Manufacture of steam generators, except central heating hot water boilers</x:v>
      </x:c>
      <x:c r="C833" s="12" t="str">
        <x:v>مادبا</x:v>
      </x:c>
      <x:c r="D833" s="14" t="n">
        <x:v>0</x:v>
      </x:c>
      <x:c r="E833" s="14" t="n">
        <x:f>VLOOKUP(C833,'Governorate Master'!$A$2:$Q$13,3,FALSE)</x:f>
        <x:v>236200</x:v>
      </x:c>
      <x:c r="F833" s="66" t="n">
        <x:f>IF(E833=0,0,D833/E833*10000)</x:f>
        <x:v>0</x:v>
      </x:c>
      <x:c r="G833" s="67" t="n">
        <x:f>VLOOKUP(C833,'Governorate Master'!$A$2:$Q$13,7,FALSE)</x:f>
        <x:v>251.4</x:v>
      </x:c>
      <x:c r="H833" s="20" t="n">
        <x:f>VLOOKUP(C833,'Governorate Master'!$A$2:$Q$13,6,FALSE)</x:f>
        <x:v>0.7823878069432684</x:v>
      </x:c>
      <x:c r="I833" s="20" t="n">
        <x:f>VLOOKUP(C833,'Governorate Master'!$A$2:$Q$13,15,FALSE)</x:f>
        <x:v>-0.18823529411764706</x:v>
      </x:c>
      <x:c r="J833" s="12" t="str">
        <x:v>Location model input - competition/saturation context</x:v>
      </x:c>
      <x:c r="K833" s="12" t="str">
        <x:v>Business count is from 2018 while population/context indicators are newer; use as a historical proxy, not a current market count.</x:v>
      </x:c>
    </x:row>
    <x:row r="834">
      <x:c r="A834" s="12" t="str">
        <x:v>2513</x:v>
      </x:c>
      <x:c r="B834" s="12" t="str">
        <x:v>Manufacture of steam generators, except central heating hot water boilers</x:v>
      </x:c>
      <x:c r="C834" s="12" t="str">
        <x:v>إربد</x:v>
      </x:c>
      <x:c r="D834" s="14" t="n">
        <x:v>1</x:v>
      </x:c>
      <x:c r="E834" s="14" t="n">
        <x:f>VLOOKUP(C834,'Governorate Master'!$A$2:$Q$13,3,FALSE)</x:f>
        <x:v>2210500</x:v>
      </x:c>
      <x:c r="F834" s="66" t="n">
        <x:f>IF(E834=0,0,D834/E834*10000)</x:f>
        <x:v>0.004523863379325944</x:v>
      </x:c>
      <x:c r="G834" s="67" t="n">
        <x:f>VLOOKUP(C834,'Governorate Master'!$A$2:$Q$13,7,FALSE)</x:f>
        <x:v>1406.4</x:v>
      </x:c>
      <x:c r="H834" s="20" t="n">
        <x:f>VLOOKUP(C834,'Governorate Master'!$A$2:$Q$13,6,FALSE)</x:f>
        <x:v>0.9235014702555983</x:v>
      </x:c>
      <x:c r="I834" s="20" t="n">
        <x:f>VLOOKUP(C834,'Governorate Master'!$A$2:$Q$13,15,FALSE)</x:f>
        <x:v>0.07086922474549726</x:v>
      </x:c>
      <x:c r="J834" s="12" t="str">
        <x:v>Location model input - competition/saturation context</x:v>
      </x:c>
      <x:c r="K834" s="12" t="str">
        <x:v>Business count is from 2018 while population/context indicators are newer; use as a historical proxy, not a current market count.</x:v>
      </x:c>
    </x:row>
    <x:row r="835">
      <x:c r="A835" s="12" t="str">
        <x:v>2513</x:v>
      </x:c>
      <x:c r="B835" s="12" t="str">
        <x:v>Manufacture of steam generators, except central heating hot water boilers</x:v>
      </x:c>
      <x:c r="C835" s="12" t="str">
        <x:v>المفرق</x:v>
      </x:c>
      <x:c r="D835" s="14" t="n">
        <x:v>0</x:v>
      </x:c>
      <x:c r="E835" s="14" t="n">
        <x:f>VLOOKUP(C835,'Governorate Master'!$A$2:$Q$13,3,FALSE)</x:f>
        <x:v>686800</x:v>
      </x:c>
      <x:c r="F835" s="66" t="n">
        <x:f>IF(E835=0,0,D835/E835*10000)</x:f>
        <x:v>0</x:v>
      </x:c>
      <x:c r="G835" s="67" t="n">
        <x:f>VLOOKUP(C835,'Governorate Master'!$A$2:$Q$13,7,FALSE)</x:f>
        <x:v>25.9</x:v>
      </x:c>
      <x:c r="H835" s="20" t="n">
        <x:f>VLOOKUP(C835,'Governorate Master'!$A$2:$Q$13,6,FALSE)</x:f>
        <x:v>0.6965637740244612</x:v>
      </x:c>
      <x:c r="I835" s="20" t="n">
        <x:f>VLOOKUP(C835,'Governorate Master'!$A$2:$Q$13,15,FALSE)</x:f>
        <x:v>-0.016638935108153077</x:v>
      </x:c>
      <x:c r="J835" s="12" t="str">
        <x:v>Location model input - competition/saturation context</x:v>
      </x:c>
      <x:c r="K835" s="12" t="str">
        <x:v>Business count is from 2018 while population/context indicators are newer; use as a historical proxy, not a current market count.</x:v>
      </x:c>
    </x:row>
    <x:row r="836">
      <x:c r="A836" s="12" t="str">
        <x:v>2513</x:v>
      </x:c>
      <x:c r="B836" s="12" t="str">
        <x:v>Manufacture of steam generators, except central heating hot water boilers</x:v>
      </x:c>
      <x:c r="C836" s="12" t="str">
        <x:v>جرش</x:v>
      </x:c>
      <x:c r="D836" s="14" t="n">
        <x:v>0</x:v>
      </x:c>
      <x:c r="E836" s="14" t="n">
        <x:f>VLOOKUP(C836,'Governorate Master'!$A$2:$Q$13,3,FALSE)</x:f>
        <x:v>296000</x:v>
      </x:c>
      <x:c r="F836" s="66" t="n">
        <x:f>IF(E836=0,0,D836/E836*10000)</x:f>
        <x:v>0</x:v>
      </x:c>
      <x:c r="G836" s="67" t="n">
        <x:f>VLOOKUP(C836,'Governorate Master'!$A$2:$Q$13,7,FALSE)</x:f>
        <x:v>722.3</x:v>
      </x:c>
      <x:c r="H836" s="20" t="n">
        <x:f>VLOOKUP(C836,'Governorate Master'!$A$2:$Q$13,6,FALSE)</x:f>
        <x:v>0.7695945945945946</x:v>
      </x:c>
      <x:c r="I836" s="20" t="n">
        <x:f>VLOOKUP(C836,'Governorate Master'!$A$2:$Q$13,15,FALSE)</x:f>
        <x:v>-0.06527415143603134</x:v>
      </x:c>
      <x:c r="J836" s="12" t="str">
        <x:v>Location model input - competition/saturation context</x:v>
      </x:c>
      <x:c r="K836" s="12" t="str">
        <x:v>Business count is from 2018 while population/context indicators are newer; use as a historical proxy, not a current market count.</x:v>
      </x:c>
    </x:row>
    <x:row r="837">
      <x:c r="A837" s="12" t="str">
        <x:v>2513</x:v>
      </x:c>
      <x:c r="B837" s="12" t="str">
        <x:v>Manufacture of steam generators, except central heating hot water boilers</x:v>
      </x:c>
      <x:c r="C837" s="12" t="str">
        <x:v>عجلون</x:v>
      </x:c>
      <x:c r="D837" s="14" t="n">
        <x:v>0</x:v>
      </x:c>
      <x:c r="E837" s="14" t="n">
        <x:f>VLOOKUP(C837,'Governorate Master'!$A$2:$Q$13,3,FALSE)</x:f>
        <x:v>219900</x:v>
      </x:c>
      <x:c r="F837" s="66" t="n">
        <x:f>IF(E837=0,0,D837/E837*10000)</x:f>
        <x:v>0</x:v>
      </x:c>
      <x:c r="G837" s="67" t="n">
        <x:f>VLOOKUP(C837,'Governorate Master'!$A$2:$Q$13,7,FALSE)</x:f>
        <x:v>524</x:v>
      </x:c>
      <x:c r="H837" s="20" t="n">
        <x:f>VLOOKUP(C837,'Governorate Master'!$A$2:$Q$13,6,FALSE)</x:f>
        <x:v>0.8390177353342428</x:v>
      </x:c>
      <x:c r="I837" s="20" t="n">
        <x:f>VLOOKUP(C837,'Governorate Master'!$A$2:$Q$13,15,FALSE)</x:f>
        <x:v>0.03614457831325301</x:v>
      </x:c>
      <x:c r="J837" s="12" t="str">
        <x:v>Location model input - competition/saturation context</x:v>
      </x:c>
      <x:c r="K837" s="12" t="str">
        <x:v>Business count is from 2018 while population/context indicators are newer; use as a historical proxy, not a current market count.</x:v>
      </x:c>
    </x:row>
    <x:row r="838">
      <x:c r="A838" s="12" t="str">
        <x:v>2513</x:v>
      </x:c>
      <x:c r="B838" s="12" t="str">
        <x:v>Manufacture of steam generators, except central heating hot water boilers</x:v>
      </x:c>
      <x:c r="C838" s="12" t="str">
        <x:v>الكرك</x:v>
      </x:c>
      <x:c r="D838" s="14" t="n">
        <x:v>0</x:v>
      </x:c>
      <x:c r="E838" s="14" t="n">
        <x:f>VLOOKUP(C838,'Governorate Master'!$A$2:$Q$13,3,FALSE)</x:f>
        <x:v>395400</x:v>
      </x:c>
      <x:c r="F838" s="66" t="n">
        <x:f>IF(E838=0,0,D838/E838*10000)</x:f>
        <x:v>0</x:v>
      </x:c>
      <x:c r="G838" s="67" t="n">
        <x:f>VLOOKUP(C838,'Governorate Master'!$A$2:$Q$13,7,FALSE)</x:f>
        <x:v>113.1</x:v>
      </x:c>
      <x:c r="H838" s="20" t="n">
        <x:f>VLOOKUP(C838,'Governorate Master'!$A$2:$Q$13,6,FALSE)</x:f>
        <x:v>0.5912999494183105</x:v>
      </x:c>
      <x:c r="I838" s="20" t="n">
        <x:f>VLOOKUP(C838,'Governorate Master'!$A$2:$Q$13,15,FALSE)</x:f>
        <x:v>0.08710801393728224</x:v>
      </x:c>
      <x:c r="J838" s="12" t="str">
        <x:v>Location model input - competition/saturation context</x:v>
      </x:c>
      <x:c r="K838" s="12" t="str">
        <x:v>Business count is from 2018 while population/context indicators are newer; use as a historical proxy, not a current market count.</x:v>
      </x:c>
    </x:row>
    <x:row r="839">
      <x:c r="A839" s="12" t="str">
        <x:v>2513</x:v>
      </x:c>
      <x:c r="B839" s="12" t="str">
        <x:v>Manufacture of steam generators, except central heating hot water boilers</x:v>
      </x:c>
      <x:c r="C839" s="12" t="str">
        <x:v>الطفيلة</x:v>
      </x:c>
      <x:c r="D839" s="14" t="n">
        <x:v>0</x:v>
      </x:c>
      <x:c r="E839" s="14" t="n">
        <x:f>VLOOKUP(C839,'Governorate Master'!$A$2:$Q$13,3,FALSE)</x:f>
        <x:v>120300</x:v>
      </x:c>
      <x:c r="F839" s="66" t="n">
        <x:f>IF(E839=0,0,D839/E839*10000)</x:f>
        <x:v>0</x:v>
      </x:c>
      <x:c r="G839" s="67" t="n">
        <x:f>VLOOKUP(C839,'Governorate Master'!$A$2:$Q$13,7,FALSE)</x:f>
        <x:v>54.4</x:v>
      </x:c>
      <x:c r="H839" s="20" t="n">
        <x:f>VLOOKUP(C839,'Governorate Master'!$A$2:$Q$13,6,FALSE)</x:f>
        <x:v>0.7797173732335827</x:v>
      </x:c>
      <x:c r="I839" s="20" t="n">
        <x:f>VLOOKUP(C839,'Governorate Master'!$A$2:$Q$13,15,FALSE)</x:f>
        <x:v>0.18452380952380953</x:v>
      </x:c>
      <x:c r="J839" s="12" t="str">
        <x:v>Location model input - competition/saturation context</x:v>
      </x:c>
      <x:c r="K839" s="12" t="str">
        <x:v>Business count is from 2018 while population/context indicators are newer; use as a historical proxy, not a current market count.</x:v>
      </x:c>
    </x:row>
    <x:row r="840">
      <x:c r="A840" s="12" t="str">
        <x:v>2513</x:v>
      </x:c>
      <x:c r="B840" s="12" t="str">
        <x:v>Manufacture of steam generators, except central heating hot water boilers</x:v>
      </x:c>
      <x:c r="C840" s="12" t="str">
        <x:v>معان</x:v>
      </x:c>
      <x:c r="D840" s="14" t="n">
        <x:v>0</x:v>
      </x:c>
      <x:c r="E840" s="14" t="n">
        <x:f>VLOOKUP(C840,'Governorate Master'!$A$2:$Q$13,3,FALSE)</x:f>
        <x:v>197900</x:v>
      </x:c>
      <x:c r="F840" s="66" t="n">
        <x:f>IF(E840=0,0,D840/E840*10000)</x:f>
        <x:v>0</x:v>
      </x:c>
      <x:c r="G840" s="67" t="n">
        <x:f>VLOOKUP(C840,'Governorate Master'!$A$2:$Q$13,7,FALSE)</x:f>
        <x:v>6</x:v>
      </x:c>
      <x:c r="H840" s="20" t="n">
        <x:f>VLOOKUP(C840,'Governorate Master'!$A$2:$Q$13,6,FALSE)</x:f>
        <x:v>0.5406771096513391</x:v>
      </x:c>
      <x:c r="I840" s="20" t="n">
        <x:f>VLOOKUP(C840,'Governorate Master'!$A$2:$Q$13,15,FALSE)</x:f>
        <x:v>0.026845637583892617</x:v>
      </x:c>
      <x:c r="J840" s="12" t="str">
        <x:v>Location model input - competition/saturation context</x:v>
      </x:c>
      <x:c r="K840" s="12" t="str">
        <x:v>Business count is from 2018 while population/context indicators are newer; use as a historical proxy, not a current market count.</x:v>
      </x:c>
    </x:row>
    <x:row r="841">
      <x:c r="A841" s="12" t="str">
        <x:v>2513</x:v>
      </x:c>
      <x:c r="B841" s="12" t="str">
        <x:v>Manufacture of steam generators, except central heating hot water boilers</x:v>
      </x:c>
      <x:c r="C841" s="12" t="str">
        <x:v>العقبة</x:v>
      </x:c>
      <x:c r="D841" s="14" t="n">
        <x:v>0</x:v>
      </x:c>
      <x:c r="E841" s="14" t="n">
        <x:f>VLOOKUP(C841,'Governorate Master'!$A$2:$Q$13,3,FALSE)</x:f>
        <x:v>250900</x:v>
      </x:c>
      <x:c r="F841" s="66" t="n">
        <x:f>IF(E841=0,0,D841/E841*10000)</x:f>
        <x:v>0</x:v>
      </x:c>
      <x:c r="G841" s="67" t="n">
        <x:f>VLOOKUP(C841,'Governorate Master'!$A$2:$Q$13,7,FALSE)</x:f>
        <x:v>36.3</x:v>
      </x:c>
      <x:c r="H841" s="20" t="n">
        <x:f>VLOOKUP(C841,'Governorate Master'!$A$2:$Q$13,6,FALSE)</x:f>
        <x:v>0.882024711040255</x:v>
      </x:c>
      <x:c r="I841" s="20" t="n">
        <x:f>VLOOKUP(C841,'Governorate Master'!$A$2:$Q$13,15,FALSE)</x:f>
        <x:v>-0.09</x:v>
      </x:c>
      <x:c r="J841" s="12" t="str">
        <x:v>Location model input - competition/saturation context</x:v>
      </x:c>
      <x:c r="K841" s="12" t="str">
        <x:v>Business count is from 2018 while population/context indicators are newer; use as a historical proxy, not a current market count.</x:v>
      </x:c>
    </x:row>
    <x:row r="842">
      <x:c r="A842" s="12" t="str">
        <x:v>2591</x:v>
      </x:c>
      <x:c r="B842" s="12" t="str">
        <x:v>Forging, pressing, stamping and roll-forming of metal; powder metallurgy</x:v>
      </x:c>
      <x:c r="C842" s="12" t="str">
        <x:v>عمان</x:v>
      </x:c>
      <x:c r="D842" s="14" t="n">
        <x:v>57</x:v>
      </x:c>
      <x:c r="E842" s="14" t="n">
        <x:f>VLOOKUP(C842,'Governorate Master'!$A$2:$Q$13,3,FALSE)</x:f>
        <x:v>5004600</x:v>
      </x:c>
      <x:c r="F842" s="66" t="n">
        <x:f>IF(E842=0,0,D842/E842*10000)</x:f>
        <x:v>0.11389521640091117</x:v>
      </x:c>
      <x:c r="G842" s="67" t="n">
        <x:f>VLOOKUP(C842,'Governorate Master'!$A$2:$Q$13,7,FALSE)</x:f>
        <x:v>660.3</x:v>
      </x:c>
      <x:c r="H842" s="20" t="n">
        <x:f>VLOOKUP(C842,'Governorate Master'!$A$2:$Q$13,6,FALSE)</x:f>
        <x:v>0.9721656076409703</x:v>
      </x:c>
      <x:c r="I842" s="20" t="n">
        <x:f>VLOOKUP(C842,'Governorate Master'!$A$2:$Q$13,15,FALSE)</x:f>
        <x:v>0.06367041198501873</x:v>
      </x:c>
      <x:c r="J842" s="12" t="str">
        <x:v>Location model input - competition/saturation context</x:v>
      </x:c>
      <x:c r="K842" s="12" t="str">
        <x:v>Business count is from 2018 while population/context indicators are newer; use as a historical proxy, not a current market count.</x:v>
      </x:c>
    </x:row>
    <x:row r="843">
      <x:c r="A843" s="12" t="str">
        <x:v>2591</x:v>
      </x:c>
      <x:c r="B843" s="12" t="str">
        <x:v>Forging, pressing, stamping and roll-forming of metal; powder metallurgy</x:v>
      </x:c>
      <x:c r="C843" s="12" t="str">
        <x:v>البلقاء</x:v>
      </x:c>
      <x:c r="D843" s="14" t="n">
        <x:v>0</x:v>
      </x:c>
      <x:c r="E843" s="14" t="n">
        <x:f>VLOOKUP(C843,'Governorate Master'!$A$2:$Q$13,3,FALSE)</x:f>
        <x:v>614000</x:v>
      </x:c>
      <x:c r="F843" s="66" t="n">
        <x:f>IF(E843=0,0,D843/E843*10000)</x:f>
        <x:v>0</x:v>
      </x:c>
      <x:c r="G843" s="67" t="n">
        <x:f>VLOOKUP(C843,'Governorate Master'!$A$2:$Q$13,7,FALSE)</x:f>
        <x:v>548</x:v>
      </x:c>
      <x:c r="H843" s="20" t="n">
        <x:f>VLOOKUP(C843,'Governorate Master'!$A$2:$Q$13,6,FALSE)</x:f>
        <x:v>0.8210097719869707</x:v>
      </x:c>
      <x:c r="I843" s="20" t="n">
        <x:f>VLOOKUP(C843,'Governorate Master'!$A$2:$Q$13,15,FALSE)</x:f>
        <x:v>0.10794044665012408</x:v>
      </x:c>
      <x:c r="J843" s="12" t="str">
        <x:v>Location model input - competition/saturation context</x:v>
      </x:c>
      <x:c r="K843" s="12" t="str">
        <x:v>Business count is from 2018 while population/context indicators are newer; use as a historical proxy, not a current market count.</x:v>
      </x:c>
    </x:row>
    <x:row r="844">
      <x:c r="A844" s="12" t="str">
        <x:v>2591</x:v>
      </x:c>
      <x:c r="B844" s="12" t="str">
        <x:v>Forging, pressing, stamping and roll-forming of metal; powder metallurgy</x:v>
      </x:c>
      <x:c r="C844" s="12" t="str">
        <x:v>الزرقاء</x:v>
      </x:c>
      <x:c r="D844" s="14" t="n">
        <x:v>8</x:v>
      </x:c>
      <x:c r="E844" s="14" t="n">
        <x:f>VLOOKUP(C844,'Governorate Master'!$A$2:$Q$13,3,FALSE)</x:f>
        <x:v>1704500</x:v>
      </x:c>
      <x:c r="F844" s="66" t="n">
        <x:f>IF(E844=0,0,D844/E844*10000)</x:f>
        <x:v>0.04693458492226459</x:v>
      </x:c>
      <x:c r="G844" s="67" t="n">
        <x:f>VLOOKUP(C844,'Governorate Master'!$A$2:$Q$13,7,FALSE)</x:f>
        <x:v>358</x:v>
      </x:c>
      <x:c r="H844" s="20" t="n">
        <x:f>VLOOKUP(C844,'Governorate Master'!$A$2:$Q$13,6,FALSE)</x:f>
        <x:v>0.9636256966852449</x:v>
      </x:c>
      <x:c r="I844" s="20" t="n">
        <x:f>VLOOKUP(C844,'Governorate Master'!$A$2:$Q$13,15,FALSE)</x:f>
        <x:v>-0.06808762581409118</x:v>
      </x:c>
      <x:c r="J844" s="12" t="str">
        <x:v>Location model input - competition/saturation context</x:v>
      </x:c>
      <x:c r="K844" s="12" t="str">
        <x:v>Business count is from 2018 while population/context indicators are newer; use as a historical proxy, not a current market count.</x:v>
      </x:c>
    </x:row>
    <x:row r="845">
      <x:c r="A845" s="12" t="str">
        <x:v>2591</x:v>
      </x:c>
      <x:c r="B845" s="12" t="str">
        <x:v>Forging, pressing, stamping and roll-forming of metal; powder metallurgy</x:v>
      </x:c>
      <x:c r="C845" s="12" t="str">
        <x:v>مادبا</x:v>
      </x:c>
      <x:c r="D845" s="14" t="n">
        <x:v>0</x:v>
      </x:c>
      <x:c r="E845" s="14" t="n">
        <x:f>VLOOKUP(C845,'Governorate Master'!$A$2:$Q$13,3,FALSE)</x:f>
        <x:v>236200</x:v>
      </x:c>
      <x:c r="F845" s="66" t="n">
        <x:f>IF(E845=0,0,D845/E845*10000)</x:f>
        <x:v>0</x:v>
      </x:c>
      <x:c r="G845" s="67" t="n">
        <x:f>VLOOKUP(C845,'Governorate Master'!$A$2:$Q$13,7,FALSE)</x:f>
        <x:v>251.4</x:v>
      </x:c>
      <x:c r="H845" s="20" t="n">
        <x:f>VLOOKUP(C845,'Governorate Master'!$A$2:$Q$13,6,FALSE)</x:f>
        <x:v>0.7823878069432684</x:v>
      </x:c>
      <x:c r="I845" s="20" t="n">
        <x:f>VLOOKUP(C845,'Governorate Master'!$A$2:$Q$13,15,FALSE)</x:f>
        <x:v>-0.18823529411764706</x:v>
      </x:c>
      <x:c r="J845" s="12" t="str">
        <x:v>Location model input - competition/saturation context</x:v>
      </x:c>
      <x:c r="K845" s="12" t="str">
        <x:v>Business count is from 2018 while population/context indicators are newer; use as a historical proxy, not a current market count.</x:v>
      </x:c>
    </x:row>
    <x:row r="846">
      <x:c r="A846" s="12" t="str">
        <x:v>2591</x:v>
      </x:c>
      <x:c r="B846" s="12" t="str">
        <x:v>Forging, pressing, stamping and roll-forming of metal; powder metallurgy</x:v>
      </x:c>
      <x:c r="C846" s="12" t="str">
        <x:v>إربد</x:v>
      </x:c>
      <x:c r="D846" s="14" t="n">
        <x:v>2</x:v>
      </x:c>
      <x:c r="E846" s="14" t="n">
        <x:f>VLOOKUP(C846,'Governorate Master'!$A$2:$Q$13,3,FALSE)</x:f>
        <x:v>2210500</x:v>
      </x:c>
      <x:c r="F846" s="66" t="n">
        <x:f>IF(E846=0,0,D846/E846*10000)</x:f>
        <x:v>0.009047726758651889</x:v>
      </x:c>
      <x:c r="G846" s="67" t="n">
        <x:f>VLOOKUP(C846,'Governorate Master'!$A$2:$Q$13,7,FALSE)</x:f>
        <x:v>1406.4</x:v>
      </x:c>
      <x:c r="H846" s="20" t="n">
        <x:f>VLOOKUP(C846,'Governorate Master'!$A$2:$Q$13,6,FALSE)</x:f>
        <x:v>0.9235014702555983</x:v>
      </x:c>
      <x:c r="I846" s="20" t="n">
        <x:f>VLOOKUP(C846,'Governorate Master'!$A$2:$Q$13,15,FALSE)</x:f>
        <x:v>0.07086922474549726</x:v>
      </x:c>
      <x:c r="J846" s="12" t="str">
        <x:v>Location model input - competition/saturation context</x:v>
      </x:c>
      <x:c r="K846" s="12" t="str">
        <x:v>Business count is from 2018 while population/context indicators are newer; use as a historical proxy, not a current market count.</x:v>
      </x:c>
    </x:row>
    <x:row r="847">
      <x:c r="A847" s="12" t="str">
        <x:v>2591</x:v>
      </x:c>
      <x:c r="B847" s="12" t="str">
        <x:v>Forging, pressing, stamping and roll-forming of metal; powder metallurgy</x:v>
      </x:c>
      <x:c r="C847" s="12" t="str">
        <x:v>المفرق</x:v>
      </x:c>
      <x:c r="D847" s="14" t="n">
        <x:v>1</x:v>
      </x:c>
      <x:c r="E847" s="14" t="n">
        <x:f>VLOOKUP(C847,'Governorate Master'!$A$2:$Q$13,3,FALSE)</x:f>
        <x:v>686800</x:v>
      </x:c>
      <x:c r="F847" s="66" t="n">
        <x:f>IF(E847=0,0,D847/E847*10000)</x:f>
        <x:v>0.014560279557367502</x:v>
      </x:c>
      <x:c r="G847" s="67" t="n">
        <x:f>VLOOKUP(C847,'Governorate Master'!$A$2:$Q$13,7,FALSE)</x:f>
        <x:v>25.9</x:v>
      </x:c>
      <x:c r="H847" s="20" t="n">
        <x:f>VLOOKUP(C847,'Governorate Master'!$A$2:$Q$13,6,FALSE)</x:f>
        <x:v>0.6965637740244612</x:v>
      </x:c>
      <x:c r="I847" s="20" t="n">
        <x:f>VLOOKUP(C847,'Governorate Master'!$A$2:$Q$13,15,FALSE)</x:f>
        <x:v>-0.016638935108153077</x:v>
      </x:c>
      <x:c r="J847" s="12" t="str">
        <x:v>Location model input - competition/saturation context</x:v>
      </x:c>
      <x:c r="K847" s="12" t="str">
        <x:v>Business count is from 2018 while population/context indicators are newer; use as a historical proxy, not a current market count.</x:v>
      </x:c>
    </x:row>
    <x:row r="848">
      <x:c r="A848" s="12" t="str">
        <x:v>2591</x:v>
      </x:c>
      <x:c r="B848" s="12" t="str">
        <x:v>Forging, pressing, stamping and roll-forming of metal; powder metallurgy</x:v>
      </x:c>
      <x:c r="C848" s="12" t="str">
        <x:v>جرش</x:v>
      </x:c>
      <x:c r="D848" s="14" t="n">
        <x:v>0</x:v>
      </x:c>
      <x:c r="E848" s="14" t="n">
        <x:f>VLOOKUP(C848,'Governorate Master'!$A$2:$Q$13,3,FALSE)</x:f>
        <x:v>296000</x:v>
      </x:c>
      <x:c r="F848" s="66" t="n">
        <x:f>IF(E848=0,0,D848/E848*10000)</x:f>
        <x:v>0</x:v>
      </x:c>
      <x:c r="G848" s="67" t="n">
        <x:f>VLOOKUP(C848,'Governorate Master'!$A$2:$Q$13,7,FALSE)</x:f>
        <x:v>722.3</x:v>
      </x:c>
      <x:c r="H848" s="20" t="n">
        <x:f>VLOOKUP(C848,'Governorate Master'!$A$2:$Q$13,6,FALSE)</x:f>
        <x:v>0.7695945945945946</x:v>
      </x:c>
      <x:c r="I848" s="20" t="n">
        <x:f>VLOOKUP(C848,'Governorate Master'!$A$2:$Q$13,15,FALSE)</x:f>
        <x:v>-0.06527415143603134</x:v>
      </x:c>
      <x:c r="J848" s="12" t="str">
        <x:v>Location model input - competition/saturation context</x:v>
      </x:c>
      <x:c r="K848" s="12" t="str">
        <x:v>Business count is from 2018 while population/context indicators are newer; use as a historical proxy, not a current market count.</x:v>
      </x:c>
    </x:row>
    <x:row r="849">
      <x:c r="A849" s="12" t="str">
        <x:v>2591</x:v>
      </x:c>
      <x:c r="B849" s="12" t="str">
        <x:v>Forging, pressing, stamping and roll-forming of metal; powder metallurgy</x:v>
      </x:c>
      <x:c r="C849" s="12" t="str">
        <x:v>عجلون</x:v>
      </x:c>
      <x:c r="D849" s="14" t="n">
        <x:v>0</x:v>
      </x:c>
      <x:c r="E849" s="14" t="n">
        <x:f>VLOOKUP(C849,'Governorate Master'!$A$2:$Q$13,3,FALSE)</x:f>
        <x:v>219900</x:v>
      </x:c>
      <x:c r="F849" s="66" t="n">
        <x:f>IF(E849=0,0,D849/E849*10000)</x:f>
        <x:v>0</x:v>
      </x:c>
      <x:c r="G849" s="67" t="n">
        <x:f>VLOOKUP(C849,'Governorate Master'!$A$2:$Q$13,7,FALSE)</x:f>
        <x:v>524</x:v>
      </x:c>
      <x:c r="H849" s="20" t="n">
        <x:f>VLOOKUP(C849,'Governorate Master'!$A$2:$Q$13,6,FALSE)</x:f>
        <x:v>0.8390177353342428</x:v>
      </x:c>
      <x:c r="I849" s="20" t="n">
        <x:f>VLOOKUP(C849,'Governorate Master'!$A$2:$Q$13,15,FALSE)</x:f>
        <x:v>0.03614457831325301</x:v>
      </x:c>
      <x:c r="J849" s="12" t="str">
        <x:v>Location model input - competition/saturation context</x:v>
      </x:c>
      <x:c r="K849" s="12" t="str">
        <x:v>Business count is from 2018 while population/context indicators are newer; use as a historical proxy, not a current market count.</x:v>
      </x:c>
    </x:row>
    <x:row r="850">
      <x:c r="A850" s="12" t="str">
        <x:v>2591</x:v>
      </x:c>
      <x:c r="B850" s="12" t="str">
        <x:v>Forging, pressing, stamping and roll-forming of metal; powder metallurgy</x:v>
      </x:c>
      <x:c r="C850" s="12" t="str">
        <x:v>الكرك</x:v>
      </x:c>
      <x:c r="D850" s="14" t="n">
        <x:v>0</x:v>
      </x:c>
      <x:c r="E850" s="14" t="n">
        <x:f>VLOOKUP(C850,'Governorate Master'!$A$2:$Q$13,3,FALSE)</x:f>
        <x:v>395400</x:v>
      </x:c>
      <x:c r="F850" s="66" t="n">
        <x:f>IF(E850=0,0,D850/E850*10000)</x:f>
        <x:v>0</x:v>
      </x:c>
      <x:c r="G850" s="67" t="n">
        <x:f>VLOOKUP(C850,'Governorate Master'!$A$2:$Q$13,7,FALSE)</x:f>
        <x:v>113.1</x:v>
      </x:c>
      <x:c r="H850" s="20" t="n">
        <x:f>VLOOKUP(C850,'Governorate Master'!$A$2:$Q$13,6,FALSE)</x:f>
        <x:v>0.5912999494183105</x:v>
      </x:c>
      <x:c r="I850" s="20" t="n">
        <x:f>VLOOKUP(C850,'Governorate Master'!$A$2:$Q$13,15,FALSE)</x:f>
        <x:v>0.08710801393728224</x:v>
      </x:c>
      <x:c r="J850" s="12" t="str">
        <x:v>Location model input - competition/saturation context</x:v>
      </x:c>
      <x:c r="K850" s="12" t="str">
        <x:v>Business count is from 2018 while population/context indicators are newer; use as a historical proxy, not a current market count.</x:v>
      </x:c>
    </x:row>
    <x:row r="851">
      <x:c r="A851" s="12" t="str">
        <x:v>2591</x:v>
      </x:c>
      <x:c r="B851" s="12" t="str">
        <x:v>Forging, pressing, stamping and roll-forming of metal; powder metallurgy</x:v>
      </x:c>
      <x:c r="C851" s="12" t="str">
        <x:v>الطفيلة</x:v>
      </x:c>
      <x:c r="D851" s="14" t="n">
        <x:v>0</x:v>
      </x:c>
      <x:c r="E851" s="14" t="n">
        <x:f>VLOOKUP(C851,'Governorate Master'!$A$2:$Q$13,3,FALSE)</x:f>
        <x:v>120300</x:v>
      </x:c>
      <x:c r="F851" s="66" t="n">
        <x:f>IF(E851=0,0,D851/E851*10000)</x:f>
        <x:v>0</x:v>
      </x:c>
      <x:c r="G851" s="67" t="n">
        <x:f>VLOOKUP(C851,'Governorate Master'!$A$2:$Q$13,7,FALSE)</x:f>
        <x:v>54.4</x:v>
      </x:c>
      <x:c r="H851" s="20" t="n">
        <x:f>VLOOKUP(C851,'Governorate Master'!$A$2:$Q$13,6,FALSE)</x:f>
        <x:v>0.7797173732335827</x:v>
      </x:c>
      <x:c r="I851" s="20" t="n">
        <x:f>VLOOKUP(C851,'Governorate Master'!$A$2:$Q$13,15,FALSE)</x:f>
        <x:v>0.18452380952380953</x:v>
      </x:c>
      <x:c r="J851" s="12" t="str">
        <x:v>Location model input - competition/saturation context</x:v>
      </x:c>
      <x:c r="K851" s="12" t="str">
        <x:v>Business count is from 2018 while population/context indicators are newer; use as a historical proxy, not a current market count.</x:v>
      </x:c>
    </x:row>
    <x:row r="852">
      <x:c r="A852" s="12" t="str">
        <x:v>2591</x:v>
      </x:c>
      <x:c r="B852" s="12" t="str">
        <x:v>Forging, pressing, stamping and roll-forming of metal; powder metallurgy</x:v>
      </x:c>
      <x:c r="C852" s="12" t="str">
        <x:v>معان</x:v>
      </x:c>
      <x:c r="D852" s="14" t="n">
        <x:v>0</x:v>
      </x:c>
      <x:c r="E852" s="14" t="n">
        <x:f>VLOOKUP(C852,'Governorate Master'!$A$2:$Q$13,3,FALSE)</x:f>
        <x:v>197900</x:v>
      </x:c>
      <x:c r="F852" s="66" t="n">
        <x:f>IF(E852=0,0,D852/E852*10000)</x:f>
        <x:v>0</x:v>
      </x:c>
      <x:c r="G852" s="67" t="n">
        <x:f>VLOOKUP(C852,'Governorate Master'!$A$2:$Q$13,7,FALSE)</x:f>
        <x:v>6</x:v>
      </x:c>
      <x:c r="H852" s="20" t="n">
        <x:f>VLOOKUP(C852,'Governorate Master'!$A$2:$Q$13,6,FALSE)</x:f>
        <x:v>0.5406771096513391</x:v>
      </x:c>
      <x:c r="I852" s="20" t="n">
        <x:f>VLOOKUP(C852,'Governorate Master'!$A$2:$Q$13,15,FALSE)</x:f>
        <x:v>0.026845637583892617</x:v>
      </x:c>
      <x:c r="J852" s="12" t="str">
        <x:v>Location model input - competition/saturation context</x:v>
      </x:c>
      <x:c r="K852" s="12" t="str">
        <x:v>Business count is from 2018 while population/context indicators are newer; use as a historical proxy, not a current market count.</x:v>
      </x:c>
    </x:row>
    <x:row r="853">
      <x:c r="A853" s="12" t="str">
        <x:v>2591</x:v>
      </x:c>
      <x:c r="B853" s="12" t="str">
        <x:v>Forging, pressing, stamping and roll-forming of metal; powder metallurgy</x:v>
      </x:c>
      <x:c r="C853" s="12" t="str">
        <x:v>العقبة</x:v>
      </x:c>
      <x:c r="D853" s="14" t="n">
        <x:v>0</x:v>
      </x:c>
      <x:c r="E853" s="14" t="n">
        <x:f>VLOOKUP(C853,'Governorate Master'!$A$2:$Q$13,3,FALSE)</x:f>
        <x:v>250900</x:v>
      </x:c>
      <x:c r="F853" s="66" t="n">
        <x:f>IF(E853=0,0,D853/E853*10000)</x:f>
        <x:v>0</x:v>
      </x:c>
      <x:c r="G853" s="67" t="n">
        <x:f>VLOOKUP(C853,'Governorate Master'!$A$2:$Q$13,7,FALSE)</x:f>
        <x:v>36.3</x:v>
      </x:c>
      <x:c r="H853" s="20" t="n">
        <x:f>VLOOKUP(C853,'Governorate Master'!$A$2:$Q$13,6,FALSE)</x:f>
        <x:v>0.882024711040255</x:v>
      </x:c>
      <x:c r="I853" s="20" t="n">
        <x:f>VLOOKUP(C853,'Governorate Master'!$A$2:$Q$13,15,FALSE)</x:f>
        <x:v>-0.09</x:v>
      </x:c>
      <x:c r="J853" s="12" t="str">
        <x:v>Location model input - competition/saturation context</x:v>
      </x:c>
      <x:c r="K853" s="12" t="str">
        <x:v>Business count is from 2018 while population/context indicators are newer; use as a historical proxy, not a current market count.</x:v>
      </x:c>
    </x:row>
    <x:row r="854">
      <x:c r="A854" s="12" t="str">
        <x:v>2592</x:v>
      </x:c>
      <x:c r="B854" s="12" t="str">
        <x:v>Treatment and coating of metals; machining</x:v>
      </x:c>
      <x:c r="C854" s="12" t="str">
        <x:v>عمان</x:v>
      </x:c>
      <x:c r="D854" s="14" t="n">
        <x:v>391</x:v>
      </x:c>
      <x:c r="E854" s="14" t="n">
        <x:f>VLOOKUP(C854,'Governorate Master'!$A$2:$Q$13,3,FALSE)</x:f>
        <x:v>5004600</x:v>
      </x:c>
      <x:c r="F854" s="66" t="n">
        <x:f>IF(E854=0,0,D854/E854*10000)</x:f>
        <x:v>0.7812812212764257</x:v>
      </x:c>
      <x:c r="G854" s="67" t="n">
        <x:f>VLOOKUP(C854,'Governorate Master'!$A$2:$Q$13,7,FALSE)</x:f>
        <x:v>660.3</x:v>
      </x:c>
      <x:c r="H854" s="20" t="n">
        <x:f>VLOOKUP(C854,'Governorate Master'!$A$2:$Q$13,6,FALSE)</x:f>
        <x:v>0.9721656076409703</x:v>
      </x:c>
      <x:c r="I854" s="20" t="n">
        <x:f>VLOOKUP(C854,'Governorate Master'!$A$2:$Q$13,15,FALSE)</x:f>
        <x:v>0.06367041198501873</x:v>
      </x:c>
      <x:c r="J854" s="12" t="str">
        <x:v>Location model input - competition/saturation context</x:v>
      </x:c>
      <x:c r="K854" s="12" t="str">
        <x:v>Business count is from 2018 while population/context indicators are newer; use as a historical proxy, not a current market count.</x:v>
      </x:c>
    </x:row>
    <x:row r="855">
      <x:c r="A855" s="12" t="str">
        <x:v>2592</x:v>
      </x:c>
      <x:c r="B855" s="12" t="str">
        <x:v>Treatment and coating of metals; machining</x:v>
      </x:c>
      <x:c r="C855" s="12" t="str">
        <x:v>البلقاء</x:v>
      </x:c>
      <x:c r="D855" s="14" t="n">
        <x:v>20</x:v>
      </x:c>
      <x:c r="E855" s="14" t="n">
        <x:f>VLOOKUP(C855,'Governorate Master'!$A$2:$Q$13,3,FALSE)</x:f>
        <x:v>614000</x:v>
      </x:c>
      <x:c r="F855" s="66" t="n">
        <x:f>IF(E855=0,0,D855/E855*10000)</x:f>
        <x:v>0.3257328990228013</x:v>
      </x:c>
      <x:c r="G855" s="67" t="n">
        <x:f>VLOOKUP(C855,'Governorate Master'!$A$2:$Q$13,7,FALSE)</x:f>
        <x:v>548</x:v>
      </x:c>
      <x:c r="H855" s="20" t="n">
        <x:f>VLOOKUP(C855,'Governorate Master'!$A$2:$Q$13,6,FALSE)</x:f>
        <x:v>0.8210097719869707</x:v>
      </x:c>
      <x:c r="I855" s="20" t="n">
        <x:f>VLOOKUP(C855,'Governorate Master'!$A$2:$Q$13,15,FALSE)</x:f>
        <x:v>0.10794044665012408</x:v>
      </x:c>
      <x:c r="J855" s="12" t="str">
        <x:v>Location model input - competition/saturation context</x:v>
      </x:c>
      <x:c r="K855" s="12" t="str">
        <x:v>Business count is from 2018 while population/context indicators are newer; use as a historical proxy, not a current market count.</x:v>
      </x:c>
    </x:row>
    <x:row r="856">
      <x:c r="A856" s="12" t="str">
        <x:v>2592</x:v>
      </x:c>
      <x:c r="B856" s="12" t="str">
        <x:v>Treatment and coating of metals; machining</x:v>
      </x:c>
      <x:c r="C856" s="12" t="str">
        <x:v>الزرقاء</x:v>
      </x:c>
      <x:c r="D856" s="14" t="n">
        <x:v>68</x:v>
      </x:c>
      <x:c r="E856" s="14" t="n">
        <x:f>VLOOKUP(C856,'Governorate Master'!$A$2:$Q$13,3,FALSE)</x:f>
        <x:v>1704500</x:v>
      </x:c>
      <x:c r="F856" s="66" t="n">
        <x:f>IF(E856=0,0,D856/E856*10000)</x:f>
        <x:v>0.39894397183924907</x:v>
      </x:c>
      <x:c r="G856" s="67" t="n">
        <x:f>VLOOKUP(C856,'Governorate Master'!$A$2:$Q$13,7,FALSE)</x:f>
        <x:v>358</x:v>
      </x:c>
      <x:c r="H856" s="20" t="n">
        <x:f>VLOOKUP(C856,'Governorate Master'!$A$2:$Q$13,6,FALSE)</x:f>
        <x:v>0.9636256966852449</x:v>
      </x:c>
      <x:c r="I856" s="20" t="n">
        <x:f>VLOOKUP(C856,'Governorate Master'!$A$2:$Q$13,15,FALSE)</x:f>
        <x:v>-0.06808762581409118</x:v>
      </x:c>
      <x:c r="J856" s="12" t="str">
        <x:v>Location model input - competition/saturation context</x:v>
      </x:c>
      <x:c r="K856" s="12" t="str">
        <x:v>Business count is from 2018 while population/context indicators are newer; use as a historical proxy, not a current market count.</x:v>
      </x:c>
    </x:row>
    <x:row r="857">
      <x:c r="A857" s="12" t="str">
        <x:v>2592</x:v>
      </x:c>
      <x:c r="B857" s="12" t="str">
        <x:v>Treatment and coating of metals; machining</x:v>
      </x:c>
      <x:c r="C857" s="12" t="str">
        <x:v>مادبا</x:v>
      </x:c>
      <x:c r="D857" s="14" t="n">
        <x:v>8</x:v>
      </x:c>
      <x:c r="E857" s="14" t="n">
        <x:f>VLOOKUP(C857,'Governorate Master'!$A$2:$Q$13,3,FALSE)</x:f>
        <x:v>236200</x:v>
      </x:c>
      <x:c r="F857" s="66" t="n">
        <x:f>IF(E857=0,0,D857/E857*10000)</x:f>
        <x:v>0.3386960203217612</x:v>
      </x:c>
      <x:c r="G857" s="67" t="n">
        <x:f>VLOOKUP(C857,'Governorate Master'!$A$2:$Q$13,7,FALSE)</x:f>
        <x:v>251.4</x:v>
      </x:c>
      <x:c r="H857" s="20" t="n">
        <x:f>VLOOKUP(C857,'Governorate Master'!$A$2:$Q$13,6,FALSE)</x:f>
        <x:v>0.7823878069432684</x:v>
      </x:c>
      <x:c r="I857" s="20" t="n">
        <x:f>VLOOKUP(C857,'Governorate Master'!$A$2:$Q$13,15,FALSE)</x:f>
        <x:v>-0.18823529411764706</x:v>
      </x:c>
      <x:c r="J857" s="12" t="str">
        <x:v>Location model input - competition/saturation context</x:v>
      </x:c>
      <x:c r="K857" s="12" t="str">
        <x:v>Business count is from 2018 while population/context indicators are newer; use as a historical proxy, not a current market count.</x:v>
      </x:c>
    </x:row>
    <x:row r="858">
      <x:c r="A858" s="12" t="str">
        <x:v>2592</x:v>
      </x:c>
      <x:c r="B858" s="12" t="str">
        <x:v>Treatment and coating of metals; machining</x:v>
      </x:c>
      <x:c r="C858" s="12" t="str">
        <x:v>إربد</x:v>
      </x:c>
      <x:c r="D858" s="14" t="n">
        <x:v>63</x:v>
      </x:c>
      <x:c r="E858" s="14" t="n">
        <x:f>VLOOKUP(C858,'Governorate Master'!$A$2:$Q$13,3,FALSE)</x:f>
        <x:v>2210500</x:v>
      </x:c>
      <x:c r="F858" s="66" t="n">
        <x:f>IF(E858=0,0,D858/E858*10000)</x:f>
        <x:v>0.2850033928975345</x:v>
      </x:c>
      <x:c r="G858" s="67" t="n">
        <x:f>VLOOKUP(C858,'Governorate Master'!$A$2:$Q$13,7,FALSE)</x:f>
        <x:v>1406.4</x:v>
      </x:c>
      <x:c r="H858" s="20" t="n">
        <x:f>VLOOKUP(C858,'Governorate Master'!$A$2:$Q$13,6,FALSE)</x:f>
        <x:v>0.9235014702555983</x:v>
      </x:c>
      <x:c r="I858" s="20" t="n">
        <x:f>VLOOKUP(C858,'Governorate Master'!$A$2:$Q$13,15,FALSE)</x:f>
        <x:v>0.07086922474549726</x:v>
      </x:c>
      <x:c r="J858" s="12" t="str">
        <x:v>Location model input - competition/saturation context</x:v>
      </x:c>
      <x:c r="K858" s="12" t="str">
        <x:v>Business count is from 2018 while population/context indicators are newer; use as a historical proxy, not a current market count.</x:v>
      </x:c>
    </x:row>
    <x:row r="859">
      <x:c r="A859" s="12" t="str">
        <x:v>2592</x:v>
      </x:c>
      <x:c r="B859" s="12" t="str">
        <x:v>Treatment and coating of metals; machining</x:v>
      </x:c>
      <x:c r="C859" s="12" t="str">
        <x:v>المفرق</x:v>
      </x:c>
      <x:c r="D859" s="14" t="n">
        <x:v>13</x:v>
      </x:c>
      <x:c r="E859" s="14" t="n">
        <x:f>VLOOKUP(C859,'Governorate Master'!$A$2:$Q$13,3,FALSE)</x:f>
        <x:v>686800</x:v>
      </x:c>
      <x:c r="F859" s="66" t="n">
        <x:f>IF(E859=0,0,D859/E859*10000)</x:f>
        <x:v>0.18928363424577752</x:v>
      </x:c>
      <x:c r="G859" s="67" t="n">
        <x:f>VLOOKUP(C859,'Governorate Master'!$A$2:$Q$13,7,FALSE)</x:f>
        <x:v>25.9</x:v>
      </x:c>
      <x:c r="H859" s="20" t="n">
        <x:f>VLOOKUP(C859,'Governorate Master'!$A$2:$Q$13,6,FALSE)</x:f>
        <x:v>0.6965637740244612</x:v>
      </x:c>
      <x:c r="I859" s="20" t="n">
        <x:f>VLOOKUP(C859,'Governorate Master'!$A$2:$Q$13,15,FALSE)</x:f>
        <x:v>-0.016638935108153077</x:v>
      </x:c>
      <x:c r="J859" s="12" t="str">
        <x:v>Location model input - competition/saturation context</x:v>
      </x:c>
      <x:c r="K859" s="12" t="str">
        <x:v>Business count is from 2018 while population/context indicators are newer; use as a historical proxy, not a current market count.</x:v>
      </x:c>
    </x:row>
    <x:row r="860">
      <x:c r="A860" s="12" t="str">
        <x:v>2592</x:v>
      </x:c>
      <x:c r="B860" s="12" t="str">
        <x:v>Treatment and coating of metals; machining</x:v>
      </x:c>
      <x:c r="C860" s="12" t="str">
        <x:v>جرش</x:v>
      </x:c>
      <x:c r="D860" s="14" t="n">
        <x:v>6</x:v>
      </x:c>
      <x:c r="E860" s="14" t="n">
        <x:f>VLOOKUP(C860,'Governorate Master'!$A$2:$Q$13,3,FALSE)</x:f>
        <x:v>296000</x:v>
      </x:c>
      <x:c r="F860" s="66" t="n">
        <x:f>IF(E860=0,0,D860/E860*10000)</x:f>
        <x:v>0.2027027027027027</x:v>
      </x:c>
      <x:c r="G860" s="67" t="n">
        <x:f>VLOOKUP(C860,'Governorate Master'!$A$2:$Q$13,7,FALSE)</x:f>
        <x:v>722.3</x:v>
      </x:c>
      <x:c r="H860" s="20" t="n">
        <x:f>VLOOKUP(C860,'Governorate Master'!$A$2:$Q$13,6,FALSE)</x:f>
        <x:v>0.7695945945945946</x:v>
      </x:c>
      <x:c r="I860" s="20" t="n">
        <x:f>VLOOKUP(C860,'Governorate Master'!$A$2:$Q$13,15,FALSE)</x:f>
        <x:v>-0.06527415143603134</x:v>
      </x:c>
      <x:c r="J860" s="12" t="str">
        <x:v>Location model input - competition/saturation context</x:v>
      </x:c>
      <x:c r="K860" s="12" t="str">
        <x:v>Business count is from 2018 while population/context indicators are newer; use as a historical proxy, not a current market count.</x:v>
      </x:c>
    </x:row>
    <x:row r="861">
      <x:c r="A861" s="12" t="str">
        <x:v>2592</x:v>
      </x:c>
      <x:c r="B861" s="12" t="str">
        <x:v>Treatment and coating of metals; machining</x:v>
      </x:c>
      <x:c r="C861" s="12" t="str">
        <x:v>عجلون</x:v>
      </x:c>
      <x:c r="D861" s="14" t="n">
        <x:v>4</x:v>
      </x:c>
      <x:c r="E861" s="14" t="n">
        <x:f>VLOOKUP(C861,'Governorate Master'!$A$2:$Q$13,3,FALSE)</x:f>
        <x:v>219900</x:v>
      </x:c>
      <x:c r="F861" s="66" t="n">
        <x:f>IF(E861=0,0,D861/E861*10000)</x:f>
        <x:v>0.18190086402910413</x:v>
      </x:c>
      <x:c r="G861" s="67" t="n">
        <x:f>VLOOKUP(C861,'Governorate Master'!$A$2:$Q$13,7,FALSE)</x:f>
        <x:v>524</x:v>
      </x:c>
      <x:c r="H861" s="20" t="n">
        <x:f>VLOOKUP(C861,'Governorate Master'!$A$2:$Q$13,6,FALSE)</x:f>
        <x:v>0.8390177353342428</x:v>
      </x:c>
      <x:c r="I861" s="20" t="n">
        <x:f>VLOOKUP(C861,'Governorate Master'!$A$2:$Q$13,15,FALSE)</x:f>
        <x:v>0.03614457831325301</x:v>
      </x:c>
      <x:c r="J861" s="12" t="str">
        <x:v>Location model input - competition/saturation context</x:v>
      </x:c>
      <x:c r="K861" s="12" t="str">
        <x:v>Business count is from 2018 while population/context indicators are newer; use as a historical proxy, not a current market count.</x:v>
      </x:c>
    </x:row>
    <x:row r="862">
      <x:c r="A862" s="12" t="str">
        <x:v>2592</x:v>
      </x:c>
      <x:c r="B862" s="12" t="str">
        <x:v>Treatment and coating of metals; machining</x:v>
      </x:c>
      <x:c r="C862" s="12" t="str">
        <x:v>الكرك</x:v>
      </x:c>
      <x:c r="D862" s="14" t="n">
        <x:v>9</x:v>
      </x:c>
      <x:c r="E862" s="14" t="n">
        <x:f>VLOOKUP(C862,'Governorate Master'!$A$2:$Q$13,3,FALSE)</x:f>
        <x:v>395400</x:v>
      </x:c>
      <x:c r="F862" s="66" t="n">
        <x:f>IF(E862=0,0,D862/E862*10000)</x:f>
        <x:v>0.2276176024279211</x:v>
      </x:c>
      <x:c r="G862" s="67" t="n">
        <x:f>VLOOKUP(C862,'Governorate Master'!$A$2:$Q$13,7,FALSE)</x:f>
        <x:v>113.1</x:v>
      </x:c>
      <x:c r="H862" s="20" t="n">
        <x:f>VLOOKUP(C862,'Governorate Master'!$A$2:$Q$13,6,FALSE)</x:f>
        <x:v>0.5912999494183105</x:v>
      </x:c>
      <x:c r="I862" s="20" t="n">
        <x:f>VLOOKUP(C862,'Governorate Master'!$A$2:$Q$13,15,FALSE)</x:f>
        <x:v>0.08710801393728224</x:v>
      </x:c>
      <x:c r="J862" s="12" t="str">
        <x:v>Location model input - competition/saturation context</x:v>
      </x:c>
      <x:c r="K862" s="12" t="str">
        <x:v>Business count is from 2018 while population/context indicators are newer; use as a historical proxy, not a current market count.</x:v>
      </x:c>
    </x:row>
    <x:row r="863">
      <x:c r="A863" s="12" t="str">
        <x:v>2592</x:v>
      </x:c>
      <x:c r="B863" s="12" t="str">
        <x:v>Treatment and coating of metals; machining</x:v>
      </x:c>
      <x:c r="C863" s="12" t="str">
        <x:v>الطفيلة</x:v>
      </x:c>
      <x:c r="D863" s="14" t="n">
        <x:v>3</x:v>
      </x:c>
      <x:c r="E863" s="14" t="n">
        <x:f>VLOOKUP(C863,'Governorate Master'!$A$2:$Q$13,3,FALSE)</x:f>
        <x:v>120300</x:v>
      </x:c>
      <x:c r="F863" s="66" t="n">
        <x:f>IF(E863=0,0,D863/E863*10000)</x:f>
        <x:v>0.24937655860349128</x:v>
      </x:c>
      <x:c r="G863" s="67" t="n">
        <x:f>VLOOKUP(C863,'Governorate Master'!$A$2:$Q$13,7,FALSE)</x:f>
        <x:v>54.4</x:v>
      </x:c>
      <x:c r="H863" s="20" t="n">
        <x:f>VLOOKUP(C863,'Governorate Master'!$A$2:$Q$13,6,FALSE)</x:f>
        <x:v>0.7797173732335827</x:v>
      </x:c>
      <x:c r="I863" s="20" t="n">
        <x:f>VLOOKUP(C863,'Governorate Master'!$A$2:$Q$13,15,FALSE)</x:f>
        <x:v>0.18452380952380953</x:v>
      </x:c>
      <x:c r="J863" s="12" t="str">
        <x:v>Location model input - competition/saturation context</x:v>
      </x:c>
      <x:c r="K863" s="12" t="str">
        <x:v>Business count is from 2018 while population/context indicators are newer; use as a historical proxy, not a current market count.</x:v>
      </x:c>
    </x:row>
    <x:row r="864">
      <x:c r="A864" s="12" t="str">
        <x:v>2592</x:v>
      </x:c>
      <x:c r="B864" s="12" t="str">
        <x:v>Treatment and coating of metals; machining</x:v>
      </x:c>
      <x:c r="C864" s="12" t="str">
        <x:v>معان</x:v>
      </x:c>
      <x:c r="D864" s="14" t="n">
        <x:v>6</x:v>
      </x:c>
      <x:c r="E864" s="14" t="n">
        <x:f>VLOOKUP(C864,'Governorate Master'!$A$2:$Q$13,3,FALSE)</x:f>
        <x:v>197900</x:v>
      </x:c>
      <x:c r="F864" s="66" t="n">
        <x:f>IF(E864=0,0,D864/E864*10000)</x:f>
        <x:v>0.30318342597271347</x:v>
      </x:c>
      <x:c r="G864" s="67" t="n">
        <x:f>VLOOKUP(C864,'Governorate Master'!$A$2:$Q$13,7,FALSE)</x:f>
        <x:v>6</x:v>
      </x:c>
      <x:c r="H864" s="20" t="n">
        <x:f>VLOOKUP(C864,'Governorate Master'!$A$2:$Q$13,6,FALSE)</x:f>
        <x:v>0.5406771096513391</x:v>
      </x:c>
      <x:c r="I864" s="20" t="n">
        <x:f>VLOOKUP(C864,'Governorate Master'!$A$2:$Q$13,15,FALSE)</x:f>
        <x:v>0.026845637583892617</x:v>
      </x:c>
      <x:c r="J864" s="12" t="str">
        <x:v>Location model input - competition/saturation context</x:v>
      </x:c>
      <x:c r="K864" s="12" t="str">
        <x:v>Business count is from 2018 while population/context indicators are newer; use as a historical proxy, not a current market count.</x:v>
      </x:c>
    </x:row>
    <x:row r="865">
      <x:c r="A865" s="12" t="str">
        <x:v>2592</x:v>
      </x:c>
      <x:c r="B865" s="12" t="str">
        <x:v>Treatment and coating of metals; machining</x:v>
      </x:c>
      <x:c r="C865" s="12" t="str">
        <x:v>العقبة</x:v>
      </x:c>
      <x:c r="D865" s="14" t="n">
        <x:v>9</x:v>
      </x:c>
      <x:c r="E865" s="14" t="n">
        <x:f>VLOOKUP(C865,'Governorate Master'!$A$2:$Q$13,3,FALSE)</x:f>
        <x:v>250900</x:v>
      </x:c>
      <x:c r="F865" s="66" t="n">
        <x:f>IF(E865=0,0,D865/E865*10000)</x:f>
        <x:v>0.3587086488640893</x:v>
      </x:c>
      <x:c r="G865" s="67" t="n">
        <x:f>VLOOKUP(C865,'Governorate Master'!$A$2:$Q$13,7,FALSE)</x:f>
        <x:v>36.3</x:v>
      </x:c>
      <x:c r="H865" s="20" t="n">
        <x:f>VLOOKUP(C865,'Governorate Master'!$A$2:$Q$13,6,FALSE)</x:f>
        <x:v>0.882024711040255</x:v>
      </x:c>
      <x:c r="I865" s="20" t="n">
        <x:f>VLOOKUP(C865,'Governorate Master'!$A$2:$Q$13,15,FALSE)</x:f>
        <x:v>-0.09</x:v>
      </x:c>
      <x:c r="J865" s="12" t="str">
        <x:v>Location model input - competition/saturation context</x:v>
      </x:c>
      <x:c r="K865" s="12" t="str">
        <x:v>Business count is from 2018 while population/context indicators are newer; use as a historical proxy, not a current market count.</x:v>
      </x:c>
    </x:row>
    <x:row r="866">
      <x:c r="A866" s="12" t="str">
        <x:v>2593</x:v>
      </x:c>
      <x:c r="B866" s="12" t="str">
        <x:v>Manufacture of cutlery, hand tools and general hardware</x:v>
      </x:c>
      <x:c r="C866" s="12" t="str">
        <x:v>عمان</x:v>
      </x:c>
      <x:c r="D866" s="14" t="n">
        <x:v>16</x:v>
      </x:c>
      <x:c r="E866" s="14" t="n">
        <x:f>VLOOKUP(C866,'Governorate Master'!$A$2:$Q$13,3,FALSE)</x:f>
        <x:v>5004600</x:v>
      </x:c>
      <x:c r="F866" s="66" t="n">
        <x:f>IF(E866=0,0,D866/E866*10000)</x:f>
        <x:v>0.03197058705990489</x:v>
      </x:c>
      <x:c r="G866" s="67" t="n">
        <x:f>VLOOKUP(C866,'Governorate Master'!$A$2:$Q$13,7,FALSE)</x:f>
        <x:v>660.3</x:v>
      </x:c>
      <x:c r="H866" s="20" t="n">
        <x:f>VLOOKUP(C866,'Governorate Master'!$A$2:$Q$13,6,FALSE)</x:f>
        <x:v>0.9721656076409703</x:v>
      </x:c>
      <x:c r="I866" s="20" t="n">
        <x:f>VLOOKUP(C866,'Governorate Master'!$A$2:$Q$13,15,FALSE)</x:f>
        <x:v>0.06367041198501873</x:v>
      </x:c>
      <x:c r="J866" s="12" t="str">
        <x:v>Location model input - competition/saturation context</x:v>
      </x:c>
      <x:c r="K866" s="12" t="str">
        <x:v>Business count is from 2018 while population/context indicators are newer; use as a historical proxy, not a current market count.</x:v>
      </x:c>
    </x:row>
    <x:row r="867">
      <x:c r="A867" s="12" t="str">
        <x:v>2593</x:v>
      </x:c>
      <x:c r="B867" s="12" t="str">
        <x:v>Manufacture of cutlery, hand tools and general hardware</x:v>
      </x:c>
      <x:c r="C867" s="12" t="str">
        <x:v>البلقاء</x:v>
      </x:c>
      <x:c r="D867" s="14" t="n">
        <x:v>0</x:v>
      </x:c>
      <x:c r="E867" s="14" t="n">
        <x:f>VLOOKUP(C867,'Governorate Master'!$A$2:$Q$13,3,FALSE)</x:f>
        <x:v>614000</x:v>
      </x:c>
      <x:c r="F867" s="66" t="n">
        <x:f>IF(E867=0,0,D867/E867*10000)</x:f>
        <x:v>0</x:v>
      </x:c>
      <x:c r="G867" s="67" t="n">
        <x:f>VLOOKUP(C867,'Governorate Master'!$A$2:$Q$13,7,FALSE)</x:f>
        <x:v>548</x:v>
      </x:c>
      <x:c r="H867" s="20" t="n">
        <x:f>VLOOKUP(C867,'Governorate Master'!$A$2:$Q$13,6,FALSE)</x:f>
        <x:v>0.8210097719869707</x:v>
      </x:c>
      <x:c r="I867" s="20" t="n">
        <x:f>VLOOKUP(C867,'Governorate Master'!$A$2:$Q$13,15,FALSE)</x:f>
        <x:v>0.10794044665012408</x:v>
      </x:c>
      <x:c r="J867" s="12" t="str">
        <x:v>Location model input - competition/saturation context</x:v>
      </x:c>
      <x:c r="K867" s="12" t="str">
        <x:v>Business count is from 2018 while population/context indicators are newer; use as a historical proxy, not a current market count.</x:v>
      </x:c>
    </x:row>
    <x:row r="868">
      <x:c r="A868" s="12" t="str">
        <x:v>2593</x:v>
      </x:c>
      <x:c r="B868" s="12" t="str">
        <x:v>Manufacture of cutlery, hand tools and general hardware</x:v>
      </x:c>
      <x:c r="C868" s="12" t="str">
        <x:v>الزرقاء</x:v>
      </x:c>
      <x:c r="D868" s="14" t="n">
        <x:v>0</x:v>
      </x:c>
      <x:c r="E868" s="14" t="n">
        <x:f>VLOOKUP(C868,'Governorate Master'!$A$2:$Q$13,3,FALSE)</x:f>
        <x:v>1704500</x:v>
      </x:c>
      <x:c r="F868" s="66" t="n">
        <x:f>IF(E868=0,0,D868/E868*10000)</x:f>
        <x:v>0</x:v>
      </x:c>
      <x:c r="G868" s="67" t="n">
        <x:f>VLOOKUP(C868,'Governorate Master'!$A$2:$Q$13,7,FALSE)</x:f>
        <x:v>358</x:v>
      </x:c>
      <x:c r="H868" s="20" t="n">
        <x:f>VLOOKUP(C868,'Governorate Master'!$A$2:$Q$13,6,FALSE)</x:f>
        <x:v>0.9636256966852449</x:v>
      </x:c>
      <x:c r="I868" s="20" t="n">
        <x:f>VLOOKUP(C868,'Governorate Master'!$A$2:$Q$13,15,FALSE)</x:f>
        <x:v>-0.06808762581409118</x:v>
      </x:c>
      <x:c r="J868" s="12" t="str">
        <x:v>Location model input - competition/saturation context</x:v>
      </x:c>
      <x:c r="K868" s="12" t="str">
        <x:v>Business count is from 2018 while population/context indicators are newer; use as a historical proxy, not a current market count.</x:v>
      </x:c>
    </x:row>
    <x:row r="869">
      <x:c r="A869" s="12" t="str">
        <x:v>2593</x:v>
      </x:c>
      <x:c r="B869" s="12" t="str">
        <x:v>Manufacture of cutlery, hand tools and general hardware</x:v>
      </x:c>
      <x:c r="C869" s="12" t="str">
        <x:v>مادبا</x:v>
      </x:c>
      <x:c r="D869" s="14" t="n">
        <x:v>0</x:v>
      </x:c>
      <x:c r="E869" s="14" t="n">
        <x:f>VLOOKUP(C869,'Governorate Master'!$A$2:$Q$13,3,FALSE)</x:f>
        <x:v>236200</x:v>
      </x:c>
      <x:c r="F869" s="66" t="n">
        <x:f>IF(E869=0,0,D869/E869*10000)</x:f>
        <x:v>0</x:v>
      </x:c>
      <x:c r="G869" s="67" t="n">
        <x:f>VLOOKUP(C869,'Governorate Master'!$A$2:$Q$13,7,FALSE)</x:f>
        <x:v>251.4</x:v>
      </x:c>
      <x:c r="H869" s="20" t="n">
        <x:f>VLOOKUP(C869,'Governorate Master'!$A$2:$Q$13,6,FALSE)</x:f>
        <x:v>0.7823878069432684</x:v>
      </x:c>
      <x:c r="I869" s="20" t="n">
        <x:f>VLOOKUP(C869,'Governorate Master'!$A$2:$Q$13,15,FALSE)</x:f>
        <x:v>-0.18823529411764706</x:v>
      </x:c>
      <x:c r="J869" s="12" t="str">
        <x:v>Location model input - competition/saturation context</x:v>
      </x:c>
      <x:c r="K869" s="12" t="str">
        <x:v>Business count is from 2018 while population/context indicators are newer; use as a historical proxy, not a current market count.</x:v>
      </x:c>
    </x:row>
    <x:row r="870">
      <x:c r="A870" s="12" t="str">
        <x:v>2593</x:v>
      </x:c>
      <x:c r="B870" s="12" t="str">
        <x:v>Manufacture of cutlery, hand tools and general hardware</x:v>
      </x:c>
      <x:c r="C870" s="12" t="str">
        <x:v>إربد</x:v>
      </x:c>
      <x:c r="D870" s="14" t="n">
        <x:v>1</x:v>
      </x:c>
      <x:c r="E870" s="14" t="n">
        <x:f>VLOOKUP(C870,'Governorate Master'!$A$2:$Q$13,3,FALSE)</x:f>
        <x:v>2210500</x:v>
      </x:c>
      <x:c r="F870" s="66" t="n">
        <x:f>IF(E870=0,0,D870/E870*10000)</x:f>
        <x:v>0.004523863379325944</x:v>
      </x:c>
      <x:c r="G870" s="67" t="n">
        <x:f>VLOOKUP(C870,'Governorate Master'!$A$2:$Q$13,7,FALSE)</x:f>
        <x:v>1406.4</x:v>
      </x:c>
      <x:c r="H870" s="20" t="n">
        <x:f>VLOOKUP(C870,'Governorate Master'!$A$2:$Q$13,6,FALSE)</x:f>
        <x:v>0.9235014702555983</x:v>
      </x:c>
      <x:c r="I870" s="20" t="n">
        <x:f>VLOOKUP(C870,'Governorate Master'!$A$2:$Q$13,15,FALSE)</x:f>
        <x:v>0.07086922474549726</x:v>
      </x:c>
      <x:c r="J870" s="12" t="str">
        <x:v>Location model input - competition/saturation context</x:v>
      </x:c>
      <x:c r="K870" s="12" t="str">
        <x:v>Business count is from 2018 while population/context indicators are newer; use as a historical proxy, not a current market count.</x:v>
      </x:c>
    </x:row>
    <x:row r="871">
      <x:c r="A871" s="12" t="str">
        <x:v>2593</x:v>
      </x:c>
      <x:c r="B871" s="12" t="str">
        <x:v>Manufacture of cutlery, hand tools and general hardware</x:v>
      </x:c>
      <x:c r="C871" s="12" t="str">
        <x:v>المفرق</x:v>
      </x:c>
      <x:c r="D871" s="14" t="n">
        <x:v>0</x:v>
      </x:c>
      <x:c r="E871" s="14" t="n">
        <x:f>VLOOKUP(C871,'Governorate Master'!$A$2:$Q$13,3,FALSE)</x:f>
        <x:v>686800</x:v>
      </x:c>
      <x:c r="F871" s="66" t="n">
        <x:f>IF(E871=0,0,D871/E871*10000)</x:f>
        <x:v>0</x:v>
      </x:c>
      <x:c r="G871" s="67" t="n">
        <x:f>VLOOKUP(C871,'Governorate Master'!$A$2:$Q$13,7,FALSE)</x:f>
        <x:v>25.9</x:v>
      </x:c>
      <x:c r="H871" s="20" t="n">
        <x:f>VLOOKUP(C871,'Governorate Master'!$A$2:$Q$13,6,FALSE)</x:f>
        <x:v>0.6965637740244612</x:v>
      </x:c>
      <x:c r="I871" s="20" t="n">
        <x:f>VLOOKUP(C871,'Governorate Master'!$A$2:$Q$13,15,FALSE)</x:f>
        <x:v>-0.016638935108153077</x:v>
      </x:c>
      <x:c r="J871" s="12" t="str">
        <x:v>Location model input - competition/saturation context</x:v>
      </x:c>
      <x:c r="K871" s="12" t="str">
        <x:v>Business count is from 2018 while population/context indicators are newer; use as a historical proxy, not a current market count.</x:v>
      </x:c>
    </x:row>
    <x:row r="872">
      <x:c r="A872" s="12" t="str">
        <x:v>2593</x:v>
      </x:c>
      <x:c r="B872" s="12" t="str">
        <x:v>Manufacture of cutlery, hand tools and general hardware</x:v>
      </x:c>
      <x:c r="C872" s="12" t="str">
        <x:v>جرش</x:v>
      </x:c>
      <x:c r="D872" s="14" t="n">
        <x:v>0</x:v>
      </x:c>
      <x:c r="E872" s="14" t="n">
        <x:f>VLOOKUP(C872,'Governorate Master'!$A$2:$Q$13,3,FALSE)</x:f>
        <x:v>296000</x:v>
      </x:c>
      <x:c r="F872" s="66" t="n">
        <x:f>IF(E872=0,0,D872/E872*10000)</x:f>
        <x:v>0</x:v>
      </x:c>
      <x:c r="G872" s="67" t="n">
        <x:f>VLOOKUP(C872,'Governorate Master'!$A$2:$Q$13,7,FALSE)</x:f>
        <x:v>722.3</x:v>
      </x:c>
      <x:c r="H872" s="20" t="n">
        <x:f>VLOOKUP(C872,'Governorate Master'!$A$2:$Q$13,6,FALSE)</x:f>
        <x:v>0.7695945945945946</x:v>
      </x:c>
      <x:c r="I872" s="20" t="n">
        <x:f>VLOOKUP(C872,'Governorate Master'!$A$2:$Q$13,15,FALSE)</x:f>
        <x:v>-0.06527415143603134</x:v>
      </x:c>
      <x:c r="J872" s="12" t="str">
        <x:v>Location model input - competition/saturation context</x:v>
      </x:c>
      <x:c r="K872" s="12" t="str">
        <x:v>Business count is from 2018 while population/context indicators are newer; use as a historical proxy, not a current market count.</x:v>
      </x:c>
    </x:row>
    <x:row r="873">
      <x:c r="A873" s="12" t="str">
        <x:v>2593</x:v>
      </x:c>
      <x:c r="B873" s="12" t="str">
        <x:v>Manufacture of cutlery, hand tools and general hardware</x:v>
      </x:c>
      <x:c r="C873" s="12" t="str">
        <x:v>عجلون</x:v>
      </x:c>
      <x:c r="D873" s="14" t="n">
        <x:v>0</x:v>
      </x:c>
      <x:c r="E873" s="14" t="n">
        <x:f>VLOOKUP(C873,'Governorate Master'!$A$2:$Q$13,3,FALSE)</x:f>
        <x:v>219900</x:v>
      </x:c>
      <x:c r="F873" s="66" t="n">
        <x:f>IF(E873=0,0,D873/E873*10000)</x:f>
        <x:v>0</x:v>
      </x:c>
      <x:c r="G873" s="67" t="n">
        <x:f>VLOOKUP(C873,'Governorate Master'!$A$2:$Q$13,7,FALSE)</x:f>
        <x:v>524</x:v>
      </x:c>
      <x:c r="H873" s="20" t="n">
        <x:f>VLOOKUP(C873,'Governorate Master'!$A$2:$Q$13,6,FALSE)</x:f>
        <x:v>0.8390177353342428</x:v>
      </x:c>
      <x:c r="I873" s="20" t="n">
        <x:f>VLOOKUP(C873,'Governorate Master'!$A$2:$Q$13,15,FALSE)</x:f>
        <x:v>0.03614457831325301</x:v>
      </x:c>
      <x:c r="J873" s="12" t="str">
        <x:v>Location model input - competition/saturation context</x:v>
      </x:c>
      <x:c r="K873" s="12" t="str">
        <x:v>Business count is from 2018 while population/context indicators are newer; use as a historical proxy, not a current market count.</x:v>
      </x:c>
    </x:row>
    <x:row r="874">
      <x:c r="A874" s="12" t="str">
        <x:v>2593</x:v>
      </x:c>
      <x:c r="B874" s="12" t="str">
        <x:v>Manufacture of cutlery, hand tools and general hardware</x:v>
      </x:c>
      <x:c r="C874" s="12" t="str">
        <x:v>الكرك</x:v>
      </x:c>
      <x:c r="D874" s="14" t="n">
        <x:v>0</x:v>
      </x:c>
      <x:c r="E874" s="14" t="n">
        <x:f>VLOOKUP(C874,'Governorate Master'!$A$2:$Q$13,3,FALSE)</x:f>
        <x:v>395400</x:v>
      </x:c>
      <x:c r="F874" s="66" t="n">
        <x:f>IF(E874=0,0,D874/E874*10000)</x:f>
        <x:v>0</x:v>
      </x:c>
      <x:c r="G874" s="67" t="n">
        <x:f>VLOOKUP(C874,'Governorate Master'!$A$2:$Q$13,7,FALSE)</x:f>
        <x:v>113.1</x:v>
      </x:c>
      <x:c r="H874" s="20" t="n">
        <x:f>VLOOKUP(C874,'Governorate Master'!$A$2:$Q$13,6,FALSE)</x:f>
        <x:v>0.5912999494183105</x:v>
      </x:c>
      <x:c r="I874" s="20" t="n">
        <x:f>VLOOKUP(C874,'Governorate Master'!$A$2:$Q$13,15,FALSE)</x:f>
        <x:v>0.08710801393728224</x:v>
      </x:c>
      <x:c r="J874" s="12" t="str">
        <x:v>Location model input - competition/saturation context</x:v>
      </x:c>
      <x:c r="K874" s="12" t="str">
        <x:v>Business count is from 2018 while population/context indicators are newer; use as a historical proxy, not a current market count.</x:v>
      </x:c>
    </x:row>
    <x:row r="875">
      <x:c r="A875" s="12" t="str">
        <x:v>2593</x:v>
      </x:c>
      <x:c r="B875" s="12" t="str">
        <x:v>Manufacture of cutlery, hand tools and general hardware</x:v>
      </x:c>
      <x:c r="C875" s="12" t="str">
        <x:v>الطفيلة</x:v>
      </x:c>
      <x:c r="D875" s="14" t="n">
        <x:v>0</x:v>
      </x:c>
      <x:c r="E875" s="14" t="n">
        <x:f>VLOOKUP(C875,'Governorate Master'!$A$2:$Q$13,3,FALSE)</x:f>
        <x:v>120300</x:v>
      </x:c>
      <x:c r="F875" s="66" t="n">
        <x:f>IF(E875=0,0,D875/E875*10000)</x:f>
        <x:v>0</x:v>
      </x:c>
      <x:c r="G875" s="67" t="n">
        <x:f>VLOOKUP(C875,'Governorate Master'!$A$2:$Q$13,7,FALSE)</x:f>
        <x:v>54.4</x:v>
      </x:c>
      <x:c r="H875" s="20" t="n">
        <x:f>VLOOKUP(C875,'Governorate Master'!$A$2:$Q$13,6,FALSE)</x:f>
        <x:v>0.7797173732335827</x:v>
      </x:c>
      <x:c r="I875" s="20" t="n">
        <x:f>VLOOKUP(C875,'Governorate Master'!$A$2:$Q$13,15,FALSE)</x:f>
        <x:v>0.18452380952380953</x:v>
      </x:c>
      <x:c r="J875" s="12" t="str">
        <x:v>Location model input - competition/saturation context</x:v>
      </x:c>
      <x:c r="K875" s="12" t="str">
        <x:v>Business count is from 2018 while population/context indicators are newer; use as a historical proxy, not a current market count.</x:v>
      </x:c>
    </x:row>
    <x:row r="876">
      <x:c r="A876" s="12" t="str">
        <x:v>2593</x:v>
      </x:c>
      <x:c r="B876" s="12" t="str">
        <x:v>Manufacture of cutlery, hand tools and general hardware</x:v>
      </x:c>
      <x:c r="C876" s="12" t="str">
        <x:v>معان</x:v>
      </x:c>
      <x:c r="D876" s="14" t="n">
        <x:v>0</x:v>
      </x:c>
      <x:c r="E876" s="14" t="n">
        <x:f>VLOOKUP(C876,'Governorate Master'!$A$2:$Q$13,3,FALSE)</x:f>
        <x:v>197900</x:v>
      </x:c>
      <x:c r="F876" s="66" t="n">
        <x:f>IF(E876=0,0,D876/E876*10000)</x:f>
        <x:v>0</x:v>
      </x:c>
      <x:c r="G876" s="67" t="n">
        <x:f>VLOOKUP(C876,'Governorate Master'!$A$2:$Q$13,7,FALSE)</x:f>
        <x:v>6</x:v>
      </x:c>
      <x:c r="H876" s="20" t="n">
        <x:f>VLOOKUP(C876,'Governorate Master'!$A$2:$Q$13,6,FALSE)</x:f>
        <x:v>0.5406771096513391</x:v>
      </x:c>
      <x:c r="I876" s="20" t="n">
        <x:f>VLOOKUP(C876,'Governorate Master'!$A$2:$Q$13,15,FALSE)</x:f>
        <x:v>0.026845637583892617</x:v>
      </x:c>
      <x:c r="J876" s="12" t="str">
        <x:v>Location model input - competition/saturation context</x:v>
      </x:c>
      <x:c r="K876" s="12" t="str">
        <x:v>Business count is from 2018 while population/context indicators are newer; use as a historical proxy, not a current market count.</x:v>
      </x:c>
    </x:row>
    <x:row r="877">
      <x:c r="A877" s="12" t="str">
        <x:v>2593</x:v>
      </x:c>
      <x:c r="B877" s="12" t="str">
        <x:v>Manufacture of cutlery, hand tools and general hardware</x:v>
      </x:c>
      <x:c r="C877" s="12" t="str">
        <x:v>العقبة</x:v>
      </x:c>
      <x:c r="D877" s="14" t="n">
        <x:v>0</x:v>
      </x:c>
      <x:c r="E877" s="14" t="n">
        <x:f>VLOOKUP(C877,'Governorate Master'!$A$2:$Q$13,3,FALSE)</x:f>
        <x:v>250900</x:v>
      </x:c>
      <x:c r="F877" s="66" t="n">
        <x:f>IF(E877=0,0,D877/E877*10000)</x:f>
        <x:v>0</x:v>
      </x:c>
      <x:c r="G877" s="67" t="n">
        <x:f>VLOOKUP(C877,'Governorate Master'!$A$2:$Q$13,7,FALSE)</x:f>
        <x:v>36.3</x:v>
      </x:c>
      <x:c r="H877" s="20" t="n">
        <x:f>VLOOKUP(C877,'Governorate Master'!$A$2:$Q$13,6,FALSE)</x:f>
        <x:v>0.882024711040255</x:v>
      </x:c>
      <x:c r="I877" s="20" t="n">
        <x:f>VLOOKUP(C877,'Governorate Master'!$A$2:$Q$13,15,FALSE)</x:f>
        <x:v>-0.09</x:v>
      </x:c>
      <x:c r="J877" s="12" t="str">
        <x:v>Location model input - competition/saturation context</x:v>
      </x:c>
      <x:c r="K877" s="12" t="str">
        <x:v>Business count is from 2018 while population/context indicators are newer; use as a historical proxy, not a current market count.</x:v>
      </x:c>
    </x:row>
    <x:row r="878">
      <x:c r="A878" s="12" t="str">
        <x:v>2599</x:v>
      </x:c>
      <x:c r="B878" s="12" t="str">
        <x:v>Manufacture of other fabricated metal products n.e.c.</x:v>
      </x:c>
      <x:c r="C878" s="12" t="str">
        <x:v>عمان</x:v>
      </x:c>
      <x:c r="D878" s="14" t="n">
        <x:v>112</x:v>
      </x:c>
      <x:c r="E878" s="14" t="n">
        <x:f>VLOOKUP(C878,'Governorate Master'!$A$2:$Q$13,3,FALSE)</x:f>
        <x:v>5004600</x:v>
      </x:c>
      <x:c r="F878" s="66" t="n">
        <x:f>IF(E878=0,0,D878/E878*10000)</x:f>
        <x:v>0.22379410941933423</x:v>
      </x:c>
      <x:c r="G878" s="67" t="n">
        <x:f>VLOOKUP(C878,'Governorate Master'!$A$2:$Q$13,7,FALSE)</x:f>
        <x:v>660.3</x:v>
      </x:c>
      <x:c r="H878" s="20" t="n">
        <x:f>VLOOKUP(C878,'Governorate Master'!$A$2:$Q$13,6,FALSE)</x:f>
        <x:v>0.9721656076409703</x:v>
      </x:c>
      <x:c r="I878" s="20" t="n">
        <x:f>VLOOKUP(C878,'Governorate Master'!$A$2:$Q$13,15,FALSE)</x:f>
        <x:v>0.06367041198501873</x:v>
      </x:c>
      <x:c r="J878" s="12" t="str">
        <x:v>Location model input - competition/saturation context</x:v>
      </x:c>
      <x:c r="K878" s="12" t="str">
        <x:v>Business count is from 2018 while population/context indicators are newer; use as a historical proxy, not a current market count.</x:v>
      </x:c>
    </x:row>
    <x:row r="879">
      <x:c r="A879" s="12" t="str">
        <x:v>2599</x:v>
      </x:c>
      <x:c r="B879" s="12" t="str">
        <x:v>Manufacture of other fabricated metal products n.e.c.</x:v>
      </x:c>
      <x:c r="C879" s="12" t="str">
        <x:v>البلقاء</x:v>
      </x:c>
      <x:c r="D879" s="14" t="n">
        <x:v>9</x:v>
      </x:c>
      <x:c r="E879" s="14" t="n">
        <x:f>VLOOKUP(C879,'Governorate Master'!$A$2:$Q$13,3,FALSE)</x:f>
        <x:v>614000</x:v>
      </x:c>
      <x:c r="F879" s="66" t="n">
        <x:f>IF(E879=0,0,D879/E879*10000)</x:f>
        <x:v>0.1465798045602606</x:v>
      </x:c>
      <x:c r="G879" s="67" t="n">
        <x:f>VLOOKUP(C879,'Governorate Master'!$A$2:$Q$13,7,FALSE)</x:f>
        <x:v>548</x:v>
      </x:c>
      <x:c r="H879" s="20" t="n">
        <x:f>VLOOKUP(C879,'Governorate Master'!$A$2:$Q$13,6,FALSE)</x:f>
        <x:v>0.8210097719869707</x:v>
      </x:c>
      <x:c r="I879" s="20" t="n">
        <x:f>VLOOKUP(C879,'Governorate Master'!$A$2:$Q$13,15,FALSE)</x:f>
        <x:v>0.10794044665012408</x:v>
      </x:c>
      <x:c r="J879" s="12" t="str">
        <x:v>Location model input - competition/saturation context</x:v>
      </x:c>
      <x:c r="K879" s="12" t="str">
        <x:v>Business count is from 2018 while population/context indicators are newer; use as a historical proxy, not a current market count.</x:v>
      </x:c>
    </x:row>
    <x:row r="880">
      <x:c r="A880" s="12" t="str">
        <x:v>2599</x:v>
      </x:c>
      <x:c r="B880" s="12" t="str">
        <x:v>Manufacture of other fabricated metal products n.e.c.</x:v>
      </x:c>
      <x:c r="C880" s="12" t="str">
        <x:v>الزرقاء</x:v>
      </x:c>
      <x:c r="D880" s="14" t="n">
        <x:v>20</x:v>
      </x:c>
      <x:c r="E880" s="14" t="n">
        <x:f>VLOOKUP(C880,'Governorate Master'!$A$2:$Q$13,3,FALSE)</x:f>
        <x:v>1704500</x:v>
      </x:c>
      <x:c r="F880" s="66" t="n">
        <x:f>IF(E880=0,0,D880/E880*10000)</x:f>
        <x:v>0.1173364623056615</x:v>
      </x:c>
      <x:c r="G880" s="67" t="n">
        <x:f>VLOOKUP(C880,'Governorate Master'!$A$2:$Q$13,7,FALSE)</x:f>
        <x:v>358</x:v>
      </x:c>
      <x:c r="H880" s="20" t="n">
        <x:f>VLOOKUP(C880,'Governorate Master'!$A$2:$Q$13,6,FALSE)</x:f>
        <x:v>0.9636256966852449</x:v>
      </x:c>
      <x:c r="I880" s="20" t="n">
        <x:f>VLOOKUP(C880,'Governorate Master'!$A$2:$Q$13,15,FALSE)</x:f>
        <x:v>-0.06808762581409118</x:v>
      </x:c>
      <x:c r="J880" s="12" t="str">
        <x:v>Location model input - competition/saturation context</x:v>
      </x:c>
      <x:c r="K880" s="12" t="str">
        <x:v>Business count is from 2018 while population/context indicators are newer; use as a historical proxy, not a current market count.</x:v>
      </x:c>
    </x:row>
    <x:row r="881">
      <x:c r="A881" s="12" t="str">
        <x:v>2599</x:v>
      </x:c>
      <x:c r="B881" s="12" t="str">
        <x:v>Manufacture of other fabricated metal products n.e.c.</x:v>
      </x:c>
      <x:c r="C881" s="12" t="str">
        <x:v>مادبا</x:v>
      </x:c>
      <x:c r="D881" s="14" t="n">
        <x:v>7</x:v>
      </x:c>
      <x:c r="E881" s="14" t="n">
        <x:f>VLOOKUP(C881,'Governorate Master'!$A$2:$Q$13,3,FALSE)</x:f>
        <x:v>236200</x:v>
      </x:c>
      <x:c r="F881" s="66" t="n">
        <x:f>IF(E881=0,0,D881/E881*10000)</x:f>
        <x:v>0.29635901778154106</x:v>
      </x:c>
      <x:c r="G881" s="67" t="n">
        <x:f>VLOOKUP(C881,'Governorate Master'!$A$2:$Q$13,7,FALSE)</x:f>
        <x:v>251.4</x:v>
      </x:c>
      <x:c r="H881" s="20" t="n">
        <x:f>VLOOKUP(C881,'Governorate Master'!$A$2:$Q$13,6,FALSE)</x:f>
        <x:v>0.7823878069432684</x:v>
      </x:c>
      <x:c r="I881" s="20" t="n">
        <x:f>VLOOKUP(C881,'Governorate Master'!$A$2:$Q$13,15,FALSE)</x:f>
        <x:v>-0.18823529411764706</x:v>
      </x:c>
      <x:c r="J881" s="12" t="str">
        <x:v>Location model input - competition/saturation context</x:v>
      </x:c>
      <x:c r="K881" s="12" t="str">
        <x:v>Business count is from 2018 while population/context indicators are newer; use as a historical proxy, not a current market count.</x:v>
      </x:c>
    </x:row>
    <x:row r="882">
      <x:c r="A882" s="12" t="str">
        <x:v>2599</x:v>
      </x:c>
      <x:c r="B882" s="12" t="str">
        <x:v>Manufacture of other fabricated metal products n.e.c.</x:v>
      </x:c>
      <x:c r="C882" s="12" t="str">
        <x:v>إربد</x:v>
      </x:c>
      <x:c r="D882" s="14" t="n">
        <x:v>23</x:v>
      </x:c>
      <x:c r="E882" s="14" t="n">
        <x:f>VLOOKUP(C882,'Governorate Master'!$A$2:$Q$13,3,FALSE)</x:f>
        <x:v>2210500</x:v>
      </x:c>
      <x:c r="F882" s="66" t="n">
        <x:f>IF(E882=0,0,D882/E882*10000)</x:f>
        <x:v>0.10404885772449672</x:v>
      </x:c>
      <x:c r="G882" s="67" t="n">
        <x:f>VLOOKUP(C882,'Governorate Master'!$A$2:$Q$13,7,FALSE)</x:f>
        <x:v>1406.4</x:v>
      </x:c>
      <x:c r="H882" s="20" t="n">
        <x:f>VLOOKUP(C882,'Governorate Master'!$A$2:$Q$13,6,FALSE)</x:f>
        <x:v>0.9235014702555983</x:v>
      </x:c>
      <x:c r="I882" s="20" t="n">
        <x:f>VLOOKUP(C882,'Governorate Master'!$A$2:$Q$13,15,FALSE)</x:f>
        <x:v>0.07086922474549726</x:v>
      </x:c>
      <x:c r="J882" s="12" t="str">
        <x:v>Location model input - competition/saturation context</x:v>
      </x:c>
      <x:c r="K882" s="12" t="str">
        <x:v>Business count is from 2018 while population/context indicators are newer; use as a historical proxy, not a current market count.</x:v>
      </x:c>
    </x:row>
    <x:row r="883">
      <x:c r="A883" s="12" t="str">
        <x:v>2599</x:v>
      </x:c>
      <x:c r="B883" s="12" t="str">
        <x:v>Manufacture of other fabricated metal products n.e.c.</x:v>
      </x:c>
      <x:c r="C883" s="12" t="str">
        <x:v>المفرق</x:v>
      </x:c>
      <x:c r="D883" s="14" t="n">
        <x:v>3</x:v>
      </x:c>
      <x:c r="E883" s="14" t="n">
        <x:f>VLOOKUP(C883,'Governorate Master'!$A$2:$Q$13,3,FALSE)</x:f>
        <x:v>686800</x:v>
      </x:c>
      <x:c r="F883" s="66" t="n">
        <x:f>IF(E883=0,0,D883/E883*10000)</x:f>
        <x:v>0.043680838672102505</x:v>
      </x:c>
      <x:c r="G883" s="67" t="n">
        <x:f>VLOOKUP(C883,'Governorate Master'!$A$2:$Q$13,7,FALSE)</x:f>
        <x:v>25.9</x:v>
      </x:c>
      <x:c r="H883" s="20" t="n">
        <x:f>VLOOKUP(C883,'Governorate Master'!$A$2:$Q$13,6,FALSE)</x:f>
        <x:v>0.6965637740244612</x:v>
      </x:c>
      <x:c r="I883" s="20" t="n">
        <x:f>VLOOKUP(C883,'Governorate Master'!$A$2:$Q$13,15,FALSE)</x:f>
        <x:v>-0.016638935108153077</x:v>
      </x:c>
      <x:c r="J883" s="12" t="str">
        <x:v>Location model input - competition/saturation context</x:v>
      </x:c>
      <x:c r="K883" s="12" t="str">
        <x:v>Business count is from 2018 while population/context indicators are newer; use as a historical proxy, not a current market count.</x:v>
      </x:c>
    </x:row>
    <x:row r="884">
      <x:c r="A884" s="12" t="str">
        <x:v>2599</x:v>
      </x:c>
      <x:c r="B884" s="12" t="str">
        <x:v>Manufacture of other fabricated metal products n.e.c.</x:v>
      </x:c>
      <x:c r="C884" s="12" t="str">
        <x:v>جرش</x:v>
      </x:c>
      <x:c r="D884" s="14" t="n">
        <x:v>2</x:v>
      </x:c>
      <x:c r="E884" s="14" t="n">
        <x:f>VLOOKUP(C884,'Governorate Master'!$A$2:$Q$13,3,FALSE)</x:f>
        <x:v>296000</x:v>
      </x:c>
      <x:c r="F884" s="66" t="n">
        <x:f>IF(E884=0,0,D884/E884*10000)</x:f>
        <x:v>0.06756756756756757</x:v>
      </x:c>
      <x:c r="G884" s="67" t="n">
        <x:f>VLOOKUP(C884,'Governorate Master'!$A$2:$Q$13,7,FALSE)</x:f>
        <x:v>722.3</x:v>
      </x:c>
      <x:c r="H884" s="20" t="n">
        <x:f>VLOOKUP(C884,'Governorate Master'!$A$2:$Q$13,6,FALSE)</x:f>
        <x:v>0.7695945945945946</x:v>
      </x:c>
      <x:c r="I884" s="20" t="n">
        <x:f>VLOOKUP(C884,'Governorate Master'!$A$2:$Q$13,15,FALSE)</x:f>
        <x:v>-0.06527415143603134</x:v>
      </x:c>
      <x:c r="J884" s="12" t="str">
        <x:v>Location model input - competition/saturation context</x:v>
      </x:c>
      <x:c r="K884" s="12" t="str">
        <x:v>Business count is from 2018 while population/context indicators are newer; use as a historical proxy, not a current market count.</x:v>
      </x:c>
    </x:row>
    <x:row r="885">
      <x:c r="A885" s="12" t="str">
        <x:v>2599</x:v>
      </x:c>
      <x:c r="B885" s="12" t="str">
        <x:v>Manufacture of other fabricated metal products n.e.c.</x:v>
      </x:c>
      <x:c r="C885" s="12" t="str">
        <x:v>عجلون</x:v>
      </x:c>
      <x:c r="D885" s="14" t="n">
        <x:v>1</x:v>
      </x:c>
      <x:c r="E885" s="14" t="n">
        <x:f>VLOOKUP(C885,'Governorate Master'!$A$2:$Q$13,3,FALSE)</x:f>
        <x:v>219900</x:v>
      </x:c>
      <x:c r="F885" s="66" t="n">
        <x:f>IF(E885=0,0,D885/E885*10000)</x:f>
        <x:v>0.04547521600727603</x:v>
      </x:c>
      <x:c r="G885" s="67" t="n">
        <x:f>VLOOKUP(C885,'Governorate Master'!$A$2:$Q$13,7,FALSE)</x:f>
        <x:v>524</x:v>
      </x:c>
      <x:c r="H885" s="20" t="n">
        <x:f>VLOOKUP(C885,'Governorate Master'!$A$2:$Q$13,6,FALSE)</x:f>
        <x:v>0.8390177353342428</x:v>
      </x:c>
      <x:c r="I885" s="20" t="n">
        <x:f>VLOOKUP(C885,'Governorate Master'!$A$2:$Q$13,15,FALSE)</x:f>
        <x:v>0.03614457831325301</x:v>
      </x:c>
      <x:c r="J885" s="12" t="str">
        <x:v>Location model input - competition/saturation context</x:v>
      </x:c>
      <x:c r="K885" s="12" t="str">
        <x:v>Business count is from 2018 while population/context indicators are newer; use as a historical proxy, not a current market count.</x:v>
      </x:c>
    </x:row>
    <x:row r="886">
      <x:c r="A886" s="12" t="str">
        <x:v>2599</x:v>
      </x:c>
      <x:c r="B886" s="12" t="str">
        <x:v>Manufacture of other fabricated metal products n.e.c.</x:v>
      </x:c>
      <x:c r="C886" s="12" t="str">
        <x:v>الكرك</x:v>
      </x:c>
      <x:c r="D886" s="14" t="n">
        <x:v>2</x:v>
      </x:c>
      <x:c r="E886" s="14" t="n">
        <x:f>VLOOKUP(C886,'Governorate Master'!$A$2:$Q$13,3,FALSE)</x:f>
        <x:v>395400</x:v>
      </x:c>
      <x:c r="F886" s="66" t="n">
        <x:f>IF(E886=0,0,D886/E886*10000)</x:f>
        <x:v>0.050581689428426904</x:v>
      </x:c>
      <x:c r="G886" s="67" t="n">
        <x:f>VLOOKUP(C886,'Governorate Master'!$A$2:$Q$13,7,FALSE)</x:f>
        <x:v>113.1</x:v>
      </x:c>
      <x:c r="H886" s="20" t="n">
        <x:f>VLOOKUP(C886,'Governorate Master'!$A$2:$Q$13,6,FALSE)</x:f>
        <x:v>0.5912999494183105</x:v>
      </x:c>
      <x:c r="I886" s="20" t="n">
        <x:f>VLOOKUP(C886,'Governorate Master'!$A$2:$Q$13,15,FALSE)</x:f>
        <x:v>0.08710801393728224</x:v>
      </x:c>
      <x:c r="J886" s="12" t="str">
        <x:v>Location model input - competition/saturation context</x:v>
      </x:c>
      <x:c r="K886" s="12" t="str">
        <x:v>Business count is from 2018 while population/context indicators are newer; use as a historical proxy, not a current market count.</x:v>
      </x:c>
    </x:row>
    <x:row r="887">
      <x:c r="A887" s="12" t="str">
        <x:v>2599</x:v>
      </x:c>
      <x:c r="B887" s="12" t="str">
        <x:v>Manufacture of other fabricated metal products n.e.c.</x:v>
      </x:c>
      <x:c r="C887" s="12" t="str">
        <x:v>الطفيلة</x:v>
      </x:c>
      <x:c r="D887" s="14" t="n">
        <x:v>0</x:v>
      </x:c>
      <x:c r="E887" s="14" t="n">
        <x:f>VLOOKUP(C887,'Governorate Master'!$A$2:$Q$13,3,FALSE)</x:f>
        <x:v>120300</x:v>
      </x:c>
      <x:c r="F887" s="66" t="n">
        <x:f>IF(E887=0,0,D887/E887*10000)</x:f>
        <x:v>0</x:v>
      </x:c>
      <x:c r="G887" s="67" t="n">
        <x:f>VLOOKUP(C887,'Governorate Master'!$A$2:$Q$13,7,FALSE)</x:f>
        <x:v>54.4</x:v>
      </x:c>
      <x:c r="H887" s="20" t="n">
        <x:f>VLOOKUP(C887,'Governorate Master'!$A$2:$Q$13,6,FALSE)</x:f>
        <x:v>0.7797173732335827</x:v>
      </x:c>
      <x:c r="I887" s="20" t="n">
        <x:f>VLOOKUP(C887,'Governorate Master'!$A$2:$Q$13,15,FALSE)</x:f>
        <x:v>0.18452380952380953</x:v>
      </x:c>
      <x:c r="J887" s="12" t="str">
        <x:v>Location model input - competition/saturation context</x:v>
      </x:c>
      <x:c r="K887" s="12" t="str">
        <x:v>Business count is from 2018 while population/context indicators are newer; use as a historical proxy, not a current market count.</x:v>
      </x:c>
    </x:row>
    <x:row r="888">
      <x:c r="A888" s="12" t="str">
        <x:v>2599</x:v>
      </x:c>
      <x:c r="B888" s="12" t="str">
        <x:v>Manufacture of other fabricated metal products n.e.c.</x:v>
      </x:c>
      <x:c r="C888" s="12" t="str">
        <x:v>معان</x:v>
      </x:c>
      <x:c r="D888" s="14" t="n">
        <x:v>1</x:v>
      </x:c>
      <x:c r="E888" s="14" t="n">
        <x:f>VLOOKUP(C888,'Governorate Master'!$A$2:$Q$13,3,FALSE)</x:f>
        <x:v>197900</x:v>
      </x:c>
      <x:c r="F888" s="66" t="n">
        <x:f>IF(E888=0,0,D888/E888*10000)</x:f>
        <x:v>0.05053057099545225</x:v>
      </x:c>
      <x:c r="G888" s="67" t="n">
        <x:f>VLOOKUP(C888,'Governorate Master'!$A$2:$Q$13,7,FALSE)</x:f>
        <x:v>6</x:v>
      </x:c>
      <x:c r="H888" s="20" t="n">
        <x:f>VLOOKUP(C888,'Governorate Master'!$A$2:$Q$13,6,FALSE)</x:f>
        <x:v>0.5406771096513391</x:v>
      </x:c>
      <x:c r="I888" s="20" t="n">
        <x:f>VLOOKUP(C888,'Governorate Master'!$A$2:$Q$13,15,FALSE)</x:f>
        <x:v>0.026845637583892617</x:v>
      </x:c>
      <x:c r="J888" s="12" t="str">
        <x:v>Location model input - competition/saturation context</x:v>
      </x:c>
      <x:c r="K888" s="12" t="str">
        <x:v>Business count is from 2018 while population/context indicators are newer; use as a historical proxy, not a current market count.</x:v>
      </x:c>
    </x:row>
    <x:row r="889">
      <x:c r="A889" s="12" t="str">
        <x:v>2599</x:v>
      </x:c>
      <x:c r="B889" s="12" t="str">
        <x:v>Manufacture of other fabricated metal products n.e.c.</x:v>
      </x:c>
      <x:c r="C889" s="12" t="str">
        <x:v>العقبة</x:v>
      </x:c>
      <x:c r="D889" s="14" t="n">
        <x:v>1</x:v>
      </x:c>
      <x:c r="E889" s="14" t="n">
        <x:f>VLOOKUP(C889,'Governorate Master'!$A$2:$Q$13,3,FALSE)</x:f>
        <x:v>250900</x:v>
      </x:c>
      <x:c r="F889" s="66" t="n">
        <x:f>IF(E889=0,0,D889/E889*10000)</x:f>
        <x:v>0.03985651654045436</x:v>
      </x:c>
      <x:c r="G889" s="67" t="n">
        <x:f>VLOOKUP(C889,'Governorate Master'!$A$2:$Q$13,7,FALSE)</x:f>
        <x:v>36.3</x:v>
      </x:c>
      <x:c r="H889" s="20" t="n">
        <x:f>VLOOKUP(C889,'Governorate Master'!$A$2:$Q$13,6,FALSE)</x:f>
        <x:v>0.882024711040255</x:v>
      </x:c>
      <x:c r="I889" s="20" t="n">
        <x:f>VLOOKUP(C889,'Governorate Master'!$A$2:$Q$13,15,FALSE)</x:f>
        <x:v>-0.09</x:v>
      </x:c>
      <x:c r="J889" s="12" t="str">
        <x:v>Location model input - competition/saturation context</x:v>
      </x:c>
      <x:c r="K889" s="12" t="str">
        <x:v>Business count is from 2018 while population/context indicators are newer; use as a historical proxy, not a current market count.</x:v>
      </x:c>
    </x:row>
    <x:row r="890">
      <x:c r="A890" s="12" t="str">
        <x:v>2610</x:v>
      </x:c>
      <x:c r="B890" s="12" t="str">
        <x:v>Manufacture of electronic components and boards</x:v>
      </x:c>
      <x:c r="C890" s="12" t="str">
        <x:v>عمان</x:v>
      </x:c>
      <x:c r="D890" s="14" t="n">
        <x:v>13</x:v>
      </x:c>
      <x:c r="E890" s="14" t="n">
        <x:f>VLOOKUP(C890,'Governorate Master'!$A$2:$Q$13,3,FALSE)</x:f>
        <x:v>5004600</x:v>
      </x:c>
      <x:c r="F890" s="66" t="n">
        <x:f>IF(E890=0,0,D890/E890*10000)</x:f>
        <x:v>0.02597610198617272</x:v>
      </x:c>
      <x:c r="G890" s="67" t="n">
        <x:f>VLOOKUP(C890,'Governorate Master'!$A$2:$Q$13,7,FALSE)</x:f>
        <x:v>660.3</x:v>
      </x:c>
      <x:c r="H890" s="20" t="n">
        <x:f>VLOOKUP(C890,'Governorate Master'!$A$2:$Q$13,6,FALSE)</x:f>
        <x:v>0.9721656076409703</x:v>
      </x:c>
      <x:c r="I890" s="20" t="n">
        <x:f>VLOOKUP(C890,'Governorate Master'!$A$2:$Q$13,15,FALSE)</x:f>
        <x:v>0.06367041198501873</x:v>
      </x:c>
      <x:c r="J890" s="12" t="str">
        <x:v>Location model input - competition/saturation context</x:v>
      </x:c>
      <x:c r="K890" s="12" t="str">
        <x:v>Business count is from 2018 while population/context indicators are newer; use as a historical proxy, not a current market count.</x:v>
      </x:c>
    </x:row>
    <x:row r="891">
      <x:c r="A891" s="12" t="str">
        <x:v>2610</x:v>
      </x:c>
      <x:c r="B891" s="12" t="str">
        <x:v>Manufacture of electronic components and boards</x:v>
      </x:c>
      <x:c r="C891" s="12" t="str">
        <x:v>البلقاء</x:v>
      </x:c>
      <x:c r="D891" s="14" t="n">
        <x:v>1</x:v>
      </x:c>
      <x:c r="E891" s="14" t="n">
        <x:f>VLOOKUP(C891,'Governorate Master'!$A$2:$Q$13,3,FALSE)</x:f>
        <x:v>614000</x:v>
      </x:c>
      <x:c r="F891" s="66" t="n">
        <x:f>IF(E891=0,0,D891/E891*10000)</x:f>
        <x:v>0.016286644951140065</x:v>
      </x:c>
      <x:c r="G891" s="67" t="n">
        <x:f>VLOOKUP(C891,'Governorate Master'!$A$2:$Q$13,7,FALSE)</x:f>
        <x:v>548</x:v>
      </x:c>
      <x:c r="H891" s="20" t="n">
        <x:f>VLOOKUP(C891,'Governorate Master'!$A$2:$Q$13,6,FALSE)</x:f>
        <x:v>0.8210097719869707</x:v>
      </x:c>
      <x:c r="I891" s="20" t="n">
        <x:f>VLOOKUP(C891,'Governorate Master'!$A$2:$Q$13,15,FALSE)</x:f>
        <x:v>0.10794044665012408</x:v>
      </x:c>
      <x:c r="J891" s="12" t="str">
        <x:v>Location model input - competition/saturation context</x:v>
      </x:c>
      <x:c r="K891" s="12" t="str">
        <x:v>Business count is from 2018 while population/context indicators are newer; use as a historical proxy, not a current market count.</x:v>
      </x:c>
    </x:row>
    <x:row r="892">
      <x:c r="A892" s="12" t="str">
        <x:v>2610</x:v>
      </x:c>
      <x:c r="B892" s="12" t="str">
        <x:v>Manufacture of electronic components and boards</x:v>
      </x:c>
      <x:c r="C892" s="12" t="str">
        <x:v>الزرقاء</x:v>
      </x:c>
      <x:c r="D892" s="14" t="n">
        <x:v>1</x:v>
      </x:c>
      <x:c r="E892" s="14" t="n">
        <x:f>VLOOKUP(C892,'Governorate Master'!$A$2:$Q$13,3,FALSE)</x:f>
        <x:v>1704500</x:v>
      </x:c>
      <x:c r="F892" s="66" t="n">
        <x:f>IF(E892=0,0,D892/E892*10000)</x:f>
        <x:v>0.005866823115283074</x:v>
      </x:c>
      <x:c r="G892" s="67" t="n">
        <x:f>VLOOKUP(C892,'Governorate Master'!$A$2:$Q$13,7,FALSE)</x:f>
        <x:v>358</x:v>
      </x:c>
      <x:c r="H892" s="20" t="n">
        <x:f>VLOOKUP(C892,'Governorate Master'!$A$2:$Q$13,6,FALSE)</x:f>
        <x:v>0.9636256966852449</x:v>
      </x:c>
      <x:c r="I892" s="20" t="n">
        <x:f>VLOOKUP(C892,'Governorate Master'!$A$2:$Q$13,15,FALSE)</x:f>
        <x:v>-0.06808762581409118</x:v>
      </x:c>
      <x:c r="J892" s="12" t="str">
        <x:v>Location model input - competition/saturation context</x:v>
      </x:c>
      <x:c r="K892" s="12" t="str">
        <x:v>Business count is from 2018 while population/context indicators are newer; use as a historical proxy, not a current market count.</x:v>
      </x:c>
    </x:row>
    <x:row r="893">
      <x:c r="A893" s="12" t="str">
        <x:v>2610</x:v>
      </x:c>
      <x:c r="B893" s="12" t="str">
        <x:v>Manufacture of electronic components and boards</x:v>
      </x:c>
      <x:c r="C893" s="12" t="str">
        <x:v>مادبا</x:v>
      </x:c>
      <x:c r="D893" s="14" t="n">
        <x:v>1</x:v>
      </x:c>
      <x:c r="E893" s="14" t="n">
        <x:f>VLOOKUP(C893,'Governorate Master'!$A$2:$Q$13,3,FALSE)</x:f>
        <x:v>236200</x:v>
      </x:c>
      <x:c r="F893" s="66" t="n">
        <x:f>IF(E893=0,0,D893/E893*10000)</x:f>
        <x:v>0.04233700254022015</x:v>
      </x:c>
      <x:c r="G893" s="67" t="n">
        <x:f>VLOOKUP(C893,'Governorate Master'!$A$2:$Q$13,7,FALSE)</x:f>
        <x:v>251.4</x:v>
      </x:c>
      <x:c r="H893" s="20" t="n">
        <x:f>VLOOKUP(C893,'Governorate Master'!$A$2:$Q$13,6,FALSE)</x:f>
        <x:v>0.7823878069432684</x:v>
      </x:c>
      <x:c r="I893" s="20" t="n">
        <x:f>VLOOKUP(C893,'Governorate Master'!$A$2:$Q$13,15,FALSE)</x:f>
        <x:v>-0.18823529411764706</x:v>
      </x:c>
      <x:c r="J893" s="12" t="str">
        <x:v>Location model input - competition/saturation context</x:v>
      </x:c>
      <x:c r="K893" s="12" t="str">
        <x:v>Business count is from 2018 while population/context indicators are newer; use as a historical proxy, not a current market count.</x:v>
      </x:c>
    </x:row>
    <x:row r="894">
      <x:c r="A894" s="12" t="str">
        <x:v>2610</x:v>
      </x:c>
      <x:c r="B894" s="12" t="str">
        <x:v>Manufacture of electronic components and boards</x:v>
      </x:c>
      <x:c r="C894" s="12" t="str">
        <x:v>إربد</x:v>
      </x:c>
      <x:c r="D894" s="14" t="n">
        <x:v>2</x:v>
      </x:c>
      <x:c r="E894" s="14" t="n">
        <x:f>VLOOKUP(C894,'Governorate Master'!$A$2:$Q$13,3,FALSE)</x:f>
        <x:v>2210500</x:v>
      </x:c>
      <x:c r="F894" s="66" t="n">
        <x:f>IF(E894=0,0,D894/E894*10000)</x:f>
        <x:v>0.009047726758651889</x:v>
      </x:c>
      <x:c r="G894" s="67" t="n">
        <x:f>VLOOKUP(C894,'Governorate Master'!$A$2:$Q$13,7,FALSE)</x:f>
        <x:v>1406.4</x:v>
      </x:c>
      <x:c r="H894" s="20" t="n">
        <x:f>VLOOKUP(C894,'Governorate Master'!$A$2:$Q$13,6,FALSE)</x:f>
        <x:v>0.9235014702555983</x:v>
      </x:c>
      <x:c r="I894" s="20" t="n">
        <x:f>VLOOKUP(C894,'Governorate Master'!$A$2:$Q$13,15,FALSE)</x:f>
        <x:v>0.07086922474549726</x:v>
      </x:c>
      <x:c r="J894" s="12" t="str">
        <x:v>Location model input - competition/saturation context</x:v>
      </x:c>
      <x:c r="K894" s="12" t="str">
        <x:v>Business count is from 2018 while population/context indicators are newer; use as a historical proxy, not a current market count.</x:v>
      </x:c>
    </x:row>
    <x:row r="895">
      <x:c r="A895" s="12" t="str">
        <x:v>2610</x:v>
      </x:c>
      <x:c r="B895" s="12" t="str">
        <x:v>Manufacture of electronic components and boards</x:v>
      </x:c>
      <x:c r="C895" s="12" t="str">
        <x:v>المفرق</x:v>
      </x:c>
      <x:c r="D895" s="14" t="n">
        <x:v>1</x:v>
      </x:c>
      <x:c r="E895" s="14" t="n">
        <x:f>VLOOKUP(C895,'Governorate Master'!$A$2:$Q$13,3,FALSE)</x:f>
        <x:v>686800</x:v>
      </x:c>
      <x:c r="F895" s="66" t="n">
        <x:f>IF(E895=0,0,D895/E895*10000)</x:f>
        <x:v>0.014560279557367502</x:v>
      </x:c>
      <x:c r="G895" s="67" t="n">
        <x:f>VLOOKUP(C895,'Governorate Master'!$A$2:$Q$13,7,FALSE)</x:f>
        <x:v>25.9</x:v>
      </x:c>
      <x:c r="H895" s="20" t="n">
        <x:f>VLOOKUP(C895,'Governorate Master'!$A$2:$Q$13,6,FALSE)</x:f>
        <x:v>0.6965637740244612</x:v>
      </x:c>
      <x:c r="I895" s="20" t="n">
        <x:f>VLOOKUP(C895,'Governorate Master'!$A$2:$Q$13,15,FALSE)</x:f>
        <x:v>-0.016638935108153077</x:v>
      </x:c>
      <x:c r="J895" s="12" t="str">
        <x:v>Location model input - competition/saturation context</x:v>
      </x:c>
      <x:c r="K895" s="12" t="str">
        <x:v>Business count is from 2018 while population/context indicators are newer; use as a historical proxy, not a current market count.</x:v>
      </x:c>
    </x:row>
    <x:row r="896">
      <x:c r="A896" s="12" t="str">
        <x:v>2610</x:v>
      </x:c>
      <x:c r="B896" s="12" t="str">
        <x:v>Manufacture of electronic components and boards</x:v>
      </x:c>
      <x:c r="C896" s="12" t="str">
        <x:v>جرش</x:v>
      </x:c>
      <x:c r="D896" s="14" t="n">
        <x:v>0</x:v>
      </x:c>
      <x:c r="E896" s="14" t="n">
        <x:f>VLOOKUP(C896,'Governorate Master'!$A$2:$Q$13,3,FALSE)</x:f>
        <x:v>296000</x:v>
      </x:c>
      <x:c r="F896" s="66" t="n">
        <x:f>IF(E896=0,0,D896/E896*10000)</x:f>
        <x:v>0</x:v>
      </x:c>
      <x:c r="G896" s="67" t="n">
        <x:f>VLOOKUP(C896,'Governorate Master'!$A$2:$Q$13,7,FALSE)</x:f>
        <x:v>722.3</x:v>
      </x:c>
      <x:c r="H896" s="20" t="n">
        <x:f>VLOOKUP(C896,'Governorate Master'!$A$2:$Q$13,6,FALSE)</x:f>
        <x:v>0.7695945945945946</x:v>
      </x:c>
      <x:c r="I896" s="20" t="n">
        <x:f>VLOOKUP(C896,'Governorate Master'!$A$2:$Q$13,15,FALSE)</x:f>
        <x:v>-0.06527415143603134</x:v>
      </x:c>
      <x:c r="J896" s="12" t="str">
        <x:v>Location model input - competition/saturation context</x:v>
      </x:c>
      <x:c r="K896" s="12" t="str">
        <x:v>Business count is from 2018 while population/context indicators are newer; use as a historical proxy, not a current market count.</x:v>
      </x:c>
    </x:row>
    <x:row r="897">
      <x:c r="A897" s="12" t="str">
        <x:v>2610</x:v>
      </x:c>
      <x:c r="B897" s="12" t="str">
        <x:v>Manufacture of electronic components and boards</x:v>
      </x:c>
      <x:c r="C897" s="12" t="str">
        <x:v>عجلون</x:v>
      </x:c>
      <x:c r="D897" s="14" t="n">
        <x:v>0</x:v>
      </x:c>
      <x:c r="E897" s="14" t="n">
        <x:f>VLOOKUP(C897,'Governorate Master'!$A$2:$Q$13,3,FALSE)</x:f>
        <x:v>219900</x:v>
      </x:c>
      <x:c r="F897" s="66" t="n">
        <x:f>IF(E897=0,0,D897/E897*10000)</x:f>
        <x:v>0</x:v>
      </x:c>
      <x:c r="G897" s="67" t="n">
        <x:f>VLOOKUP(C897,'Governorate Master'!$A$2:$Q$13,7,FALSE)</x:f>
        <x:v>524</x:v>
      </x:c>
      <x:c r="H897" s="20" t="n">
        <x:f>VLOOKUP(C897,'Governorate Master'!$A$2:$Q$13,6,FALSE)</x:f>
        <x:v>0.8390177353342428</x:v>
      </x:c>
      <x:c r="I897" s="20" t="n">
        <x:f>VLOOKUP(C897,'Governorate Master'!$A$2:$Q$13,15,FALSE)</x:f>
        <x:v>0.03614457831325301</x:v>
      </x:c>
      <x:c r="J897" s="12" t="str">
        <x:v>Location model input - competition/saturation context</x:v>
      </x:c>
      <x:c r="K897" s="12" t="str">
        <x:v>Business count is from 2018 while population/context indicators are newer; use as a historical proxy, not a current market count.</x:v>
      </x:c>
    </x:row>
    <x:row r="898">
      <x:c r="A898" s="12" t="str">
        <x:v>2610</x:v>
      </x:c>
      <x:c r="B898" s="12" t="str">
        <x:v>Manufacture of electronic components and boards</x:v>
      </x:c>
      <x:c r="C898" s="12" t="str">
        <x:v>الكرك</x:v>
      </x:c>
      <x:c r="D898" s="14" t="n">
        <x:v>0</x:v>
      </x:c>
      <x:c r="E898" s="14" t="n">
        <x:f>VLOOKUP(C898,'Governorate Master'!$A$2:$Q$13,3,FALSE)</x:f>
        <x:v>395400</x:v>
      </x:c>
      <x:c r="F898" s="66" t="n">
        <x:f>IF(E898=0,0,D898/E898*10000)</x:f>
        <x:v>0</x:v>
      </x:c>
      <x:c r="G898" s="67" t="n">
        <x:f>VLOOKUP(C898,'Governorate Master'!$A$2:$Q$13,7,FALSE)</x:f>
        <x:v>113.1</x:v>
      </x:c>
      <x:c r="H898" s="20" t="n">
        <x:f>VLOOKUP(C898,'Governorate Master'!$A$2:$Q$13,6,FALSE)</x:f>
        <x:v>0.5912999494183105</x:v>
      </x:c>
      <x:c r="I898" s="20" t="n">
        <x:f>VLOOKUP(C898,'Governorate Master'!$A$2:$Q$13,15,FALSE)</x:f>
        <x:v>0.08710801393728224</x:v>
      </x:c>
      <x:c r="J898" s="12" t="str">
        <x:v>Location model input - competition/saturation context</x:v>
      </x:c>
      <x:c r="K898" s="12" t="str">
        <x:v>Business count is from 2018 while population/context indicators are newer; use as a historical proxy, not a current market count.</x:v>
      </x:c>
    </x:row>
    <x:row r="899">
      <x:c r="A899" s="12" t="str">
        <x:v>2610</x:v>
      </x:c>
      <x:c r="B899" s="12" t="str">
        <x:v>Manufacture of electronic components and boards</x:v>
      </x:c>
      <x:c r="C899" s="12" t="str">
        <x:v>الطفيلة</x:v>
      </x:c>
      <x:c r="D899" s="14" t="n">
        <x:v>0</x:v>
      </x:c>
      <x:c r="E899" s="14" t="n">
        <x:f>VLOOKUP(C899,'Governorate Master'!$A$2:$Q$13,3,FALSE)</x:f>
        <x:v>120300</x:v>
      </x:c>
      <x:c r="F899" s="66" t="n">
        <x:f>IF(E899=0,0,D899/E899*10000)</x:f>
        <x:v>0</x:v>
      </x:c>
      <x:c r="G899" s="67" t="n">
        <x:f>VLOOKUP(C899,'Governorate Master'!$A$2:$Q$13,7,FALSE)</x:f>
        <x:v>54.4</x:v>
      </x:c>
      <x:c r="H899" s="20" t="n">
        <x:f>VLOOKUP(C899,'Governorate Master'!$A$2:$Q$13,6,FALSE)</x:f>
        <x:v>0.7797173732335827</x:v>
      </x:c>
      <x:c r="I899" s="20" t="n">
        <x:f>VLOOKUP(C899,'Governorate Master'!$A$2:$Q$13,15,FALSE)</x:f>
        <x:v>0.18452380952380953</x:v>
      </x:c>
      <x:c r="J899" s="12" t="str">
        <x:v>Location model input - competition/saturation context</x:v>
      </x:c>
      <x:c r="K899" s="12" t="str">
        <x:v>Business count is from 2018 while population/context indicators are newer; use as a historical proxy, not a current market count.</x:v>
      </x:c>
    </x:row>
    <x:row r="900">
      <x:c r="A900" s="12" t="str">
        <x:v>2610</x:v>
      </x:c>
      <x:c r="B900" s="12" t="str">
        <x:v>Manufacture of electronic components and boards</x:v>
      </x:c>
      <x:c r="C900" s="12" t="str">
        <x:v>معان</x:v>
      </x:c>
      <x:c r="D900" s="14" t="n">
        <x:v>0</x:v>
      </x:c>
      <x:c r="E900" s="14" t="n">
        <x:f>VLOOKUP(C900,'Governorate Master'!$A$2:$Q$13,3,FALSE)</x:f>
        <x:v>197900</x:v>
      </x:c>
      <x:c r="F900" s="66" t="n">
        <x:f>IF(E900=0,0,D900/E900*10000)</x:f>
        <x:v>0</x:v>
      </x:c>
      <x:c r="G900" s="67" t="n">
        <x:f>VLOOKUP(C900,'Governorate Master'!$A$2:$Q$13,7,FALSE)</x:f>
        <x:v>6</x:v>
      </x:c>
      <x:c r="H900" s="20" t="n">
        <x:f>VLOOKUP(C900,'Governorate Master'!$A$2:$Q$13,6,FALSE)</x:f>
        <x:v>0.5406771096513391</x:v>
      </x:c>
      <x:c r="I900" s="20" t="n">
        <x:f>VLOOKUP(C900,'Governorate Master'!$A$2:$Q$13,15,FALSE)</x:f>
        <x:v>0.026845637583892617</x:v>
      </x:c>
      <x:c r="J900" s="12" t="str">
        <x:v>Location model input - competition/saturation context</x:v>
      </x:c>
      <x:c r="K900" s="12" t="str">
        <x:v>Business count is from 2018 while population/context indicators are newer; use as a historical proxy, not a current market count.</x:v>
      </x:c>
    </x:row>
    <x:row r="901">
      <x:c r="A901" s="12" t="str">
        <x:v>2610</x:v>
      </x:c>
      <x:c r="B901" s="12" t="str">
        <x:v>Manufacture of electronic components and boards</x:v>
      </x:c>
      <x:c r="C901" s="12" t="str">
        <x:v>العقبة</x:v>
      </x:c>
      <x:c r="D901" s="14" t="n">
        <x:v>0</x:v>
      </x:c>
      <x:c r="E901" s="14" t="n">
        <x:f>VLOOKUP(C901,'Governorate Master'!$A$2:$Q$13,3,FALSE)</x:f>
        <x:v>250900</x:v>
      </x:c>
      <x:c r="F901" s="66" t="n">
        <x:f>IF(E901=0,0,D901/E901*10000)</x:f>
        <x:v>0</x:v>
      </x:c>
      <x:c r="G901" s="67" t="n">
        <x:f>VLOOKUP(C901,'Governorate Master'!$A$2:$Q$13,7,FALSE)</x:f>
        <x:v>36.3</x:v>
      </x:c>
      <x:c r="H901" s="20" t="n">
        <x:f>VLOOKUP(C901,'Governorate Master'!$A$2:$Q$13,6,FALSE)</x:f>
        <x:v>0.882024711040255</x:v>
      </x:c>
      <x:c r="I901" s="20" t="n">
        <x:f>VLOOKUP(C901,'Governorate Master'!$A$2:$Q$13,15,FALSE)</x:f>
        <x:v>-0.09</x:v>
      </x:c>
      <x:c r="J901" s="12" t="str">
        <x:v>Location model input - competition/saturation context</x:v>
      </x:c>
      <x:c r="K901" s="12" t="str">
        <x:v>Business count is from 2018 while population/context indicators are newer; use as a historical proxy, not a current market count.</x:v>
      </x:c>
    </x:row>
    <x:row r="902">
      <x:c r="A902" s="12" t="str">
        <x:v>2620</x:v>
      </x:c>
      <x:c r="B902" s="12" t="str">
        <x:v>Manufacture of computers and peripheral equipment</x:v>
      </x:c>
      <x:c r="C902" s="12" t="str">
        <x:v>عمان</x:v>
      </x:c>
      <x:c r="D902" s="14" t="n">
        <x:v>1</x:v>
      </x:c>
      <x:c r="E902" s="14" t="n">
        <x:f>VLOOKUP(C902,'Governorate Master'!$A$2:$Q$13,3,FALSE)</x:f>
        <x:v>5004600</x:v>
      </x:c>
      <x:c r="F902" s="66" t="n">
        <x:f>IF(E902=0,0,D902/E902*10000)</x:f>
        <x:v>0.0019981616912440555</x:v>
      </x:c>
      <x:c r="G902" s="67" t="n">
        <x:f>VLOOKUP(C902,'Governorate Master'!$A$2:$Q$13,7,FALSE)</x:f>
        <x:v>660.3</x:v>
      </x:c>
      <x:c r="H902" s="20" t="n">
        <x:f>VLOOKUP(C902,'Governorate Master'!$A$2:$Q$13,6,FALSE)</x:f>
        <x:v>0.9721656076409703</x:v>
      </x:c>
      <x:c r="I902" s="20" t="n">
        <x:f>VLOOKUP(C902,'Governorate Master'!$A$2:$Q$13,15,FALSE)</x:f>
        <x:v>0.06367041198501873</x:v>
      </x:c>
      <x:c r="J902" s="12" t="str">
        <x:v>Location model input - competition/saturation context</x:v>
      </x:c>
      <x:c r="K902" s="12" t="str">
        <x:v>Business count is from 2018 while population/context indicators are newer; use as a historical proxy, not a current market count.</x:v>
      </x:c>
    </x:row>
    <x:row r="903">
      <x:c r="A903" s="12" t="str">
        <x:v>2620</x:v>
      </x:c>
      <x:c r="B903" s="12" t="str">
        <x:v>Manufacture of computers and peripheral equipment</x:v>
      </x:c>
      <x:c r="C903" s="12" t="str">
        <x:v>البلقاء</x:v>
      </x:c>
      <x:c r="D903" s="14" t="n">
        <x:v>1</x:v>
      </x:c>
      <x:c r="E903" s="14" t="n">
        <x:f>VLOOKUP(C903,'Governorate Master'!$A$2:$Q$13,3,FALSE)</x:f>
        <x:v>614000</x:v>
      </x:c>
      <x:c r="F903" s="66" t="n">
        <x:f>IF(E903=0,0,D903/E903*10000)</x:f>
        <x:v>0.016286644951140065</x:v>
      </x:c>
      <x:c r="G903" s="67" t="n">
        <x:f>VLOOKUP(C903,'Governorate Master'!$A$2:$Q$13,7,FALSE)</x:f>
        <x:v>548</x:v>
      </x:c>
      <x:c r="H903" s="20" t="n">
        <x:f>VLOOKUP(C903,'Governorate Master'!$A$2:$Q$13,6,FALSE)</x:f>
        <x:v>0.8210097719869707</x:v>
      </x:c>
      <x:c r="I903" s="20" t="n">
        <x:f>VLOOKUP(C903,'Governorate Master'!$A$2:$Q$13,15,FALSE)</x:f>
        <x:v>0.10794044665012408</x:v>
      </x:c>
      <x:c r="J903" s="12" t="str">
        <x:v>Location model input - competition/saturation context</x:v>
      </x:c>
      <x:c r="K903" s="12" t="str">
        <x:v>Business count is from 2018 while population/context indicators are newer; use as a historical proxy, not a current market count.</x:v>
      </x:c>
    </x:row>
    <x:row r="904">
      <x:c r="A904" s="12" t="str">
        <x:v>2620</x:v>
      </x:c>
      <x:c r="B904" s="12" t="str">
        <x:v>Manufacture of computers and peripheral equipment</x:v>
      </x:c>
      <x:c r="C904" s="12" t="str">
        <x:v>الزرقاء</x:v>
      </x:c>
      <x:c r="D904" s="14" t="n">
        <x:v>0</x:v>
      </x:c>
      <x:c r="E904" s="14" t="n">
        <x:f>VLOOKUP(C904,'Governorate Master'!$A$2:$Q$13,3,FALSE)</x:f>
        <x:v>1704500</x:v>
      </x:c>
      <x:c r="F904" s="66" t="n">
        <x:f>IF(E904=0,0,D904/E904*10000)</x:f>
        <x:v>0</x:v>
      </x:c>
      <x:c r="G904" s="67" t="n">
        <x:f>VLOOKUP(C904,'Governorate Master'!$A$2:$Q$13,7,FALSE)</x:f>
        <x:v>358</x:v>
      </x:c>
      <x:c r="H904" s="20" t="n">
        <x:f>VLOOKUP(C904,'Governorate Master'!$A$2:$Q$13,6,FALSE)</x:f>
        <x:v>0.9636256966852449</x:v>
      </x:c>
      <x:c r="I904" s="20" t="n">
        <x:f>VLOOKUP(C904,'Governorate Master'!$A$2:$Q$13,15,FALSE)</x:f>
        <x:v>-0.06808762581409118</x:v>
      </x:c>
      <x:c r="J904" s="12" t="str">
        <x:v>Location model input - competition/saturation context</x:v>
      </x:c>
      <x:c r="K904" s="12" t="str">
        <x:v>Business count is from 2018 while population/context indicators are newer; use as a historical proxy, not a current market count.</x:v>
      </x:c>
    </x:row>
    <x:row r="905">
      <x:c r="A905" s="12" t="str">
        <x:v>2620</x:v>
      </x:c>
      <x:c r="B905" s="12" t="str">
        <x:v>Manufacture of computers and peripheral equipment</x:v>
      </x:c>
      <x:c r="C905" s="12" t="str">
        <x:v>مادبا</x:v>
      </x:c>
      <x:c r="D905" s="14" t="n">
        <x:v>0</x:v>
      </x:c>
      <x:c r="E905" s="14" t="n">
        <x:f>VLOOKUP(C905,'Governorate Master'!$A$2:$Q$13,3,FALSE)</x:f>
        <x:v>236200</x:v>
      </x:c>
      <x:c r="F905" s="66" t="n">
        <x:f>IF(E905=0,0,D905/E905*10000)</x:f>
        <x:v>0</x:v>
      </x:c>
      <x:c r="G905" s="67" t="n">
        <x:f>VLOOKUP(C905,'Governorate Master'!$A$2:$Q$13,7,FALSE)</x:f>
        <x:v>251.4</x:v>
      </x:c>
      <x:c r="H905" s="20" t="n">
        <x:f>VLOOKUP(C905,'Governorate Master'!$A$2:$Q$13,6,FALSE)</x:f>
        <x:v>0.7823878069432684</x:v>
      </x:c>
      <x:c r="I905" s="20" t="n">
        <x:f>VLOOKUP(C905,'Governorate Master'!$A$2:$Q$13,15,FALSE)</x:f>
        <x:v>-0.18823529411764706</x:v>
      </x:c>
      <x:c r="J905" s="12" t="str">
        <x:v>Location model input - competition/saturation context</x:v>
      </x:c>
      <x:c r="K905" s="12" t="str">
        <x:v>Business count is from 2018 while population/context indicators are newer; use as a historical proxy, not a current market count.</x:v>
      </x:c>
    </x:row>
    <x:row r="906">
      <x:c r="A906" s="12" t="str">
        <x:v>2620</x:v>
      </x:c>
      <x:c r="B906" s="12" t="str">
        <x:v>Manufacture of computers and peripheral equipment</x:v>
      </x:c>
      <x:c r="C906" s="12" t="str">
        <x:v>إربد</x:v>
      </x:c>
      <x:c r="D906" s="14" t="n">
        <x:v>0</x:v>
      </x:c>
      <x:c r="E906" s="14" t="n">
        <x:f>VLOOKUP(C906,'Governorate Master'!$A$2:$Q$13,3,FALSE)</x:f>
        <x:v>2210500</x:v>
      </x:c>
      <x:c r="F906" s="66" t="n">
        <x:f>IF(E906=0,0,D906/E906*10000)</x:f>
        <x:v>0</x:v>
      </x:c>
      <x:c r="G906" s="67" t="n">
        <x:f>VLOOKUP(C906,'Governorate Master'!$A$2:$Q$13,7,FALSE)</x:f>
        <x:v>1406.4</x:v>
      </x:c>
      <x:c r="H906" s="20" t="n">
        <x:f>VLOOKUP(C906,'Governorate Master'!$A$2:$Q$13,6,FALSE)</x:f>
        <x:v>0.9235014702555983</x:v>
      </x:c>
      <x:c r="I906" s="20" t="n">
        <x:f>VLOOKUP(C906,'Governorate Master'!$A$2:$Q$13,15,FALSE)</x:f>
        <x:v>0.07086922474549726</x:v>
      </x:c>
      <x:c r="J906" s="12" t="str">
        <x:v>Location model input - competition/saturation context</x:v>
      </x:c>
      <x:c r="K906" s="12" t="str">
        <x:v>Business count is from 2018 while population/context indicators are newer; use as a historical proxy, not a current market count.</x:v>
      </x:c>
    </x:row>
    <x:row r="907">
      <x:c r="A907" s="12" t="str">
        <x:v>2620</x:v>
      </x:c>
      <x:c r="B907" s="12" t="str">
        <x:v>Manufacture of computers and peripheral equipment</x:v>
      </x:c>
      <x:c r="C907" s="12" t="str">
        <x:v>المفرق</x:v>
      </x:c>
      <x:c r="D907" s="14" t="n">
        <x:v>0</x:v>
      </x:c>
      <x:c r="E907" s="14" t="n">
        <x:f>VLOOKUP(C907,'Governorate Master'!$A$2:$Q$13,3,FALSE)</x:f>
        <x:v>686800</x:v>
      </x:c>
      <x:c r="F907" s="66" t="n">
        <x:f>IF(E907=0,0,D907/E907*10000)</x:f>
        <x:v>0</x:v>
      </x:c>
      <x:c r="G907" s="67" t="n">
        <x:f>VLOOKUP(C907,'Governorate Master'!$A$2:$Q$13,7,FALSE)</x:f>
        <x:v>25.9</x:v>
      </x:c>
      <x:c r="H907" s="20" t="n">
        <x:f>VLOOKUP(C907,'Governorate Master'!$A$2:$Q$13,6,FALSE)</x:f>
        <x:v>0.6965637740244612</x:v>
      </x:c>
      <x:c r="I907" s="20" t="n">
        <x:f>VLOOKUP(C907,'Governorate Master'!$A$2:$Q$13,15,FALSE)</x:f>
        <x:v>-0.016638935108153077</x:v>
      </x:c>
      <x:c r="J907" s="12" t="str">
        <x:v>Location model input - competition/saturation context</x:v>
      </x:c>
      <x:c r="K907" s="12" t="str">
        <x:v>Business count is from 2018 while population/context indicators are newer; use as a historical proxy, not a current market count.</x:v>
      </x:c>
    </x:row>
    <x:row r="908">
      <x:c r="A908" s="12" t="str">
        <x:v>2620</x:v>
      </x:c>
      <x:c r="B908" s="12" t="str">
        <x:v>Manufacture of computers and peripheral equipment</x:v>
      </x:c>
      <x:c r="C908" s="12" t="str">
        <x:v>جرش</x:v>
      </x:c>
      <x:c r="D908" s="14" t="n">
        <x:v>0</x:v>
      </x:c>
      <x:c r="E908" s="14" t="n">
        <x:f>VLOOKUP(C908,'Governorate Master'!$A$2:$Q$13,3,FALSE)</x:f>
        <x:v>296000</x:v>
      </x:c>
      <x:c r="F908" s="66" t="n">
        <x:f>IF(E908=0,0,D908/E908*10000)</x:f>
        <x:v>0</x:v>
      </x:c>
      <x:c r="G908" s="67" t="n">
        <x:f>VLOOKUP(C908,'Governorate Master'!$A$2:$Q$13,7,FALSE)</x:f>
        <x:v>722.3</x:v>
      </x:c>
      <x:c r="H908" s="20" t="n">
        <x:f>VLOOKUP(C908,'Governorate Master'!$A$2:$Q$13,6,FALSE)</x:f>
        <x:v>0.7695945945945946</x:v>
      </x:c>
      <x:c r="I908" s="20" t="n">
        <x:f>VLOOKUP(C908,'Governorate Master'!$A$2:$Q$13,15,FALSE)</x:f>
        <x:v>-0.06527415143603134</x:v>
      </x:c>
      <x:c r="J908" s="12" t="str">
        <x:v>Location model input - competition/saturation context</x:v>
      </x:c>
      <x:c r="K908" s="12" t="str">
        <x:v>Business count is from 2018 while population/context indicators are newer; use as a historical proxy, not a current market count.</x:v>
      </x:c>
    </x:row>
    <x:row r="909">
      <x:c r="A909" s="12" t="str">
        <x:v>2620</x:v>
      </x:c>
      <x:c r="B909" s="12" t="str">
        <x:v>Manufacture of computers and peripheral equipment</x:v>
      </x:c>
      <x:c r="C909" s="12" t="str">
        <x:v>عجلون</x:v>
      </x:c>
      <x:c r="D909" s="14" t="n">
        <x:v>0</x:v>
      </x:c>
      <x:c r="E909" s="14" t="n">
        <x:f>VLOOKUP(C909,'Governorate Master'!$A$2:$Q$13,3,FALSE)</x:f>
        <x:v>219900</x:v>
      </x:c>
      <x:c r="F909" s="66" t="n">
        <x:f>IF(E909=0,0,D909/E909*10000)</x:f>
        <x:v>0</x:v>
      </x:c>
      <x:c r="G909" s="67" t="n">
        <x:f>VLOOKUP(C909,'Governorate Master'!$A$2:$Q$13,7,FALSE)</x:f>
        <x:v>524</x:v>
      </x:c>
      <x:c r="H909" s="20" t="n">
        <x:f>VLOOKUP(C909,'Governorate Master'!$A$2:$Q$13,6,FALSE)</x:f>
        <x:v>0.8390177353342428</x:v>
      </x:c>
      <x:c r="I909" s="20" t="n">
        <x:f>VLOOKUP(C909,'Governorate Master'!$A$2:$Q$13,15,FALSE)</x:f>
        <x:v>0.03614457831325301</x:v>
      </x:c>
      <x:c r="J909" s="12" t="str">
        <x:v>Location model input - competition/saturation context</x:v>
      </x:c>
      <x:c r="K909" s="12" t="str">
        <x:v>Business count is from 2018 while population/context indicators are newer; use as a historical proxy, not a current market count.</x:v>
      </x:c>
    </x:row>
    <x:row r="910">
      <x:c r="A910" s="12" t="str">
        <x:v>2620</x:v>
      </x:c>
      <x:c r="B910" s="12" t="str">
        <x:v>Manufacture of computers and peripheral equipment</x:v>
      </x:c>
      <x:c r="C910" s="12" t="str">
        <x:v>الكرك</x:v>
      </x:c>
      <x:c r="D910" s="14" t="n">
        <x:v>0</x:v>
      </x:c>
      <x:c r="E910" s="14" t="n">
        <x:f>VLOOKUP(C910,'Governorate Master'!$A$2:$Q$13,3,FALSE)</x:f>
        <x:v>395400</x:v>
      </x:c>
      <x:c r="F910" s="66" t="n">
        <x:f>IF(E910=0,0,D910/E910*10000)</x:f>
        <x:v>0</x:v>
      </x:c>
      <x:c r="G910" s="67" t="n">
        <x:f>VLOOKUP(C910,'Governorate Master'!$A$2:$Q$13,7,FALSE)</x:f>
        <x:v>113.1</x:v>
      </x:c>
      <x:c r="H910" s="20" t="n">
        <x:f>VLOOKUP(C910,'Governorate Master'!$A$2:$Q$13,6,FALSE)</x:f>
        <x:v>0.5912999494183105</x:v>
      </x:c>
      <x:c r="I910" s="20" t="n">
        <x:f>VLOOKUP(C910,'Governorate Master'!$A$2:$Q$13,15,FALSE)</x:f>
        <x:v>0.08710801393728224</x:v>
      </x:c>
      <x:c r="J910" s="12" t="str">
        <x:v>Location model input - competition/saturation context</x:v>
      </x:c>
      <x:c r="K910" s="12" t="str">
        <x:v>Business count is from 2018 while population/context indicators are newer; use as a historical proxy, not a current market count.</x:v>
      </x:c>
    </x:row>
    <x:row r="911">
      <x:c r="A911" s="12" t="str">
        <x:v>2620</x:v>
      </x:c>
      <x:c r="B911" s="12" t="str">
        <x:v>Manufacture of computers and peripheral equipment</x:v>
      </x:c>
      <x:c r="C911" s="12" t="str">
        <x:v>الطفيلة</x:v>
      </x:c>
      <x:c r="D911" s="14" t="n">
        <x:v>0</x:v>
      </x:c>
      <x:c r="E911" s="14" t="n">
        <x:f>VLOOKUP(C911,'Governorate Master'!$A$2:$Q$13,3,FALSE)</x:f>
        <x:v>120300</x:v>
      </x:c>
      <x:c r="F911" s="66" t="n">
        <x:f>IF(E911=0,0,D911/E911*10000)</x:f>
        <x:v>0</x:v>
      </x:c>
      <x:c r="G911" s="67" t="n">
        <x:f>VLOOKUP(C911,'Governorate Master'!$A$2:$Q$13,7,FALSE)</x:f>
        <x:v>54.4</x:v>
      </x:c>
      <x:c r="H911" s="20" t="n">
        <x:f>VLOOKUP(C911,'Governorate Master'!$A$2:$Q$13,6,FALSE)</x:f>
        <x:v>0.7797173732335827</x:v>
      </x:c>
      <x:c r="I911" s="20" t="n">
        <x:f>VLOOKUP(C911,'Governorate Master'!$A$2:$Q$13,15,FALSE)</x:f>
        <x:v>0.18452380952380953</x:v>
      </x:c>
      <x:c r="J911" s="12" t="str">
        <x:v>Location model input - competition/saturation context</x:v>
      </x:c>
      <x:c r="K911" s="12" t="str">
        <x:v>Business count is from 2018 while population/context indicators are newer; use as a historical proxy, not a current market count.</x:v>
      </x:c>
    </x:row>
    <x:row r="912">
      <x:c r="A912" s="12" t="str">
        <x:v>2620</x:v>
      </x:c>
      <x:c r="B912" s="12" t="str">
        <x:v>Manufacture of computers and peripheral equipment</x:v>
      </x:c>
      <x:c r="C912" s="12" t="str">
        <x:v>معان</x:v>
      </x:c>
      <x:c r="D912" s="14" t="n">
        <x:v>0</x:v>
      </x:c>
      <x:c r="E912" s="14" t="n">
        <x:f>VLOOKUP(C912,'Governorate Master'!$A$2:$Q$13,3,FALSE)</x:f>
        <x:v>197900</x:v>
      </x:c>
      <x:c r="F912" s="66" t="n">
        <x:f>IF(E912=0,0,D912/E912*10000)</x:f>
        <x:v>0</x:v>
      </x:c>
      <x:c r="G912" s="67" t="n">
        <x:f>VLOOKUP(C912,'Governorate Master'!$A$2:$Q$13,7,FALSE)</x:f>
        <x:v>6</x:v>
      </x:c>
      <x:c r="H912" s="20" t="n">
        <x:f>VLOOKUP(C912,'Governorate Master'!$A$2:$Q$13,6,FALSE)</x:f>
        <x:v>0.5406771096513391</x:v>
      </x:c>
      <x:c r="I912" s="20" t="n">
        <x:f>VLOOKUP(C912,'Governorate Master'!$A$2:$Q$13,15,FALSE)</x:f>
        <x:v>0.026845637583892617</x:v>
      </x:c>
      <x:c r="J912" s="12" t="str">
        <x:v>Location model input - competition/saturation context</x:v>
      </x:c>
      <x:c r="K912" s="12" t="str">
        <x:v>Business count is from 2018 while population/context indicators are newer; use as a historical proxy, not a current market count.</x:v>
      </x:c>
    </x:row>
    <x:row r="913">
      <x:c r="A913" s="12" t="str">
        <x:v>2620</x:v>
      </x:c>
      <x:c r="B913" s="12" t="str">
        <x:v>Manufacture of computers and peripheral equipment</x:v>
      </x:c>
      <x:c r="C913" s="12" t="str">
        <x:v>العقبة</x:v>
      </x:c>
      <x:c r="D913" s="14" t="n">
        <x:v>0</x:v>
      </x:c>
      <x:c r="E913" s="14" t="n">
        <x:f>VLOOKUP(C913,'Governorate Master'!$A$2:$Q$13,3,FALSE)</x:f>
        <x:v>250900</x:v>
      </x:c>
      <x:c r="F913" s="66" t="n">
        <x:f>IF(E913=0,0,D913/E913*10000)</x:f>
        <x:v>0</x:v>
      </x:c>
      <x:c r="G913" s="67" t="n">
        <x:f>VLOOKUP(C913,'Governorate Master'!$A$2:$Q$13,7,FALSE)</x:f>
        <x:v>36.3</x:v>
      </x:c>
      <x:c r="H913" s="20" t="n">
        <x:f>VLOOKUP(C913,'Governorate Master'!$A$2:$Q$13,6,FALSE)</x:f>
        <x:v>0.882024711040255</x:v>
      </x:c>
      <x:c r="I913" s="20" t="n">
        <x:f>VLOOKUP(C913,'Governorate Master'!$A$2:$Q$13,15,FALSE)</x:f>
        <x:v>-0.09</x:v>
      </x:c>
      <x:c r="J913" s="12" t="str">
        <x:v>Location model input - competition/saturation context</x:v>
      </x:c>
      <x:c r="K913" s="12" t="str">
        <x:v>Business count is from 2018 while population/context indicators are newer; use as a historical proxy, not a current market count.</x:v>
      </x:c>
    </x:row>
    <x:row r="914">
      <x:c r="A914" s="12" t="str">
        <x:v>2640</x:v>
      </x:c>
      <x:c r="B914" s="12" t="str">
        <x:v>Manufacture of consumer electronics</x:v>
      </x:c>
      <x:c r="C914" s="12" t="str">
        <x:v>عمان</x:v>
      </x:c>
      <x:c r="D914" s="14" t="n">
        <x:v>5</x:v>
      </x:c>
      <x:c r="E914" s="14" t="n">
        <x:f>VLOOKUP(C914,'Governorate Master'!$A$2:$Q$13,3,FALSE)</x:f>
        <x:v>5004600</x:v>
      </x:c>
      <x:c r="F914" s="66" t="n">
        <x:f>IF(E914=0,0,D914/E914*10000)</x:f>
        <x:v>0.009990808456220277</x:v>
      </x:c>
      <x:c r="G914" s="67" t="n">
        <x:f>VLOOKUP(C914,'Governorate Master'!$A$2:$Q$13,7,FALSE)</x:f>
        <x:v>660.3</x:v>
      </x:c>
      <x:c r="H914" s="20" t="n">
        <x:f>VLOOKUP(C914,'Governorate Master'!$A$2:$Q$13,6,FALSE)</x:f>
        <x:v>0.9721656076409703</x:v>
      </x:c>
      <x:c r="I914" s="20" t="n">
        <x:f>VLOOKUP(C914,'Governorate Master'!$A$2:$Q$13,15,FALSE)</x:f>
        <x:v>0.06367041198501873</x:v>
      </x:c>
      <x:c r="J914" s="12" t="str">
        <x:v>Location model input - competition/saturation context</x:v>
      </x:c>
      <x:c r="K914" s="12" t="str">
        <x:v>Business count is from 2018 while population/context indicators are newer; use as a historical proxy, not a current market count.</x:v>
      </x:c>
    </x:row>
    <x:row r="915">
      <x:c r="A915" s="12" t="str">
        <x:v>2640</x:v>
      </x:c>
      <x:c r="B915" s="12" t="str">
        <x:v>Manufacture of consumer electronics</x:v>
      </x:c>
      <x:c r="C915" s="12" t="str">
        <x:v>البلقاء</x:v>
      </x:c>
      <x:c r="D915" s="14" t="n">
        <x:v>1</x:v>
      </x:c>
      <x:c r="E915" s="14" t="n">
        <x:f>VLOOKUP(C915,'Governorate Master'!$A$2:$Q$13,3,FALSE)</x:f>
        <x:v>614000</x:v>
      </x:c>
      <x:c r="F915" s="66" t="n">
        <x:f>IF(E915=0,0,D915/E915*10000)</x:f>
        <x:v>0.016286644951140065</x:v>
      </x:c>
      <x:c r="G915" s="67" t="n">
        <x:f>VLOOKUP(C915,'Governorate Master'!$A$2:$Q$13,7,FALSE)</x:f>
        <x:v>548</x:v>
      </x:c>
      <x:c r="H915" s="20" t="n">
        <x:f>VLOOKUP(C915,'Governorate Master'!$A$2:$Q$13,6,FALSE)</x:f>
        <x:v>0.8210097719869707</x:v>
      </x:c>
      <x:c r="I915" s="20" t="n">
        <x:f>VLOOKUP(C915,'Governorate Master'!$A$2:$Q$13,15,FALSE)</x:f>
        <x:v>0.10794044665012408</x:v>
      </x:c>
      <x:c r="J915" s="12" t="str">
        <x:v>Location model input - competition/saturation context</x:v>
      </x:c>
      <x:c r="K915" s="12" t="str">
        <x:v>Business count is from 2018 while population/context indicators are newer; use as a historical proxy, not a current market count.</x:v>
      </x:c>
    </x:row>
    <x:row r="916">
      <x:c r="A916" s="12" t="str">
        <x:v>2640</x:v>
      </x:c>
      <x:c r="B916" s="12" t="str">
        <x:v>Manufacture of consumer electronics</x:v>
      </x:c>
      <x:c r="C916" s="12" t="str">
        <x:v>الزرقاء</x:v>
      </x:c>
      <x:c r="D916" s="14" t="n">
        <x:v>1</x:v>
      </x:c>
      <x:c r="E916" s="14" t="n">
        <x:f>VLOOKUP(C916,'Governorate Master'!$A$2:$Q$13,3,FALSE)</x:f>
        <x:v>1704500</x:v>
      </x:c>
      <x:c r="F916" s="66" t="n">
        <x:f>IF(E916=0,0,D916/E916*10000)</x:f>
        <x:v>0.005866823115283074</x:v>
      </x:c>
      <x:c r="G916" s="67" t="n">
        <x:f>VLOOKUP(C916,'Governorate Master'!$A$2:$Q$13,7,FALSE)</x:f>
        <x:v>358</x:v>
      </x:c>
      <x:c r="H916" s="20" t="n">
        <x:f>VLOOKUP(C916,'Governorate Master'!$A$2:$Q$13,6,FALSE)</x:f>
        <x:v>0.9636256966852449</x:v>
      </x:c>
      <x:c r="I916" s="20" t="n">
        <x:f>VLOOKUP(C916,'Governorate Master'!$A$2:$Q$13,15,FALSE)</x:f>
        <x:v>-0.06808762581409118</x:v>
      </x:c>
      <x:c r="J916" s="12" t="str">
        <x:v>Location model input - competition/saturation context</x:v>
      </x:c>
      <x:c r="K916" s="12" t="str">
        <x:v>Business count is from 2018 while population/context indicators are newer; use as a historical proxy, not a current market count.</x:v>
      </x:c>
    </x:row>
    <x:row r="917">
      <x:c r="A917" s="12" t="str">
        <x:v>2640</x:v>
      </x:c>
      <x:c r="B917" s="12" t="str">
        <x:v>Manufacture of consumer electronics</x:v>
      </x:c>
      <x:c r="C917" s="12" t="str">
        <x:v>مادبا</x:v>
      </x:c>
      <x:c r="D917" s="14" t="n">
        <x:v>0</x:v>
      </x:c>
      <x:c r="E917" s="14" t="n">
        <x:f>VLOOKUP(C917,'Governorate Master'!$A$2:$Q$13,3,FALSE)</x:f>
        <x:v>236200</x:v>
      </x:c>
      <x:c r="F917" s="66" t="n">
        <x:f>IF(E917=0,0,D917/E917*10000)</x:f>
        <x:v>0</x:v>
      </x:c>
      <x:c r="G917" s="67" t="n">
        <x:f>VLOOKUP(C917,'Governorate Master'!$A$2:$Q$13,7,FALSE)</x:f>
        <x:v>251.4</x:v>
      </x:c>
      <x:c r="H917" s="20" t="n">
        <x:f>VLOOKUP(C917,'Governorate Master'!$A$2:$Q$13,6,FALSE)</x:f>
        <x:v>0.7823878069432684</x:v>
      </x:c>
      <x:c r="I917" s="20" t="n">
        <x:f>VLOOKUP(C917,'Governorate Master'!$A$2:$Q$13,15,FALSE)</x:f>
        <x:v>-0.18823529411764706</x:v>
      </x:c>
      <x:c r="J917" s="12" t="str">
        <x:v>Location model input - competition/saturation context</x:v>
      </x:c>
      <x:c r="K917" s="12" t="str">
        <x:v>Business count is from 2018 while population/context indicators are newer; use as a historical proxy, not a current market count.</x:v>
      </x:c>
    </x:row>
    <x:row r="918">
      <x:c r="A918" s="12" t="str">
        <x:v>2640</x:v>
      </x:c>
      <x:c r="B918" s="12" t="str">
        <x:v>Manufacture of consumer electronics</x:v>
      </x:c>
      <x:c r="C918" s="12" t="str">
        <x:v>إربد</x:v>
      </x:c>
      <x:c r="D918" s="14" t="n">
        <x:v>0</x:v>
      </x:c>
      <x:c r="E918" s="14" t="n">
        <x:f>VLOOKUP(C918,'Governorate Master'!$A$2:$Q$13,3,FALSE)</x:f>
        <x:v>2210500</x:v>
      </x:c>
      <x:c r="F918" s="66" t="n">
        <x:f>IF(E918=0,0,D918/E918*10000)</x:f>
        <x:v>0</x:v>
      </x:c>
      <x:c r="G918" s="67" t="n">
        <x:f>VLOOKUP(C918,'Governorate Master'!$A$2:$Q$13,7,FALSE)</x:f>
        <x:v>1406.4</x:v>
      </x:c>
      <x:c r="H918" s="20" t="n">
        <x:f>VLOOKUP(C918,'Governorate Master'!$A$2:$Q$13,6,FALSE)</x:f>
        <x:v>0.9235014702555983</x:v>
      </x:c>
      <x:c r="I918" s="20" t="n">
        <x:f>VLOOKUP(C918,'Governorate Master'!$A$2:$Q$13,15,FALSE)</x:f>
        <x:v>0.07086922474549726</x:v>
      </x:c>
      <x:c r="J918" s="12" t="str">
        <x:v>Location model input - competition/saturation context</x:v>
      </x:c>
      <x:c r="K918" s="12" t="str">
        <x:v>Business count is from 2018 while population/context indicators are newer; use as a historical proxy, not a current market count.</x:v>
      </x:c>
    </x:row>
    <x:row r="919">
      <x:c r="A919" s="12" t="str">
        <x:v>2640</x:v>
      </x:c>
      <x:c r="B919" s="12" t="str">
        <x:v>Manufacture of consumer electronics</x:v>
      </x:c>
      <x:c r="C919" s="12" t="str">
        <x:v>المفرق</x:v>
      </x:c>
      <x:c r="D919" s="14" t="n">
        <x:v>0</x:v>
      </x:c>
      <x:c r="E919" s="14" t="n">
        <x:f>VLOOKUP(C919,'Governorate Master'!$A$2:$Q$13,3,FALSE)</x:f>
        <x:v>686800</x:v>
      </x:c>
      <x:c r="F919" s="66" t="n">
        <x:f>IF(E919=0,0,D919/E919*10000)</x:f>
        <x:v>0</x:v>
      </x:c>
      <x:c r="G919" s="67" t="n">
        <x:f>VLOOKUP(C919,'Governorate Master'!$A$2:$Q$13,7,FALSE)</x:f>
        <x:v>25.9</x:v>
      </x:c>
      <x:c r="H919" s="20" t="n">
        <x:f>VLOOKUP(C919,'Governorate Master'!$A$2:$Q$13,6,FALSE)</x:f>
        <x:v>0.6965637740244612</x:v>
      </x:c>
      <x:c r="I919" s="20" t="n">
        <x:f>VLOOKUP(C919,'Governorate Master'!$A$2:$Q$13,15,FALSE)</x:f>
        <x:v>-0.016638935108153077</x:v>
      </x:c>
      <x:c r="J919" s="12" t="str">
        <x:v>Location model input - competition/saturation context</x:v>
      </x:c>
      <x:c r="K919" s="12" t="str">
        <x:v>Business count is from 2018 while population/context indicators are newer; use as a historical proxy, not a current market count.</x:v>
      </x:c>
    </x:row>
    <x:row r="920">
      <x:c r="A920" s="12" t="str">
        <x:v>2640</x:v>
      </x:c>
      <x:c r="B920" s="12" t="str">
        <x:v>Manufacture of consumer electronics</x:v>
      </x:c>
      <x:c r="C920" s="12" t="str">
        <x:v>جرش</x:v>
      </x:c>
      <x:c r="D920" s="14" t="n">
        <x:v>0</x:v>
      </x:c>
      <x:c r="E920" s="14" t="n">
        <x:f>VLOOKUP(C920,'Governorate Master'!$A$2:$Q$13,3,FALSE)</x:f>
        <x:v>296000</x:v>
      </x:c>
      <x:c r="F920" s="66" t="n">
        <x:f>IF(E920=0,0,D920/E920*10000)</x:f>
        <x:v>0</x:v>
      </x:c>
      <x:c r="G920" s="67" t="n">
        <x:f>VLOOKUP(C920,'Governorate Master'!$A$2:$Q$13,7,FALSE)</x:f>
        <x:v>722.3</x:v>
      </x:c>
      <x:c r="H920" s="20" t="n">
        <x:f>VLOOKUP(C920,'Governorate Master'!$A$2:$Q$13,6,FALSE)</x:f>
        <x:v>0.7695945945945946</x:v>
      </x:c>
      <x:c r="I920" s="20" t="n">
        <x:f>VLOOKUP(C920,'Governorate Master'!$A$2:$Q$13,15,FALSE)</x:f>
        <x:v>-0.06527415143603134</x:v>
      </x:c>
      <x:c r="J920" s="12" t="str">
        <x:v>Location model input - competition/saturation context</x:v>
      </x:c>
      <x:c r="K920" s="12" t="str">
        <x:v>Business count is from 2018 while population/context indicators are newer; use as a historical proxy, not a current market count.</x:v>
      </x:c>
    </x:row>
    <x:row r="921">
      <x:c r="A921" s="12" t="str">
        <x:v>2640</x:v>
      </x:c>
      <x:c r="B921" s="12" t="str">
        <x:v>Manufacture of consumer electronics</x:v>
      </x:c>
      <x:c r="C921" s="12" t="str">
        <x:v>عجلون</x:v>
      </x:c>
      <x:c r="D921" s="14" t="n">
        <x:v>0</x:v>
      </x:c>
      <x:c r="E921" s="14" t="n">
        <x:f>VLOOKUP(C921,'Governorate Master'!$A$2:$Q$13,3,FALSE)</x:f>
        <x:v>219900</x:v>
      </x:c>
      <x:c r="F921" s="66" t="n">
        <x:f>IF(E921=0,0,D921/E921*10000)</x:f>
        <x:v>0</x:v>
      </x:c>
      <x:c r="G921" s="67" t="n">
        <x:f>VLOOKUP(C921,'Governorate Master'!$A$2:$Q$13,7,FALSE)</x:f>
        <x:v>524</x:v>
      </x:c>
      <x:c r="H921" s="20" t="n">
        <x:f>VLOOKUP(C921,'Governorate Master'!$A$2:$Q$13,6,FALSE)</x:f>
        <x:v>0.8390177353342428</x:v>
      </x:c>
      <x:c r="I921" s="20" t="n">
        <x:f>VLOOKUP(C921,'Governorate Master'!$A$2:$Q$13,15,FALSE)</x:f>
        <x:v>0.03614457831325301</x:v>
      </x:c>
      <x:c r="J921" s="12" t="str">
        <x:v>Location model input - competition/saturation context</x:v>
      </x:c>
      <x:c r="K921" s="12" t="str">
        <x:v>Business count is from 2018 while population/context indicators are newer; use as a historical proxy, not a current market count.</x:v>
      </x:c>
    </x:row>
    <x:row r="922">
      <x:c r="A922" s="12" t="str">
        <x:v>2640</x:v>
      </x:c>
      <x:c r="B922" s="12" t="str">
        <x:v>Manufacture of consumer electronics</x:v>
      </x:c>
      <x:c r="C922" s="12" t="str">
        <x:v>الكرك</x:v>
      </x:c>
      <x:c r="D922" s="14" t="n">
        <x:v>0</x:v>
      </x:c>
      <x:c r="E922" s="14" t="n">
        <x:f>VLOOKUP(C922,'Governorate Master'!$A$2:$Q$13,3,FALSE)</x:f>
        <x:v>395400</x:v>
      </x:c>
      <x:c r="F922" s="66" t="n">
        <x:f>IF(E922=0,0,D922/E922*10000)</x:f>
        <x:v>0</x:v>
      </x:c>
      <x:c r="G922" s="67" t="n">
        <x:f>VLOOKUP(C922,'Governorate Master'!$A$2:$Q$13,7,FALSE)</x:f>
        <x:v>113.1</x:v>
      </x:c>
      <x:c r="H922" s="20" t="n">
        <x:f>VLOOKUP(C922,'Governorate Master'!$A$2:$Q$13,6,FALSE)</x:f>
        <x:v>0.5912999494183105</x:v>
      </x:c>
      <x:c r="I922" s="20" t="n">
        <x:f>VLOOKUP(C922,'Governorate Master'!$A$2:$Q$13,15,FALSE)</x:f>
        <x:v>0.08710801393728224</x:v>
      </x:c>
      <x:c r="J922" s="12" t="str">
        <x:v>Location model input - competition/saturation context</x:v>
      </x:c>
      <x:c r="K922" s="12" t="str">
        <x:v>Business count is from 2018 while population/context indicators are newer; use as a historical proxy, not a current market count.</x:v>
      </x:c>
    </x:row>
    <x:row r="923">
      <x:c r="A923" s="12" t="str">
        <x:v>2640</x:v>
      </x:c>
      <x:c r="B923" s="12" t="str">
        <x:v>Manufacture of consumer electronics</x:v>
      </x:c>
      <x:c r="C923" s="12" t="str">
        <x:v>الطفيلة</x:v>
      </x:c>
      <x:c r="D923" s="14" t="n">
        <x:v>0</x:v>
      </x:c>
      <x:c r="E923" s="14" t="n">
        <x:f>VLOOKUP(C923,'Governorate Master'!$A$2:$Q$13,3,FALSE)</x:f>
        <x:v>120300</x:v>
      </x:c>
      <x:c r="F923" s="66" t="n">
        <x:f>IF(E923=0,0,D923/E923*10000)</x:f>
        <x:v>0</x:v>
      </x:c>
      <x:c r="G923" s="67" t="n">
        <x:f>VLOOKUP(C923,'Governorate Master'!$A$2:$Q$13,7,FALSE)</x:f>
        <x:v>54.4</x:v>
      </x:c>
      <x:c r="H923" s="20" t="n">
        <x:f>VLOOKUP(C923,'Governorate Master'!$A$2:$Q$13,6,FALSE)</x:f>
        <x:v>0.7797173732335827</x:v>
      </x:c>
      <x:c r="I923" s="20" t="n">
        <x:f>VLOOKUP(C923,'Governorate Master'!$A$2:$Q$13,15,FALSE)</x:f>
        <x:v>0.18452380952380953</x:v>
      </x:c>
      <x:c r="J923" s="12" t="str">
        <x:v>Location model input - competition/saturation context</x:v>
      </x:c>
      <x:c r="K923" s="12" t="str">
        <x:v>Business count is from 2018 while population/context indicators are newer; use as a historical proxy, not a current market count.</x:v>
      </x:c>
    </x:row>
    <x:row r="924">
      <x:c r="A924" s="12" t="str">
        <x:v>2640</x:v>
      </x:c>
      <x:c r="B924" s="12" t="str">
        <x:v>Manufacture of consumer electronics</x:v>
      </x:c>
      <x:c r="C924" s="12" t="str">
        <x:v>معان</x:v>
      </x:c>
      <x:c r="D924" s="14" t="n">
        <x:v>1</x:v>
      </x:c>
      <x:c r="E924" s="14" t="n">
        <x:f>VLOOKUP(C924,'Governorate Master'!$A$2:$Q$13,3,FALSE)</x:f>
        <x:v>197900</x:v>
      </x:c>
      <x:c r="F924" s="66" t="n">
        <x:f>IF(E924=0,0,D924/E924*10000)</x:f>
        <x:v>0.05053057099545225</x:v>
      </x:c>
      <x:c r="G924" s="67" t="n">
        <x:f>VLOOKUP(C924,'Governorate Master'!$A$2:$Q$13,7,FALSE)</x:f>
        <x:v>6</x:v>
      </x:c>
      <x:c r="H924" s="20" t="n">
        <x:f>VLOOKUP(C924,'Governorate Master'!$A$2:$Q$13,6,FALSE)</x:f>
        <x:v>0.5406771096513391</x:v>
      </x:c>
      <x:c r="I924" s="20" t="n">
        <x:f>VLOOKUP(C924,'Governorate Master'!$A$2:$Q$13,15,FALSE)</x:f>
        <x:v>0.026845637583892617</x:v>
      </x:c>
      <x:c r="J924" s="12" t="str">
        <x:v>Location model input - competition/saturation context</x:v>
      </x:c>
      <x:c r="K924" s="12" t="str">
        <x:v>Business count is from 2018 while population/context indicators are newer; use as a historical proxy, not a current market count.</x:v>
      </x:c>
    </x:row>
    <x:row r="925">
      <x:c r="A925" s="12" t="str">
        <x:v>2640</x:v>
      </x:c>
      <x:c r="B925" s="12" t="str">
        <x:v>Manufacture of consumer electronics</x:v>
      </x:c>
      <x:c r="C925" s="12" t="str">
        <x:v>العقبة</x:v>
      </x:c>
      <x:c r="D925" s="14" t="n">
        <x:v>0</x:v>
      </x:c>
      <x:c r="E925" s="14" t="n">
        <x:f>VLOOKUP(C925,'Governorate Master'!$A$2:$Q$13,3,FALSE)</x:f>
        <x:v>250900</x:v>
      </x:c>
      <x:c r="F925" s="66" t="n">
        <x:f>IF(E925=0,0,D925/E925*10000)</x:f>
        <x:v>0</x:v>
      </x:c>
      <x:c r="G925" s="67" t="n">
        <x:f>VLOOKUP(C925,'Governorate Master'!$A$2:$Q$13,7,FALSE)</x:f>
        <x:v>36.3</x:v>
      </x:c>
      <x:c r="H925" s="20" t="n">
        <x:f>VLOOKUP(C925,'Governorate Master'!$A$2:$Q$13,6,FALSE)</x:f>
        <x:v>0.882024711040255</x:v>
      </x:c>
      <x:c r="I925" s="20" t="n">
        <x:f>VLOOKUP(C925,'Governorate Master'!$A$2:$Q$13,15,FALSE)</x:f>
        <x:v>-0.09</x:v>
      </x:c>
      <x:c r="J925" s="12" t="str">
        <x:v>Location model input - competition/saturation context</x:v>
      </x:c>
      <x:c r="K925" s="12" t="str">
        <x:v>Business count is from 2018 while population/context indicators are newer; use as a historical proxy, not a current market count.</x:v>
      </x:c>
    </x:row>
    <x:row r="926">
      <x:c r="A926" s="12" t="str">
        <x:v>2660</x:v>
      </x:c>
      <x:c r="B926" s="12" t="str">
        <x:v>Manufacture of irradiation, electromedical and electrotherapeutic equipment</x:v>
      </x:c>
      <x:c r="C926" s="12" t="str">
        <x:v>عمان</x:v>
      </x:c>
      <x:c r="D926" s="14" t="n">
        <x:v>2</x:v>
      </x:c>
      <x:c r="E926" s="14" t="n">
        <x:f>VLOOKUP(C926,'Governorate Master'!$A$2:$Q$13,3,FALSE)</x:f>
        <x:v>5004600</x:v>
      </x:c>
      <x:c r="F926" s="66" t="n">
        <x:f>IF(E926=0,0,D926/E926*10000)</x:f>
        <x:v>0.003996323382488111</x:v>
      </x:c>
      <x:c r="G926" s="67" t="n">
        <x:f>VLOOKUP(C926,'Governorate Master'!$A$2:$Q$13,7,FALSE)</x:f>
        <x:v>660.3</x:v>
      </x:c>
      <x:c r="H926" s="20" t="n">
        <x:f>VLOOKUP(C926,'Governorate Master'!$A$2:$Q$13,6,FALSE)</x:f>
        <x:v>0.9721656076409703</x:v>
      </x:c>
      <x:c r="I926" s="20" t="n">
        <x:f>VLOOKUP(C926,'Governorate Master'!$A$2:$Q$13,15,FALSE)</x:f>
        <x:v>0.06367041198501873</x:v>
      </x:c>
      <x:c r="J926" s="12" t="str">
        <x:v>Location model input - competition/saturation context</x:v>
      </x:c>
      <x:c r="K926" s="12" t="str">
        <x:v>Business count is from 2018 while population/context indicators are newer; use as a historical proxy, not a current market count.</x:v>
      </x:c>
    </x:row>
    <x:row r="927">
      <x:c r="A927" s="12" t="str">
        <x:v>2660</x:v>
      </x:c>
      <x:c r="B927" s="12" t="str">
        <x:v>Manufacture of irradiation, electromedical and electrotherapeutic equipment</x:v>
      </x:c>
      <x:c r="C927" s="12" t="str">
        <x:v>البلقاء</x:v>
      </x:c>
      <x:c r="D927" s="14" t="n">
        <x:v>0</x:v>
      </x:c>
      <x:c r="E927" s="14" t="n">
        <x:f>VLOOKUP(C927,'Governorate Master'!$A$2:$Q$13,3,FALSE)</x:f>
        <x:v>614000</x:v>
      </x:c>
      <x:c r="F927" s="66" t="n">
        <x:f>IF(E927=0,0,D927/E927*10000)</x:f>
        <x:v>0</x:v>
      </x:c>
      <x:c r="G927" s="67" t="n">
        <x:f>VLOOKUP(C927,'Governorate Master'!$A$2:$Q$13,7,FALSE)</x:f>
        <x:v>548</x:v>
      </x:c>
      <x:c r="H927" s="20" t="n">
        <x:f>VLOOKUP(C927,'Governorate Master'!$A$2:$Q$13,6,FALSE)</x:f>
        <x:v>0.8210097719869707</x:v>
      </x:c>
      <x:c r="I927" s="20" t="n">
        <x:f>VLOOKUP(C927,'Governorate Master'!$A$2:$Q$13,15,FALSE)</x:f>
        <x:v>0.10794044665012408</x:v>
      </x:c>
      <x:c r="J927" s="12" t="str">
        <x:v>Location model input - competition/saturation context</x:v>
      </x:c>
      <x:c r="K927" s="12" t="str">
        <x:v>Business count is from 2018 while population/context indicators are newer; use as a historical proxy, not a current market count.</x:v>
      </x:c>
    </x:row>
    <x:row r="928">
      <x:c r="A928" s="12" t="str">
        <x:v>2660</x:v>
      </x:c>
      <x:c r="B928" s="12" t="str">
        <x:v>Manufacture of irradiation, electromedical and electrotherapeutic equipment</x:v>
      </x:c>
      <x:c r="C928" s="12" t="str">
        <x:v>الزرقاء</x:v>
      </x:c>
      <x:c r="D928" s="14" t="n">
        <x:v>0</x:v>
      </x:c>
      <x:c r="E928" s="14" t="n">
        <x:f>VLOOKUP(C928,'Governorate Master'!$A$2:$Q$13,3,FALSE)</x:f>
        <x:v>1704500</x:v>
      </x:c>
      <x:c r="F928" s="66" t="n">
        <x:f>IF(E928=0,0,D928/E928*10000)</x:f>
        <x:v>0</x:v>
      </x:c>
      <x:c r="G928" s="67" t="n">
        <x:f>VLOOKUP(C928,'Governorate Master'!$A$2:$Q$13,7,FALSE)</x:f>
        <x:v>358</x:v>
      </x:c>
      <x:c r="H928" s="20" t="n">
        <x:f>VLOOKUP(C928,'Governorate Master'!$A$2:$Q$13,6,FALSE)</x:f>
        <x:v>0.9636256966852449</x:v>
      </x:c>
      <x:c r="I928" s="20" t="n">
        <x:f>VLOOKUP(C928,'Governorate Master'!$A$2:$Q$13,15,FALSE)</x:f>
        <x:v>-0.06808762581409118</x:v>
      </x:c>
      <x:c r="J928" s="12" t="str">
        <x:v>Location model input - competition/saturation context</x:v>
      </x:c>
      <x:c r="K928" s="12" t="str">
        <x:v>Business count is from 2018 while population/context indicators are newer; use as a historical proxy, not a current market count.</x:v>
      </x:c>
    </x:row>
    <x:row r="929">
      <x:c r="A929" s="12" t="str">
        <x:v>2660</x:v>
      </x:c>
      <x:c r="B929" s="12" t="str">
        <x:v>Manufacture of irradiation, electromedical and electrotherapeutic equipment</x:v>
      </x:c>
      <x:c r="C929" s="12" t="str">
        <x:v>مادبا</x:v>
      </x:c>
      <x:c r="D929" s="14" t="n">
        <x:v>0</x:v>
      </x:c>
      <x:c r="E929" s="14" t="n">
        <x:f>VLOOKUP(C929,'Governorate Master'!$A$2:$Q$13,3,FALSE)</x:f>
        <x:v>236200</x:v>
      </x:c>
      <x:c r="F929" s="66" t="n">
        <x:f>IF(E929=0,0,D929/E929*10000)</x:f>
        <x:v>0</x:v>
      </x:c>
      <x:c r="G929" s="67" t="n">
        <x:f>VLOOKUP(C929,'Governorate Master'!$A$2:$Q$13,7,FALSE)</x:f>
        <x:v>251.4</x:v>
      </x:c>
      <x:c r="H929" s="20" t="n">
        <x:f>VLOOKUP(C929,'Governorate Master'!$A$2:$Q$13,6,FALSE)</x:f>
        <x:v>0.7823878069432684</x:v>
      </x:c>
      <x:c r="I929" s="20" t="n">
        <x:f>VLOOKUP(C929,'Governorate Master'!$A$2:$Q$13,15,FALSE)</x:f>
        <x:v>-0.18823529411764706</x:v>
      </x:c>
      <x:c r="J929" s="12" t="str">
        <x:v>Location model input - competition/saturation context</x:v>
      </x:c>
      <x:c r="K929" s="12" t="str">
        <x:v>Business count is from 2018 while population/context indicators are newer; use as a historical proxy, not a current market count.</x:v>
      </x:c>
    </x:row>
    <x:row r="930">
      <x:c r="A930" s="12" t="str">
        <x:v>2660</x:v>
      </x:c>
      <x:c r="B930" s="12" t="str">
        <x:v>Manufacture of irradiation, electromedical and electrotherapeutic equipment</x:v>
      </x:c>
      <x:c r="C930" s="12" t="str">
        <x:v>إربد</x:v>
      </x:c>
      <x:c r="D930" s="14" t="n">
        <x:v>0</x:v>
      </x:c>
      <x:c r="E930" s="14" t="n">
        <x:f>VLOOKUP(C930,'Governorate Master'!$A$2:$Q$13,3,FALSE)</x:f>
        <x:v>2210500</x:v>
      </x:c>
      <x:c r="F930" s="66" t="n">
        <x:f>IF(E930=0,0,D930/E930*10000)</x:f>
        <x:v>0</x:v>
      </x:c>
      <x:c r="G930" s="67" t="n">
        <x:f>VLOOKUP(C930,'Governorate Master'!$A$2:$Q$13,7,FALSE)</x:f>
        <x:v>1406.4</x:v>
      </x:c>
      <x:c r="H930" s="20" t="n">
        <x:f>VLOOKUP(C930,'Governorate Master'!$A$2:$Q$13,6,FALSE)</x:f>
        <x:v>0.9235014702555983</x:v>
      </x:c>
      <x:c r="I930" s="20" t="n">
        <x:f>VLOOKUP(C930,'Governorate Master'!$A$2:$Q$13,15,FALSE)</x:f>
        <x:v>0.07086922474549726</x:v>
      </x:c>
      <x:c r="J930" s="12" t="str">
        <x:v>Location model input - competition/saturation context</x:v>
      </x:c>
      <x:c r="K930" s="12" t="str">
        <x:v>Business count is from 2018 while population/context indicators are newer; use as a historical proxy, not a current market count.</x:v>
      </x:c>
    </x:row>
    <x:row r="931">
      <x:c r="A931" s="12" t="str">
        <x:v>2660</x:v>
      </x:c>
      <x:c r="B931" s="12" t="str">
        <x:v>Manufacture of irradiation, electromedical and electrotherapeutic equipment</x:v>
      </x:c>
      <x:c r="C931" s="12" t="str">
        <x:v>المفرق</x:v>
      </x:c>
      <x:c r="D931" s="14" t="n">
        <x:v>0</x:v>
      </x:c>
      <x:c r="E931" s="14" t="n">
        <x:f>VLOOKUP(C931,'Governorate Master'!$A$2:$Q$13,3,FALSE)</x:f>
        <x:v>686800</x:v>
      </x:c>
      <x:c r="F931" s="66" t="n">
        <x:f>IF(E931=0,0,D931/E931*10000)</x:f>
        <x:v>0</x:v>
      </x:c>
      <x:c r="G931" s="67" t="n">
        <x:f>VLOOKUP(C931,'Governorate Master'!$A$2:$Q$13,7,FALSE)</x:f>
        <x:v>25.9</x:v>
      </x:c>
      <x:c r="H931" s="20" t="n">
        <x:f>VLOOKUP(C931,'Governorate Master'!$A$2:$Q$13,6,FALSE)</x:f>
        <x:v>0.6965637740244612</x:v>
      </x:c>
      <x:c r="I931" s="20" t="n">
        <x:f>VLOOKUP(C931,'Governorate Master'!$A$2:$Q$13,15,FALSE)</x:f>
        <x:v>-0.016638935108153077</x:v>
      </x:c>
      <x:c r="J931" s="12" t="str">
        <x:v>Location model input - competition/saturation context</x:v>
      </x:c>
      <x:c r="K931" s="12" t="str">
        <x:v>Business count is from 2018 while population/context indicators are newer; use as a historical proxy, not a current market count.</x:v>
      </x:c>
    </x:row>
    <x:row r="932">
      <x:c r="A932" s="12" t="str">
        <x:v>2660</x:v>
      </x:c>
      <x:c r="B932" s="12" t="str">
        <x:v>Manufacture of irradiation, electromedical and electrotherapeutic equipment</x:v>
      </x:c>
      <x:c r="C932" s="12" t="str">
        <x:v>جرش</x:v>
      </x:c>
      <x:c r="D932" s="14" t="n">
        <x:v>0</x:v>
      </x:c>
      <x:c r="E932" s="14" t="n">
        <x:f>VLOOKUP(C932,'Governorate Master'!$A$2:$Q$13,3,FALSE)</x:f>
        <x:v>296000</x:v>
      </x:c>
      <x:c r="F932" s="66" t="n">
        <x:f>IF(E932=0,0,D932/E932*10000)</x:f>
        <x:v>0</x:v>
      </x:c>
      <x:c r="G932" s="67" t="n">
        <x:f>VLOOKUP(C932,'Governorate Master'!$A$2:$Q$13,7,FALSE)</x:f>
        <x:v>722.3</x:v>
      </x:c>
      <x:c r="H932" s="20" t="n">
        <x:f>VLOOKUP(C932,'Governorate Master'!$A$2:$Q$13,6,FALSE)</x:f>
        <x:v>0.7695945945945946</x:v>
      </x:c>
      <x:c r="I932" s="20" t="n">
        <x:f>VLOOKUP(C932,'Governorate Master'!$A$2:$Q$13,15,FALSE)</x:f>
        <x:v>-0.06527415143603134</x:v>
      </x:c>
      <x:c r="J932" s="12" t="str">
        <x:v>Location model input - competition/saturation context</x:v>
      </x:c>
      <x:c r="K932" s="12" t="str">
        <x:v>Business count is from 2018 while population/context indicators are newer; use as a historical proxy, not a current market count.</x:v>
      </x:c>
    </x:row>
    <x:row r="933">
      <x:c r="A933" s="12" t="str">
        <x:v>2660</x:v>
      </x:c>
      <x:c r="B933" s="12" t="str">
        <x:v>Manufacture of irradiation, electromedical and electrotherapeutic equipment</x:v>
      </x:c>
      <x:c r="C933" s="12" t="str">
        <x:v>عجلون</x:v>
      </x:c>
      <x:c r="D933" s="14" t="n">
        <x:v>0</x:v>
      </x:c>
      <x:c r="E933" s="14" t="n">
        <x:f>VLOOKUP(C933,'Governorate Master'!$A$2:$Q$13,3,FALSE)</x:f>
        <x:v>219900</x:v>
      </x:c>
      <x:c r="F933" s="66" t="n">
        <x:f>IF(E933=0,0,D933/E933*10000)</x:f>
        <x:v>0</x:v>
      </x:c>
      <x:c r="G933" s="67" t="n">
        <x:f>VLOOKUP(C933,'Governorate Master'!$A$2:$Q$13,7,FALSE)</x:f>
        <x:v>524</x:v>
      </x:c>
      <x:c r="H933" s="20" t="n">
        <x:f>VLOOKUP(C933,'Governorate Master'!$A$2:$Q$13,6,FALSE)</x:f>
        <x:v>0.8390177353342428</x:v>
      </x:c>
      <x:c r="I933" s="20" t="n">
        <x:f>VLOOKUP(C933,'Governorate Master'!$A$2:$Q$13,15,FALSE)</x:f>
        <x:v>0.03614457831325301</x:v>
      </x:c>
      <x:c r="J933" s="12" t="str">
        <x:v>Location model input - competition/saturation context</x:v>
      </x:c>
      <x:c r="K933" s="12" t="str">
        <x:v>Business count is from 2018 while population/context indicators are newer; use as a historical proxy, not a current market count.</x:v>
      </x:c>
    </x:row>
    <x:row r="934">
      <x:c r="A934" s="12" t="str">
        <x:v>2660</x:v>
      </x:c>
      <x:c r="B934" s="12" t="str">
        <x:v>Manufacture of irradiation, electromedical and electrotherapeutic equipment</x:v>
      </x:c>
      <x:c r="C934" s="12" t="str">
        <x:v>الكرك</x:v>
      </x:c>
      <x:c r="D934" s="14" t="n">
        <x:v>0</x:v>
      </x:c>
      <x:c r="E934" s="14" t="n">
        <x:f>VLOOKUP(C934,'Governorate Master'!$A$2:$Q$13,3,FALSE)</x:f>
        <x:v>395400</x:v>
      </x:c>
      <x:c r="F934" s="66" t="n">
        <x:f>IF(E934=0,0,D934/E934*10000)</x:f>
        <x:v>0</x:v>
      </x:c>
      <x:c r="G934" s="67" t="n">
        <x:f>VLOOKUP(C934,'Governorate Master'!$A$2:$Q$13,7,FALSE)</x:f>
        <x:v>113.1</x:v>
      </x:c>
      <x:c r="H934" s="20" t="n">
        <x:f>VLOOKUP(C934,'Governorate Master'!$A$2:$Q$13,6,FALSE)</x:f>
        <x:v>0.5912999494183105</x:v>
      </x:c>
      <x:c r="I934" s="20" t="n">
        <x:f>VLOOKUP(C934,'Governorate Master'!$A$2:$Q$13,15,FALSE)</x:f>
        <x:v>0.08710801393728224</x:v>
      </x:c>
      <x:c r="J934" s="12" t="str">
        <x:v>Location model input - competition/saturation context</x:v>
      </x:c>
      <x:c r="K934" s="12" t="str">
        <x:v>Business count is from 2018 while population/context indicators are newer; use as a historical proxy, not a current market count.</x:v>
      </x:c>
    </x:row>
    <x:row r="935">
      <x:c r="A935" s="12" t="str">
        <x:v>2660</x:v>
      </x:c>
      <x:c r="B935" s="12" t="str">
        <x:v>Manufacture of irradiation, electromedical and electrotherapeutic equipment</x:v>
      </x:c>
      <x:c r="C935" s="12" t="str">
        <x:v>الطفيلة</x:v>
      </x:c>
      <x:c r="D935" s="14" t="n">
        <x:v>0</x:v>
      </x:c>
      <x:c r="E935" s="14" t="n">
        <x:f>VLOOKUP(C935,'Governorate Master'!$A$2:$Q$13,3,FALSE)</x:f>
        <x:v>120300</x:v>
      </x:c>
      <x:c r="F935" s="66" t="n">
        <x:f>IF(E935=0,0,D935/E935*10000)</x:f>
        <x:v>0</x:v>
      </x:c>
      <x:c r="G935" s="67" t="n">
        <x:f>VLOOKUP(C935,'Governorate Master'!$A$2:$Q$13,7,FALSE)</x:f>
        <x:v>54.4</x:v>
      </x:c>
      <x:c r="H935" s="20" t="n">
        <x:f>VLOOKUP(C935,'Governorate Master'!$A$2:$Q$13,6,FALSE)</x:f>
        <x:v>0.7797173732335827</x:v>
      </x:c>
      <x:c r="I935" s="20" t="n">
        <x:f>VLOOKUP(C935,'Governorate Master'!$A$2:$Q$13,15,FALSE)</x:f>
        <x:v>0.18452380952380953</x:v>
      </x:c>
      <x:c r="J935" s="12" t="str">
        <x:v>Location model input - competition/saturation context</x:v>
      </x:c>
      <x:c r="K935" s="12" t="str">
        <x:v>Business count is from 2018 while population/context indicators are newer; use as a historical proxy, not a current market count.</x:v>
      </x:c>
    </x:row>
    <x:row r="936">
      <x:c r="A936" s="12" t="str">
        <x:v>2660</x:v>
      </x:c>
      <x:c r="B936" s="12" t="str">
        <x:v>Manufacture of irradiation, electromedical and electrotherapeutic equipment</x:v>
      </x:c>
      <x:c r="C936" s="12" t="str">
        <x:v>معان</x:v>
      </x:c>
      <x:c r="D936" s="14" t="n">
        <x:v>0</x:v>
      </x:c>
      <x:c r="E936" s="14" t="n">
        <x:f>VLOOKUP(C936,'Governorate Master'!$A$2:$Q$13,3,FALSE)</x:f>
        <x:v>197900</x:v>
      </x:c>
      <x:c r="F936" s="66" t="n">
        <x:f>IF(E936=0,0,D936/E936*10000)</x:f>
        <x:v>0</x:v>
      </x:c>
      <x:c r="G936" s="67" t="n">
        <x:f>VLOOKUP(C936,'Governorate Master'!$A$2:$Q$13,7,FALSE)</x:f>
        <x:v>6</x:v>
      </x:c>
      <x:c r="H936" s="20" t="n">
        <x:f>VLOOKUP(C936,'Governorate Master'!$A$2:$Q$13,6,FALSE)</x:f>
        <x:v>0.5406771096513391</x:v>
      </x:c>
      <x:c r="I936" s="20" t="n">
        <x:f>VLOOKUP(C936,'Governorate Master'!$A$2:$Q$13,15,FALSE)</x:f>
        <x:v>0.026845637583892617</x:v>
      </x:c>
      <x:c r="J936" s="12" t="str">
        <x:v>Location model input - competition/saturation context</x:v>
      </x:c>
      <x:c r="K936" s="12" t="str">
        <x:v>Business count is from 2018 while population/context indicators are newer; use as a historical proxy, not a current market count.</x:v>
      </x:c>
    </x:row>
    <x:row r="937">
      <x:c r="A937" s="12" t="str">
        <x:v>2660</x:v>
      </x:c>
      <x:c r="B937" s="12" t="str">
        <x:v>Manufacture of irradiation, electromedical and electrotherapeutic equipment</x:v>
      </x:c>
      <x:c r="C937" s="12" t="str">
        <x:v>العقبة</x:v>
      </x:c>
      <x:c r="D937" s="14" t="n">
        <x:v>0</x:v>
      </x:c>
      <x:c r="E937" s="14" t="n">
        <x:f>VLOOKUP(C937,'Governorate Master'!$A$2:$Q$13,3,FALSE)</x:f>
        <x:v>250900</x:v>
      </x:c>
      <x:c r="F937" s="66" t="n">
        <x:f>IF(E937=0,0,D937/E937*10000)</x:f>
        <x:v>0</x:v>
      </x:c>
      <x:c r="G937" s="67" t="n">
        <x:f>VLOOKUP(C937,'Governorate Master'!$A$2:$Q$13,7,FALSE)</x:f>
        <x:v>36.3</x:v>
      </x:c>
      <x:c r="H937" s="20" t="n">
        <x:f>VLOOKUP(C937,'Governorate Master'!$A$2:$Q$13,6,FALSE)</x:f>
        <x:v>0.882024711040255</x:v>
      </x:c>
      <x:c r="I937" s="20" t="n">
        <x:f>VLOOKUP(C937,'Governorate Master'!$A$2:$Q$13,15,FALSE)</x:f>
        <x:v>-0.09</x:v>
      </x:c>
      <x:c r="J937" s="12" t="str">
        <x:v>Location model input - competition/saturation context</x:v>
      </x:c>
      <x:c r="K937" s="12" t="str">
        <x:v>Business count is from 2018 while population/context indicators are newer; use as a historical proxy, not a current market count.</x:v>
      </x:c>
    </x:row>
    <x:row r="938">
      <x:c r="A938" s="12" t="str">
        <x:v>2680</x:v>
      </x:c>
      <x:c r="B938" s="12" t="str">
        <x:v>Manufacture of magnetic and optical media</x:v>
      </x:c>
      <x:c r="C938" s="12" t="str">
        <x:v>عمان</x:v>
      </x:c>
      <x:c r="D938" s="14" t="n">
        <x:v>1</x:v>
      </x:c>
      <x:c r="E938" s="14" t="n">
        <x:f>VLOOKUP(C938,'Governorate Master'!$A$2:$Q$13,3,FALSE)</x:f>
        <x:v>5004600</x:v>
      </x:c>
      <x:c r="F938" s="66" t="n">
        <x:f>IF(E938=0,0,D938/E938*10000)</x:f>
        <x:v>0.0019981616912440555</x:v>
      </x:c>
      <x:c r="G938" s="67" t="n">
        <x:f>VLOOKUP(C938,'Governorate Master'!$A$2:$Q$13,7,FALSE)</x:f>
        <x:v>660.3</x:v>
      </x:c>
      <x:c r="H938" s="20" t="n">
        <x:f>VLOOKUP(C938,'Governorate Master'!$A$2:$Q$13,6,FALSE)</x:f>
        <x:v>0.9721656076409703</x:v>
      </x:c>
      <x:c r="I938" s="20" t="n">
        <x:f>VLOOKUP(C938,'Governorate Master'!$A$2:$Q$13,15,FALSE)</x:f>
        <x:v>0.06367041198501873</x:v>
      </x:c>
      <x:c r="J938" s="12" t="str">
        <x:v>Location model input - competition/saturation context</x:v>
      </x:c>
      <x:c r="K938" s="12" t="str">
        <x:v>Business count is from 2018 while population/context indicators are newer; use as a historical proxy, not a current market count.</x:v>
      </x:c>
    </x:row>
    <x:row r="939">
      <x:c r="A939" s="12" t="str">
        <x:v>2680</x:v>
      </x:c>
      <x:c r="B939" s="12" t="str">
        <x:v>Manufacture of magnetic and optical media</x:v>
      </x:c>
      <x:c r="C939" s="12" t="str">
        <x:v>البلقاء</x:v>
      </x:c>
      <x:c r="D939" s="14" t="n">
        <x:v>0</x:v>
      </x:c>
      <x:c r="E939" s="14" t="n">
        <x:f>VLOOKUP(C939,'Governorate Master'!$A$2:$Q$13,3,FALSE)</x:f>
        <x:v>614000</x:v>
      </x:c>
      <x:c r="F939" s="66" t="n">
        <x:f>IF(E939=0,0,D939/E939*10000)</x:f>
        <x:v>0</x:v>
      </x:c>
      <x:c r="G939" s="67" t="n">
        <x:f>VLOOKUP(C939,'Governorate Master'!$A$2:$Q$13,7,FALSE)</x:f>
        <x:v>548</x:v>
      </x:c>
      <x:c r="H939" s="20" t="n">
        <x:f>VLOOKUP(C939,'Governorate Master'!$A$2:$Q$13,6,FALSE)</x:f>
        <x:v>0.8210097719869707</x:v>
      </x:c>
      <x:c r="I939" s="20" t="n">
        <x:f>VLOOKUP(C939,'Governorate Master'!$A$2:$Q$13,15,FALSE)</x:f>
        <x:v>0.10794044665012408</x:v>
      </x:c>
      <x:c r="J939" s="12" t="str">
        <x:v>Location model input - competition/saturation context</x:v>
      </x:c>
      <x:c r="K939" s="12" t="str">
        <x:v>Business count is from 2018 while population/context indicators are newer; use as a historical proxy, not a current market count.</x:v>
      </x:c>
    </x:row>
    <x:row r="940">
      <x:c r="A940" s="12" t="str">
        <x:v>2680</x:v>
      </x:c>
      <x:c r="B940" s="12" t="str">
        <x:v>Manufacture of magnetic and optical media</x:v>
      </x:c>
      <x:c r="C940" s="12" t="str">
        <x:v>الزرقاء</x:v>
      </x:c>
      <x:c r="D940" s="14" t="n">
        <x:v>0</x:v>
      </x:c>
      <x:c r="E940" s="14" t="n">
        <x:f>VLOOKUP(C940,'Governorate Master'!$A$2:$Q$13,3,FALSE)</x:f>
        <x:v>1704500</x:v>
      </x:c>
      <x:c r="F940" s="66" t="n">
        <x:f>IF(E940=0,0,D940/E940*10000)</x:f>
        <x:v>0</x:v>
      </x:c>
      <x:c r="G940" s="67" t="n">
        <x:f>VLOOKUP(C940,'Governorate Master'!$A$2:$Q$13,7,FALSE)</x:f>
        <x:v>358</x:v>
      </x:c>
      <x:c r="H940" s="20" t="n">
        <x:f>VLOOKUP(C940,'Governorate Master'!$A$2:$Q$13,6,FALSE)</x:f>
        <x:v>0.9636256966852449</x:v>
      </x:c>
      <x:c r="I940" s="20" t="n">
        <x:f>VLOOKUP(C940,'Governorate Master'!$A$2:$Q$13,15,FALSE)</x:f>
        <x:v>-0.06808762581409118</x:v>
      </x:c>
      <x:c r="J940" s="12" t="str">
        <x:v>Location model input - competition/saturation context</x:v>
      </x:c>
      <x:c r="K940" s="12" t="str">
        <x:v>Business count is from 2018 while population/context indicators are newer; use as a historical proxy, not a current market count.</x:v>
      </x:c>
    </x:row>
    <x:row r="941">
      <x:c r="A941" s="12" t="str">
        <x:v>2680</x:v>
      </x:c>
      <x:c r="B941" s="12" t="str">
        <x:v>Manufacture of magnetic and optical media</x:v>
      </x:c>
      <x:c r="C941" s="12" t="str">
        <x:v>مادبا</x:v>
      </x:c>
      <x:c r="D941" s="14" t="n">
        <x:v>0</x:v>
      </x:c>
      <x:c r="E941" s="14" t="n">
        <x:f>VLOOKUP(C941,'Governorate Master'!$A$2:$Q$13,3,FALSE)</x:f>
        <x:v>236200</x:v>
      </x:c>
      <x:c r="F941" s="66" t="n">
        <x:f>IF(E941=0,0,D941/E941*10000)</x:f>
        <x:v>0</x:v>
      </x:c>
      <x:c r="G941" s="67" t="n">
        <x:f>VLOOKUP(C941,'Governorate Master'!$A$2:$Q$13,7,FALSE)</x:f>
        <x:v>251.4</x:v>
      </x:c>
      <x:c r="H941" s="20" t="n">
        <x:f>VLOOKUP(C941,'Governorate Master'!$A$2:$Q$13,6,FALSE)</x:f>
        <x:v>0.7823878069432684</x:v>
      </x:c>
      <x:c r="I941" s="20" t="n">
        <x:f>VLOOKUP(C941,'Governorate Master'!$A$2:$Q$13,15,FALSE)</x:f>
        <x:v>-0.18823529411764706</x:v>
      </x:c>
      <x:c r="J941" s="12" t="str">
        <x:v>Location model input - competition/saturation context</x:v>
      </x:c>
      <x:c r="K941" s="12" t="str">
        <x:v>Business count is from 2018 while population/context indicators are newer; use as a historical proxy, not a current market count.</x:v>
      </x:c>
    </x:row>
    <x:row r="942">
      <x:c r="A942" s="12" t="str">
        <x:v>2680</x:v>
      </x:c>
      <x:c r="B942" s="12" t="str">
        <x:v>Manufacture of magnetic and optical media</x:v>
      </x:c>
      <x:c r="C942" s="12" t="str">
        <x:v>إربد</x:v>
      </x:c>
      <x:c r="D942" s="14" t="n">
        <x:v>0</x:v>
      </x:c>
      <x:c r="E942" s="14" t="n">
        <x:f>VLOOKUP(C942,'Governorate Master'!$A$2:$Q$13,3,FALSE)</x:f>
        <x:v>2210500</x:v>
      </x:c>
      <x:c r="F942" s="66" t="n">
        <x:f>IF(E942=0,0,D942/E942*10000)</x:f>
        <x:v>0</x:v>
      </x:c>
      <x:c r="G942" s="67" t="n">
        <x:f>VLOOKUP(C942,'Governorate Master'!$A$2:$Q$13,7,FALSE)</x:f>
        <x:v>1406.4</x:v>
      </x:c>
      <x:c r="H942" s="20" t="n">
        <x:f>VLOOKUP(C942,'Governorate Master'!$A$2:$Q$13,6,FALSE)</x:f>
        <x:v>0.9235014702555983</x:v>
      </x:c>
      <x:c r="I942" s="20" t="n">
        <x:f>VLOOKUP(C942,'Governorate Master'!$A$2:$Q$13,15,FALSE)</x:f>
        <x:v>0.07086922474549726</x:v>
      </x:c>
      <x:c r="J942" s="12" t="str">
        <x:v>Location model input - competition/saturation context</x:v>
      </x:c>
      <x:c r="K942" s="12" t="str">
        <x:v>Business count is from 2018 while population/context indicators are newer; use as a historical proxy, not a current market count.</x:v>
      </x:c>
    </x:row>
    <x:row r="943">
      <x:c r="A943" s="12" t="str">
        <x:v>2680</x:v>
      </x:c>
      <x:c r="B943" s="12" t="str">
        <x:v>Manufacture of magnetic and optical media</x:v>
      </x:c>
      <x:c r="C943" s="12" t="str">
        <x:v>المفرق</x:v>
      </x:c>
      <x:c r="D943" s="14" t="n">
        <x:v>0</x:v>
      </x:c>
      <x:c r="E943" s="14" t="n">
        <x:f>VLOOKUP(C943,'Governorate Master'!$A$2:$Q$13,3,FALSE)</x:f>
        <x:v>686800</x:v>
      </x:c>
      <x:c r="F943" s="66" t="n">
        <x:f>IF(E943=0,0,D943/E943*10000)</x:f>
        <x:v>0</x:v>
      </x:c>
      <x:c r="G943" s="67" t="n">
        <x:f>VLOOKUP(C943,'Governorate Master'!$A$2:$Q$13,7,FALSE)</x:f>
        <x:v>25.9</x:v>
      </x:c>
      <x:c r="H943" s="20" t="n">
        <x:f>VLOOKUP(C943,'Governorate Master'!$A$2:$Q$13,6,FALSE)</x:f>
        <x:v>0.6965637740244612</x:v>
      </x:c>
      <x:c r="I943" s="20" t="n">
        <x:f>VLOOKUP(C943,'Governorate Master'!$A$2:$Q$13,15,FALSE)</x:f>
        <x:v>-0.016638935108153077</x:v>
      </x:c>
      <x:c r="J943" s="12" t="str">
        <x:v>Location model input - competition/saturation context</x:v>
      </x:c>
      <x:c r="K943" s="12" t="str">
        <x:v>Business count is from 2018 while population/context indicators are newer; use as a historical proxy, not a current market count.</x:v>
      </x:c>
    </x:row>
    <x:row r="944">
      <x:c r="A944" s="12" t="str">
        <x:v>2680</x:v>
      </x:c>
      <x:c r="B944" s="12" t="str">
        <x:v>Manufacture of magnetic and optical media</x:v>
      </x:c>
      <x:c r="C944" s="12" t="str">
        <x:v>جرش</x:v>
      </x:c>
      <x:c r="D944" s="14" t="n">
        <x:v>0</x:v>
      </x:c>
      <x:c r="E944" s="14" t="n">
        <x:f>VLOOKUP(C944,'Governorate Master'!$A$2:$Q$13,3,FALSE)</x:f>
        <x:v>296000</x:v>
      </x:c>
      <x:c r="F944" s="66" t="n">
        <x:f>IF(E944=0,0,D944/E944*10000)</x:f>
        <x:v>0</x:v>
      </x:c>
      <x:c r="G944" s="67" t="n">
        <x:f>VLOOKUP(C944,'Governorate Master'!$A$2:$Q$13,7,FALSE)</x:f>
        <x:v>722.3</x:v>
      </x:c>
      <x:c r="H944" s="20" t="n">
        <x:f>VLOOKUP(C944,'Governorate Master'!$A$2:$Q$13,6,FALSE)</x:f>
        <x:v>0.7695945945945946</x:v>
      </x:c>
      <x:c r="I944" s="20" t="n">
        <x:f>VLOOKUP(C944,'Governorate Master'!$A$2:$Q$13,15,FALSE)</x:f>
        <x:v>-0.06527415143603134</x:v>
      </x:c>
      <x:c r="J944" s="12" t="str">
        <x:v>Location model input - competition/saturation context</x:v>
      </x:c>
      <x:c r="K944" s="12" t="str">
        <x:v>Business count is from 2018 while population/context indicators are newer; use as a historical proxy, not a current market count.</x:v>
      </x:c>
    </x:row>
    <x:row r="945">
      <x:c r="A945" s="12" t="str">
        <x:v>2680</x:v>
      </x:c>
      <x:c r="B945" s="12" t="str">
        <x:v>Manufacture of magnetic and optical media</x:v>
      </x:c>
      <x:c r="C945" s="12" t="str">
        <x:v>عجلون</x:v>
      </x:c>
      <x:c r="D945" s="14" t="n">
        <x:v>0</x:v>
      </x:c>
      <x:c r="E945" s="14" t="n">
        <x:f>VLOOKUP(C945,'Governorate Master'!$A$2:$Q$13,3,FALSE)</x:f>
        <x:v>219900</x:v>
      </x:c>
      <x:c r="F945" s="66" t="n">
        <x:f>IF(E945=0,0,D945/E945*10000)</x:f>
        <x:v>0</x:v>
      </x:c>
      <x:c r="G945" s="67" t="n">
        <x:f>VLOOKUP(C945,'Governorate Master'!$A$2:$Q$13,7,FALSE)</x:f>
        <x:v>524</x:v>
      </x:c>
      <x:c r="H945" s="20" t="n">
        <x:f>VLOOKUP(C945,'Governorate Master'!$A$2:$Q$13,6,FALSE)</x:f>
        <x:v>0.8390177353342428</x:v>
      </x:c>
      <x:c r="I945" s="20" t="n">
        <x:f>VLOOKUP(C945,'Governorate Master'!$A$2:$Q$13,15,FALSE)</x:f>
        <x:v>0.03614457831325301</x:v>
      </x:c>
      <x:c r="J945" s="12" t="str">
        <x:v>Location model input - competition/saturation context</x:v>
      </x:c>
      <x:c r="K945" s="12" t="str">
        <x:v>Business count is from 2018 while population/context indicators are newer; use as a historical proxy, not a current market count.</x:v>
      </x:c>
    </x:row>
    <x:row r="946">
      <x:c r="A946" s="12" t="str">
        <x:v>2680</x:v>
      </x:c>
      <x:c r="B946" s="12" t="str">
        <x:v>Manufacture of magnetic and optical media</x:v>
      </x:c>
      <x:c r="C946" s="12" t="str">
        <x:v>الكرك</x:v>
      </x:c>
      <x:c r="D946" s="14" t="n">
        <x:v>0</x:v>
      </x:c>
      <x:c r="E946" s="14" t="n">
        <x:f>VLOOKUP(C946,'Governorate Master'!$A$2:$Q$13,3,FALSE)</x:f>
        <x:v>395400</x:v>
      </x:c>
      <x:c r="F946" s="66" t="n">
        <x:f>IF(E946=0,0,D946/E946*10000)</x:f>
        <x:v>0</x:v>
      </x:c>
      <x:c r="G946" s="67" t="n">
        <x:f>VLOOKUP(C946,'Governorate Master'!$A$2:$Q$13,7,FALSE)</x:f>
        <x:v>113.1</x:v>
      </x:c>
      <x:c r="H946" s="20" t="n">
        <x:f>VLOOKUP(C946,'Governorate Master'!$A$2:$Q$13,6,FALSE)</x:f>
        <x:v>0.5912999494183105</x:v>
      </x:c>
      <x:c r="I946" s="20" t="n">
        <x:f>VLOOKUP(C946,'Governorate Master'!$A$2:$Q$13,15,FALSE)</x:f>
        <x:v>0.08710801393728224</x:v>
      </x:c>
      <x:c r="J946" s="12" t="str">
        <x:v>Location model input - competition/saturation context</x:v>
      </x:c>
      <x:c r="K946" s="12" t="str">
        <x:v>Business count is from 2018 while population/context indicators are newer; use as a historical proxy, not a current market count.</x:v>
      </x:c>
    </x:row>
    <x:row r="947">
      <x:c r="A947" s="12" t="str">
        <x:v>2680</x:v>
      </x:c>
      <x:c r="B947" s="12" t="str">
        <x:v>Manufacture of magnetic and optical media</x:v>
      </x:c>
      <x:c r="C947" s="12" t="str">
        <x:v>الطفيلة</x:v>
      </x:c>
      <x:c r="D947" s="14" t="n">
        <x:v>0</x:v>
      </x:c>
      <x:c r="E947" s="14" t="n">
        <x:f>VLOOKUP(C947,'Governorate Master'!$A$2:$Q$13,3,FALSE)</x:f>
        <x:v>120300</x:v>
      </x:c>
      <x:c r="F947" s="66" t="n">
        <x:f>IF(E947=0,0,D947/E947*10000)</x:f>
        <x:v>0</x:v>
      </x:c>
      <x:c r="G947" s="67" t="n">
        <x:f>VLOOKUP(C947,'Governorate Master'!$A$2:$Q$13,7,FALSE)</x:f>
        <x:v>54.4</x:v>
      </x:c>
      <x:c r="H947" s="20" t="n">
        <x:f>VLOOKUP(C947,'Governorate Master'!$A$2:$Q$13,6,FALSE)</x:f>
        <x:v>0.7797173732335827</x:v>
      </x:c>
      <x:c r="I947" s="20" t="n">
        <x:f>VLOOKUP(C947,'Governorate Master'!$A$2:$Q$13,15,FALSE)</x:f>
        <x:v>0.18452380952380953</x:v>
      </x:c>
      <x:c r="J947" s="12" t="str">
        <x:v>Location model input - competition/saturation context</x:v>
      </x:c>
      <x:c r="K947" s="12" t="str">
        <x:v>Business count is from 2018 while population/context indicators are newer; use as a historical proxy, not a current market count.</x:v>
      </x:c>
    </x:row>
    <x:row r="948">
      <x:c r="A948" s="12" t="str">
        <x:v>2680</x:v>
      </x:c>
      <x:c r="B948" s="12" t="str">
        <x:v>Manufacture of magnetic and optical media</x:v>
      </x:c>
      <x:c r="C948" s="12" t="str">
        <x:v>معان</x:v>
      </x:c>
      <x:c r="D948" s="14" t="n">
        <x:v>0</x:v>
      </x:c>
      <x:c r="E948" s="14" t="n">
        <x:f>VLOOKUP(C948,'Governorate Master'!$A$2:$Q$13,3,FALSE)</x:f>
        <x:v>197900</x:v>
      </x:c>
      <x:c r="F948" s="66" t="n">
        <x:f>IF(E948=0,0,D948/E948*10000)</x:f>
        <x:v>0</x:v>
      </x:c>
      <x:c r="G948" s="67" t="n">
        <x:f>VLOOKUP(C948,'Governorate Master'!$A$2:$Q$13,7,FALSE)</x:f>
        <x:v>6</x:v>
      </x:c>
      <x:c r="H948" s="20" t="n">
        <x:f>VLOOKUP(C948,'Governorate Master'!$A$2:$Q$13,6,FALSE)</x:f>
        <x:v>0.5406771096513391</x:v>
      </x:c>
      <x:c r="I948" s="20" t="n">
        <x:f>VLOOKUP(C948,'Governorate Master'!$A$2:$Q$13,15,FALSE)</x:f>
        <x:v>0.026845637583892617</x:v>
      </x:c>
      <x:c r="J948" s="12" t="str">
        <x:v>Location model input - competition/saturation context</x:v>
      </x:c>
      <x:c r="K948" s="12" t="str">
        <x:v>Business count is from 2018 while population/context indicators are newer; use as a historical proxy, not a current market count.</x:v>
      </x:c>
    </x:row>
    <x:row r="949">
      <x:c r="A949" s="12" t="str">
        <x:v>2680</x:v>
      </x:c>
      <x:c r="B949" s="12" t="str">
        <x:v>Manufacture of magnetic and optical media</x:v>
      </x:c>
      <x:c r="C949" s="12" t="str">
        <x:v>العقبة</x:v>
      </x:c>
      <x:c r="D949" s="14" t="n">
        <x:v>0</x:v>
      </x:c>
      <x:c r="E949" s="14" t="n">
        <x:f>VLOOKUP(C949,'Governorate Master'!$A$2:$Q$13,3,FALSE)</x:f>
        <x:v>250900</x:v>
      </x:c>
      <x:c r="F949" s="66" t="n">
        <x:f>IF(E949=0,0,D949/E949*10000)</x:f>
        <x:v>0</x:v>
      </x:c>
      <x:c r="G949" s="67" t="n">
        <x:f>VLOOKUP(C949,'Governorate Master'!$A$2:$Q$13,7,FALSE)</x:f>
        <x:v>36.3</x:v>
      </x:c>
      <x:c r="H949" s="20" t="n">
        <x:f>VLOOKUP(C949,'Governorate Master'!$A$2:$Q$13,6,FALSE)</x:f>
        <x:v>0.882024711040255</x:v>
      </x:c>
      <x:c r="I949" s="20" t="n">
        <x:f>VLOOKUP(C949,'Governorate Master'!$A$2:$Q$13,15,FALSE)</x:f>
        <x:v>-0.09</x:v>
      </x:c>
      <x:c r="J949" s="12" t="str">
        <x:v>Location model input - competition/saturation context</x:v>
      </x:c>
      <x:c r="K949" s="12" t="str">
        <x:v>Business count is from 2018 while population/context indicators are newer; use as a historical proxy, not a current market count.</x:v>
      </x:c>
    </x:row>
    <x:row r="950">
      <x:c r="A950" s="12" t="str">
        <x:v>2710</x:v>
      </x:c>
      <x:c r="B950" s="12" t="str">
        <x:v>Manufacture of electric motors, generators, transformers and electricity distribution and control apparatus</x:v>
      </x:c>
      <x:c r="C950" s="12" t="str">
        <x:v>عمان</x:v>
      </x:c>
      <x:c r="D950" s="14" t="n">
        <x:v>10</x:v>
      </x:c>
      <x:c r="E950" s="14" t="n">
        <x:f>VLOOKUP(C950,'Governorate Master'!$A$2:$Q$13,3,FALSE)</x:f>
        <x:v>5004600</x:v>
      </x:c>
      <x:c r="F950" s="66" t="n">
        <x:f>IF(E950=0,0,D950/E950*10000)</x:f>
        <x:v>0.019981616912440554</x:v>
      </x:c>
      <x:c r="G950" s="67" t="n">
        <x:f>VLOOKUP(C950,'Governorate Master'!$A$2:$Q$13,7,FALSE)</x:f>
        <x:v>660.3</x:v>
      </x:c>
      <x:c r="H950" s="20" t="n">
        <x:f>VLOOKUP(C950,'Governorate Master'!$A$2:$Q$13,6,FALSE)</x:f>
        <x:v>0.9721656076409703</x:v>
      </x:c>
      <x:c r="I950" s="20" t="n">
        <x:f>VLOOKUP(C950,'Governorate Master'!$A$2:$Q$13,15,FALSE)</x:f>
        <x:v>0.06367041198501873</x:v>
      </x:c>
      <x:c r="J950" s="12" t="str">
        <x:v>Location model input - competition/saturation context</x:v>
      </x:c>
      <x:c r="K950" s="12" t="str">
        <x:v>Business count is from 2018 while population/context indicators are newer; use as a historical proxy, not a current market count.</x:v>
      </x:c>
    </x:row>
    <x:row r="951">
      <x:c r="A951" s="12" t="str">
        <x:v>2710</x:v>
      </x:c>
      <x:c r="B951" s="12" t="str">
        <x:v>Manufacture of electric motors, generators, transformers and electricity distribution and control apparatus</x:v>
      </x:c>
      <x:c r="C951" s="12" t="str">
        <x:v>البلقاء</x:v>
      </x:c>
      <x:c r="D951" s="14" t="n">
        <x:v>0</x:v>
      </x:c>
      <x:c r="E951" s="14" t="n">
        <x:f>VLOOKUP(C951,'Governorate Master'!$A$2:$Q$13,3,FALSE)</x:f>
        <x:v>614000</x:v>
      </x:c>
      <x:c r="F951" s="66" t="n">
        <x:f>IF(E951=0,0,D951/E951*10000)</x:f>
        <x:v>0</x:v>
      </x:c>
      <x:c r="G951" s="67" t="n">
        <x:f>VLOOKUP(C951,'Governorate Master'!$A$2:$Q$13,7,FALSE)</x:f>
        <x:v>548</x:v>
      </x:c>
      <x:c r="H951" s="20" t="n">
        <x:f>VLOOKUP(C951,'Governorate Master'!$A$2:$Q$13,6,FALSE)</x:f>
        <x:v>0.8210097719869707</x:v>
      </x:c>
      <x:c r="I951" s="20" t="n">
        <x:f>VLOOKUP(C951,'Governorate Master'!$A$2:$Q$13,15,FALSE)</x:f>
        <x:v>0.10794044665012408</x:v>
      </x:c>
      <x:c r="J951" s="12" t="str">
        <x:v>Location model input - competition/saturation context</x:v>
      </x:c>
      <x:c r="K951" s="12" t="str">
        <x:v>Business count is from 2018 while population/context indicators are newer; use as a historical proxy, not a current market count.</x:v>
      </x:c>
    </x:row>
    <x:row r="952">
      <x:c r="A952" s="12" t="str">
        <x:v>2710</x:v>
      </x:c>
      <x:c r="B952" s="12" t="str">
        <x:v>Manufacture of electric motors, generators, transformers and electricity distribution and control apparatus</x:v>
      </x:c>
      <x:c r="C952" s="12" t="str">
        <x:v>الزرقاء</x:v>
      </x:c>
      <x:c r="D952" s="14" t="n">
        <x:v>1</x:v>
      </x:c>
      <x:c r="E952" s="14" t="n">
        <x:f>VLOOKUP(C952,'Governorate Master'!$A$2:$Q$13,3,FALSE)</x:f>
        <x:v>1704500</x:v>
      </x:c>
      <x:c r="F952" s="66" t="n">
        <x:f>IF(E952=0,0,D952/E952*10000)</x:f>
        <x:v>0.005866823115283074</x:v>
      </x:c>
      <x:c r="G952" s="67" t="n">
        <x:f>VLOOKUP(C952,'Governorate Master'!$A$2:$Q$13,7,FALSE)</x:f>
        <x:v>358</x:v>
      </x:c>
      <x:c r="H952" s="20" t="n">
        <x:f>VLOOKUP(C952,'Governorate Master'!$A$2:$Q$13,6,FALSE)</x:f>
        <x:v>0.9636256966852449</x:v>
      </x:c>
      <x:c r="I952" s="20" t="n">
        <x:f>VLOOKUP(C952,'Governorate Master'!$A$2:$Q$13,15,FALSE)</x:f>
        <x:v>-0.06808762581409118</x:v>
      </x:c>
      <x:c r="J952" s="12" t="str">
        <x:v>Location model input - competition/saturation context</x:v>
      </x:c>
      <x:c r="K952" s="12" t="str">
        <x:v>Business count is from 2018 while population/context indicators are newer; use as a historical proxy, not a current market count.</x:v>
      </x:c>
    </x:row>
    <x:row r="953">
      <x:c r="A953" s="12" t="str">
        <x:v>2710</x:v>
      </x:c>
      <x:c r="B953" s="12" t="str">
        <x:v>Manufacture of electric motors, generators, transformers and electricity distribution and control apparatus</x:v>
      </x:c>
      <x:c r="C953" s="12" t="str">
        <x:v>مادبا</x:v>
      </x:c>
      <x:c r="D953" s="14" t="n">
        <x:v>0</x:v>
      </x:c>
      <x:c r="E953" s="14" t="n">
        <x:f>VLOOKUP(C953,'Governorate Master'!$A$2:$Q$13,3,FALSE)</x:f>
        <x:v>236200</x:v>
      </x:c>
      <x:c r="F953" s="66" t="n">
        <x:f>IF(E953=0,0,D953/E953*10000)</x:f>
        <x:v>0</x:v>
      </x:c>
      <x:c r="G953" s="67" t="n">
        <x:f>VLOOKUP(C953,'Governorate Master'!$A$2:$Q$13,7,FALSE)</x:f>
        <x:v>251.4</x:v>
      </x:c>
      <x:c r="H953" s="20" t="n">
        <x:f>VLOOKUP(C953,'Governorate Master'!$A$2:$Q$13,6,FALSE)</x:f>
        <x:v>0.7823878069432684</x:v>
      </x:c>
      <x:c r="I953" s="20" t="n">
        <x:f>VLOOKUP(C953,'Governorate Master'!$A$2:$Q$13,15,FALSE)</x:f>
        <x:v>-0.18823529411764706</x:v>
      </x:c>
      <x:c r="J953" s="12" t="str">
        <x:v>Location model input - competition/saturation context</x:v>
      </x:c>
      <x:c r="K953" s="12" t="str">
        <x:v>Business count is from 2018 while population/context indicators are newer; use as a historical proxy, not a current market count.</x:v>
      </x:c>
    </x:row>
    <x:row r="954">
      <x:c r="A954" s="12" t="str">
        <x:v>2710</x:v>
      </x:c>
      <x:c r="B954" s="12" t="str">
        <x:v>Manufacture of electric motors, generators, transformers and electricity distribution and control apparatus</x:v>
      </x:c>
      <x:c r="C954" s="12" t="str">
        <x:v>إربد</x:v>
      </x:c>
      <x:c r="D954" s="14" t="n">
        <x:v>0</x:v>
      </x:c>
      <x:c r="E954" s="14" t="n">
        <x:f>VLOOKUP(C954,'Governorate Master'!$A$2:$Q$13,3,FALSE)</x:f>
        <x:v>2210500</x:v>
      </x:c>
      <x:c r="F954" s="66" t="n">
        <x:f>IF(E954=0,0,D954/E954*10000)</x:f>
        <x:v>0</x:v>
      </x:c>
      <x:c r="G954" s="67" t="n">
        <x:f>VLOOKUP(C954,'Governorate Master'!$A$2:$Q$13,7,FALSE)</x:f>
        <x:v>1406.4</x:v>
      </x:c>
      <x:c r="H954" s="20" t="n">
        <x:f>VLOOKUP(C954,'Governorate Master'!$A$2:$Q$13,6,FALSE)</x:f>
        <x:v>0.9235014702555983</x:v>
      </x:c>
      <x:c r="I954" s="20" t="n">
        <x:f>VLOOKUP(C954,'Governorate Master'!$A$2:$Q$13,15,FALSE)</x:f>
        <x:v>0.07086922474549726</x:v>
      </x:c>
      <x:c r="J954" s="12" t="str">
        <x:v>Location model input - competition/saturation context</x:v>
      </x:c>
      <x:c r="K954" s="12" t="str">
        <x:v>Business count is from 2018 while population/context indicators are newer; use as a historical proxy, not a current market count.</x:v>
      </x:c>
    </x:row>
    <x:row r="955">
      <x:c r="A955" s="12" t="str">
        <x:v>2710</x:v>
      </x:c>
      <x:c r="B955" s="12" t="str">
        <x:v>Manufacture of electric motors, generators, transformers and electricity distribution and control apparatus</x:v>
      </x:c>
      <x:c r="C955" s="12" t="str">
        <x:v>المفرق</x:v>
      </x:c>
      <x:c r="D955" s="14" t="n">
        <x:v>0</x:v>
      </x:c>
      <x:c r="E955" s="14" t="n">
        <x:f>VLOOKUP(C955,'Governorate Master'!$A$2:$Q$13,3,FALSE)</x:f>
        <x:v>686800</x:v>
      </x:c>
      <x:c r="F955" s="66" t="n">
        <x:f>IF(E955=0,0,D955/E955*10000)</x:f>
        <x:v>0</x:v>
      </x:c>
      <x:c r="G955" s="67" t="n">
        <x:f>VLOOKUP(C955,'Governorate Master'!$A$2:$Q$13,7,FALSE)</x:f>
        <x:v>25.9</x:v>
      </x:c>
      <x:c r="H955" s="20" t="n">
        <x:f>VLOOKUP(C955,'Governorate Master'!$A$2:$Q$13,6,FALSE)</x:f>
        <x:v>0.6965637740244612</x:v>
      </x:c>
      <x:c r="I955" s="20" t="n">
        <x:f>VLOOKUP(C955,'Governorate Master'!$A$2:$Q$13,15,FALSE)</x:f>
        <x:v>-0.016638935108153077</x:v>
      </x:c>
      <x:c r="J955" s="12" t="str">
        <x:v>Location model input - competition/saturation context</x:v>
      </x:c>
      <x:c r="K955" s="12" t="str">
        <x:v>Business count is from 2018 while population/context indicators are newer; use as a historical proxy, not a current market count.</x:v>
      </x:c>
    </x:row>
    <x:row r="956">
      <x:c r="A956" s="12" t="str">
        <x:v>2710</x:v>
      </x:c>
      <x:c r="B956" s="12" t="str">
        <x:v>Manufacture of electric motors, generators, transformers and electricity distribution and control apparatus</x:v>
      </x:c>
      <x:c r="C956" s="12" t="str">
        <x:v>جرش</x:v>
      </x:c>
      <x:c r="D956" s="14" t="n">
        <x:v>0</x:v>
      </x:c>
      <x:c r="E956" s="14" t="n">
        <x:f>VLOOKUP(C956,'Governorate Master'!$A$2:$Q$13,3,FALSE)</x:f>
        <x:v>296000</x:v>
      </x:c>
      <x:c r="F956" s="66" t="n">
        <x:f>IF(E956=0,0,D956/E956*10000)</x:f>
        <x:v>0</x:v>
      </x:c>
      <x:c r="G956" s="67" t="n">
        <x:f>VLOOKUP(C956,'Governorate Master'!$A$2:$Q$13,7,FALSE)</x:f>
        <x:v>722.3</x:v>
      </x:c>
      <x:c r="H956" s="20" t="n">
        <x:f>VLOOKUP(C956,'Governorate Master'!$A$2:$Q$13,6,FALSE)</x:f>
        <x:v>0.7695945945945946</x:v>
      </x:c>
      <x:c r="I956" s="20" t="n">
        <x:f>VLOOKUP(C956,'Governorate Master'!$A$2:$Q$13,15,FALSE)</x:f>
        <x:v>-0.06527415143603134</x:v>
      </x:c>
      <x:c r="J956" s="12" t="str">
        <x:v>Location model input - competition/saturation context</x:v>
      </x:c>
      <x:c r="K956" s="12" t="str">
        <x:v>Business count is from 2018 while population/context indicators are newer; use as a historical proxy, not a current market count.</x:v>
      </x:c>
    </x:row>
    <x:row r="957">
      <x:c r="A957" s="12" t="str">
        <x:v>2710</x:v>
      </x:c>
      <x:c r="B957" s="12" t="str">
        <x:v>Manufacture of electric motors, generators, transformers and electricity distribution and control apparatus</x:v>
      </x:c>
      <x:c r="C957" s="12" t="str">
        <x:v>عجلون</x:v>
      </x:c>
      <x:c r="D957" s="14" t="n">
        <x:v>0</x:v>
      </x:c>
      <x:c r="E957" s="14" t="n">
        <x:f>VLOOKUP(C957,'Governorate Master'!$A$2:$Q$13,3,FALSE)</x:f>
        <x:v>219900</x:v>
      </x:c>
      <x:c r="F957" s="66" t="n">
        <x:f>IF(E957=0,0,D957/E957*10000)</x:f>
        <x:v>0</x:v>
      </x:c>
      <x:c r="G957" s="67" t="n">
        <x:f>VLOOKUP(C957,'Governorate Master'!$A$2:$Q$13,7,FALSE)</x:f>
        <x:v>524</x:v>
      </x:c>
      <x:c r="H957" s="20" t="n">
        <x:f>VLOOKUP(C957,'Governorate Master'!$A$2:$Q$13,6,FALSE)</x:f>
        <x:v>0.8390177353342428</x:v>
      </x:c>
      <x:c r="I957" s="20" t="n">
        <x:f>VLOOKUP(C957,'Governorate Master'!$A$2:$Q$13,15,FALSE)</x:f>
        <x:v>0.03614457831325301</x:v>
      </x:c>
      <x:c r="J957" s="12" t="str">
        <x:v>Location model input - competition/saturation context</x:v>
      </x:c>
      <x:c r="K957" s="12" t="str">
        <x:v>Business count is from 2018 while population/context indicators are newer; use as a historical proxy, not a current market count.</x:v>
      </x:c>
    </x:row>
    <x:row r="958">
      <x:c r="A958" s="12" t="str">
        <x:v>2710</x:v>
      </x:c>
      <x:c r="B958" s="12" t="str">
        <x:v>Manufacture of electric motors, generators, transformers and electricity distribution and control apparatus</x:v>
      </x:c>
      <x:c r="C958" s="12" t="str">
        <x:v>الكرك</x:v>
      </x:c>
      <x:c r="D958" s="14" t="n">
        <x:v>1</x:v>
      </x:c>
      <x:c r="E958" s="14" t="n">
        <x:f>VLOOKUP(C958,'Governorate Master'!$A$2:$Q$13,3,FALSE)</x:f>
        <x:v>395400</x:v>
      </x:c>
      <x:c r="F958" s="66" t="n">
        <x:f>IF(E958=0,0,D958/E958*10000)</x:f>
        <x:v>0.025290844714213452</x:v>
      </x:c>
      <x:c r="G958" s="67" t="n">
        <x:f>VLOOKUP(C958,'Governorate Master'!$A$2:$Q$13,7,FALSE)</x:f>
        <x:v>113.1</x:v>
      </x:c>
      <x:c r="H958" s="20" t="n">
        <x:f>VLOOKUP(C958,'Governorate Master'!$A$2:$Q$13,6,FALSE)</x:f>
        <x:v>0.5912999494183105</x:v>
      </x:c>
      <x:c r="I958" s="20" t="n">
        <x:f>VLOOKUP(C958,'Governorate Master'!$A$2:$Q$13,15,FALSE)</x:f>
        <x:v>0.08710801393728224</x:v>
      </x:c>
      <x:c r="J958" s="12" t="str">
        <x:v>Location model input - competition/saturation context</x:v>
      </x:c>
      <x:c r="K958" s="12" t="str">
        <x:v>Business count is from 2018 while population/context indicators are newer; use as a historical proxy, not a current market count.</x:v>
      </x:c>
    </x:row>
    <x:row r="959">
      <x:c r="A959" s="12" t="str">
        <x:v>2710</x:v>
      </x:c>
      <x:c r="B959" s="12" t="str">
        <x:v>Manufacture of electric motors, generators, transformers and electricity distribution and control apparatus</x:v>
      </x:c>
      <x:c r="C959" s="12" t="str">
        <x:v>الطفيلة</x:v>
      </x:c>
      <x:c r="D959" s="14" t="n">
        <x:v>0</x:v>
      </x:c>
      <x:c r="E959" s="14" t="n">
        <x:f>VLOOKUP(C959,'Governorate Master'!$A$2:$Q$13,3,FALSE)</x:f>
        <x:v>120300</x:v>
      </x:c>
      <x:c r="F959" s="66" t="n">
        <x:f>IF(E959=0,0,D959/E959*10000)</x:f>
        <x:v>0</x:v>
      </x:c>
      <x:c r="G959" s="67" t="n">
        <x:f>VLOOKUP(C959,'Governorate Master'!$A$2:$Q$13,7,FALSE)</x:f>
        <x:v>54.4</x:v>
      </x:c>
      <x:c r="H959" s="20" t="n">
        <x:f>VLOOKUP(C959,'Governorate Master'!$A$2:$Q$13,6,FALSE)</x:f>
        <x:v>0.7797173732335827</x:v>
      </x:c>
      <x:c r="I959" s="20" t="n">
        <x:f>VLOOKUP(C959,'Governorate Master'!$A$2:$Q$13,15,FALSE)</x:f>
        <x:v>0.18452380952380953</x:v>
      </x:c>
      <x:c r="J959" s="12" t="str">
        <x:v>Location model input - competition/saturation context</x:v>
      </x:c>
      <x:c r="K959" s="12" t="str">
        <x:v>Business count is from 2018 while population/context indicators are newer; use as a historical proxy, not a current market count.</x:v>
      </x:c>
    </x:row>
    <x:row r="960">
      <x:c r="A960" s="12" t="str">
        <x:v>2710</x:v>
      </x:c>
      <x:c r="B960" s="12" t="str">
        <x:v>Manufacture of electric motors, generators, transformers and electricity distribution and control apparatus</x:v>
      </x:c>
      <x:c r="C960" s="12" t="str">
        <x:v>معان</x:v>
      </x:c>
      <x:c r="D960" s="14" t="n">
        <x:v>0</x:v>
      </x:c>
      <x:c r="E960" s="14" t="n">
        <x:f>VLOOKUP(C960,'Governorate Master'!$A$2:$Q$13,3,FALSE)</x:f>
        <x:v>197900</x:v>
      </x:c>
      <x:c r="F960" s="66" t="n">
        <x:f>IF(E960=0,0,D960/E960*10000)</x:f>
        <x:v>0</x:v>
      </x:c>
      <x:c r="G960" s="67" t="n">
        <x:f>VLOOKUP(C960,'Governorate Master'!$A$2:$Q$13,7,FALSE)</x:f>
        <x:v>6</x:v>
      </x:c>
      <x:c r="H960" s="20" t="n">
        <x:f>VLOOKUP(C960,'Governorate Master'!$A$2:$Q$13,6,FALSE)</x:f>
        <x:v>0.5406771096513391</x:v>
      </x:c>
      <x:c r="I960" s="20" t="n">
        <x:f>VLOOKUP(C960,'Governorate Master'!$A$2:$Q$13,15,FALSE)</x:f>
        <x:v>0.026845637583892617</x:v>
      </x:c>
      <x:c r="J960" s="12" t="str">
        <x:v>Location model input - competition/saturation context</x:v>
      </x:c>
      <x:c r="K960" s="12" t="str">
        <x:v>Business count is from 2018 while population/context indicators are newer; use as a historical proxy, not a current market count.</x:v>
      </x:c>
    </x:row>
    <x:row r="961">
      <x:c r="A961" s="12" t="str">
        <x:v>2710</x:v>
      </x:c>
      <x:c r="B961" s="12" t="str">
        <x:v>Manufacture of electric motors, generators, transformers and electricity distribution and control apparatus</x:v>
      </x:c>
      <x:c r="C961" s="12" t="str">
        <x:v>العقبة</x:v>
      </x:c>
      <x:c r="D961" s="14" t="n">
        <x:v>0</x:v>
      </x:c>
      <x:c r="E961" s="14" t="n">
        <x:f>VLOOKUP(C961,'Governorate Master'!$A$2:$Q$13,3,FALSE)</x:f>
        <x:v>250900</x:v>
      </x:c>
      <x:c r="F961" s="66" t="n">
        <x:f>IF(E961=0,0,D961/E961*10000)</x:f>
        <x:v>0</x:v>
      </x:c>
      <x:c r="G961" s="67" t="n">
        <x:f>VLOOKUP(C961,'Governorate Master'!$A$2:$Q$13,7,FALSE)</x:f>
        <x:v>36.3</x:v>
      </x:c>
      <x:c r="H961" s="20" t="n">
        <x:f>VLOOKUP(C961,'Governorate Master'!$A$2:$Q$13,6,FALSE)</x:f>
        <x:v>0.882024711040255</x:v>
      </x:c>
      <x:c r="I961" s="20" t="n">
        <x:f>VLOOKUP(C961,'Governorate Master'!$A$2:$Q$13,15,FALSE)</x:f>
        <x:v>-0.09</x:v>
      </x:c>
      <x:c r="J961" s="12" t="str">
        <x:v>Location model input - competition/saturation context</x:v>
      </x:c>
      <x:c r="K961" s="12" t="str">
        <x:v>Business count is from 2018 while population/context indicators are newer; use as a historical proxy, not a current market count.</x:v>
      </x:c>
    </x:row>
    <x:row r="962">
      <x:c r="A962" s="12" t="str">
        <x:v>2720</x:v>
      </x:c>
      <x:c r="B962" s="12" t="str">
        <x:v>Manufacture of batteries and accumulators</x:v>
      </x:c>
      <x:c r="C962" s="12" t="str">
        <x:v>عمان</x:v>
      </x:c>
      <x:c r="D962" s="14" t="n">
        <x:v>3</x:v>
      </x:c>
      <x:c r="E962" s="14" t="n">
        <x:f>VLOOKUP(C962,'Governorate Master'!$A$2:$Q$13,3,FALSE)</x:f>
        <x:v>5004600</x:v>
      </x:c>
      <x:c r="F962" s="66" t="n">
        <x:f>IF(E962=0,0,D962/E962*10000)</x:f>
        <x:v>0.005994485073732166</x:v>
      </x:c>
      <x:c r="G962" s="67" t="n">
        <x:f>VLOOKUP(C962,'Governorate Master'!$A$2:$Q$13,7,FALSE)</x:f>
        <x:v>660.3</x:v>
      </x:c>
      <x:c r="H962" s="20" t="n">
        <x:f>VLOOKUP(C962,'Governorate Master'!$A$2:$Q$13,6,FALSE)</x:f>
        <x:v>0.9721656076409703</x:v>
      </x:c>
      <x:c r="I962" s="20" t="n">
        <x:f>VLOOKUP(C962,'Governorate Master'!$A$2:$Q$13,15,FALSE)</x:f>
        <x:v>0.06367041198501873</x:v>
      </x:c>
      <x:c r="J962" s="12" t="str">
        <x:v>Location model input - competition/saturation context</x:v>
      </x:c>
      <x:c r="K962" s="12" t="str">
        <x:v>Business count is from 2018 while population/context indicators are newer; use as a historical proxy, not a current market count.</x:v>
      </x:c>
    </x:row>
    <x:row r="963">
      <x:c r="A963" s="12" t="str">
        <x:v>2720</x:v>
      </x:c>
      <x:c r="B963" s="12" t="str">
        <x:v>Manufacture of batteries and accumulators</x:v>
      </x:c>
      <x:c r="C963" s="12" t="str">
        <x:v>البلقاء</x:v>
      </x:c>
      <x:c r="D963" s="14" t="n">
        <x:v>0</x:v>
      </x:c>
      <x:c r="E963" s="14" t="n">
        <x:f>VLOOKUP(C963,'Governorate Master'!$A$2:$Q$13,3,FALSE)</x:f>
        <x:v>614000</x:v>
      </x:c>
      <x:c r="F963" s="66" t="n">
        <x:f>IF(E963=0,0,D963/E963*10000)</x:f>
        <x:v>0</x:v>
      </x:c>
      <x:c r="G963" s="67" t="n">
        <x:f>VLOOKUP(C963,'Governorate Master'!$A$2:$Q$13,7,FALSE)</x:f>
        <x:v>548</x:v>
      </x:c>
      <x:c r="H963" s="20" t="n">
        <x:f>VLOOKUP(C963,'Governorate Master'!$A$2:$Q$13,6,FALSE)</x:f>
        <x:v>0.8210097719869707</x:v>
      </x:c>
      <x:c r="I963" s="20" t="n">
        <x:f>VLOOKUP(C963,'Governorate Master'!$A$2:$Q$13,15,FALSE)</x:f>
        <x:v>0.10794044665012408</x:v>
      </x:c>
      <x:c r="J963" s="12" t="str">
        <x:v>Location model input - competition/saturation context</x:v>
      </x:c>
      <x:c r="K963" s="12" t="str">
        <x:v>Business count is from 2018 while population/context indicators are newer; use as a historical proxy, not a current market count.</x:v>
      </x:c>
    </x:row>
    <x:row r="964">
      <x:c r="A964" s="12" t="str">
        <x:v>2720</x:v>
      </x:c>
      <x:c r="B964" s="12" t="str">
        <x:v>Manufacture of batteries and accumulators</x:v>
      </x:c>
      <x:c r="C964" s="12" t="str">
        <x:v>الزرقاء</x:v>
      </x:c>
      <x:c r="D964" s="14" t="n">
        <x:v>0</x:v>
      </x:c>
      <x:c r="E964" s="14" t="n">
        <x:f>VLOOKUP(C964,'Governorate Master'!$A$2:$Q$13,3,FALSE)</x:f>
        <x:v>1704500</x:v>
      </x:c>
      <x:c r="F964" s="66" t="n">
        <x:f>IF(E964=0,0,D964/E964*10000)</x:f>
        <x:v>0</x:v>
      </x:c>
      <x:c r="G964" s="67" t="n">
        <x:f>VLOOKUP(C964,'Governorate Master'!$A$2:$Q$13,7,FALSE)</x:f>
        <x:v>358</x:v>
      </x:c>
      <x:c r="H964" s="20" t="n">
        <x:f>VLOOKUP(C964,'Governorate Master'!$A$2:$Q$13,6,FALSE)</x:f>
        <x:v>0.9636256966852449</x:v>
      </x:c>
      <x:c r="I964" s="20" t="n">
        <x:f>VLOOKUP(C964,'Governorate Master'!$A$2:$Q$13,15,FALSE)</x:f>
        <x:v>-0.06808762581409118</x:v>
      </x:c>
      <x:c r="J964" s="12" t="str">
        <x:v>Location model input - competition/saturation context</x:v>
      </x:c>
      <x:c r="K964" s="12" t="str">
        <x:v>Business count is from 2018 while population/context indicators are newer; use as a historical proxy, not a current market count.</x:v>
      </x:c>
    </x:row>
    <x:row r="965">
      <x:c r="A965" s="12" t="str">
        <x:v>2720</x:v>
      </x:c>
      <x:c r="B965" s="12" t="str">
        <x:v>Manufacture of batteries and accumulators</x:v>
      </x:c>
      <x:c r="C965" s="12" t="str">
        <x:v>مادبا</x:v>
      </x:c>
      <x:c r="D965" s="14" t="n">
        <x:v>0</x:v>
      </x:c>
      <x:c r="E965" s="14" t="n">
        <x:f>VLOOKUP(C965,'Governorate Master'!$A$2:$Q$13,3,FALSE)</x:f>
        <x:v>236200</x:v>
      </x:c>
      <x:c r="F965" s="66" t="n">
        <x:f>IF(E965=0,0,D965/E965*10000)</x:f>
        <x:v>0</x:v>
      </x:c>
      <x:c r="G965" s="67" t="n">
        <x:f>VLOOKUP(C965,'Governorate Master'!$A$2:$Q$13,7,FALSE)</x:f>
        <x:v>251.4</x:v>
      </x:c>
      <x:c r="H965" s="20" t="n">
        <x:f>VLOOKUP(C965,'Governorate Master'!$A$2:$Q$13,6,FALSE)</x:f>
        <x:v>0.7823878069432684</x:v>
      </x:c>
      <x:c r="I965" s="20" t="n">
        <x:f>VLOOKUP(C965,'Governorate Master'!$A$2:$Q$13,15,FALSE)</x:f>
        <x:v>-0.18823529411764706</x:v>
      </x:c>
      <x:c r="J965" s="12" t="str">
        <x:v>Location model input - competition/saturation context</x:v>
      </x:c>
      <x:c r="K965" s="12" t="str">
        <x:v>Business count is from 2018 while population/context indicators are newer; use as a historical proxy, not a current market count.</x:v>
      </x:c>
    </x:row>
    <x:row r="966">
      <x:c r="A966" s="12" t="str">
        <x:v>2720</x:v>
      </x:c>
      <x:c r="B966" s="12" t="str">
        <x:v>Manufacture of batteries and accumulators</x:v>
      </x:c>
      <x:c r="C966" s="12" t="str">
        <x:v>إربد</x:v>
      </x:c>
      <x:c r="D966" s="14" t="n">
        <x:v>0</x:v>
      </x:c>
      <x:c r="E966" s="14" t="n">
        <x:f>VLOOKUP(C966,'Governorate Master'!$A$2:$Q$13,3,FALSE)</x:f>
        <x:v>2210500</x:v>
      </x:c>
      <x:c r="F966" s="66" t="n">
        <x:f>IF(E966=0,0,D966/E966*10000)</x:f>
        <x:v>0</x:v>
      </x:c>
      <x:c r="G966" s="67" t="n">
        <x:f>VLOOKUP(C966,'Governorate Master'!$A$2:$Q$13,7,FALSE)</x:f>
        <x:v>1406.4</x:v>
      </x:c>
      <x:c r="H966" s="20" t="n">
        <x:f>VLOOKUP(C966,'Governorate Master'!$A$2:$Q$13,6,FALSE)</x:f>
        <x:v>0.9235014702555983</x:v>
      </x:c>
      <x:c r="I966" s="20" t="n">
        <x:f>VLOOKUP(C966,'Governorate Master'!$A$2:$Q$13,15,FALSE)</x:f>
        <x:v>0.07086922474549726</x:v>
      </x:c>
      <x:c r="J966" s="12" t="str">
        <x:v>Location model input - competition/saturation context</x:v>
      </x:c>
      <x:c r="K966" s="12" t="str">
        <x:v>Business count is from 2018 while population/context indicators are newer; use as a historical proxy, not a current market count.</x:v>
      </x:c>
    </x:row>
    <x:row r="967">
      <x:c r="A967" s="12" t="str">
        <x:v>2720</x:v>
      </x:c>
      <x:c r="B967" s="12" t="str">
        <x:v>Manufacture of batteries and accumulators</x:v>
      </x:c>
      <x:c r="C967" s="12" t="str">
        <x:v>المفرق</x:v>
      </x:c>
      <x:c r="D967" s="14" t="n">
        <x:v>0</x:v>
      </x:c>
      <x:c r="E967" s="14" t="n">
        <x:f>VLOOKUP(C967,'Governorate Master'!$A$2:$Q$13,3,FALSE)</x:f>
        <x:v>686800</x:v>
      </x:c>
      <x:c r="F967" s="66" t="n">
        <x:f>IF(E967=0,0,D967/E967*10000)</x:f>
        <x:v>0</x:v>
      </x:c>
      <x:c r="G967" s="67" t="n">
        <x:f>VLOOKUP(C967,'Governorate Master'!$A$2:$Q$13,7,FALSE)</x:f>
        <x:v>25.9</x:v>
      </x:c>
      <x:c r="H967" s="20" t="n">
        <x:f>VLOOKUP(C967,'Governorate Master'!$A$2:$Q$13,6,FALSE)</x:f>
        <x:v>0.6965637740244612</x:v>
      </x:c>
      <x:c r="I967" s="20" t="n">
        <x:f>VLOOKUP(C967,'Governorate Master'!$A$2:$Q$13,15,FALSE)</x:f>
        <x:v>-0.016638935108153077</x:v>
      </x:c>
      <x:c r="J967" s="12" t="str">
        <x:v>Location model input - competition/saturation context</x:v>
      </x:c>
      <x:c r="K967" s="12" t="str">
        <x:v>Business count is from 2018 while population/context indicators are newer; use as a historical proxy, not a current market count.</x:v>
      </x:c>
    </x:row>
    <x:row r="968">
      <x:c r="A968" s="12" t="str">
        <x:v>2720</x:v>
      </x:c>
      <x:c r="B968" s="12" t="str">
        <x:v>Manufacture of batteries and accumulators</x:v>
      </x:c>
      <x:c r="C968" s="12" t="str">
        <x:v>جرش</x:v>
      </x:c>
      <x:c r="D968" s="14" t="n">
        <x:v>0</x:v>
      </x:c>
      <x:c r="E968" s="14" t="n">
        <x:f>VLOOKUP(C968,'Governorate Master'!$A$2:$Q$13,3,FALSE)</x:f>
        <x:v>296000</x:v>
      </x:c>
      <x:c r="F968" s="66" t="n">
        <x:f>IF(E968=0,0,D968/E968*10000)</x:f>
        <x:v>0</x:v>
      </x:c>
      <x:c r="G968" s="67" t="n">
        <x:f>VLOOKUP(C968,'Governorate Master'!$A$2:$Q$13,7,FALSE)</x:f>
        <x:v>722.3</x:v>
      </x:c>
      <x:c r="H968" s="20" t="n">
        <x:f>VLOOKUP(C968,'Governorate Master'!$A$2:$Q$13,6,FALSE)</x:f>
        <x:v>0.7695945945945946</x:v>
      </x:c>
      <x:c r="I968" s="20" t="n">
        <x:f>VLOOKUP(C968,'Governorate Master'!$A$2:$Q$13,15,FALSE)</x:f>
        <x:v>-0.06527415143603134</x:v>
      </x:c>
      <x:c r="J968" s="12" t="str">
        <x:v>Location model input - competition/saturation context</x:v>
      </x:c>
      <x:c r="K968" s="12" t="str">
        <x:v>Business count is from 2018 while population/context indicators are newer; use as a historical proxy, not a current market count.</x:v>
      </x:c>
    </x:row>
    <x:row r="969">
      <x:c r="A969" s="12" t="str">
        <x:v>2720</x:v>
      </x:c>
      <x:c r="B969" s="12" t="str">
        <x:v>Manufacture of batteries and accumulators</x:v>
      </x:c>
      <x:c r="C969" s="12" t="str">
        <x:v>عجلون</x:v>
      </x:c>
      <x:c r="D969" s="14" t="n">
        <x:v>0</x:v>
      </x:c>
      <x:c r="E969" s="14" t="n">
        <x:f>VLOOKUP(C969,'Governorate Master'!$A$2:$Q$13,3,FALSE)</x:f>
        <x:v>219900</x:v>
      </x:c>
      <x:c r="F969" s="66" t="n">
        <x:f>IF(E969=0,0,D969/E969*10000)</x:f>
        <x:v>0</x:v>
      </x:c>
      <x:c r="G969" s="67" t="n">
        <x:f>VLOOKUP(C969,'Governorate Master'!$A$2:$Q$13,7,FALSE)</x:f>
        <x:v>524</x:v>
      </x:c>
      <x:c r="H969" s="20" t="n">
        <x:f>VLOOKUP(C969,'Governorate Master'!$A$2:$Q$13,6,FALSE)</x:f>
        <x:v>0.8390177353342428</x:v>
      </x:c>
      <x:c r="I969" s="20" t="n">
        <x:f>VLOOKUP(C969,'Governorate Master'!$A$2:$Q$13,15,FALSE)</x:f>
        <x:v>0.03614457831325301</x:v>
      </x:c>
      <x:c r="J969" s="12" t="str">
        <x:v>Location model input - competition/saturation context</x:v>
      </x:c>
      <x:c r="K969" s="12" t="str">
        <x:v>Business count is from 2018 while population/context indicators are newer; use as a historical proxy, not a current market count.</x:v>
      </x:c>
    </x:row>
    <x:row r="970">
      <x:c r="A970" s="12" t="str">
        <x:v>2720</x:v>
      </x:c>
      <x:c r="B970" s="12" t="str">
        <x:v>Manufacture of batteries and accumulators</x:v>
      </x:c>
      <x:c r="C970" s="12" t="str">
        <x:v>الكرك</x:v>
      </x:c>
      <x:c r="D970" s="14" t="n">
        <x:v>0</x:v>
      </x:c>
      <x:c r="E970" s="14" t="n">
        <x:f>VLOOKUP(C970,'Governorate Master'!$A$2:$Q$13,3,FALSE)</x:f>
        <x:v>395400</x:v>
      </x:c>
      <x:c r="F970" s="66" t="n">
        <x:f>IF(E970=0,0,D970/E970*10000)</x:f>
        <x:v>0</x:v>
      </x:c>
      <x:c r="G970" s="67" t="n">
        <x:f>VLOOKUP(C970,'Governorate Master'!$A$2:$Q$13,7,FALSE)</x:f>
        <x:v>113.1</x:v>
      </x:c>
      <x:c r="H970" s="20" t="n">
        <x:f>VLOOKUP(C970,'Governorate Master'!$A$2:$Q$13,6,FALSE)</x:f>
        <x:v>0.5912999494183105</x:v>
      </x:c>
      <x:c r="I970" s="20" t="n">
        <x:f>VLOOKUP(C970,'Governorate Master'!$A$2:$Q$13,15,FALSE)</x:f>
        <x:v>0.08710801393728224</x:v>
      </x:c>
      <x:c r="J970" s="12" t="str">
        <x:v>Location model input - competition/saturation context</x:v>
      </x:c>
      <x:c r="K970" s="12" t="str">
        <x:v>Business count is from 2018 while population/context indicators are newer; use as a historical proxy, not a current market count.</x:v>
      </x:c>
    </x:row>
    <x:row r="971">
      <x:c r="A971" s="12" t="str">
        <x:v>2720</x:v>
      </x:c>
      <x:c r="B971" s="12" t="str">
        <x:v>Manufacture of batteries and accumulators</x:v>
      </x:c>
      <x:c r="C971" s="12" t="str">
        <x:v>الطفيلة</x:v>
      </x:c>
      <x:c r="D971" s="14" t="n">
        <x:v>0</x:v>
      </x:c>
      <x:c r="E971" s="14" t="n">
        <x:f>VLOOKUP(C971,'Governorate Master'!$A$2:$Q$13,3,FALSE)</x:f>
        <x:v>120300</x:v>
      </x:c>
      <x:c r="F971" s="66" t="n">
        <x:f>IF(E971=0,0,D971/E971*10000)</x:f>
        <x:v>0</x:v>
      </x:c>
      <x:c r="G971" s="67" t="n">
        <x:f>VLOOKUP(C971,'Governorate Master'!$A$2:$Q$13,7,FALSE)</x:f>
        <x:v>54.4</x:v>
      </x:c>
      <x:c r="H971" s="20" t="n">
        <x:f>VLOOKUP(C971,'Governorate Master'!$A$2:$Q$13,6,FALSE)</x:f>
        <x:v>0.7797173732335827</x:v>
      </x:c>
      <x:c r="I971" s="20" t="n">
        <x:f>VLOOKUP(C971,'Governorate Master'!$A$2:$Q$13,15,FALSE)</x:f>
        <x:v>0.18452380952380953</x:v>
      </x:c>
      <x:c r="J971" s="12" t="str">
        <x:v>Location model input - competition/saturation context</x:v>
      </x:c>
      <x:c r="K971" s="12" t="str">
        <x:v>Business count is from 2018 while population/context indicators are newer; use as a historical proxy, not a current market count.</x:v>
      </x:c>
    </x:row>
    <x:row r="972">
      <x:c r="A972" s="12" t="str">
        <x:v>2720</x:v>
      </x:c>
      <x:c r="B972" s="12" t="str">
        <x:v>Manufacture of batteries and accumulators</x:v>
      </x:c>
      <x:c r="C972" s="12" t="str">
        <x:v>معان</x:v>
      </x:c>
      <x:c r="D972" s="14" t="n">
        <x:v>0</x:v>
      </x:c>
      <x:c r="E972" s="14" t="n">
        <x:f>VLOOKUP(C972,'Governorate Master'!$A$2:$Q$13,3,FALSE)</x:f>
        <x:v>197900</x:v>
      </x:c>
      <x:c r="F972" s="66" t="n">
        <x:f>IF(E972=0,0,D972/E972*10000)</x:f>
        <x:v>0</x:v>
      </x:c>
      <x:c r="G972" s="67" t="n">
        <x:f>VLOOKUP(C972,'Governorate Master'!$A$2:$Q$13,7,FALSE)</x:f>
        <x:v>6</x:v>
      </x:c>
      <x:c r="H972" s="20" t="n">
        <x:f>VLOOKUP(C972,'Governorate Master'!$A$2:$Q$13,6,FALSE)</x:f>
        <x:v>0.5406771096513391</x:v>
      </x:c>
      <x:c r="I972" s="20" t="n">
        <x:f>VLOOKUP(C972,'Governorate Master'!$A$2:$Q$13,15,FALSE)</x:f>
        <x:v>0.026845637583892617</x:v>
      </x:c>
      <x:c r="J972" s="12" t="str">
        <x:v>Location model input - competition/saturation context</x:v>
      </x:c>
      <x:c r="K972" s="12" t="str">
        <x:v>Business count is from 2018 while population/context indicators are newer; use as a historical proxy, not a current market count.</x:v>
      </x:c>
    </x:row>
    <x:row r="973">
      <x:c r="A973" s="12" t="str">
        <x:v>2720</x:v>
      </x:c>
      <x:c r="B973" s="12" t="str">
        <x:v>Manufacture of batteries and accumulators</x:v>
      </x:c>
      <x:c r="C973" s="12" t="str">
        <x:v>العقبة</x:v>
      </x:c>
      <x:c r="D973" s="14" t="n">
        <x:v>0</x:v>
      </x:c>
      <x:c r="E973" s="14" t="n">
        <x:f>VLOOKUP(C973,'Governorate Master'!$A$2:$Q$13,3,FALSE)</x:f>
        <x:v>250900</x:v>
      </x:c>
      <x:c r="F973" s="66" t="n">
        <x:f>IF(E973=0,0,D973/E973*10000)</x:f>
        <x:v>0</x:v>
      </x:c>
      <x:c r="G973" s="67" t="n">
        <x:f>VLOOKUP(C973,'Governorate Master'!$A$2:$Q$13,7,FALSE)</x:f>
        <x:v>36.3</x:v>
      </x:c>
      <x:c r="H973" s="20" t="n">
        <x:f>VLOOKUP(C973,'Governorate Master'!$A$2:$Q$13,6,FALSE)</x:f>
        <x:v>0.882024711040255</x:v>
      </x:c>
      <x:c r="I973" s="20" t="n">
        <x:f>VLOOKUP(C973,'Governorate Master'!$A$2:$Q$13,15,FALSE)</x:f>
        <x:v>-0.09</x:v>
      </x:c>
      <x:c r="J973" s="12" t="str">
        <x:v>Location model input - competition/saturation context</x:v>
      </x:c>
      <x:c r="K973" s="12" t="str">
        <x:v>Business count is from 2018 while population/context indicators are newer; use as a historical proxy, not a current market count.</x:v>
      </x:c>
    </x:row>
    <x:row r="974">
      <x:c r="A974" s="12" t="str">
        <x:v>2732</x:v>
      </x:c>
      <x:c r="B974" s="12" t="str">
        <x:v>Manufacture of other electronic and electric wires and cables</x:v>
      </x:c>
      <x:c r="C974" s="12" t="str">
        <x:v>عمان</x:v>
      </x:c>
      <x:c r="D974" s="14" t="n">
        <x:v>9</x:v>
      </x:c>
      <x:c r="E974" s="14" t="n">
        <x:f>VLOOKUP(C974,'Governorate Master'!$A$2:$Q$13,3,FALSE)</x:f>
        <x:v>5004600</x:v>
      </x:c>
      <x:c r="F974" s="66" t="n">
        <x:f>IF(E974=0,0,D974/E974*10000)</x:f>
        <x:v>0.0179834552211965</x:v>
      </x:c>
      <x:c r="G974" s="67" t="n">
        <x:f>VLOOKUP(C974,'Governorate Master'!$A$2:$Q$13,7,FALSE)</x:f>
        <x:v>660.3</x:v>
      </x:c>
      <x:c r="H974" s="20" t="n">
        <x:f>VLOOKUP(C974,'Governorate Master'!$A$2:$Q$13,6,FALSE)</x:f>
        <x:v>0.9721656076409703</x:v>
      </x:c>
      <x:c r="I974" s="20" t="n">
        <x:f>VLOOKUP(C974,'Governorate Master'!$A$2:$Q$13,15,FALSE)</x:f>
        <x:v>0.06367041198501873</x:v>
      </x:c>
      <x:c r="J974" s="12" t="str">
        <x:v>Location model input - competition/saturation context</x:v>
      </x:c>
      <x:c r="K974" s="12" t="str">
        <x:v>Business count is from 2018 while population/context indicators are newer; use as a historical proxy, not a current market count.</x:v>
      </x:c>
    </x:row>
    <x:row r="975">
      <x:c r="A975" s="12" t="str">
        <x:v>2732</x:v>
      </x:c>
      <x:c r="B975" s="12" t="str">
        <x:v>Manufacture of other electronic and electric wires and cables</x:v>
      </x:c>
      <x:c r="C975" s="12" t="str">
        <x:v>البلقاء</x:v>
      </x:c>
      <x:c r="D975" s="14" t="n">
        <x:v>0</x:v>
      </x:c>
      <x:c r="E975" s="14" t="n">
        <x:f>VLOOKUP(C975,'Governorate Master'!$A$2:$Q$13,3,FALSE)</x:f>
        <x:v>614000</x:v>
      </x:c>
      <x:c r="F975" s="66" t="n">
        <x:f>IF(E975=0,0,D975/E975*10000)</x:f>
        <x:v>0</x:v>
      </x:c>
      <x:c r="G975" s="67" t="n">
        <x:f>VLOOKUP(C975,'Governorate Master'!$A$2:$Q$13,7,FALSE)</x:f>
        <x:v>548</x:v>
      </x:c>
      <x:c r="H975" s="20" t="n">
        <x:f>VLOOKUP(C975,'Governorate Master'!$A$2:$Q$13,6,FALSE)</x:f>
        <x:v>0.8210097719869707</x:v>
      </x:c>
      <x:c r="I975" s="20" t="n">
        <x:f>VLOOKUP(C975,'Governorate Master'!$A$2:$Q$13,15,FALSE)</x:f>
        <x:v>0.10794044665012408</x:v>
      </x:c>
      <x:c r="J975" s="12" t="str">
        <x:v>Location model input - competition/saturation context</x:v>
      </x:c>
      <x:c r="K975" s="12" t="str">
        <x:v>Business count is from 2018 while population/context indicators are newer; use as a historical proxy, not a current market count.</x:v>
      </x:c>
    </x:row>
    <x:row r="976">
      <x:c r="A976" s="12" t="str">
        <x:v>2732</x:v>
      </x:c>
      <x:c r="B976" s="12" t="str">
        <x:v>Manufacture of other electronic and electric wires and cables</x:v>
      </x:c>
      <x:c r="C976" s="12" t="str">
        <x:v>الزرقاء</x:v>
      </x:c>
      <x:c r="D976" s="14" t="n">
        <x:v>3</x:v>
      </x:c>
      <x:c r="E976" s="14" t="n">
        <x:f>VLOOKUP(C976,'Governorate Master'!$A$2:$Q$13,3,FALSE)</x:f>
        <x:v>1704500</x:v>
      </x:c>
      <x:c r="F976" s="66" t="n">
        <x:f>IF(E976=0,0,D976/E976*10000)</x:f>
        <x:v>0.01760046934584922</x:v>
      </x:c>
      <x:c r="G976" s="67" t="n">
        <x:f>VLOOKUP(C976,'Governorate Master'!$A$2:$Q$13,7,FALSE)</x:f>
        <x:v>358</x:v>
      </x:c>
      <x:c r="H976" s="20" t="n">
        <x:f>VLOOKUP(C976,'Governorate Master'!$A$2:$Q$13,6,FALSE)</x:f>
        <x:v>0.9636256966852449</x:v>
      </x:c>
      <x:c r="I976" s="20" t="n">
        <x:f>VLOOKUP(C976,'Governorate Master'!$A$2:$Q$13,15,FALSE)</x:f>
        <x:v>-0.06808762581409118</x:v>
      </x:c>
      <x:c r="J976" s="12" t="str">
        <x:v>Location model input - competition/saturation context</x:v>
      </x:c>
      <x:c r="K976" s="12" t="str">
        <x:v>Business count is from 2018 while population/context indicators are newer; use as a historical proxy, not a current market count.</x:v>
      </x:c>
    </x:row>
    <x:row r="977">
      <x:c r="A977" s="12" t="str">
        <x:v>2732</x:v>
      </x:c>
      <x:c r="B977" s="12" t="str">
        <x:v>Manufacture of other electronic and electric wires and cables</x:v>
      </x:c>
      <x:c r="C977" s="12" t="str">
        <x:v>مادبا</x:v>
      </x:c>
      <x:c r="D977" s="14" t="n">
        <x:v>0</x:v>
      </x:c>
      <x:c r="E977" s="14" t="n">
        <x:f>VLOOKUP(C977,'Governorate Master'!$A$2:$Q$13,3,FALSE)</x:f>
        <x:v>236200</x:v>
      </x:c>
      <x:c r="F977" s="66" t="n">
        <x:f>IF(E977=0,0,D977/E977*10000)</x:f>
        <x:v>0</x:v>
      </x:c>
      <x:c r="G977" s="67" t="n">
        <x:f>VLOOKUP(C977,'Governorate Master'!$A$2:$Q$13,7,FALSE)</x:f>
        <x:v>251.4</x:v>
      </x:c>
      <x:c r="H977" s="20" t="n">
        <x:f>VLOOKUP(C977,'Governorate Master'!$A$2:$Q$13,6,FALSE)</x:f>
        <x:v>0.7823878069432684</x:v>
      </x:c>
      <x:c r="I977" s="20" t="n">
        <x:f>VLOOKUP(C977,'Governorate Master'!$A$2:$Q$13,15,FALSE)</x:f>
        <x:v>-0.18823529411764706</x:v>
      </x:c>
      <x:c r="J977" s="12" t="str">
        <x:v>Location model input - competition/saturation context</x:v>
      </x:c>
      <x:c r="K977" s="12" t="str">
        <x:v>Business count is from 2018 while population/context indicators are newer; use as a historical proxy, not a current market count.</x:v>
      </x:c>
    </x:row>
    <x:row r="978">
      <x:c r="A978" s="12" t="str">
        <x:v>2732</x:v>
      </x:c>
      <x:c r="B978" s="12" t="str">
        <x:v>Manufacture of other electronic and electric wires and cables</x:v>
      </x:c>
      <x:c r="C978" s="12" t="str">
        <x:v>إربد</x:v>
      </x:c>
      <x:c r="D978" s="14" t="n">
        <x:v>2</x:v>
      </x:c>
      <x:c r="E978" s="14" t="n">
        <x:f>VLOOKUP(C978,'Governorate Master'!$A$2:$Q$13,3,FALSE)</x:f>
        <x:v>2210500</x:v>
      </x:c>
      <x:c r="F978" s="66" t="n">
        <x:f>IF(E978=0,0,D978/E978*10000)</x:f>
        <x:v>0.009047726758651889</x:v>
      </x:c>
      <x:c r="G978" s="67" t="n">
        <x:f>VLOOKUP(C978,'Governorate Master'!$A$2:$Q$13,7,FALSE)</x:f>
        <x:v>1406.4</x:v>
      </x:c>
      <x:c r="H978" s="20" t="n">
        <x:f>VLOOKUP(C978,'Governorate Master'!$A$2:$Q$13,6,FALSE)</x:f>
        <x:v>0.9235014702555983</x:v>
      </x:c>
      <x:c r="I978" s="20" t="n">
        <x:f>VLOOKUP(C978,'Governorate Master'!$A$2:$Q$13,15,FALSE)</x:f>
        <x:v>0.07086922474549726</x:v>
      </x:c>
      <x:c r="J978" s="12" t="str">
        <x:v>Location model input - competition/saturation context</x:v>
      </x:c>
      <x:c r="K978" s="12" t="str">
        <x:v>Business count is from 2018 while population/context indicators are newer; use as a historical proxy, not a current market count.</x:v>
      </x:c>
    </x:row>
    <x:row r="979">
      <x:c r="A979" s="12" t="str">
        <x:v>2732</x:v>
      </x:c>
      <x:c r="B979" s="12" t="str">
        <x:v>Manufacture of other electronic and electric wires and cables</x:v>
      </x:c>
      <x:c r="C979" s="12" t="str">
        <x:v>المفرق</x:v>
      </x:c>
      <x:c r="D979" s="14" t="n">
        <x:v>2</x:v>
      </x:c>
      <x:c r="E979" s="14" t="n">
        <x:f>VLOOKUP(C979,'Governorate Master'!$A$2:$Q$13,3,FALSE)</x:f>
        <x:v>686800</x:v>
      </x:c>
      <x:c r="F979" s="66" t="n">
        <x:f>IF(E979=0,0,D979/E979*10000)</x:f>
        <x:v>0.029120559114735003</x:v>
      </x:c>
      <x:c r="G979" s="67" t="n">
        <x:f>VLOOKUP(C979,'Governorate Master'!$A$2:$Q$13,7,FALSE)</x:f>
        <x:v>25.9</x:v>
      </x:c>
      <x:c r="H979" s="20" t="n">
        <x:f>VLOOKUP(C979,'Governorate Master'!$A$2:$Q$13,6,FALSE)</x:f>
        <x:v>0.6965637740244612</x:v>
      </x:c>
      <x:c r="I979" s="20" t="n">
        <x:f>VLOOKUP(C979,'Governorate Master'!$A$2:$Q$13,15,FALSE)</x:f>
        <x:v>-0.016638935108153077</x:v>
      </x:c>
      <x:c r="J979" s="12" t="str">
        <x:v>Location model input - competition/saturation context</x:v>
      </x:c>
      <x:c r="K979" s="12" t="str">
        <x:v>Business count is from 2018 while population/context indicators are newer; use as a historical proxy, not a current market count.</x:v>
      </x:c>
    </x:row>
    <x:row r="980">
      <x:c r="A980" s="12" t="str">
        <x:v>2732</x:v>
      </x:c>
      <x:c r="B980" s="12" t="str">
        <x:v>Manufacture of other electronic and electric wires and cables</x:v>
      </x:c>
      <x:c r="C980" s="12" t="str">
        <x:v>جرش</x:v>
      </x:c>
      <x:c r="D980" s="14" t="n">
        <x:v>0</x:v>
      </x:c>
      <x:c r="E980" s="14" t="n">
        <x:f>VLOOKUP(C980,'Governorate Master'!$A$2:$Q$13,3,FALSE)</x:f>
        <x:v>296000</x:v>
      </x:c>
      <x:c r="F980" s="66" t="n">
        <x:f>IF(E980=0,0,D980/E980*10000)</x:f>
        <x:v>0</x:v>
      </x:c>
      <x:c r="G980" s="67" t="n">
        <x:f>VLOOKUP(C980,'Governorate Master'!$A$2:$Q$13,7,FALSE)</x:f>
        <x:v>722.3</x:v>
      </x:c>
      <x:c r="H980" s="20" t="n">
        <x:f>VLOOKUP(C980,'Governorate Master'!$A$2:$Q$13,6,FALSE)</x:f>
        <x:v>0.7695945945945946</x:v>
      </x:c>
      <x:c r="I980" s="20" t="n">
        <x:f>VLOOKUP(C980,'Governorate Master'!$A$2:$Q$13,15,FALSE)</x:f>
        <x:v>-0.06527415143603134</x:v>
      </x:c>
      <x:c r="J980" s="12" t="str">
        <x:v>Location model input - competition/saturation context</x:v>
      </x:c>
      <x:c r="K980" s="12" t="str">
        <x:v>Business count is from 2018 while population/context indicators are newer; use as a historical proxy, not a current market count.</x:v>
      </x:c>
    </x:row>
    <x:row r="981">
      <x:c r="A981" s="12" t="str">
        <x:v>2732</x:v>
      </x:c>
      <x:c r="B981" s="12" t="str">
        <x:v>Manufacture of other electronic and electric wires and cables</x:v>
      </x:c>
      <x:c r="C981" s="12" t="str">
        <x:v>عجلون</x:v>
      </x:c>
      <x:c r="D981" s="14" t="n">
        <x:v>0</x:v>
      </x:c>
      <x:c r="E981" s="14" t="n">
        <x:f>VLOOKUP(C981,'Governorate Master'!$A$2:$Q$13,3,FALSE)</x:f>
        <x:v>219900</x:v>
      </x:c>
      <x:c r="F981" s="66" t="n">
        <x:f>IF(E981=0,0,D981/E981*10000)</x:f>
        <x:v>0</x:v>
      </x:c>
      <x:c r="G981" s="67" t="n">
        <x:f>VLOOKUP(C981,'Governorate Master'!$A$2:$Q$13,7,FALSE)</x:f>
        <x:v>524</x:v>
      </x:c>
      <x:c r="H981" s="20" t="n">
        <x:f>VLOOKUP(C981,'Governorate Master'!$A$2:$Q$13,6,FALSE)</x:f>
        <x:v>0.8390177353342428</x:v>
      </x:c>
      <x:c r="I981" s="20" t="n">
        <x:f>VLOOKUP(C981,'Governorate Master'!$A$2:$Q$13,15,FALSE)</x:f>
        <x:v>0.03614457831325301</x:v>
      </x:c>
      <x:c r="J981" s="12" t="str">
        <x:v>Location model input - competition/saturation context</x:v>
      </x:c>
      <x:c r="K981" s="12" t="str">
        <x:v>Business count is from 2018 while population/context indicators are newer; use as a historical proxy, not a current market count.</x:v>
      </x:c>
    </x:row>
    <x:row r="982">
      <x:c r="A982" s="12" t="str">
        <x:v>2732</x:v>
      </x:c>
      <x:c r="B982" s="12" t="str">
        <x:v>Manufacture of other electronic and electric wires and cables</x:v>
      </x:c>
      <x:c r="C982" s="12" t="str">
        <x:v>الكرك</x:v>
      </x:c>
      <x:c r="D982" s="14" t="n">
        <x:v>0</x:v>
      </x:c>
      <x:c r="E982" s="14" t="n">
        <x:f>VLOOKUP(C982,'Governorate Master'!$A$2:$Q$13,3,FALSE)</x:f>
        <x:v>395400</x:v>
      </x:c>
      <x:c r="F982" s="66" t="n">
        <x:f>IF(E982=0,0,D982/E982*10000)</x:f>
        <x:v>0</x:v>
      </x:c>
      <x:c r="G982" s="67" t="n">
        <x:f>VLOOKUP(C982,'Governorate Master'!$A$2:$Q$13,7,FALSE)</x:f>
        <x:v>113.1</x:v>
      </x:c>
      <x:c r="H982" s="20" t="n">
        <x:f>VLOOKUP(C982,'Governorate Master'!$A$2:$Q$13,6,FALSE)</x:f>
        <x:v>0.5912999494183105</x:v>
      </x:c>
      <x:c r="I982" s="20" t="n">
        <x:f>VLOOKUP(C982,'Governorate Master'!$A$2:$Q$13,15,FALSE)</x:f>
        <x:v>0.08710801393728224</x:v>
      </x:c>
      <x:c r="J982" s="12" t="str">
        <x:v>Location model input - competition/saturation context</x:v>
      </x:c>
      <x:c r="K982" s="12" t="str">
        <x:v>Business count is from 2018 while population/context indicators are newer; use as a historical proxy, not a current market count.</x:v>
      </x:c>
    </x:row>
    <x:row r="983">
      <x:c r="A983" s="12" t="str">
        <x:v>2732</x:v>
      </x:c>
      <x:c r="B983" s="12" t="str">
        <x:v>Manufacture of other electronic and electric wires and cables</x:v>
      </x:c>
      <x:c r="C983" s="12" t="str">
        <x:v>الطفيلة</x:v>
      </x:c>
      <x:c r="D983" s="14" t="n">
        <x:v>0</x:v>
      </x:c>
      <x:c r="E983" s="14" t="n">
        <x:f>VLOOKUP(C983,'Governorate Master'!$A$2:$Q$13,3,FALSE)</x:f>
        <x:v>120300</x:v>
      </x:c>
      <x:c r="F983" s="66" t="n">
        <x:f>IF(E983=0,0,D983/E983*10000)</x:f>
        <x:v>0</x:v>
      </x:c>
      <x:c r="G983" s="67" t="n">
        <x:f>VLOOKUP(C983,'Governorate Master'!$A$2:$Q$13,7,FALSE)</x:f>
        <x:v>54.4</x:v>
      </x:c>
      <x:c r="H983" s="20" t="n">
        <x:f>VLOOKUP(C983,'Governorate Master'!$A$2:$Q$13,6,FALSE)</x:f>
        <x:v>0.7797173732335827</x:v>
      </x:c>
      <x:c r="I983" s="20" t="n">
        <x:f>VLOOKUP(C983,'Governorate Master'!$A$2:$Q$13,15,FALSE)</x:f>
        <x:v>0.18452380952380953</x:v>
      </x:c>
      <x:c r="J983" s="12" t="str">
        <x:v>Location model input - competition/saturation context</x:v>
      </x:c>
      <x:c r="K983" s="12" t="str">
        <x:v>Business count is from 2018 while population/context indicators are newer; use as a historical proxy, not a current market count.</x:v>
      </x:c>
    </x:row>
    <x:row r="984">
      <x:c r="A984" s="12" t="str">
        <x:v>2732</x:v>
      </x:c>
      <x:c r="B984" s="12" t="str">
        <x:v>Manufacture of other electronic and electric wires and cables</x:v>
      </x:c>
      <x:c r="C984" s="12" t="str">
        <x:v>معان</x:v>
      </x:c>
      <x:c r="D984" s="14" t="n">
        <x:v>0</x:v>
      </x:c>
      <x:c r="E984" s="14" t="n">
        <x:f>VLOOKUP(C984,'Governorate Master'!$A$2:$Q$13,3,FALSE)</x:f>
        <x:v>197900</x:v>
      </x:c>
      <x:c r="F984" s="66" t="n">
        <x:f>IF(E984=0,0,D984/E984*10000)</x:f>
        <x:v>0</x:v>
      </x:c>
      <x:c r="G984" s="67" t="n">
        <x:f>VLOOKUP(C984,'Governorate Master'!$A$2:$Q$13,7,FALSE)</x:f>
        <x:v>6</x:v>
      </x:c>
      <x:c r="H984" s="20" t="n">
        <x:f>VLOOKUP(C984,'Governorate Master'!$A$2:$Q$13,6,FALSE)</x:f>
        <x:v>0.5406771096513391</x:v>
      </x:c>
      <x:c r="I984" s="20" t="n">
        <x:f>VLOOKUP(C984,'Governorate Master'!$A$2:$Q$13,15,FALSE)</x:f>
        <x:v>0.026845637583892617</x:v>
      </x:c>
      <x:c r="J984" s="12" t="str">
        <x:v>Location model input - competition/saturation context</x:v>
      </x:c>
      <x:c r="K984" s="12" t="str">
        <x:v>Business count is from 2018 while population/context indicators are newer; use as a historical proxy, not a current market count.</x:v>
      </x:c>
    </x:row>
    <x:row r="985">
      <x:c r="A985" s="12" t="str">
        <x:v>2732</x:v>
      </x:c>
      <x:c r="B985" s="12" t="str">
        <x:v>Manufacture of other electronic and electric wires and cables</x:v>
      </x:c>
      <x:c r="C985" s="12" t="str">
        <x:v>العقبة</x:v>
      </x:c>
      <x:c r="D985" s="14" t="n">
        <x:v>0</x:v>
      </x:c>
      <x:c r="E985" s="14" t="n">
        <x:f>VLOOKUP(C985,'Governorate Master'!$A$2:$Q$13,3,FALSE)</x:f>
        <x:v>250900</x:v>
      </x:c>
      <x:c r="F985" s="66" t="n">
        <x:f>IF(E985=0,0,D985/E985*10000)</x:f>
        <x:v>0</x:v>
      </x:c>
      <x:c r="G985" s="67" t="n">
        <x:f>VLOOKUP(C985,'Governorate Master'!$A$2:$Q$13,7,FALSE)</x:f>
        <x:v>36.3</x:v>
      </x:c>
      <x:c r="H985" s="20" t="n">
        <x:f>VLOOKUP(C985,'Governorate Master'!$A$2:$Q$13,6,FALSE)</x:f>
        <x:v>0.882024711040255</x:v>
      </x:c>
      <x:c r="I985" s="20" t="n">
        <x:f>VLOOKUP(C985,'Governorate Master'!$A$2:$Q$13,15,FALSE)</x:f>
        <x:v>-0.09</x:v>
      </x:c>
      <x:c r="J985" s="12" t="str">
        <x:v>Location model input - competition/saturation context</x:v>
      </x:c>
      <x:c r="K985" s="12" t="str">
        <x:v>Business count is from 2018 while population/context indicators are newer; use as a historical proxy, not a current market count.</x:v>
      </x:c>
    </x:row>
    <x:row r="986">
      <x:c r="A986" s="12" t="str">
        <x:v>2733</x:v>
      </x:c>
      <x:c r="B986" s="12" t="str">
        <x:v>Manufacture of wiring devices</x:v>
      </x:c>
      <x:c r="C986" s="12" t="str">
        <x:v>عمان</x:v>
      </x:c>
      <x:c r="D986" s="14" t="n">
        <x:v>1</x:v>
      </x:c>
      <x:c r="E986" s="14" t="n">
        <x:f>VLOOKUP(C986,'Governorate Master'!$A$2:$Q$13,3,FALSE)</x:f>
        <x:v>5004600</x:v>
      </x:c>
      <x:c r="F986" s="66" t="n">
        <x:f>IF(E986=0,0,D986/E986*10000)</x:f>
        <x:v>0.0019981616912440555</x:v>
      </x:c>
      <x:c r="G986" s="67" t="n">
        <x:f>VLOOKUP(C986,'Governorate Master'!$A$2:$Q$13,7,FALSE)</x:f>
        <x:v>660.3</x:v>
      </x:c>
      <x:c r="H986" s="20" t="n">
        <x:f>VLOOKUP(C986,'Governorate Master'!$A$2:$Q$13,6,FALSE)</x:f>
        <x:v>0.9721656076409703</x:v>
      </x:c>
      <x:c r="I986" s="20" t="n">
        <x:f>VLOOKUP(C986,'Governorate Master'!$A$2:$Q$13,15,FALSE)</x:f>
        <x:v>0.06367041198501873</x:v>
      </x:c>
      <x:c r="J986" s="12" t="str">
        <x:v>Location model input - competition/saturation context</x:v>
      </x:c>
      <x:c r="K986" s="12" t="str">
        <x:v>Business count is from 2018 while population/context indicators are newer; use as a historical proxy, not a current market count.</x:v>
      </x:c>
    </x:row>
    <x:row r="987">
      <x:c r="A987" s="12" t="str">
        <x:v>2733</x:v>
      </x:c>
      <x:c r="B987" s="12" t="str">
        <x:v>Manufacture of wiring devices</x:v>
      </x:c>
      <x:c r="C987" s="12" t="str">
        <x:v>البلقاء</x:v>
      </x:c>
      <x:c r="D987" s="14" t="n">
        <x:v>0</x:v>
      </x:c>
      <x:c r="E987" s="14" t="n">
        <x:f>VLOOKUP(C987,'Governorate Master'!$A$2:$Q$13,3,FALSE)</x:f>
        <x:v>614000</x:v>
      </x:c>
      <x:c r="F987" s="66" t="n">
        <x:f>IF(E987=0,0,D987/E987*10000)</x:f>
        <x:v>0</x:v>
      </x:c>
      <x:c r="G987" s="67" t="n">
        <x:f>VLOOKUP(C987,'Governorate Master'!$A$2:$Q$13,7,FALSE)</x:f>
        <x:v>548</x:v>
      </x:c>
      <x:c r="H987" s="20" t="n">
        <x:f>VLOOKUP(C987,'Governorate Master'!$A$2:$Q$13,6,FALSE)</x:f>
        <x:v>0.8210097719869707</x:v>
      </x:c>
      <x:c r="I987" s="20" t="n">
        <x:f>VLOOKUP(C987,'Governorate Master'!$A$2:$Q$13,15,FALSE)</x:f>
        <x:v>0.10794044665012408</x:v>
      </x:c>
      <x:c r="J987" s="12" t="str">
        <x:v>Location model input - competition/saturation context</x:v>
      </x:c>
      <x:c r="K987" s="12" t="str">
        <x:v>Business count is from 2018 while population/context indicators are newer; use as a historical proxy, not a current market count.</x:v>
      </x:c>
    </x:row>
    <x:row r="988">
      <x:c r="A988" s="12" t="str">
        <x:v>2733</x:v>
      </x:c>
      <x:c r="B988" s="12" t="str">
        <x:v>Manufacture of wiring devices</x:v>
      </x:c>
      <x:c r="C988" s="12" t="str">
        <x:v>الزرقاء</x:v>
      </x:c>
      <x:c r="D988" s="14" t="n">
        <x:v>0</x:v>
      </x:c>
      <x:c r="E988" s="14" t="n">
        <x:f>VLOOKUP(C988,'Governorate Master'!$A$2:$Q$13,3,FALSE)</x:f>
        <x:v>1704500</x:v>
      </x:c>
      <x:c r="F988" s="66" t="n">
        <x:f>IF(E988=0,0,D988/E988*10000)</x:f>
        <x:v>0</x:v>
      </x:c>
      <x:c r="G988" s="67" t="n">
        <x:f>VLOOKUP(C988,'Governorate Master'!$A$2:$Q$13,7,FALSE)</x:f>
        <x:v>358</x:v>
      </x:c>
      <x:c r="H988" s="20" t="n">
        <x:f>VLOOKUP(C988,'Governorate Master'!$A$2:$Q$13,6,FALSE)</x:f>
        <x:v>0.9636256966852449</x:v>
      </x:c>
      <x:c r="I988" s="20" t="n">
        <x:f>VLOOKUP(C988,'Governorate Master'!$A$2:$Q$13,15,FALSE)</x:f>
        <x:v>-0.06808762581409118</x:v>
      </x:c>
      <x:c r="J988" s="12" t="str">
        <x:v>Location model input - competition/saturation context</x:v>
      </x:c>
      <x:c r="K988" s="12" t="str">
        <x:v>Business count is from 2018 while population/context indicators are newer; use as a historical proxy, not a current market count.</x:v>
      </x:c>
    </x:row>
    <x:row r="989">
      <x:c r="A989" s="12" t="str">
        <x:v>2733</x:v>
      </x:c>
      <x:c r="B989" s="12" t="str">
        <x:v>Manufacture of wiring devices</x:v>
      </x:c>
      <x:c r="C989" s="12" t="str">
        <x:v>مادبا</x:v>
      </x:c>
      <x:c r="D989" s="14" t="n">
        <x:v>0</x:v>
      </x:c>
      <x:c r="E989" s="14" t="n">
        <x:f>VLOOKUP(C989,'Governorate Master'!$A$2:$Q$13,3,FALSE)</x:f>
        <x:v>236200</x:v>
      </x:c>
      <x:c r="F989" s="66" t="n">
        <x:f>IF(E989=0,0,D989/E989*10000)</x:f>
        <x:v>0</x:v>
      </x:c>
      <x:c r="G989" s="67" t="n">
        <x:f>VLOOKUP(C989,'Governorate Master'!$A$2:$Q$13,7,FALSE)</x:f>
        <x:v>251.4</x:v>
      </x:c>
      <x:c r="H989" s="20" t="n">
        <x:f>VLOOKUP(C989,'Governorate Master'!$A$2:$Q$13,6,FALSE)</x:f>
        <x:v>0.7823878069432684</x:v>
      </x:c>
      <x:c r="I989" s="20" t="n">
        <x:f>VLOOKUP(C989,'Governorate Master'!$A$2:$Q$13,15,FALSE)</x:f>
        <x:v>-0.18823529411764706</x:v>
      </x:c>
      <x:c r="J989" s="12" t="str">
        <x:v>Location model input - competition/saturation context</x:v>
      </x:c>
      <x:c r="K989" s="12" t="str">
        <x:v>Business count is from 2018 while population/context indicators are newer; use as a historical proxy, not a current market count.</x:v>
      </x:c>
    </x:row>
    <x:row r="990">
      <x:c r="A990" s="12" t="str">
        <x:v>2733</x:v>
      </x:c>
      <x:c r="B990" s="12" t="str">
        <x:v>Manufacture of wiring devices</x:v>
      </x:c>
      <x:c r="C990" s="12" t="str">
        <x:v>إربد</x:v>
      </x:c>
      <x:c r="D990" s="14" t="n">
        <x:v>0</x:v>
      </x:c>
      <x:c r="E990" s="14" t="n">
        <x:f>VLOOKUP(C990,'Governorate Master'!$A$2:$Q$13,3,FALSE)</x:f>
        <x:v>2210500</x:v>
      </x:c>
      <x:c r="F990" s="66" t="n">
        <x:f>IF(E990=0,0,D990/E990*10000)</x:f>
        <x:v>0</x:v>
      </x:c>
      <x:c r="G990" s="67" t="n">
        <x:f>VLOOKUP(C990,'Governorate Master'!$A$2:$Q$13,7,FALSE)</x:f>
        <x:v>1406.4</x:v>
      </x:c>
      <x:c r="H990" s="20" t="n">
        <x:f>VLOOKUP(C990,'Governorate Master'!$A$2:$Q$13,6,FALSE)</x:f>
        <x:v>0.9235014702555983</x:v>
      </x:c>
      <x:c r="I990" s="20" t="n">
        <x:f>VLOOKUP(C990,'Governorate Master'!$A$2:$Q$13,15,FALSE)</x:f>
        <x:v>0.07086922474549726</x:v>
      </x:c>
      <x:c r="J990" s="12" t="str">
        <x:v>Location model input - competition/saturation context</x:v>
      </x:c>
      <x:c r="K990" s="12" t="str">
        <x:v>Business count is from 2018 while population/context indicators are newer; use as a historical proxy, not a current market count.</x:v>
      </x:c>
    </x:row>
    <x:row r="991">
      <x:c r="A991" s="12" t="str">
        <x:v>2733</x:v>
      </x:c>
      <x:c r="B991" s="12" t="str">
        <x:v>Manufacture of wiring devices</x:v>
      </x:c>
      <x:c r="C991" s="12" t="str">
        <x:v>المفرق</x:v>
      </x:c>
      <x:c r="D991" s="14" t="n">
        <x:v>0</x:v>
      </x:c>
      <x:c r="E991" s="14" t="n">
        <x:f>VLOOKUP(C991,'Governorate Master'!$A$2:$Q$13,3,FALSE)</x:f>
        <x:v>686800</x:v>
      </x:c>
      <x:c r="F991" s="66" t="n">
        <x:f>IF(E991=0,0,D991/E991*10000)</x:f>
        <x:v>0</x:v>
      </x:c>
      <x:c r="G991" s="67" t="n">
        <x:f>VLOOKUP(C991,'Governorate Master'!$A$2:$Q$13,7,FALSE)</x:f>
        <x:v>25.9</x:v>
      </x:c>
      <x:c r="H991" s="20" t="n">
        <x:f>VLOOKUP(C991,'Governorate Master'!$A$2:$Q$13,6,FALSE)</x:f>
        <x:v>0.6965637740244612</x:v>
      </x:c>
      <x:c r="I991" s="20" t="n">
        <x:f>VLOOKUP(C991,'Governorate Master'!$A$2:$Q$13,15,FALSE)</x:f>
        <x:v>-0.016638935108153077</x:v>
      </x:c>
      <x:c r="J991" s="12" t="str">
        <x:v>Location model input - competition/saturation context</x:v>
      </x:c>
      <x:c r="K991" s="12" t="str">
        <x:v>Business count is from 2018 while population/context indicators are newer; use as a historical proxy, not a current market count.</x:v>
      </x:c>
    </x:row>
    <x:row r="992">
      <x:c r="A992" s="12" t="str">
        <x:v>2733</x:v>
      </x:c>
      <x:c r="B992" s="12" t="str">
        <x:v>Manufacture of wiring devices</x:v>
      </x:c>
      <x:c r="C992" s="12" t="str">
        <x:v>جرش</x:v>
      </x:c>
      <x:c r="D992" s="14" t="n">
        <x:v>0</x:v>
      </x:c>
      <x:c r="E992" s="14" t="n">
        <x:f>VLOOKUP(C992,'Governorate Master'!$A$2:$Q$13,3,FALSE)</x:f>
        <x:v>296000</x:v>
      </x:c>
      <x:c r="F992" s="66" t="n">
        <x:f>IF(E992=0,0,D992/E992*10000)</x:f>
        <x:v>0</x:v>
      </x:c>
      <x:c r="G992" s="67" t="n">
        <x:f>VLOOKUP(C992,'Governorate Master'!$A$2:$Q$13,7,FALSE)</x:f>
        <x:v>722.3</x:v>
      </x:c>
      <x:c r="H992" s="20" t="n">
        <x:f>VLOOKUP(C992,'Governorate Master'!$A$2:$Q$13,6,FALSE)</x:f>
        <x:v>0.7695945945945946</x:v>
      </x:c>
      <x:c r="I992" s="20" t="n">
        <x:f>VLOOKUP(C992,'Governorate Master'!$A$2:$Q$13,15,FALSE)</x:f>
        <x:v>-0.06527415143603134</x:v>
      </x:c>
      <x:c r="J992" s="12" t="str">
        <x:v>Location model input - competition/saturation context</x:v>
      </x:c>
      <x:c r="K992" s="12" t="str">
        <x:v>Business count is from 2018 while population/context indicators are newer; use as a historical proxy, not a current market count.</x:v>
      </x:c>
    </x:row>
    <x:row r="993">
      <x:c r="A993" s="12" t="str">
        <x:v>2733</x:v>
      </x:c>
      <x:c r="B993" s="12" t="str">
        <x:v>Manufacture of wiring devices</x:v>
      </x:c>
      <x:c r="C993" s="12" t="str">
        <x:v>عجلون</x:v>
      </x:c>
      <x:c r="D993" s="14" t="n">
        <x:v>0</x:v>
      </x:c>
      <x:c r="E993" s="14" t="n">
        <x:f>VLOOKUP(C993,'Governorate Master'!$A$2:$Q$13,3,FALSE)</x:f>
        <x:v>219900</x:v>
      </x:c>
      <x:c r="F993" s="66" t="n">
        <x:f>IF(E993=0,0,D993/E993*10000)</x:f>
        <x:v>0</x:v>
      </x:c>
      <x:c r="G993" s="67" t="n">
        <x:f>VLOOKUP(C993,'Governorate Master'!$A$2:$Q$13,7,FALSE)</x:f>
        <x:v>524</x:v>
      </x:c>
      <x:c r="H993" s="20" t="n">
        <x:f>VLOOKUP(C993,'Governorate Master'!$A$2:$Q$13,6,FALSE)</x:f>
        <x:v>0.8390177353342428</x:v>
      </x:c>
      <x:c r="I993" s="20" t="n">
        <x:f>VLOOKUP(C993,'Governorate Master'!$A$2:$Q$13,15,FALSE)</x:f>
        <x:v>0.03614457831325301</x:v>
      </x:c>
      <x:c r="J993" s="12" t="str">
        <x:v>Location model input - competition/saturation context</x:v>
      </x:c>
      <x:c r="K993" s="12" t="str">
        <x:v>Business count is from 2018 while population/context indicators are newer; use as a historical proxy, not a current market count.</x:v>
      </x:c>
    </x:row>
    <x:row r="994">
      <x:c r="A994" s="12" t="str">
        <x:v>2733</x:v>
      </x:c>
      <x:c r="B994" s="12" t="str">
        <x:v>Manufacture of wiring devices</x:v>
      </x:c>
      <x:c r="C994" s="12" t="str">
        <x:v>الكرك</x:v>
      </x:c>
      <x:c r="D994" s="14" t="n">
        <x:v>0</x:v>
      </x:c>
      <x:c r="E994" s="14" t="n">
        <x:f>VLOOKUP(C994,'Governorate Master'!$A$2:$Q$13,3,FALSE)</x:f>
        <x:v>395400</x:v>
      </x:c>
      <x:c r="F994" s="66" t="n">
        <x:f>IF(E994=0,0,D994/E994*10000)</x:f>
        <x:v>0</x:v>
      </x:c>
      <x:c r="G994" s="67" t="n">
        <x:f>VLOOKUP(C994,'Governorate Master'!$A$2:$Q$13,7,FALSE)</x:f>
        <x:v>113.1</x:v>
      </x:c>
      <x:c r="H994" s="20" t="n">
        <x:f>VLOOKUP(C994,'Governorate Master'!$A$2:$Q$13,6,FALSE)</x:f>
        <x:v>0.5912999494183105</x:v>
      </x:c>
      <x:c r="I994" s="20" t="n">
        <x:f>VLOOKUP(C994,'Governorate Master'!$A$2:$Q$13,15,FALSE)</x:f>
        <x:v>0.08710801393728224</x:v>
      </x:c>
      <x:c r="J994" s="12" t="str">
        <x:v>Location model input - competition/saturation context</x:v>
      </x:c>
      <x:c r="K994" s="12" t="str">
        <x:v>Business count is from 2018 while population/context indicators are newer; use as a historical proxy, not a current market count.</x:v>
      </x:c>
    </x:row>
    <x:row r="995">
      <x:c r="A995" s="12" t="str">
        <x:v>2733</x:v>
      </x:c>
      <x:c r="B995" s="12" t="str">
        <x:v>Manufacture of wiring devices</x:v>
      </x:c>
      <x:c r="C995" s="12" t="str">
        <x:v>الطفيلة</x:v>
      </x:c>
      <x:c r="D995" s="14" t="n">
        <x:v>0</x:v>
      </x:c>
      <x:c r="E995" s="14" t="n">
        <x:f>VLOOKUP(C995,'Governorate Master'!$A$2:$Q$13,3,FALSE)</x:f>
        <x:v>120300</x:v>
      </x:c>
      <x:c r="F995" s="66" t="n">
        <x:f>IF(E995=0,0,D995/E995*10000)</x:f>
        <x:v>0</x:v>
      </x:c>
      <x:c r="G995" s="67" t="n">
        <x:f>VLOOKUP(C995,'Governorate Master'!$A$2:$Q$13,7,FALSE)</x:f>
        <x:v>54.4</x:v>
      </x:c>
      <x:c r="H995" s="20" t="n">
        <x:f>VLOOKUP(C995,'Governorate Master'!$A$2:$Q$13,6,FALSE)</x:f>
        <x:v>0.7797173732335827</x:v>
      </x:c>
      <x:c r="I995" s="20" t="n">
        <x:f>VLOOKUP(C995,'Governorate Master'!$A$2:$Q$13,15,FALSE)</x:f>
        <x:v>0.18452380952380953</x:v>
      </x:c>
      <x:c r="J995" s="12" t="str">
        <x:v>Location model input - competition/saturation context</x:v>
      </x:c>
      <x:c r="K995" s="12" t="str">
        <x:v>Business count is from 2018 while population/context indicators are newer; use as a historical proxy, not a current market count.</x:v>
      </x:c>
    </x:row>
    <x:row r="996">
      <x:c r="A996" s="12" t="str">
        <x:v>2733</x:v>
      </x:c>
      <x:c r="B996" s="12" t="str">
        <x:v>Manufacture of wiring devices</x:v>
      </x:c>
      <x:c r="C996" s="12" t="str">
        <x:v>معان</x:v>
      </x:c>
      <x:c r="D996" s="14" t="n">
        <x:v>0</x:v>
      </x:c>
      <x:c r="E996" s="14" t="n">
        <x:f>VLOOKUP(C996,'Governorate Master'!$A$2:$Q$13,3,FALSE)</x:f>
        <x:v>197900</x:v>
      </x:c>
      <x:c r="F996" s="66" t="n">
        <x:f>IF(E996=0,0,D996/E996*10000)</x:f>
        <x:v>0</x:v>
      </x:c>
      <x:c r="G996" s="67" t="n">
        <x:f>VLOOKUP(C996,'Governorate Master'!$A$2:$Q$13,7,FALSE)</x:f>
        <x:v>6</x:v>
      </x:c>
      <x:c r="H996" s="20" t="n">
        <x:f>VLOOKUP(C996,'Governorate Master'!$A$2:$Q$13,6,FALSE)</x:f>
        <x:v>0.5406771096513391</x:v>
      </x:c>
      <x:c r="I996" s="20" t="n">
        <x:f>VLOOKUP(C996,'Governorate Master'!$A$2:$Q$13,15,FALSE)</x:f>
        <x:v>0.026845637583892617</x:v>
      </x:c>
      <x:c r="J996" s="12" t="str">
        <x:v>Location model input - competition/saturation context</x:v>
      </x:c>
      <x:c r="K996" s="12" t="str">
        <x:v>Business count is from 2018 while population/context indicators are newer; use as a historical proxy, not a current market count.</x:v>
      </x:c>
    </x:row>
    <x:row r="997">
      <x:c r="A997" s="12" t="str">
        <x:v>2733</x:v>
      </x:c>
      <x:c r="B997" s="12" t="str">
        <x:v>Manufacture of wiring devices</x:v>
      </x:c>
      <x:c r="C997" s="12" t="str">
        <x:v>العقبة</x:v>
      </x:c>
      <x:c r="D997" s="14" t="n">
        <x:v>0</x:v>
      </x:c>
      <x:c r="E997" s="14" t="n">
        <x:f>VLOOKUP(C997,'Governorate Master'!$A$2:$Q$13,3,FALSE)</x:f>
        <x:v>250900</x:v>
      </x:c>
      <x:c r="F997" s="66" t="n">
        <x:f>IF(E997=0,0,D997/E997*10000)</x:f>
        <x:v>0</x:v>
      </x:c>
      <x:c r="G997" s="67" t="n">
        <x:f>VLOOKUP(C997,'Governorate Master'!$A$2:$Q$13,7,FALSE)</x:f>
        <x:v>36.3</x:v>
      </x:c>
      <x:c r="H997" s="20" t="n">
        <x:f>VLOOKUP(C997,'Governorate Master'!$A$2:$Q$13,6,FALSE)</x:f>
        <x:v>0.882024711040255</x:v>
      </x:c>
      <x:c r="I997" s="20" t="n">
        <x:f>VLOOKUP(C997,'Governorate Master'!$A$2:$Q$13,15,FALSE)</x:f>
        <x:v>-0.09</x:v>
      </x:c>
      <x:c r="J997" s="12" t="str">
        <x:v>Location model input - competition/saturation context</x:v>
      </x:c>
      <x:c r="K997" s="12" t="str">
        <x:v>Business count is from 2018 while population/context indicators are newer; use as a historical proxy, not a current market count.</x:v>
      </x:c>
    </x:row>
    <x:row r="998">
      <x:c r="A998" s="12" t="str">
        <x:v>2740</x:v>
      </x:c>
      <x:c r="B998" s="12" t="str">
        <x:v>Manufacture of electric lighting equipment</x:v>
      </x:c>
      <x:c r="C998" s="12" t="str">
        <x:v>عمان</x:v>
      </x:c>
      <x:c r="D998" s="14" t="n">
        <x:v>3</x:v>
      </x:c>
      <x:c r="E998" s="14" t="n">
        <x:f>VLOOKUP(C998,'Governorate Master'!$A$2:$Q$13,3,FALSE)</x:f>
        <x:v>5004600</x:v>
      </x:c>
      <x:c r="F998" s="66" t="n">
        <x:f>IF(E998=0,0,D998/E998*10000)</x:f>
        <x:v>0.005994485073732166</x:v>
      </x:c>
      <x:c r="G998" s="67" t="n">
        <x:f>VLOOKUP(C998,'Governorate Master'!$A$2:$Q$13,7,FALSE)</x:f>
        <x:v>660.3</x:v>
      </x:c>
      <x:c r="H998" s="20" t="n">
        <x:f>VLOOKUP(C998,'Governorate Master'!$A$2:$Q$13,6,FALSE)</x:f>
        <x:v>0.9721656076409703</x:v>
      </x:c>
      <x:c r="I998" s="20" t="n">
        <x:f>VLOOKUP(C998,'Governorate Master'!$A$2:$Q$13,15,FALSE)</x:f>
        <x:v>0.06367041198501873</x:v>
      </x:c>
      <x:c r="J998" s="12" t="str">
        <x:v>Location model input - competition/saturation context</x:v>
      </x:c>
      <x:c r="K998" s="12" t="str">
        <x:v>Business count is from 2018 while population/context indicators are newer; use as a historical proxy, not a current market count.</x:v>
      </x:c>
    </x:row>
    <x:row r="999">
      <x:c r="A999" s="12" t="str">
        <x:v>2740</x:v>
      </x:c>
      <x:c r="B999" s="12" t="str">
        <x:v>Manufacture of electric lighting equipment</x:v>
      </x:c>
      <x:c r="C999" s="12" t="str">
        <x:v>البلقاء</x:v>
      </x:c>
      <x:c r="D999" s="14" t="n">
        <x:v>0</x:v>
      </x:c>
      <x:c r="E999" s="14" t="n">
        <x:f>VLOOKUP(C999,'Governorate Master'!$A$2:$Q$13,3,FALSE)</x:f>
        <x:v>614000</x:v>
      </x:c>
      <x:c r="F999" s="66" t="n">
        <x:f>IF(E999=0,0,D999/E999*10000)</x:f>
        <x:v>0</x:v>
      </x:c>
      <x:c r="G999" s="67" t="n">
        <x:f>VLOOKUP(C999,'Governorate Master'!$A$2:$Q$13,7,FALSE)</x:f>
        <x:v>548</x:v>
      </x:c>
      <x:c r="H999" s="20" t="n">
        <x:f>VLOOKUP(C999,'Governorate Master'!$A$2:$Q$13,6,FALSE)</x:f>
        <x:v>0.8210097719869707</x:v>
      </x:c>
      <x:c r="I999" s="20" t="n">
        <x:f>VLOOKUP(C999,'Governorate Master'!$A$2:$Q$13,15,FALSE)</x:f>
        <x:v>0.10794044665012408</x:v>
      </x:c>
      <x:c r="J999" s="12" t="str">
        <x:v>Location model input - competition/saturation context</x:v>
      </x:c>
      <x:c r="K999" s="12" t="str">
        <x:v>Business count is from 2018 while population/context indicators are newer; use as a historical proxy, not a current market count.</x:v>
      </x:c>
    </x:row>
    <x:row r="1000">
      <x:c r="A1000" s="12" t="str">
        <x:v>2740</x:v>
      </x:c>
      <x:c r="B1000" s="12" t="str">
        <x:v>Manufacture of electric lighting equipment</x:v>
      </x:c>
      <x:c r="C1000" s="12" t="str">
        <x:v>الزرقاء</x:v>
      </x:c>
      <x:c r="D1000" s="14" t="n">
        <x:v>1</x:v>
      </x:c>
      <x:c r="E1000" s="14" t="n">
        <x:f>VLOOKUP(C1000,'Governorate Master'!$A$2:$Q$13,3,FALSE)</x:f>
        <x:v>1704500</x:v>
      </x:c>
      <x:c r="F1000" s="66" t="n">
        <x:f>IF(E1000=0,0,D1000/E1000*10000)</x:f>
        <x:v>0.005866823115283074</x:v>
      </x:c>
      <x:c r="G1000" s="67" t="n">
        <x:f>VLOOKUP(C1000,'Governorate Master'!$A$2:$Q$13,7,FALSE)</x:f>
        <x:v>358</x:v>
      </x:c>
      <x:c r="H1000" s="20" t="n">
        <x:f>VLOOKUP(C1000,'Governorate Master'!$A$2:$Q$13,6,FALSE)</x:f>
        <x:v>0.9636256966852449</x:v>
      </x:c>
      <x:c r="I1000" s="20" t="n">
        <x:f>VLOOKUP(C1000,'Governorate Master'!$A$2:$Q$13,15,FALSE)</x:f>
        <x:v>-0.06808762581409118</x:v>
      </x:c>
      <x:c r="J1000" s="12" t="str">
        <x:v>Location model input - competition/saturation context</x:v>
      </x:c>
      <x:c r="K1000" s="12" t="str">
        <x:v>Business count is from 2018 while population/context indicators are newer; use as a historical proxy, not a current market count.</x:v>
      </x:c>
    </x:row>
    <x:row r="1001">
      <x:c r="A1001" s="12" t="str">
        <x:v>2740</x:v>
      </x:c>
      <x:c r="B1001" s="12" t="str">
        <x:v>Manufacture of electric lighting equipment</x:v>
      </x:c>
      <x:c r="C1001" s="12" t="str">
        <x:v>مادبا</x:v>
      </x:c>
      <x:c r="D1001" s="14" t="n">
        <x:v>0</x:v>
      </x:c>
      <x:c r="E1001" s="14" t="n">
        <x:f>VLOOKUP(C1001,'Governorate Master'!$A$2:$Q$13,3,FALSE)</x:f>
        <x:v>236200</x:v>
      </x:c>
      <x:c r="F1001" s="66" t="n">
        <x:f>IF(E1001=0,0,D1001/E1001*10000)</x:f>
        <x:v>0</x:v>
      </x:c>
      <x:c r="G1001" s="67" t="n">
        <x:f>VLOOKUP(C1001,'Governorate Master'!$A$2:$Q$13,7,FALSE)</x:f>
        <x:v>251.4</x:v>
      </x:c>
      <x:c r="H1001" s="20" t="n">
        <x:f>VLOOKUP(C1001,'Governorate Master'!$A$2:$Q$13,6,FALSE)</x:f>
        <x:v>0.7823878069432684</x:v>
      </x:c>
      <x:c r="I1001" s="20" t="n">
        <x:f>VLOOKUP(C1001,'Governorate Master'!$A$2:$Q$13,15,FALSE)</x:f>
        <x:v>-0.18823529411764706</x:v>
      </x:c>
      <x:c r="J1001" s="12" t="str">
        <x:v>Location model input - competition/saturation context</x:v>
      </x:c>
      <x:c r="K1001" s="12" t="str">
        <x:v>Business count is from 2018 while population/context indicators are newer; use as a historical proxy, not a current market count.</x:v>
      </x:c>
    </x:row>
    <x:row r="1002">
      <x:c r="A1002" s="12" t="str">
        <x:v>2740</x:v>
      </x:c>
      <x:c r="B1002" s="12" t="str">
        <x:v>Manufacture of electric lighting equipment</x:v>
      </x:c>
      <x:c r="C1002" s="12" t="str">
        <x:v>إربد</x:v>
      </x:c>
      <x:c r="D1002" s="14" t="n">
        <x:v>6</x:v>
      </x:c>
      <x:c r="E1002" s="14" t="n">
        <x:f>VLOOKUP(C1002,'Governorate Master'!$A$2:$Q$13,3,FALSE)</x:f>
        <x:v>2210500</x:v>
      </x:c>
      <x:c r="F1002" s="66" t="n">
        <x:f>IF(E1002=0,0,D1002/E1002*10000)</x:f>
        <x:v>0.027143180275955664</x:v>
      </x:c>
      <x:c r="G1002" s="67" t="n">
        <x:f>VLOOKUP(C1002,'Governorate Master'!$A$2:$Q$13,7,FALSE)</x:f>
        <x:v>1406.4</x:v>
      </x:c>
      <x:c r="H1002" s="20" t="n">
        <x:f>VLOOKUP(C1002,'Governorate Master'!$A$2:$Q$13,6,FALSE)</x:f>
        <x:v>0.9235014702555983</x:v>
      </x:c>
      <x:c r="I1002" s="20" t="n">
        <x:f>VLOOKUP(C1002,'Governorate Master'!$A$2:$Q$13,15,FALSE)</x:f>
        <x:v>0.07086922474549726</x:v>
      </x:c>
      <x:c r="J1002" s="12" t="str">
        <x:v>Location model input - competition/saturation context</x:v>
      </x:c>
      <x:c r="K1002" s="12" t="str">
        <x:v>Business count is from 2018 while population/context indicators are newer; use as a historical proxy, not a current market count.</x:v>
      </x:c>
    </x:row>
    <x:row r="1003">
      <x:c r="A1003" s="12" t="str">
        <x:v>2740</x:v>
      </x:c>
      <x:c r="B1003" s="12" t="str">
        <x:v>Manufacture of electric lighting equipment</x:v>
      </x:c>
      <x:c r="C1003" s="12" t="str">
        <x:v>المفرق</x:v>
      </x:c>
      <x:c r="D1003" s="14" t="n">
        <x:v>0</x:v>
      </x:c>
      <x:c r="E1003" s="14" t="n">
        <x:f>VLOOKUP(C1003,'Governorate Master'!$A$2:$Q$13,3,FALSE)</x:f>
        <x:v>686800</x:v>
      </x:c>
      <x:c r="F1003" s="66" t="n">
        <x:f>IF(E1003=0,0,D1003/E1003*10000)</x:f>
        <x:v>0</x:v>
      </x:c>
      <x:c r="G1003" s="67" t="n">
        <x:f>VLOOKUP(C1003,'Governorate Master'!$A$2:$Q$13,7,FALSE)</x:f>
        <x:v>25.9</x:v>
      </x:c>
      <x:c r="H1003" s="20" t="n">
        <x:f>VLOOKUP(C1003,'Governorate Master'!$A$2:$Q$13,6,FALSE)</x:f>
        <x:v>0.6965637740244612</x:v>
      </x:c>
      <x:c r="I1003" s="20" t="n">
        <x:f>VLOOKUP(C1003,'Governorate Master'!$A$2:$Q$13,15,FALSE)</x:f>
        <x:v>-0.016638935108153077</x:v>
      </x:c>
      <x:c r="J1003" s="12" t="str">
        <x:v>Location model input - competition/saturation context</x:v>
      </x:c>
      <x:c r="K1003" s="12" t="str">
        <x:v>Business count is from 2018 while population/context indicators are newer; use as a historical proxy, not a current market count.</x:v>
      </x:c>
    </x:row>
    <x:row r="1004">
      <x:c r="A1004" s="12" t="str">
        <x:v>2740</x:v>
      </x:c>
      <x:c r="B1004" s="12" t="str">
        <x:v>Manufacture of electric lighting equipment</x:v>
      </x:c>
      <x:c r="C1004" s="12" t="str">
        <x:v>جرش</x:v>
      </x:c>
      <x:c r="D1004" s="14" t="n">
        <x:v>0</x:v>
      </x:c>
      <x:c r="E1004" s="14" t="n">
        <x:f>VLOOKUP(C1004,'Governorate Master'!$A$2:$Q$13,3,FALSE)</x:f>
        <x:v>296000</x:v>
      </x:c>
      <x:c r="F1004" s="66" t="n">
        <x:f>IF(E1004=0,0,D1004/E1004*10000)</x:f>
        <x:v>0</x:v>
      </x:c>
      <x:c r="G1004" s="67" t="n">
        <x:f>VLOOKUP(C1004,'Governorate Master'!$A$2:$Q$13,7,FALSE)</x:f>
        <x:v>722.3</x:v>
      </x:c>
      <x:c r="H1004" s="20" t="n">
        <x:f>VLOOKUP(C1004,'Governorate Master'!$A$2:$Q$13,6,FALSE)</x:f>
        <x:v>0.7695945945945946</x:v>
      </x:c>
      <x:c r="I1004" s="20" t="n">
        <x:f>VLOOKUP(C1004,'Governorate Master'!$A$2:$Q$13,15,FALSE)</x:f>
        <x:v>-0.06527415143603134</x:v>
      </x:c>
      <x:c r="J1004" s="12" t="str">
        <x:v>Location model input - competition/saturation context</x:v>
      </x:c>
      <x:c r="K1004" s="12" t="str">
        <x:v>Business count is from 2018 while population/context indicators are newer; use as a historical proxy, not a current market count.</x:v>
      </x:c>
    </x:row>
    <x:row r="1005">
      <x:c r="A1005" s="12" t="str">
        <x:v>2740</x:v>
      </x:c>
      <x:c r="B1005" s="12" t="str">
        <x:v>Manufacture of electric lighting equipment</x:v>
      </x:c>
      <x:c r="C1005" s="12" t="str">
        <x:v>عجلون</x:v>
      </x:c>
      <x:c r="D1005" s="14" t="n">
        <x:v>0</x:v>
      </x:c>
      <x:c r="E1005" s="14" t="n">
        <x:f>VLOOKUP(C1005,'Governorate Master'!$A$2:$Q$13,3,FALSE)</x:f>
        <x:v>219900</x:v>
      </x:c>
      <x:c r="F1005" s="66" t="n">
        <x:f>IF(E1005=0,0,D1005/E1005*10000)</x:f>
        <x:v>0</x:v>
      </x:c>
      <x:c r="G1005" s="67" t="n">
        <x:f>VLOOKUP(C1005,'Governorate Master'!$A$2:$Q$13,7,FALSE)</x:f>
        <x:v>524</x:v>
      </x:c>
      <x:c r="H1005" s="20" t="n">
        <x:f>VLOOKUP(C1005,'Governorate Master'!$A$2:$Q$13,6,FALSE)</x:f>
        <x:v>0.8390177353342428</x:v>
      </x:c>
      <x:c r="I1005" s="20" t="n">
        <x:f>VLOOKUP(C1005,'Governorate Master'!$A$2:$Q$13,15,FALSE)</x:f>
        <x:v>0.03614457831325301</x:v>
      </x:c>
      <x:c r="J1005" s="12" t="str">
        <x:v>Location model input - competition/saturation context</x:v>
      </x:c>
      <x:c r="K1005" s="12" t="str">
        <x:v>Business count is from 2018 while population/context indicators are newer; use as a historical proxy, not a current market count.</x:v>
      </x:c>
    </x:row>
    <x:row r="1006">
      <x:c r="A1006" s="12" t="str">
        <x:v>2740</x:v>
      </x:c>
      <x:c r="B1006" s="12" t="str">
        <x:v>Manufacture of electric lighting equipment</x:v>
      </x:c>
      <x:c r="C1006" s="12" t="str">
        <x:v>الكرك</x:v>
      </x:c>
      <x:c r="D1006" s="14" t="n">
        <x:v>0</x:v>
      </x:c>
      <x:c r="E1006" s="14" t="n">
        <x:f>VLOOKUP(C1006,'Governorate Master'!$A$2:$Q$13,3,FALSE)</x:f>
        <x:v>395400</x:v>
      </x:c>
      <x:c r="F1006" s="66" t="n">
        <x:f>IF(E1006=0,0,D1006/E1006*10000)</x:f>
        <x:v>0</x:v>
      </x:c>
      <x:c r="G1006" s="67" t="n">
        <x:f>VLOOKUP(C1006,'Governorate Master'!$A$2:$Q$13,7,FALSE)</x:f>
        <x:v>113.1</x:v>
      </x:c>
      <x:c r="H1006" s="20" t="n">
        <x:f>VLOOKUP(C1006,'Governorate Master'!$A$2:$Q$13,6,FALSE)</x:f>
        <x:v>0.5912999494183105</x:v>
      </x:c>
      <x:c r="I1006" s="20" t="n">
        <x:f>VLOOKUP(C1006,'Governorate Master'!$A$2:$Q$13,15,FALSE)</x:f>
        <x:v>0.08710801393728224</x:v>
      </x:c>
      <x:c r="J1006" s="12" t="str">
        <x:v>Location model input - competition/saturation context</x:v>
      </x:c>
      <x:c r="K1006" s="12" t="str">
        <x:v>Business count is from 2018 while population/context indicators are newer; use as a historical proxy, not a current market count.</x:v>
      </x:c>
    </x:row>
    <x:row r="1007">
      <x:c r="A1007" s="12" t="str">
        <x:v>2740</x:v>
      </x:c>
      <x:c r="B1007" s="12" t="str">
        <x:v>Manufacture of electric lighting equipment</x:v>
      </x:c>
      <x:c r="C1007" s="12" t="str">
        <x:v>الطفيلة</x:v>
      </x:c>
      <x:c r="D1007" s="14" t="n">
        <x:v>0</x:v>
      </x:c>
      <x:c r="E1007" s="14" t="n">
        <x:f>VLOOKUP(C1007,'Governorate Master'!$A$2:$Q$13,3,FALSE)</x:f>
        <x:v>120300</x:v>
      </x:c>
      <x:c r="F1007" s="66" t="n">
        <x:f>IF(E1007=0,0,D1007/E1007*10000)</x:f>
        <x:v>0</x:v>
      </x:c>
      <x:c r="G1007" s="67" t="n">
        <x:f>VLOOKUP(C1007,'Governorate Master'!$A$2:$Q$13,7,FALSE)</x:f>
        <x:v>54.4</x:v>
      </x:c>
      <x:c r="H1007" s="20" t="n">
        <x:f>VLOOKUP(C1007,'Governorate Master'!$A$2:$Q$13,6,FALSE)</x:f>
        <x:v>0.7797173732335827</x:v>
      </x:c>
      <x:c r="I1007" s="20" t="n">
        <x:f>VLOOKUP(C1007,'Governorate Master'!$A$2:$Q$13,15,FALSE)</x:f>
        <x:v>0.18452380952380953</x:v>
      </x:c>
      <x:c r="J1007" s="12" t="str">
        <x:v>Location model input - competition/saturation context</x:v>
      </x:c>
      <x:c r="K1007" s="12" t="str">
        <x:v>Business count is from 2018 while population/context indicators are newer; use as a historical proxy, not a current market count.</x:v>
      </x:c>
    </x:row>
    <x:row r="1008">
      <x:c r="A1008" s="12" t="str">
        <x:v>2740</x:v>
      </x:c>
      <x:c r="B1008" s="12" t="str">
        <x:v>Manufacture of electric lighting equipment</x:v>
      </x:c>
      <x:c r="C1008" s="12" t="str">
        <x:v>معان</x:v>
      </x:c>
      <x:c r="D1008" s="14" t="n">
        <x:v>0</x:v>
      </x:c>
      <x:c r="E1008" s="14" t="n">
        <x:f>VLOOKUP(C1008,'Governorate Master'!$A$2:$Q$13,3,FALSE)</x:f>
        <x:v>197900</x:v>
      </x:c>
      <x:c r="F1008" s="66" t="n">
        <x:f>IF(E1008=0,0,D1008/E1008*10000)</x:f>
        <x:v>0</x:v>
      </x:c>
      <x:c r="G1008" s="67" t="n">
        <x:f>VLOOKUP(C1008,'Governorate Master'!$A$2:$Q$13,7,FALSE)</x:f>
        <x:v>6</x:v>
      </x:c>
      <x:c r="H1008" s="20" t="n">
        <x:f>VLOOKUP(C1008,'Governorate Master'!$A$2:$Q$13,6,FALSE)</x:f>
        <x:v>0.5406771096513391</x:v>
      </x:c>
      <x:c r="I1008" s="20" t="n">
        <x:f>VLOOKUP(C1008,'Governorate Master'!$A$2:$Q$13,15,FALSE)</x:f>
        <x:v>0.026845637583892617</x:v>
      </x:c>
      <x:c r="J1008" s="12" t="str">
        <x:v>Location model input - competition/saturation context</x:v>
      </x:c>
      <x:c r="K1008" s="12" t="str">
        <x:v>Business count is from 2018 while population/context indicators are newer; use as a historical proxy, not a current market count.</x:v>
      </x:c>
    </x:row>
    <x:row r="1009">
      <x:c r="A1009" s="12" t="str">
        <x:v>2740</x:v>
      </x:c>
      <x:c r="B1009" s="12" t="str">
        <x:v>Manufacture of electric lighting equipment</x:v>
      </x:c>
      <x:c r="C1009" s="12" t="str">
        <x:v>العقبة</x:v>
      </x:c>
      <x:c r="D1009" s="14" t="n">
        <x:v>1</x:v>
      </x:c>
      <x:c r="E1009" s="14" t="n">
        <x:f>VLOOKUP(C1009,'Governorate Master'!$A$2:$Q$13,3,FALSE)</x:f>
        <x:v>250900</x:v>
      </x:c>
      <x:c r="F1009" s="66" t="n">
        <x:f>IF(E1009=0,0,D1009/E1009*10000)</x:f>
        <x:v>0.03985651654045436</x:v>
      </x:c>
      <x:c r="G1009" s="67" t="n">
        <x:f>VLOOKUP(C1009,'Governorate Master'!$A$2:$Q$13,7,FALSE)</x:f>
        <x:v>36.3</x:v>
      </x:c>
      <x:c r="H1009" s="20" t="n">
        <x:f>VLOOKUP(C1009,'Governorate Master'!$A$2:$Q$13,6,FALSE)</x:f>
        <x:v>0.882024711040255</x:v>
      </x:c>
      <x:c r="I1009" s="20" t="n">
        <x:f>VLOOKUP(C1009,'Governorate Master'!$A$2:$Q$13,15,FALSE)</x:f>
        <x:v>-0.09</x:v>
      </x:c>
      <x:c r="J1009" s="12" t="str">
        <x:v>Location model input - competition/saturation context</x:v>
      </x:c>
      <x:c r="K1009" s="12" t="str">
        <x:v>Business count is from 2018 while population/context indicators are newer; use as a historical proxy, not a current market count.</x:v>
      </x:c>
    </x:row>
    <x:row r="1010">
      <x:c r="A1010" s="12" t="str">
        <x:v>2750</x:v>
      </x:c>
      <x:c r="B1010" s="12" t="str">
        <x:v>Manufacture of domestic appliances</x:v>
      </x:c>
      <x:c r="C1010" s="12" t="str">
        <x:v>عمان</x:v>
      </x:c>
      <x:c r="D1010" s="14" t="n">
        <x:v>62</x:v>
      </x:c>
      <x:c r="E1010" s="14" t="n">
        <x:f>VLOOKUP(C1010,'Governorate Master'!$A$2:$Q$13,3,FALSE)</x:f>
        <x:v>5004600</x:v>
      </x:c>
      <x:c r="F1010" s="66" t="n">
        <x:f>IF(E1010=0,0,D1010/E1010*10000)</x:f>
        <x:v>0.12388602485713143</x:v>
      </x:c>
      <x:c r="G1010" s="67" t="n">
        <x:f>VLOOKUP(C1010,'Governorate Master'!$A$2:$Q$13,7,FALSE)</x:f>
        <x:v>660.3</x:v>
      </x:c>
      <x:c r="H1010" s="20" t="n">
        <x:f>VLOOKUP(C1010,'Governorate Master'!$A$2:$Q$13,6,FALSE)</x:f>
        <x:v>0.9721656076409703</x:v>
      </x:c>
      <x:c r="I1010" s="20" t="n">
        <x:f>VLOOKUP(C1010,'Governorate Master'!$A$2:$Q$13,15,FALSE)</x:f>
        <x:v>0.06367041198501873</x:v>
      </x:c>
      <x:c r="J1010" s="12" t="str">
        <x:v>Location model input - competition/saturation context</x:v>
      </x:c>
      <x:c r="K1010" s="12" t="str">
        <x:v>Business count is from 2018 while population/context indicators are newer; use as a historical proxy, not a current market count.</x:v>
      </x:c>
    </x:row>
    <x:row r="1011">
      <x:c r="A1011" s="12" t="str">
        <x:v>2750</x:v>
      </x:c>
      <x:c r="B1011" s="12" t="str">
        <x:v>Manufacture of domestic appliances</x:v>
      </x:c>
      <x:c r="C1011" s="12" t="str">
        <x:v>البلقاء</x:v>
      </x:c>
      <x:c r="D1011" s="14" t="n">
        <x:v>1</x:v>
      </x:c>
      <x:c r="E1011" s="14" t="n">
        <x:f>VLOOKUP(C1011,'Governorate Master'!$A$2:$Q$13,3,FALSE)</x:f>
        <x:v>614000</x:v>
      </x:c>
      <x:c r="F1011" s="66" t="n">
        <x:f>IF(E1011=0,0,D1011/E1011*10000)</x:f>
        <x:v>0.016286644951140065</x:v>
      </x:c>
      <x:c r="G1011" s="67" t="n">
        <x:f>VLOOKUP(C1011,'Governorate Master'!$A$2:$Q$13,7,FALSE)</x:f>
        <x:v>548</x:v>
      </x:c>
      <x:c r="H1011" s="20" t="n">
        <x:f>VLOOKUP(C1011,'Governorate Master'!$A$2:$Q$13,6,FALSE)</x:f>
        <x:v>0.8210097719869707</x:v>
      </x:c>
      <x:c r="I1011" s="20" t="n">
        <x:f>VLOOKUP(C1011,'Governorate Master'!$A$2:$Q$13,15,FALSE)</x:f>
        <x:v>0.10794044665012408</x:v>
      </x:c>
      <x:c r="J1011" s="12" t="str">
        <x:v>Location model input - competition/saturation context</x:v>
      </x:c>
      <x:c r="K1011" s="12" t="str">
        <x:v>Business count is from 2018 while population/context indicators are newer; use as a historical proxy, not a current market count.</x:v>
      </x:c>
    </x:row>
    <x:row r="1012">
      <x:c r="A1012" s="12" t="str">
        <x:v>2750</x:v>
      </x:c>
      <x:c r="B1012" s="12" t="str">
        <x:v>Manufacture of domestic appliances</x:v>
      </x:c>
      <x:c r="C1012" s="12" t="str">
        <x:v>الزرقاء</x:v>
      </x:c>
      <x:c r="D1012" s="14" t="n">
        <x:v>15</x:v>
      </x:c>
      <x:c r="E1012" s="14" t="n">
        <x:f>VLOOKUP(C1012,'Governorate Master'!$A$2:$Q$13,3,FALSE)</x:f>
        <x:v>1704500</x:v>
      </x:c>
      <x:c r="F1012" s="66" t="n">
        <x:f>IF(E1012=0,0,D1012/E1012*10000)</x:f>
        <x:v>0.0880023467292461</x:v>
      </x:c>
      <x:c r="G1012" s="67" t="n">
        <x:f>VLOOKUP(C1012,'Governorate Master'!$A$2:$Q$13,7,FALSE)</x:f>
        <x:v>358</x:v>
      </x:c>
      <x:c r="H1012" s="20" t="n">
        <x:f>VLOOKUP(C1012,'Governorate Master'!$A$2:$Q$13,6,FALSE)</x:f>
        <x:v>0.9636256966852449</x:v>
      </x:c>
      <x:c r="I1012" s="20" t="n">
        <x:f>VLOOKUP(C1012,'Governorate Master'!$A$2:$Q$13,15,FALSE)</x:f>
        <x:v>-0.06808762581409118</x:v>
      </x:c>
      <x:c r="J1012" s="12" t="str">
        <x:v>Location model input - competition/saturation context</x:v>
      </x:c>
      <x:c r="K1012" s="12" t="str">
        <x:v>Business count is from 2018 while population/context indicators are newer; use as a historical proxy, not a current market count.</x:v>
      </x:c>
    </x:row>
    <x:row r="1013">
      <x:c r="A1013" s="12" t="str">
        <x:v>2750</x:v>
      </x:c>
      <x:c r="B1013" s="12" t="str">
        <x:v>Manufacture of domestic appliances</x:v>
      </x:c>
      <x:c r="C1013" s="12" t="str">
        <x:v>مادبا</x:v>
      </x:c>
      <x:c r="D1013" s="14" t="n">
        <x:v>0</x:v>
      </x:c>
      <x:c r="E1013" s="14" t="n">
        <x:f>VLOOKUP(C1013,'Governorate Master'!$A$2:$Q$13,3,FALSE)</x:f>
        <x:v>236200</x:v>
      </x:c>
      <x:c r="F1013" s="66" t="n">
        <x:f>IF(E1013=0,0,D1013/E1013*10000)</x:f>
        <x:v>0</x:v>
      </x:c>
      <x:c r="G1013" s="67" t="n">
        <x:f>VLOOKUP(C1013,'Governorate Master'!$A$2:$Q$13,7,FALSE)</x:f>
        <x:v>251.4</x:v>
      </x:c>
      <x:c r="H1013" s="20" t="n">
        <x:f>VLOOKUP(C1013,'Governorate Master'!$A$2:$Q$13,6,FALSE)</x:f>
        <x:v>0.7823878069432684</x:v>
      </x:c>
      <x:c r="I1013" s="20" t="n">
        <x:f>VLOOKUP(C1013,'Governorate Master'!$A$2:$Q$13,15,FALSE)</x:f>
        <x:v>-0.18823529411764706</x:v>
      </x:c>
      <x:c r="J1013" s="12" t="str">
        <x:v>Location model input - competition/saturation context</x:v>
      </x:c>
      <x:c r="K1013" s="12" t="str">
        <x:v>Business count is from 2018 while population/context indicators are newer; use as a historical proxy, not a current market count.</x:v>
      </x:c>
    </x:row>
    <x:row r="1014">
      <x:c r="A1014" s="12" t="str">
        <x:v>2750</x:v>
      </x:c>
      <x:c r="B1014" s="12" t="str">
        <x:v>Manufacture of domestic appliances</x:v>
      </x:c>
      <x:c r="C1014" s="12" t="str">
        <x:v>إربد</x:v>
      </x:c>
      <x:c r="D1014" s="14" t="n">
        <x:v>13</x:v>
      </x:c>
      <x:c r="E1014" s="14" t="n">
        <x:f>VLOOKUP(C1014,'Governorate Master'!$A$2:$Q$13,3,FALSE)</x:f>
        <x:v>2210500</x:v>
      </x:c>
      <x:c r="F1014" s="66" t="n">
        <x:f>IF(E1014=0,0,D1014/E1014*10000)</x:f>
        <x:v>0.05881022393123727</x:v>
      </x:c>
      <x:c r="G1014" s="67" t="n">
        <x:f>VLOOKUP(C1014,'Governorate Master'!$A$2:$Q$13,7,FALSE)</x:f>
        <x:v>1406.4</x:v>
      </x:c>
      <x:c r="H1014" s="20" t="n">
        <x:f>VLOOKUP(C1014,'Governorate Master'!$A$2:$Q$13,6,FALSE)</x:f>
        <x:v>0.9235014702555983</x:v>
      </x:c>
      <x:c r="I1014" s="20" t="n">
        <x:f>VLOOKUP(C1014,'Governorate Master'!$A$2:$Q$13,15,FALSE)</x:f>
        <x:v>0.07086922474549726</x:v>
      </x:c>
      <x:c r="J1014" s="12" t="str">
        <x:v>Location model input - competition/saturation context</x:v>
      </x:c>
      <x:c r="K1014" s="12" t="str">
        <x:v>Business count is from 2018 while population/context indicators are newer; use as a historical proxy, not a current market count.</x:v>
      </x:c>
    </x:row>
    <x:row r="1015">
      <x:c r="A1015" s="12" t="str">
        <x:v>2750</x:v>
      </x:c>
      <x:c r="B1015" s="12" t="str">
        <x:v>Manufacture of domestic appliances</x:v>
      </x:c>
      <x:c r="C1015" s="12" t="str">
        <x:v>المفرق</x:v>
      </x:c>
      <x:c r="D1015" s="14" t="n">
        <x:v>2</x:v>
      </x:c>
      <x:c r="E1015" s="14" t="n">
        <x:f>VLOOKUP(C1015,'Governorate Master'!$A$2:$Q$13,3,FALSE)</x:f>
        <x:v>686800</x:v>
      </x:c>
      <x:c r="F1015" s="66" t="n">
        <x:f>IF(E1015=0,0,D1015/E1015*10000)</x:f>
        <x:v>0.029120559114735003</x:v>
      </x:c>
      <x:c r="G1015" s="67" t="n">
        <x:f>VLOOKUP(C1015,'Governorate Master'!$A$2:$Q$13,7,FALSE)</x:f>
        <x:v>25.9</x:v>
      </x:c>
      <x:c r="H1015" s="20" t="n">
        <x:f>VLOOKUP(C1015,'Governorate Master'!$A$2:$Q$13,6,FALSE)</x:f>
        <x:v>0.6965637740244612</x:v>
      </x:c>
      <x:c r="I1015" s="20" t="n">
        <x:f>VLOOKUP(C1015,'Governorate Master'!$A$2:$Q$13,15,FALSE)</x:f>
        <x:v>-0.016638935108153077</x:v>
      </x:c>
      <x:c r="J1015" s="12" t="str">
        <x:v>Location model input - competition/saturation context</x:v>
      </x:c>
      <x:c r="K1015" s="12" t="str">
        <x:v>Business count is from 2018 while population/context indicators are newer; use as a historical proxy, not a current market count.</x:v>
      </x:c>
    </x:row>
    <x:row r="1016">
      <x:c r="A1016" s="12" t="str">
        <x:v>2750</x:v>
      </x:c>
      <x:c r="B1016" s="12" t="str">
        <x:v>Manufacture of domestic appliances</x:v>
      </x:c>
      <x:c r="C1016" s="12" t="str">
        <x:v>جرش</x:v>
      </x:c>
      <x:c r="D1016" s="14" t="n">
        <x:v>1</x:v>
      </x:c>
      <x:c r="E1016" s="14" t="n">
        <x:f>VLOOKUP(C1016,'Governorate Master'!$A$2:$Q$13,3,FALSE)</x:f>
        <x:v>296000</x:v>
      </x:c>
      <x:c r="F1016" s="66" t="n">
        <x:f>IF(E1016=0,0,D1016/E1016*10000)</x:f>
        <x:v>0.033783783783783786</x:v>
      </x:c>
      <x:c r="G1016" s="67" t="n">
        <x:f>VLOOKUP(C1016,'Governorate Master'!$A$2:$Q$13,7,FALSE)</x:f>
        <x:v>722.3</x:v>
      </x:c>
      <x:c r="H1016" s="20" t="n">
        <x:f>VLOOKUP(C1016,'Governorate Master'!$A$2:$Q$13,6,FALSE)</x:f>
        <x:v>0.7695945945945946</x:v>
      </x:c>
      <x:c r="I1016" s="20" t="n">
        <x:f>VLOOKUP(C1016,'Governorate Master'!$A$2:$Q$13,15,FALSE)</x:f>
        <x:v>-0.06527415143603134</x:v>
      </x:c>
      <x:c r="J1016" s="12" t="str">
        <x:v>Location model input - competition/saturation context</x:v>
      </x:c>
      <x:c r="K1016" s="12" t="str">
        <x:v>Business count is from 2018 while population/context indicators are newer; use as a historical proxy, not a current market count.</x:v>
      </x:c>
    </x:row>
    <x:row r="1017">
      <x:c r="A1017" s="12" t="str">
        <x:v>2750</x:v>
      </x:c>
      <x:c r="B1017" s="12" t="str">
        <x:v>Manufacture of domestic appliances</x:v>
      </x:c>
      <x:c r="C1017" s="12" t="str">
        <x:v>عجلون</x:v>
      </x:c>
      <x:c r="D1017" s="14" t="n">
        <x:v>1</x:v>
      </x:c>
      <x:c r="E1017" s="14" t="n">
        <x:f>VLOOKUP(C1017,'Governorate Master'!$A$2:$Q$13,3,FALSE)</x:f>
        <x:v>219900</x:v>
      </x:c>
      <x:c r="F1017" s="66" t="n">
        <x:f>IF(E1017=0,0,D1017/E1017*10000)</x:f>
        <x:v>0.04547521600727603</x:v>
      </x:c>
      <x:c r="G1017" s="67" t="n">
        <x:f>VLOOKUP(C1017,'Governorate Master'!$A$2:$Q$13,7,FALSE)</x:f>
        <x:v>524</x:v>
      </x:c>
      <x:c r="H1017" s="20" t="n">
        <x:f>VLOOKUP(C1017,'Governorate Master'!$A$2:$Q$13,6,FALSE)</x:f>
        <x:v>0.8390177353342428</x:v>
      </x:c>
      <x:c r="I1017" s="20" t="n">
        <x:f>VLOOKUP(C1017,'Governorate Master'!$A$2:$Q$13,15,FALSE)</x:f>
        <x:v>0.03614457831325301</x:v>
      </x:c>
      <x:c r="J1017" s="12" t="str">
        <x:v>Location model input - competition/saturation context</x:v>
      </x:c>
      <x:c r="K1017" s="12" t="str">
        <x:v>Business count is from 2018 while population/context indicators are newer; use as a historical proxy, not a current market count.</x:v>
      </x:c>
    </x:row>
    <x:row r="1018">
      <x:c r="A1018" s="12" t="str">
        <x:v>2750</x:v>
      </x:c>
      <x:c r="B1018" s="12" t="str">
        <x:v>Manufacture of domestic appliances</x:v>
      </x:c>
      <x:c r="C1018" s="12" t="str">
        <x:v>الكرك</x:v>
      </x:c>
      <x:c r="D1018" s="14" t="n">
        <x:v>1</x:v>
      </x:c>
      <x:c r="E1018" s="14" t="n">
        <x:f>VLOOKUP(C1018,'Governorate Master'!$A$2:$Q$13,3,FALSE)</x:f>
        <x:v>395400</x:v>
      </x:c>
      <x:c r="F1018" s="66" t="n">
        <x:f>IF(E1018=0,0,D1018/E1018*10000)</x:f>
        <x:v>0.025290844714213452</x:v>
      </x:c>
      <x:c r="G1018" s="67" t="n">
        <x:f>VLOOKUP(C1018,'Governorate Master'!$A$2:$Q$13,7,FALSE)</x:f>
        <x:v>113.1</x:v>
      </x:c>
      <x:c r="H1018" s="20" t="n">
        <x:f>VLOOKUP(C1018,'Governorate Master'!$A$2:$Q$13,6,FALSE)</x:f>
        <x:v>0.5912999494183105</x:v>
      </x:c>
      <x:c r="I1018" s="20" t="n">
        <x:f>VLOOKUP(C1018,'Governorate Master'!$A$2:$Q$13,15,FALSE)</x:f>
        <x:v>0.08710801393728224</x:v>
      </x:c>
      <x:c r="J1018" s="12" t="str">
        <x:v>Location model input - competition/saturation context</x:v>
      </x:c>
      <x:c r="K1018" s="12" t="str">
        <x:v>Business count is from 2018 while population/context indicators are newer; use as a historical proxy, not a current market count.</x:v>
      </x:c>
    </x:row>
    <x:row r="1019">
      <x:c r="A1019" s="12" t="str">
        <x:v>2750</x:v>
      </x:c>
      <x:c r="B1019" s="12" t="str">
        <x:v>Manufacture of domestic appliances</x:v>
      </x:c>
      <x:c r="C1019" s="12" t="str">
        <x:v>الطفيلة</x:v>
      </x:c>
      <x:c r="D1019" s="14" t="n">
        <x:v>0</x:v>
      </x:c>
      <x:c r="E1019" s="14" t="n">
        <x:f>VLOOKUP(C1019,'Governorate Master'!$A$2:$Q$13,3,FALSE)</x:f>
        <x:v>120300</x:v>
      </x:c>
      <x:c r="F1019" s="66" t="n">
        <x:f>IF(E1019=0,0,D1019/E1019*10000)</x:f>
        <x:v>0</x:v>
      </x:c>
      <x:c r="G1019" s="67" t="n">
        <x:f>VLOOKUP(C1019,'Governorate Master'!$A$2:$Q$13,7,FALSE)</x:f>
        <x:v>54.4</x:v>
      </x:c>
      <x:c r="H1019" s="20" t="n">
        <x:f>VLOOKUP(C1019,'Governorate Master'!$A$2:$Q$13,6,FALSE)</x:f>
        <x:v>0.7797173732335827</x:v>
      </x:c>
      <x:c r="I1019" s="20" t="n">
        <x:f>VLOOKUP(C1019,'Governorate Master'!$A$2:$Q$13,15,FALSE)</x:f>
        <x:v>0.18452380952380953</x:v>
      </x:c>
      <x:c r="J1019" s="12" t="str">
        <x:v>Location model input - competition/saturation context</x:v>
      </x:c>
      <x:c r="K1019" s="12" t="str">
        <x:v>Business count is from 2018 while population/context indicators are newer; use as a historical proxy, not a current market count.</x:v>
      </x:c>
    </x:row>
    <x:row r="1020">
      <x:c r="A1020" s="12" t="str">
        <x:v>2750</x:v>
      </x:c>
      <x:c r="B1020" s="12" t="str">
        <x:v>Manufacture of domestic appliances</x:v>
      </x:c>
      <x:c r="C1020" s="12" t="str">
        <x:v>معان</x:v>
      </x:c>
      <x:c r="D1020" s="14" t="n">
        <x:v>1</x:v>
      </x:c>
      <x:c r="E1020" s="14" t="n">
        <x:f>VLOOKUP(C1020,'Governorate Master'!$A$2:$Q$13,3,FALSE)</x:f>
        <x:v>197900</x:v>
      </x:c>
      <x:c r="F1020" s="66" t="n">
        <x:f>IF(E1020=0,0,D1020/E1020*10000)</x:f>
        <x:v>0.05053057099545225</x:v>
      </x:c>
      <x:c r="G1020" s="67" t="n">
        <x:f>VLOOKUP(C1020,'Governorate Master'!$A$2:$Q$13,7,FALSE)</x:f>
        <x:v>6</x:v>
      </x:c>
      <x:c r="H1020" s="20" t="n">
        <x:f>VLOOKUP(C1020,'Governorate Master'!$A$2:$Q$13,6,FALSE)</x:f>
        <x:v>0.5406771096513391</x:v>
      </x:c>
      <x:c r="I1020" s="20" t="n">
        <x:f>VLOOKUP(C1020,'Governorate Master'!$A$2:$Q$13,15,FALSE)</x:f>
        <x:v>0.026845637583892617</x:v>
      </x:c>
      <x:c r="J1020" s="12" t="str">
        <x:v>Location model input - competition/saturation context</x:v>
      </x:c>
      <x:c r="K1020" s="12" t="str">
        <x:v>Business count is from 2018 while population/context indicators are newer; use as a historical proxy, not a current market count.</x:v>
      </x:c>
    </x:row>
    <x:row r="1021">
      <x:c r="A1021" s="12" t="str">
        <x:v>2750</x:v>
      </x:c>
      <x:c r="B1021" s="12" t="str">
        <x:v>Manufacture of domestic appliances</x:v>
      </x:c>
      <x:c r="C1021" s="12" t="str">
        <x:v>العقبة</x:v>
      </x:c>
      <x:c r="D1021" s="14" t="n">
        <x:v>3</x:v>
      </x:c>
      <x:c r="E1021" s="14" t="n">
        <x:f>VLOOKUP(C1021,'Governorate Master'!$A$2:$Q$13,3,FALSE)</x:f>
        <x:v>250900</x:v>
      </x:c>
      <x:c r="F1021" s="66" t="n">
        <x:f>IF(E1021=0,0,D1021/E1021*10000)</x:f>
        <x:v>0.11956954962136308</x:v>
      </x:c>
      <x:c r="G1021" s="67" t="n">
        <x:f>VLOOKUP(C1021,'Governorate Master'!$A$2:$Q$13,7,FALSE)</x:f>
        <x:v>36.3</x:v>
      </x:c>
      <x:c r="H1021" s="20" t="n">
        <x:f>VLOOKUP(C1021,'Governorate Master'!$A$2:$Q$13,6,FALSE)</x:f>
        <x:v>0.882024711040255</x:v>
      </x:c>
      <x:c r="I1021" s="20" t="n">
        <x:f>VLOOKUP(C1021,'Governorate Master'!$A$2:$Q$13,15,FALSE)</x:f>
        <x:v>-0.09</x:v>
      </x:c>
      <x:c r="J1021" s="12" t="str">
        <x:v>Location model input - competition/saturation context</x:v>
      </x:c>
      <x:c r="K1021" s="12" t="str">
        <x:v>Business count is from 2018 while population/context indicators are newer; use as a historical proxy, not a current market count.</x:v>
      </x:c>
    </x:row>
    <x:row r="1022">
      <x:c r="A1022" s="12" t="str">
        <x:v>2790</x:v>
      </x:c>
      <x:c r="B1022" s="12" t="str">
        <x:v>Manufacture of other electrical equipment</x:v>
      </x:c>
      <x:c r="C1022" s="12" t="str">
        <x:v>عمان</x:v>
      </x:c>
      <x:c r="D1022" s="14" t="n">
        <x:v>25</x:v>
      </x:c>
      <x:c r="E1022" s="14" t="n">
        <x:f>VLOOKUP(C1022,'Governorate Master'!$A$2:$Q$13,3,FALSE)</x:f>
        <x:v>5004600</x:v>
      </x:c>
      <x:c r="F1022" s="66" t="n">
        <x:f>IF(E1022=0,0,D1022/E1022*10000)</x:f>
        <x:v>0.04995404228110139</x:v>
      </x:c>
      <x:c r="G1022" s="67" t="n">
        <x:f>VLOOKUP(C1022,'Governorate Master'!$A$2:$Q$13,7,FALSE)</x:f>
        <x:v>660.3</x:v>
      </x:c>
      <x:c r="H1022" s="20" t="n">
        <x:f>VLOOKUP(C1022,'Governorate Master'!$A$2:$Q$13,6,FALSE)</x:f>
        <x:v>0.9721656076409703</x:v>
      </x:c>
      <x:c r="I1022" s="20" t="n">
        <x:f>VLOOKUP(C1022,'Governorate Master'!$A$2:$Q$13,15,FALSE)</x:f>
        <x:v>0.06367041198501873</x:v>
      </x:c>
      <x:c r="J1022" s="12" t="str">
        <x:v>Location model input - competition/saturation context</x:v>
      </x:c>
      <x:c r="K1022" s="12" t="str">
        <x:v>Business count is from 2018 while population/context indicators are newer; use as a historical proxy, not a current market count.</x:v>
      </x:c>
    </x:row>
    <x:row r="1023">
      <x:c r="A1023" s="12" t="str">
        <x:v>2790</x:v>
      </x:c>
      <x:c r="B1023" s="12" t="str">
        <x:v>Manufacture of other electrical equipment</x:v>
      </x:c>
      <x:c r="C1023" s="12" t="str">
        <x:v>البلقاء</x:v>
      </x:c>
      <x:c r="D1023" s="14" t="n">
        <x:v>0</x:v>
      </x:c>
      <x:c r="E1023" s="14" t="n">
        <x:f>VLOOKUP(C1023,'Governorate Master'!$A$2:$Q$13,3,FALSE)</x:f>
        <x:v>614000</x:v>
      </x:c>
      <x:c r="F1023" s="66" t="n">
        <x:f>IF(E1023=0,0,D1023/E1023*10000)</x:f>
        <x:v>0</x:v>
      </x:c>
      <x:c r="G1023" s="67" t="n">
        <x:f>VLOOKUP(C1023,'Governorate Master'!$A$2:$Q$13,7,FALSE)</x:f>
        <x:v>548</x:v>
      </x:c>
      <x:c r="H1023" s="20" t="n">
        <x:f>VLOOKUP(C1023,'Governorate Master'!$A$2:$Q$13,6,FALSE)</x:f>
        <x:v>0.8210097719869707</x:v>
      </x:c>
      <x:c r="I1023" s="20" t="n">
        <x:f>VLOOKUP(C1023,'Governorate Master'!$A$2:$Q$13,15,FALSE)</x:f>
        <x:v>0.10794044665012408</x:v>
      </x:c>
      <x:c r="J1023" s="12" t="str">
        <x:v>Location model input - competition/saturation context</x:v>
      </x:c>
      <x:c r="K1023" s="12" t="str">
        <x:v>Business count is from 2018 while population/context indicators are newer; use as a historical proxy, not a current market count.</x:v>
      </x:c>
    </x:row>
    <x:row r="1024">
      <x:c r="A1024" s="12" t="str">
        <x:v>2790</x:v>
      </x:c>
      <x:c r="B1024" s="12" t="str">
        <x:v>Manufacture of other electrical equipment</x:v>
      </x:c>
      <x:c r="C1024" s="12" t="str">
        <x:v>الزرقاء</x:v>
      </x:c>
      <x:c r="D1024" s="14" t="n">
        <x:v>0</x:v>
      </x:c>
      <x:c r="E1024" s="14" t="n">
        <x:f>VLOOKUP(C1024,'Governorate Master'!$A$2:$Q$13,3,FALSE)</x:f>
        <x:v>1704500</x:v>
      </x:c>
      <x:c r="F1024" s="66" t="n">
        <x:f>IF(E1024=0,0,D1024/E1024*10000)</x:f>
        <x:v>0</x:v>
      </x:c>
      <x:c r="G1024" s="67" t="n">
        <x:f>VLOOKUP(C1024,'Governorate Master'!$A$2:$Q$13,7,FALSE)</x:f>
        <x:v>358</x:v>
      </x:c>
      <x:c r="H1024" s="20" t="n">
        <x:f>VLOOKUP(C1024,'Governorate Master'!$A$2:$Q$13,6,FALSE)</x:f>
        <x:v>0.9636256966852449</x:v>
      </x:c>
      <x:c r="I1024" s="20" t="n">
        <x:f>VLOOKUP(C1024,'Governorate Master'!$A$2:$Q$13,15,FALSE)</x:f>
        <x:v>-0.06808762581409118</x:v>
      </x:c>
      <x:c r="J1024" s="12" t="str">
        <x:v>Location model input - competition/saturation context</x:v>
      </x:c>
      <x:c r="K1024" s="12" t="str">
        <x:v>Business count is from 2018 while population/context indicators are newer; use as a historical proxy, not a current market count.</x:v>
      </x:c>
    </x:row>
    <x:row r="1025">
      <x:c r="A1025" s="12" t="str">
        <x:v>2790</x:v>
      </x:c>
      <x:c r="B1025" s="12" t="str">
        <x:v>Manufacture of other electrical equipment</x:v>
      </x:c>
      <x:c r="C1025" s="12" t="str">
        <x:v>مادبا</x:v>
      </x:c>
      <x:c r="D1025" s="14" t="n">
        <x:v>0</x:v>
      </x:c>
      <x:c r="E1025" s="14" t="n">
        <x:f>VLOOKUP(C1025,'Governorate Master'!$A$2:$Q$13,3,FALSE)</x:f>
        <x:v>236200</x:v>
      </x:c>
      <x:c r="F1025" s="66" t="n">
        <x:f>IF(E1025=0,0,D1025/E1025*10000)</x:f>
        <x:v>0</x:v>
      </x:c>
      <x:c r="G1025" s="67" t="n">
        <x:f>VLOOKUP(C1025,'Governorate Master'!$A$2:$Q$13,7,FALSE)</x:f>
        <x:v>251.4</x:v>
      </x:c>
      <x:c r="H1025" s="20" t="n">
        <x:f>VLOOKUP(C1025,'Governorate Master'!$A$2:$Q$13,6,FALSE)</x:f>
        <x:v>0.7823878069432684</x:v>
      </x:c>
      <x:c r="I1025" s="20" t="n">
        <x:f>VLOOKUP(C1025,'Governorate Master'!$A$2:$Q$13,15,FALSE)</x:f>
        <x:v>-0.18823529411764706</x:v>
      </x:c>
      <x:c r="J1025" s="12" t="str">
        <x:v>Location model input - competition/saturation context</x:v>
      </x:c>
      <x:c r="K1025" s="12" t="str">
        <x:v>Business count is from 2018 while population/context indicators are newer; use as a historical proxy, not a current market count.</x:v>
      </x:c>
    </x:row>
    <x:row r="1026">
      <x:c r="A1026" s="12" t="str">
        <x:v>2790</x:v>
      </x:c>
      <x:c r="B1026" s="12" t="str">
        <x:v>Manufacture of other electrical equipment</x:v>
      </x:c>
      <x:c r="C1026" s="12" t="str">
        <x:v>إربد</x:v>
      </x:c>
      <x:c r="D1026" s="14" t="n">
        <x:v>0</x:v>
      </x:c>
      <x:c r="E1026" s="14" t="n">
        <x:f>VLOOKUP(C1026,'Governorate Master'!$A$2:$Q$13,3,FALSE)</x:f>
        <x:v>2210500</x:v>
      </x:c>
      <x:c r="F1026" s="66" t="n">
        <x:f>IF(E1026=0,0,D1026/E1026*10000)</x:f>
        <x:v>0</x:v>
      </x:c>
      <x:c r="G1026" s="67" t="n">
        <x:f>VLOOKUP(C1026,'Governorate Master'!$A$2:$Q$13,7,FALSE)</x:f>
        <x:v>1406.4</x:v>
      </x:c>
      <x:c r="H1026" s="20" t="n">
        <x:f>VLOOKUP(C1026,'Governorate Master'!$A$2:$Q$13,6,FALSE)</x:f>
        <x:v>0.9235014702555983</x:v>
      </x:c>
      <x:c r="I1026" s="20" t="n">
        <x:f>VLOOKUP(C1026,'Governorate Master'!$A$2:$Q$13,15,FALSE)</x:f>
        <x:v>0.07086922474549726</x:v>
      </x:c>
      <x:c r="J1026" s="12" t="str">
        <x:v>Location model input - competition/saturation context</x:v>
      </x:c>
      <x:c r="K1026" s="12" t="str">
        <x:v>Business count is from 2018 while population/context indicators are newer; use as a historical proxy, not a current market count.</x:v>
      </x:c>
    </x:row>
    <x:row r="1027">
      <x:c r="A1027" s="12" t="str">
        <x:v>2790</x:v>
      </x:c>
      <x:c r="B1027" s="12" t="str">
        <x:v>Manufacture of other electrical equipment</x:v>
      </x:c>
      <x:c r="C1027" s="12" t="str">
        <x:v>المفرق</x:v>
      </x:c>
      <x:c r="D1027" s="14" t="n">
        <x:v>0</x:v>
      </x:c>
      <x:c r="E1027" s="14" t="n">
        <x:f>VLOOKUP(C1027,'Governorate Master'!$A$2:$Q$13,3,FALSE)</x:f>
        <x:v>686800</x:v>
      </x:c>
      <x:c r="F1027" s="66" t="n">
        <x:f>IF(E1027=0,0,D1027/E1027*10000)</x:f>
        <x:v>0</x:v>
      </x:c>
      <x:c r="G1027" s="67" t="n">
        <x:f>VLOOKUP(C1027,'Governorate Master'!$A$2:$Q$13,7,FALSE)</x:f>
        <x:v>25.9</x:v>
      </x:c>
      <x:c r="H1027" s="20" t="n">
        <x:f>VLOOKUP(C1027,'Governorate Master'!$A$2:$Q$13,6,FALSE)</x:f>
        <x:v>0.6965637740244612</x:v>
      </x:c>
      <x:c r="I1027" s="20" t="n">
        <x:f>VLOOKUP(C1027,'Governorate Master'!$A$2:$Q$13,15,FALSE)</x:f>
        <x:v>-0.016638935108153077</x:v>
      </x:c>
      <x:c r="J1027" s="12" t="str">
        <x:v>Location model input - competition/saturation context</x:v>
      </x:c>
      <x:c r="K1027" s="12" t="str">
        <x:v>Business count is from 2018 while population/context indicators are newer; use as a historical proxy, not a current market count.</x:v>
      </x:c>
    </x:row>
    <x:row r="1028">
      <x:c r="A1028" s="12" t="str">
        <x:v>2790</x:v>
      </x:c>
      <x:c r="B1028" s="12" t="str">
        <x:v>Manufacture of other electrical equipment</x:v>
      </x:c>
      <x:c r="C1028" s="12" t="str">
        <x:v>جرش</x:v>
      </x:c>
      <x:c r="D1028" s="14" t="n">
        <x:v>0</x:v>
      </x:c>
      <x:c r="E1028" s="14" t="n">
        <x:f>VLOOKUP(C1028,'Governorate Master'!$A$2:$Q$13,3,FALSE)</x:f>
        <x:v>296000</x:v>
      </x:c>
      <x:c r="F1028" s="66" t="n">
        <x:f>IF(E1028=0,0,D1028/E1028*10000)</x:f>
        <x:v>0</x:v>
      </x:c>
      <x:c r="G1028" s="67" t="n">
        <x:f>VLOOKUP(C1028,'Governorate Master'!$A$2:$Q$13,7,FALSE)</x:f>
        <x:v>722.3</x:v>
      </x:c>
      <x:c r="H1028" s="20" t="n">
        <x:f>VLOOKUP(C1028,'Governorate Master'!$A$2:$Q$13,6,FALSE)</x:f>
        <x:v>0.7695945945945946</x:v>
      </x:c>
      <x:c r="I1028" s="20" t="n">
        <x:f>VLOOKUP(C1028,'Governorate Master'!$A$2:$Q$13,15,FALSE)</x:f>
        <x:v>-0.06527415143603134</x:v>
      </x:c>
      <x:c r="J1028" s="12" t="str">
        <x:v>Location model input - competition/saturation context</x:v>
      </x:c>
      <x:c r="K1028" s="12" t="str">
        <x:v>Business count is from 2018 while population/context indicators are newer; use as a historical proxy, not a current market count.</x:v>
      </x:c>
    </x:row>
    <x:row r="1029">
      <x:c r="A1029" s="12" t="str">
        <x:v>2790</x:v>
      </x:c>
      <x:c r="B1029" s="12" t="str">
        <x:v>Manufacture of other electrical equipment</x:v>
      </x:c>
      <x:c r="C1029" s="12" t="str">
        <x:v>عجلون</x:v>
      </x:c>
      <x:c r="D1029" s="14" t="n">
        <x:v>0</x:v>
      </x:c>
      <x:c r="E1029" s="14" t="n">
        <x:f>VLOOKUP(C1029,'Governorate Master'!$A$2:$Q$13,3,FALSE)</x:f>
        <x:v>219900</x:v>
      </x:c>
      <x:c r="F1029" s="66" t="n">
        <x:f>IF(E1029=0,0,D1029/E1029*10000)</x:f>
        <x:v>0</x:v>
      </x:c>
      <x:c r="G1029" s="67" t="n">
        <x:f>VLOOKUP(C1029,'Governorate Master'!$A$2:$Q$13,7,FALSE)</x:f>
        <x:v>524</x:v>
      </x:c>
      <x:c r="H1029" s="20" t="n">
        <x:f>VLOOKUP(C1029,'Governorate Master'!$A$2:$Q$13,6,FALSE)</x:f>
        <x:v>0.8390177353342428</x:v>
      </x:c>
      <x:c r="I1029" s="20" t="n">
        <x:f>VLOOKUP(C1029,'Governorate Master'!$A$2:$Q$13,15,FALSE)</x:f>
        <x:v>0.03614457831325301</x:v>
      </x:c>
      <x:c r="J1029" s="12" t="str">
        <x:v>Location model input - competition/saturation context</x:v>
      </x:c>
      <x:c r="K1029" s="12" t="str">
        <x:v>Business count is from 2018 while population/context indicators are newer; use as a historical proxy, not a current market count.</x:v>
      </x:c>
    </x:row>
    <x:row r="1030">
      <x:c r="A1030" s="12" t="str">
        <x:v>2790</x:v>
      </x:c>
      <x:c r="B1030" s="12" t="str">
        <x:v>Manufacture of other electrical equipment</x:v>
      </x:c>
      <x:c r="C1030" s="12" t="str">
        <x:v>الكرك</x:v>
      </x:c>
      <x:c r="D1030" s="14" t="n">
        <x:v>0</x:v>
      </x:c>
      <x:c r="E1030" s="14" t="n">
        <x:f>VLOOKUP(C1030,'Governorate Master'!$A$2:$Q$13,3,FALSE)</x:f>
        <x:v>395400</x:v>
      </x:c>
      <x:c r="F1030" s="66" t="n">
        <x:f>IF(E1030=0,0,D1030/E1030*10000)</x:f>
        <x:v>0</x:v>
      </x:c>
      <x:c r="G1030" s="67" t="n">
        <x:f>VLOOKUP(C1030,'Governorate Master'!$A$2:$Q$13,7,FALSE)</x:f>
        <x:v>113.1</x:v>
      </x:c>
      <x:c r="H1030" s="20" t="n">
        <x:f>VLOOKUP(C1030,'Governorate Master'!$A$2:$Q$13,6,FALSE)</x:f>
        <x:v>0.5912999494183105</x:v>
      </x:c>
      <x:c r="I1030" s="20" t="n">
        <x:f>VLOOKUP(C1030,'Governorate Master'!$A$2:$Q$13,15,FALSE)</x:f>
        <x:v>0.08710801393728224</x:v>
      </x:c>
      <x:c r="J1030" s="12" t="str">
        <x:v>Location model input - competition/saturation context</x:v>
      </x:c>
      <x:c r="K1030" s="12" t="str">
        <x:v>Business count is from 2018 while population/context indicators are newer; use as a historical proxy, not a current market count.</x:v>
      </x:c>
    </x:row>
    <x:row r="1031">
      <x:c r="A1031" s="12" t="str">
        <x:v>2790</x:v>
      </x:c>
      <x:c r="B1031" s="12" t="str">
        <x:v>Manufacture of other electrical equipment</x:v>
      </x:c>
      <x:c r="C1031" s="12" t="str">
        <x:v>الطفيلة</x:v>
      </x:c>
      <x:c r="D1031" s="14" t="n">
        <x:v>0</x:v>
      </x:c>
      <x:c r="E1031" s="14" t="n">
        <x:f>VLOOKUP(C1031,'Governorate Master'!$A$2:$Q$13,3,FALSE)</x:f>
        <x:v>120300</x:v>
      </x:c>
      <x:c r="F1031" s="66" t="n">
        <x:f>IF(E1031=0,0,D1031/E1031*10000)</x:f>
        <x:v>0</x:v>
      </x:c>
      <x:c r="G1031" s="67" t="n">
        <x:f>VLOOKUP(C1031,'Governorate Master'!$A$2:$Q$13,7,FALSE)</x:f>
        <x:v>54.4</x:v>
      </x:c>
      <x:c r="H1031" s="20" t="n">
        <x:f>VLOOKUP(C1031,'Governorate Master'!$A$2:$Q$13,6,FALSE)</x:f>
        <x:v>0.7797173732335827</x:v>
      </x:c>
      <x:c r="I1031" s="20" t="n">
        <x:f>VLOOKUP(C1031,'Governorate Master'!$A$2:$Q$13,15,FALSE)</x:f>
        <x:v>0.18452380952380953</x:v>
      </x:c>
      <x:c r="J1031" s="12" t="str">
        <x:v>Location model input - competition/saturation context</x:v>
      </x:c>
      <x:c r="K1031" s="12" t="str">
        <x:v>Business count is from 2018 while population/context indicators are newer; use as a historical proxy, not a current market count.</x:v>
      </x:c>
    </x:row>
    <x:row r="1032">
      <x:c r="A1032" s="12" t="str">
        <x:v>2790</x:v>
      </x:c>
      <x:c r="B1032" s="12" t="str">
        <x:v>Manufacture of other electrical equipment</x:v>
      </x:c>
      <x:c r="C1032" s="12" t="str">
        <x:v>معان</x:v>
      </x:c>
      <x:c r="D1032" s="14" t="n">
        <x:v>0</x:v>
      </x:c>
      <x:c r="E1032" s="14" t="n">
        <x:f>VLOOKUP(C1032,'Governorate Master'!$A$2:$Q$13,3,FALSE)</x:f>
        <x:v>197900</x:v>
      </x:c>
      <x:c r="F1032" s="66" t="n">
        <x:f>IF(E1032=0,0,D1032/E1032*10000)</x:f>
        <x:v>0</x:v>
      </x:c>
      <x:c r="G1032" s="67" t="n">
        <x:f>VLOOKUP(C1032,'Governorate Master'!$A$2:$Q$13,7,FALSE)</x:f>
        <x:v>6</x:v>
      </x:c>
      <x:c r="H1032" s="20" t="n">
        <x:f>VLOOKUP(C1032,'Governorate Master'!$A$2:$Q$13,6,FALSE)</x:f>
        <x:v>0.5406771096513391</x:v>
      </x:c>
      <x:c r="I1032" s="20" t="n">
        <x:f>VLOOKUP(C1032,'Governorate Master'!$A$2:$Q$13,15,FALSE)</x:f>
        <x:v>0.026845637583892617</x:v>
      </x:c>
      <x:c r="J1032" s="12" t="str">
        <x:v>Location model input - competition/saturation context</x:v>
      </x:c>
      <x:c r="K1032" s="12" t="str">
        <x:v>Business count is from 2018 while population/context indicators are newer; use as a historical proxy, not a current market count.</x:v>
      </x:c>
    </x:row>
    <x:row r="1033">
      <x:c r="A1033" s="12" t="str">
        <x:v>2790</x:v>
      </x:c>
      <x:c r="B1033" s="12" t="str">
        <x:v>Manufacture of other electrical equipment</x:v>
      </x:c>
      <x:c r="C1033" s="12" t="str">
        <x:v>العقبة</x:v>
      </x:c>
      <x:c r="D1033" s="14" t="n">
        <x:v>0</x:v>
      </x:c>
      <x:c r="E1033" s="14" t="n">
        <x:f>VLOOKUP(C1033,'Governorate Master'!$A$2:$Q$13,3,FALSE)</x:f>
        <x:v>250900</x:v>
      </x:c>
      <x:c r="F1033" s="66" t="n">
        <x:f>IF(E1033=0,0,D1033/E1033*10000)</x:f>
        <x:v>0</x:v>
      </x:c>
      <x:c r="G1033" s="67" t="n">
        <x:f>VLOOKUP(C1033,'Governorate Master'!$A$2:$Q$13,7,FALSE)</x:f>
        <x:v>36.3</x:v>
      </x:c>
      <x:c r="H1033" s="20" t="n">
        <x:f>VLOOKUP(C1033,'Governorate Master'!$A$2:$Q$13,6,FALSE)</x:f>
        <x:v>0.882024711040255</x:v>
      </x:c>
      <x:c r="I1033" s="20" t="n">
        <x:f>VLOOKUP(C1033,'Governorate Master'!$A$2:$Q$13,15,FALSE)</x:f>
        <x:v>-0.09</x:v>
      </x:c>
      <x:c r="J1033" s="12" t="str">
        <x:v>Location model input - competition/saturation context</x:v>
      </x:c>
      <x:c r="K1033" s="12" t="str">
        <x:v>Business count is from 2018 while population/context indicators are newer; use as a historical proxy, not a current market count.</x:v>
      </x:c>
    </x:row>
    <x:row r="1034">
      <x:c r="A1034" s="12" t="str">
        <x:v>2811</x:v>
      </x:c>
      <x:c r="B1034" s="12" t="str">
        <x:v>Manufacture of engines and turbines, except aircraft, vehicle and cycle engines</x:v>
      </x:c>
      <x:c r="C1034" s="12" t="str">
        <x:v>عمان</x:v>
      </x:c>
      <x:c r="D1034" s="14" t="n">
        <x:v>1</x:v>
      </x:c>
      <x:c r="E1034" s="14" t="n">
        <x:f>VLOOKUP(C1034,'Governorate Master'!$A$2:$Q$13,3,FALSE)</x:f>
        <x:v>5004600</x:v>
      </x:c>
      <x:c r="F1034" s="66" t="n">
        <x:f>IF(E1034=0,0,D1034/E1034*10000)</x:f>
        <x:v>0.0019981616912440555</x:v>
      </x:c>
      <x:c r="G1034" s="67" t="n">
        <x:f>VLOOKUP(C1034,'Governorate Master'!$A$2:$Q$13,7,FALSE)</x:f>
        <x:v>660.3</x:v>
      </x:c>
      <x:c r="H1034" s="20" t="n">
        <x:f>VLOOKUP(C1034,'Governorate Master'!$A$2:$Q$13,6,FALSE)</x:f>
        <x:v>0.9721656076409703</x:v>
      </x:c>
      <x:c r="I1034" s="20" t="n">
        <x:f>VLOOKUP(C1034,'Governorate Master'!$A$2:$Q$13,15,FALSE)</x:f>
        <x:v>0.06367041198501873</x:v>
      </x:c>
      <x:c r="J1034" s="12" t="str">
        <x:v>Location model input - competition/saturation context</x:v>
      </x:c>
      <x:c r="K1034" s="12" t="str">
        <x:v>Business count is from 2018 while population/context indicators are newer; use as a historical proxy, not a current market count.</x:v>
      </x:c>
    </x:row>
    <x:row r="1035">
      <x:c r="A1035" s="12" t="str">
        <x:v>2811</x:v>
      </x:c>
      <x:c r="B1035" s="12" t="str">
        <x:v>Manufacture of engines and turbines, except aircraft, vehicle and cycle engines</x:v>
      </x:c>
      <x:c r="C1035" s="12" t="str">
        <x:v>البلقاء</x:v>
      </x:c>
      <x:c r="D1035" s="14" t="n">
        <x:v>0</x:v>
      </x:c>
      <x:c r="E1035" s="14" t="n">
        <x:f>VLOOKUP(C1035,'Governorate Master'!$A$2:$Q$13,3,FALSE)</x:f>
        <x:v>614000</x:v>
      </x:c>
      <x:c r="F1035" s="66" t="n">
        <x:f>IF(E1035=0,0,D1035/E1035*10000)</x:f>
        <x:v>0</x:v>
      </x:c>
      <x:c r="G1035" s="67" t="n">
        <x:f>VLOOKUP(C1035,'Governorate Master'!$A$2:$Q$13,7,FALSE)</x:f>
        <x:v>548</x:v>
      </x:c>
      <x:c r="H1035" s="20" t="n">
        <x:f>VLOOKUP(C1035,'Governorate Master'!$A$2:$Q$13,6,FALSE)</x:f>
        <x:v>0.8210097719869707</x:v>
      </x:c>
      <x:c r="I1035" s="20" t="n">
        <x:f>VLOOKUP(C1035,'Governorate Master'!$A$2:$Q$13,15,FALSE)</x:f>
        <x:v>0.10794044665012408</x:v>
      </x:c>
      <x:c r="J1035" s="12" t="str">
        <x:v>Location model input - competition/saturation context</x:v>
      </x:c>
      <x:c r="K1035" s="12" t="str">
        <x:v>Business count is from 2018 while population/context indicators are newer; use as a historical proxy, not a current market count.</x:v>
      </x:c>
    </x:row>
    <x:row r="1036">
      <x:c r="A1036" s="12" t="str">
        <x:v>2811</x:v>
      </x:c>
      <x:c r="B1036" s="12" t="str">
        <x:v>Manufacture of engines and turbines, except aircraft, vehicle and cycle engines</x:v>
      </x:c>
      <x:c r="C1036" s="12" t="str">
        <x:v>الزرقاء</x:v>
      </x:c>
      <x:c r="D1036" s="14" t="n">
        <x:v>0</x:v>
      </x:c>
      <x:c r="E1036" s="14" t="n">
        <x:f>VLOOKUP(C1036,'Governorate Master'!$A$2:$Q$13,3,FALSE)</x:f>
        <x:v>1704500</x:v>
      </x:c>
      <x:c r="F1036" s="66" t="n">
        <x:f>IF(E1036=0,0,D1036/E1036*10000)</x:f>
        <x:v>0</x:v>
      </x:c>
      <x:c r="G1036" s="67" t="n">
        <x:f>VLOOKUP(C1036,'Governorate Master'!$A$2:$Q$13,7,FALSE)</x:f>
        <x:v>358</x:v>
      </x:c>
      <x:c r="H1036" s="20" t="n">
        <x:f>VLOOKUP(C1036,'Governorate Master'!$A$2:$Q$13,6,FALSE)</x:f>
        <x:v>0.9636256966852449</x:v>
      </x:c>
      <x:c r="I1036" s="20" t="n">
        <x:f>VLOOKUP(C1036,'Governorate Master'!$A$2:$Q$13,15,FALSE)</x:f>
        <x:v>-0.06808762581409118</x:v>
      </x:c>
      <x:c r="J1036" s="12" t="str">
        <x:v>Location model input - competition/saturation context</x:v>
      </x:c>
      <x:c r="K1036" s="12" t="str">
        <x:v>Business count is from 2018 while population/context indicators are newer; use as a historical proxy, not a current market count.</x:v>
      </x:c>
    </x:row>
    <x:row r="1037">
      <x:c r="A1037" s="12" t="str">
        <x:v>2811</x:v>
      </x:c>
      <x:c r="B1037" s="12" t="str">
        <x:v>Manufacture of engines and turbines, except aircraft, vehicle and cycle engines</x:v>
      </x:c>
      <x:c r="C1037" s="12" t="str">
        <x:v>مادبا</x:v>
      </x:c>
      <x:c r="D1037" s="14" t="n">
        <x:v>0</x:v>
      </x:c>
      <x:c r="E1037" s="14" t="n">
        <x:f>VLOOKUP(C1037,'Governorate Master'!$A$2:$Q$13,3,FALSE)</x:f>
        <x:v>236200</x:v>
      </x:c>
      <x:c r="F1037" s="66" t="n">
        <x:f>IF(E1037=0,0,D1037/E1037*10000)</x:f>
        <x:v>0</x:v>
      </x:c>
      <x:c r="G1037" s="67" t="n">
        <x:f>VLOOKUP(C1037,'Governorate Master'!$A$2:$Q$13,7,FALSE)</x:f>
        <x:v>251.4</x:v>
      </x:c>
      <x:c r="H1037" s="20" t="n">
        <x:f>VLOOKUP(C1037,'Governorate Master'!$A$2:$Q$13,6,FALSE)</x:f>
        <x:v>0.7823878069432684</x:v>
      </x:c>
      <x:c r="I1037" s="20" t="n">
        <x:f>VLOOKUP(C1037,'Governorate Master'!$A$2:$Q$13,15,FALSE)</x:f>
        <x:v>-0.18823529411764706</x:v>
      </x:c>
      <x:c r="J1037" s="12" t="str">
        <x:v>Location model input - competition/saturation context</x:v>
      </x:c>
      <x:c r="K1037" s="12" t="str">
        <x:v>Business count is from 2018 while population/context indicators are newer; use as a historical proxy, not a current market count.</x:v>
      </x:c>
    </x:row>
    <x:row r="1038">
      <x:c r="A1038" s="12" t="str">
        <x:v>2811</x:v>
      </x:c>
      <x:c r="B1038" s="12" t="str">
        <x:v>Manufacture of engines and turbines, except aircraft, vehicle and cycle engines</x:v>
      </x:c>
      <x:c r="C1038" s="12" t="str">
        <x:v>إربد</x:v>
      </x:c>
      <x:c r="D1038" s="14" t="n">
        <x:v>0</x:v>
      </x:c>
      <x:c r="E1038" s="14" t="n">
        <x:f>VLOOKUP(C1038,'Governorate Master'!$A$2:$Q$13,3,FALSE)</x:f>
        <x:v>2210500</x:v>
      </x:c>
      <x:c r="F1038" s="66" t="n">
        <x:f>IF(E1038=0,0,D1038/E1038*10000)</x:f>
        <x:v>0</x:v>
      </x:c>
      <x:c r="G1038" s="67" t="n">
        <x:f>VLOOKUP(C1038,'Governorate Master'!$A$2:$Q$13,7,FALSE)</x:f>
        <x:v>1406.4</x:v>
      </x:c>
      <x:c r="H1038" s="20" t="n">
        <x:f>VLOOKUP(C1038,'Governorate Master'!$A$2:$Q$13,6,FALSE)</x:f>
        <x:v>0.9235014702555983</x:v>
      </x:c>
      <x:c r="I1038" s="20" t="n">
        <x:f>VLOOKUP(C1038,'Governorate Master'!$A$2:$Q$13,15,FALSE)</x:f>
        <x:v>0.07086922474549726</x:v>
      </x:c>
      <x:c r="J1038" s="12" t="str">
        <x:v>Location model input - competition/saturation context</x:v>
      </x:c>
      <x:c r="K1038" s="12" t="str">
        <x:v>Business count is from 2018 while population/context indicators are newer; use as a historical proxy, not a current market count.</x:v>
      </x:c>
    </x:row>
    <x:row r="1039">
      <x:c r="A1039" s="12" t="str">
        <x:v>2811</x:v>
      </x:c>
      <x:c r="B1039" s="12" t="str">
        <x:v>Manufacture of engines and turbines, except aircraft, vehicle and cycle engines</x:v>
      </x:c>
      <x:c r="C1039" s="12" t="str">
        <x:v>المفرق</x:v>
      </x:c>
      <x:c r="D1039" s="14" t="n">
        <x:v>0</x:v>
      </x:c>
      <x:c r="E1039" s="14" t="n">
        <x:f>VLOOKUP(C1039,'Governorate Master'!$A$2:$Q$13,3,FALSE)</x:f>
        <x:v>686800</x:v>
      </x:c>
      <x:c r="F1039" s="66" t="n">
        <x:f>IF(E1039=0,0,D1039/E1039*10000)</x:f>
        <x:v>0</x:v>
      </x:c>
      <x:c r="G1039" s="67" t="n">
        <x:f>VLOOKUP(C1039,'Governorate Master'!$A$2:$Q$13,7,FALSE)</x:f>
        <x:v>25.9</x:v>
      </x:c>
      <x:c r="H1039" s="20" t="n">
        <x:f>VLOOKUP(C1039,'Governorate Master'!$A$2:$Q$13,6,FALSE)</x:f>
        <x:v>0.6965637740244612</x:v>
      </x:c>
      <x:c r="I1039" s="20" t="n">
        <x:f>VLOOKUP(C1039,'Governorate Master'!$A$2:$Q$13,15,FALSE)</x:f>
        <x:v>-0.016638935108153077</x:v>
      </x:c>
      <x:c r="J1039" s="12" t="str">
        <x:v>Location model input - competition/saturation context</x:v>
      </x:c>
      <x:c r="K1039" s="12" t="str">
        <x:v>Business count is from 2018 while population/context indicators are newer; use as a historical proxy, not a current market count.</x:v>
      </x:c>
    </x:row>
    <x:row r="1040">
      <x:c r="A1040" s="12" t="str">
        <x:v>2811</x:v>
      </x:c>
      <x:c r="B1040" s="12" t="str">
        <x:v>Manufacture of engines and turbines, except aircraft, vehicle and cycle engines</x:v>
      </x:c>
      <x:c r="C1040" s="12" t="str">
        <x:v>جرش</x:v>
      </x:c>
      <x:c r="D1040" s="14" t="n">
        <x:v>0</x:v>
      </x:c>
      <x:c r="E1040" s="14" t="n">
        <x:f>VLOOKUP(C1040,'Governorate Master'!$A$2:$Q$13,3,FALSE)</x:f>
        <x:v>296000</x:v>
      </x:c>
      <x:c r="F1040" s="66" t="n">
        <x:f>IF(E1040=0,0,D1040/E1040*10000)</x:f>
        <x:v>0</x:v>
      </x:c>
      <x:c r="G1040" s="67" t="n">
        <x:f>VLOOKUP(C1040,'Governorate Master'!$A$2:$Q$13,7,FALSE)</x:f>
        <x:v>722.3</x:v>
      </x:c>
      <x:c r="H1040" s="20" t="n">
        <x:f>VLOOKUP(C1040,'Governorate Master'!$A$2:$Q$13,6,FALSE)</x:f>
        <x:v>0.7695945945945946</x:v>
      </x:c>
      <x:c r="I1040" s="20" t="n">
        <x:f>VLOOKUP(C1040,'Governorate Master'!$A$2:$Q$13,15,FALSE)</x:f>
        <x:v>-0.06527415143603134</x:v>
      </x:c>
      <x:c r="J1040" s="12" t="str">
        <x:v>Location model input - competition/saturation context</x:v>
      </x:c>
      <x:c r="K1040" s="12" t="str">
        <x:v>Business count is from 2018 while population/context indicators are newer; use as a historical proxy, not a current market count.</x:v>
      </x:c>
    </x:row>
    <x:row r="1041">
      <x:c r="A1041" s="12" t="str">
        <x:v>2811</x:v>
      </x:c>
      <x:c r="B1041" s="12" t="str">
        <x:v>Manufacture of engines and turbines, except aircraft, vehicle and cycle engines</x:v>
      </x:c>
      <x:c r="C1041" s="12" t="str">
        <x:v>عجلون</x:v>
      </x:c>
      <x:c r="D1041" s="14" t="n">
        <x:v>0</x:v>
      </x:c>
      <x:c r="E1041" s="14" t="n">
        <x:f>VLOOKUP(C1041,'Governorate Master'!$A$2:$Q$13,3,FALSE)</x:f>
        <x:v>219900</x:v>
      </x:c>
      <x:c r="F1041" s="66" t="n">
        <x:f>IF(E1041=0,0,D1041/E1041*10000)</x:f>
        <x:v>0</x:v>
      </x:c>
      <x:c r="G1041" s="67" t="n">
        <x:f>VLOOKUP(C1041,'Governorate Master'!$A$2:$Q$13,7,FALSE)</x:f>
        <x:v>524</x:v>
      </x:c>
      <x:c r="H1041" s="20" t="n">
        <x:f>VLOOKUP(C1041,'Governorate Master'!$A$2:$Q$13,6,FALSE)</x:f>
        <x:v>0.8390177353342428</x:v>
      </x:c>
      <x:c r="I1041" s="20" t="n">
        <x:f>VLOOKUP(C1041,'Governorate Master'!$A$2:$Q$13,15,FALSE)</x:f>
        <x:v>0.03614457831325301</x:v>
      </x:c>
      <x:c r="J1041" s="12" t="str">
        <x:v>Location model input - competition/saturation context</x:v>
      </x:c>
      <x:c r="K1041" s="12" t="str">
        <x:v>Business count is from 2018 while population/context indicators are newer; use as a historical proxy, not a current market count.</x:v>
      </x:c>
    </x:row>
    <x:row r="1042">
      <x:c r="A1042" s="12" t="str">
        <x:v>2811</x:v>
      </x:c>
      <x:c r="B1042" s="12" t="str">
        <x:v>Manufacture of engines and turbines, except aircraft, vehicle and cycle engines</x:v>
      </x:c>
      <x:c r="C1042" s="12" t="str">
        <x:v>الكرك</x:v>
      </x:c>
      <x:c r="D1042" s="14" t="n">
        <x:v>0</x:v>
      </x:c>
      <x:c r="E1042" s="14" t="n">
        <x:f>VLOOKUP(C1042,'Governorate Master'!$A$2:$Q$13,3,FALSE)</x:f>
        <x:v>395400</x:v>
      </x:c>
      <x:c r="F1042" s="66" t="n">
        <x:f>IF(E1042=0,0,D1042/E1042*10000)</x:f>
        <x:v>0</x:v>
      </x:c>
      <x:c r="G1042" s="67" t="n">
        <x:f>VLOOKUP(C1042,'Governorate Master'!$A$2:$Q$13,7,FALSE)</x:f>
        <x:v>113.1</x:v>
      </x:c>
      <x:c r="H1042" s="20" t="n">
        <x:f>VLOOKUP(C1042,'Governorate Master'!$A$2:$Q$13,6,FALSE)</x:f>
        <x:v>0.5912999494183105</x:v>
      </x:c>
      <x:c r="I1042" s="20" t="n">
        <x:f>VLOOKUP(C1042,'Governorate Master'!$A$2:$Q$13,15,FALSE)</x:f>
        <x:v>0.08710801393728224</x:v>
      </x:c>
      <x:c r="J1042" s="12" t="str">
        <x:v>Location model input - competition/saturation context</x:v>
      </x:c>
      <x:c r="K1042" s="12" t="str">
        <x:v>Business count is from 2018 while population/context indicators are newer; use as a historical proxy, not a current market count.</x:v>
      </x:c>
    </x:row>
    <x:row r="1043">
      <x:c r="A1043" s="12" t="str">
        <x:v>2811</x:v>
      </x:c>
      <x:c r="B1043" s="12" t="str">
        <x:v>Manufacture of engines and turbines, except aircraft, vehicle and cycle engines</x:v>
      </x:c>
      <x:c r="C1043" s="12" t="str">
        <x:v>الطفيلة</x:v>
      </x:c>
      <x:c r="D1043" s="14" t="n">
        <x:v>0</x:v>
      </x:c>
      <x:c r="E1043" s="14" t="n">
        <x:f>VLOOKUP(C1043,'Governorate Master'!$A$2:$Q$13,3,FALSE)</x:f>
        <x:v>120300</x:v>
      </x:c>
      <x:c r="F1043" s="66" t="n">
        <x:f>IF(E1043=0,0,D1043/E1043*10000)</x:f>
        <x:v>0</x:v>
      </x:c>
      <x:c r="G1043" s="67" t="n">
        <x:f>VLOOKUP(C1043,'Governorate Master'!$A$2:$Q$13,7,FALSE)</x:f>
        <x:v>54.4</x:v>
      </x:c>
      <x:c r="H1043" s="20" t="n">
        <x:f>VLOOKUP(C1043,'Governorate Master'!$A$2:$Q$13,6,FALSE)</x:f>
        <x:v>0.7797173732335827</x:v>
      </x:c>
      <x:c r="I1043" s="20" t="n">
        <x:f>VLOOKUP(C1043,'Governorate Master'!$A$2:$Q$13,15,FALSE)</x:f>
        <x:v>0.18452380952380953</x:v>
      </x:c>
      <x:c r="J1043" s="12" t="str">
        <x:v>Location model input - competition/saturation context</x:v>
      </x:c>
      <x:c r="K1043" s="12" t="str">
        <x:v>Business count is from 2018 while population/context indicators are newer; use as a historical proxy, not a current market count.</x:v>
      </x:c>
    </x:row>
    <x:row r="1044">
      <x:c r="A1044" s="12" t="str">
        <x:v>2811</x:v>
      </x:c>
      <x:c r="B1044" s="12" t="str">
        <x:v>Manufacture of engines and turbines, except aircraft, vehicle and cycle engines</x:v>
      </x:c>
      <x:c r="C1044" s="12" t="str">
        <x:v>معان</x:v>
      </x:c>
      <x:c r="D1044" s="14" t="n">
        <x:v>0</x:v>
      </x:c>
      <x:c r="E1044" s="14" t="n">
        <x:f>VLOOKUP(C1044,'Governorate Master'!$A$2:$Q$13,3,FALSE)</x:f>
        <x:v>197900</x:v>
      </x:c>
      <x:c r="F1044" s="66" t="n">
        <x:f>IF(E1044=0,0,D1044/E1044*10000)</x:f>
        <x:v>0</x:v>
      </x:c>
      <x:c r="G1044" s="67" t="n">
        <x:f>VLOOKUP(C1044,'Governorate Master'!$A$2:$Q$13,7,FALSE)</x:f>
        <x:v>6</x:v>
      </x:c>
      <x:c r="H1044" s="20" t="n">
        <x:f>VLOOKUP(C1044,'Governorate Master'!$A$2:$Q$13,6,FALSE)</x:f>
        <x:v>0.5406771096513391</x:v>
      </x:c>
      <x:c r="I1044" s="20" t="n">
        <x:f>VLOOKUP(C1044,'Governorate Master'!$A$2:$Q$13,15,FALSE)</x:f>
        <x:v>0.026845637583892617</x:v>
      </x:c>
      <x:c r="J1044" s="12" t="str">
        <x:v>Location model input - competition/saturation context</x:v>
      </x:c>
      <x:c r="K1044" s="12" t="str">
        <x:v>Business count is from 2018 while population/context indicators are newer; use as a historical proxy, not a current market count.</x:v>
      </x:c>
    </x:row>
    <x:row r="1045">
      <x:c r="A1045" s="12" t="str">
        <x:v>2811</x:v>
      </x:c>
      <x:c r="B1045" s="12" t="str">
        <x:v>Manufacture of engines and turbines, except aircraft, vehicle and cycle engines</x:v>
      </x:c>
      <x:c r="C1045" s="12" t="str">
        <x:v>العقبة</x:v>
      </x:c>
      <x:c r="D1045" s="14" t="n">
        <x:v>0</x:v>
      </x:c>
      <x:c r="E1045" s="14" t="n">
        <x:f>VLOOKUP(C1045,'Governorate Master'!$A$2:$Q$13,3,FALSE)</x:f>
        <x:v>250900</x:v>
      </x:c>
      <x:c r="F1045" s="66" t="n">
        <x:f>IF(E1045=0,0,D1045/E1045*10000)</x:f>
        <x:v>0</x:v>
      </x:c>
      <x:c r="G1045" s="67" t="n">
        <x:f>VLOOKUP(C1045,'Governorate Master'!$A$2:$Q$13,7,FALSE)</x:f>
        <x:v>36.3</x:v>
      </x:c>
      <x:c r="H1045" s="20" t="n">
        <x:f>VLOOKUP(C1045,'Governorate Master'!$A$2:$Q$13,6,FALSE)</x:f>
        <x:v>0.882024711040255</x:v>
      </x:c>
      <x:c r="I1045" s="20" t="n">
        <x:f>VLOOKUP(C1045,'Governorate Master'!$A$2:$Q$13,15,FALSE)</x:f>
        <x:v>-0.09</x:v>
      </x:c>
      <x:c r="J1045" s="12" t="str">
        <x:v>Location model input - competition/saturation context</x:v>
      </x:c>
      <x:c r="K1045" s="12" t="str">
        <x:v>Business count is from 2018 while population/context indicators are newer; use as a historical proxy, not a current market count.</x:v>
      </x:c>
    </x:row>
    <x:row r="1046">
      <x:c r="A1046" s="12" t="str">
        <x:v>2813</x:v>
      </x:c>
      <x:c r="B1046" s="12" t="str">
        <x:v>Manufacture of other pumps, compressors, taps and valves</x:v>
      </x:c>
      <x:c r="C1046" s="12" t="str">
        <x:v>عمان</x:v>
      </x:c>
      <x:c r="D1046" s="14" t="n">
        <x:v>14</x:v>
      </x:c>
      <x:c r="E1046" s="14" t="n">
        <x:f>VLOOKUP(C1046,'Governorate Master'!$A$2:$Q$13,3,FALSE)</x:f>
        <x:v>5004600</x:v>
      </x:c>
      <x:c r="F1046" s="66" t="n">
        <x:f>IF(E1046=0,0,D1046/E1046*10000)</x:f>
        <x:v>0.027974263677416778</x:v>
      </x:c>
      <x:c r="G1046" s="67" t="n">
        <x:f>VLOOKUP(C1046,'Governorate Master'!$A$2:$Q$13,7,FALSE)</x:f>
        <x:v>660.3</x:v>
      </x:c>
      <x:c r="H1046" s="20" t="n">
        <x:f>VLOOKUP(C1046,'Governorate Master'!$A$2:$Q$13,6,FALSE)</x:f>
        <x:v>0.9721656076409703</x:v>
      </x:c>
      <x:c r="I1046" s="20" t="n">
        <x:f>VLOOKUP(C1046,'Governorate Master'!$A$2:$Q$13,15,FALSE)</x:f>
        <x:v>0.06367041198501873</x:v>
      </x:c>
      <x:c r="J1046" s="12" t="str">
        <x:v>Location model input - competition/saturation context</x:v>
      </x:c>
      <x:c r="K1046" s="12" t="str">
        <x:v>Business count is from 2018 while population/context indicators are newer; use as a historical proxy, not a current market count.</x:v>
      </x:c>
    </x:row>
    <x:row r="1047">
      <x:c r="A1047" s="12" t="str">
        <x:v>2813</x:v>
      </x:c>
      <x:c r="B1047" s="12" t="str">
        <x:v>Manufacture of other pumps, compressors, taps and valves</x:v>
      </x:c>
      <x:c r="C1047" s="12" t="str">
        <x:v>البلقاء</x:v>
      </x:c>
      <x:c r="D1047" s="14" t="n">
        <x:v>0</x:v>
      </x:c>
      <x:c r="E1047" s="14" t="n">
        <x:f>VLOOKUP(C1047,'Governorate Master'!$A$2:$Q$13,3,FALSE)</x:f>
        <x:v>614000</x:v>
      </x:c>
      <x:c r="F1047" s="66" t="n">
        <x:f>IF(E1047=0,0,D1047/E1047*10000)</x:f>
        <x:v>0</x:v>
      </x:c>
      <x:c r="G1047" s="67" t="n">
        <x:f>VLOOKUP(C1047,'Governorate Master'!$A$2:$Q$13,7,FALSE)</x:f>
        <x:v>548</x:v>
      </x:c>
      <x:c r="H1047" s="20" t="n">
        <x:f>VLOOKUP(C1047,'Governorate Master'!$A$2:$Q$13,6,FALSE)</x:f>
        <x:v>0.8210097719869707</x:v>
      </x:c>
      <x:c r="I1047" s="20" t="n">
        <x:f>VLOOKUP(C1047,'Governorate Master'!$A$2:$Q$13,15,FALSE)</x:f>
        <x:v>0.10794044665012408</x:v>
      </x:c>
      <x:c r="J1047" s="12" t="str">
        <x:v>Location model input - competition/saturation context</x:v>
      </x:c>
      <x:c r="K1047" s="12" t="str">
        <x:v>Business count is from 2018 while population/context indicators are newer; use as a historical proxy, not a current market count.</x:v>
      </x:c>
    </x:row>
    <x:row r="1048">
      <x:c r="A1048" s="12" t="str">
        <x:v>2813</x:v>
      </x:c>
      <x:c r="B1048" s="12" t="str">
        <x:v>Manufacture of other pumps, compressors, taps and valves</x:v>
      </x:c>
      <x:c r="C1048" s="12" t="str">
        <x:v>الزرقاء</x:v>
      </x:c>
      <x:c r="D1048" s="14" t="n">
        <x:v>1</x:v>
      </x:c>
      <x:c r="E1048" s="14" t="n">
        <x:f>VLOOKUP(C1048,'Governorate Master'!$A$2:$Q$13,3,FALSE)</x:f>
        <x:v>1704500</x:v>
      </x:c>
      <x:c r="F1048" s="66" t="n">
        <x:f>IF(E1048=0,0,D1048/E1048*10000)</x:f>
        <x:v>0.005866823115283074</x:v>
      </x:c>
      <x:c r="G1048" s="67" t="n">
        <x:f>VLOOKUP(C1048,'Governorate Master'!$A$2:$Q$13,7,FALSE)</x:f>
        <x:v>358</x:v>
      </x:c>
      <x:c r="H1048" s="20" t="n">
        <x:f>VLOOKUP(C1048,'Governorate Master'!$A$2:$Q$13,6,FALSE)</x:f>
        <x:v>0.9636256966852449</x:v>
      </x:c>
      <x:c r="I1048" s="20" t="n">
        <x:f>VLOOKUP(C1048,'Governorate Master'!$A$2:$Q$13,15,FALSE)</x:f>
        <x:v>-0.06808762581409118</x:v>
      </x:c>
      <x:c r="J1048" s="12" t="str">
        <x:v>Location model input - competition/saturation context</x:v>
      </x:c>
      <x:c r="K1048" s="12" t="str">
        <x:v>Business count is from 2018 while population/context indicators are newer; use as a historical proxy, not a current market count.</x:v>
      </x:c>
    </x:row>
    <x:row r="1049">
      <x:c r="A1049" s="12" t="str">
        <x:v>2813</x:v>
      </x:c>
      <x:c r="B1049" s="12" t="str">
        <x:v>Manufacture of other pumps, compressors, taps and valves</x:v>
      </x:c>
      <x:c r="C1049" s="12" t="str">
        <x:v>مادبا</x:v>
      </x:c>
      <x:c r="D1049" s="14" t="n">
        <x:v>0</x:v>
      </x:c>
      <x:c r="E1049" s="14" t="n">
        <x:f>VLOOKUP(C1049,'Governorate Master'!$A$2:$Q$13,3,FALSE)</x:f>
        <x:v>236200</x:v>
      </x:c>
      <x:c r="F1049" s="66" t="n">
        <x:f>IF(E1049=0,0,D1049/E1049*10000)</x:f>
        <x:v>0</x:v>
      </x:c>
      <x:c r="G1049" s="67" t="n">
        <x:f>VLOOKUP(C1049,'Governorate Master'!$A$2:$Q$13,7,FALSE)</x:f>
        <x:v>251.4</x:v>
      </x:c>
      <x:c r="H1049" s="20" t="n">
        <x:f>VLOOKUP(C1049,'Governorate Master'!$A$2:$Q$13,6,FALSE)</x:f>
        <x:v>0.7823878069432684</x:v>
      </x:c>
      <x:c r="I1049" s="20" t="n">
        <x:f>VLOOKUP(C1049,'Governorate Master'!$A$2:$Q$13,15,FALSE)</x:f>
        <x:v>-0.18823529411764706</x:v>
      </x:c>
      <x:c r="J1049" s="12" t="str">
        <x:v>Location model input - competition/saturation context</x:v>
      </x:c>
      <x:c r="K1049" s="12" t="str">
        <x:v>Business count is from 2018 while population/context indicators are newer; use as a historical proxy, not a current market count.</x:v>
      </x:c>
    </x:row>
    <x:row r="1050">
      <x:c r="A1050" s="12" t="str">
        <x:v>2813</x:v>
      </x:c>
      <x:c r="B1050" s="12" t="str">
        <x:v>Manufacture of other pumps, compressors, taps and valves</x:v>
      </x:c>
      <x:c r="C1050" s="12" t="str">
        <x:v>إربد</x:v>
      </x:c>
      <x:c r="D1050" s="14" t="n">
        <x:v>0</x:v>
      </x:c>
      <x:c r="E1050" s="14" t="n">
        <x:f>VLOOKUP(C1050,'Governorate Master'!$A$2:$Q$13,3,FALSE)</x:f>
        <x:v>2210500</x:v>
      </x:c>
      <x:c r="F1050" s="66" t="n">
        <x:f>IF(E1050=0,0,D1050/E1050*10000)</x:f>
        <x:v>0</x:v>
      </x:c>
      <x:c r="G1050" s="67" t="n">
        <x:f>VLOOKUP(C1050,'Governorate Master'!$A$2:$Q$13,7,FALSE)</x:f>
        <x:v>1406.4</x:v>
      </x:c>
      <x:c r="H1050" s="20" t="n">
        <x:f>VLOOKUP(C1050,'Governorate Master'!$A$2:$Q$13,6,FALSE)</x:f>
        <x:v>0.9235014702555983</x:v>
      </x:c>
      <x:c r="I1050" s="20" t="n">
        <x:f>VLOOKUP(C1050,'Governorate Master'!$A$2:$Q$13,15,FALSE)</x:f>
        <x:v>0.07086922474549726</x:v>
      </x:c>
      <x:c r="J1050" s="12" t="str">
        <x:v>Location model input - competition/saturation context</x:v>
      </x:c>
      <x:c r="K1050" s="12" t="str">
        <x:v>Business count is from 2018 while population/context indicators are newer; use as a historical proxy, not a current market count.</x:v>
      </x:c>
    </x:row>
    <x:row r="1051">
      <x:c r="A1051" s="12" t="str">
        <x:v>2813</x:v>
      </x:c>
      <x:c r="B1051" s="12" t="str">
        <x:v>Manufacture of other pumps, compressors, taps and valves</x:v>
      </x:c>
      <x:c r="C1051" s="12" t="str">
        <x:v>المفرق</x:v>
      </x:c>
      <x:c r="D1051" s="14" t="n">
        <x:v>0</x:v>
      </x:c>
      <x:c r="E1051" s="14" t="n">
        <x:f>VLOOKUP(C1051,'Governorate Master'!$A$2:$Q$13,3,FALSE)</x:f>
        <x:v>686800</x:v>
      </x:c>
      <x:c r="F1051" s="66" t="n">
        <x:f>IF(E1051=0,0,D1051/E1051*10000)</x:f>
        <x:v>0</x:v>
      </x:c>
      <x:c r="G1051" s="67" t="n">
        <x:f>VLOOKUP(C1051,'Governorate Master'!$A$2:$Q$13,7,FALSE)</x:f>
        <x:v>25.9</x:v>
      </x:c>
      <x:c r="H1051" s="20" t="n">
        <x:f>VLOOKUP(C1051,'Governorate Master'!$A$2:$Q$13,6,FALSE)</x:f>
        <x:v>0.6965637740244612</x:v>
      </x:c>
      <x:c r="I1051" s="20" t="n">
        <x:f>VLOOKUP(C1051,'Governorate Master'!$A$2:$Q$13,15,FALSE)</x:f>
        <x:v>-0.016638935108153077</x:v>
      </x:c>
      <x:c r="J1051" s="12" t="str">
        <x:v>Location model input - competition/saturation context</x:v>
      </x:c>
      <x:c r="K1051" s="12" t="str">
        <x:v>Business count is from 2018 while population/context indicators are newer; use as a historical proxy, not a current market count.</x:v>
      </x:c>
    </x:row>
    <x:row r="1052">
      <x:c r="A1052" s="12" t="str">
        <x:v>2813</x:v>
      </x:c>
      <x:c r="B1052" s="12" t="str">
        <x:v>Manufacture of other pumps, compressors, taps and valves</x:v>
      </x:c>
      <x:c r="C1052" s="12" t="str">
        <x:v>جرش</x:v>
      </x:c>
      <x:c r="D1052" s="14" t="n">
        <x:v>0</x:v>
      </x:c>
      <x:c r="E1052" s="14" t="n">
        <x:f>VLOOKUP(C1052,'Governorate Master'!$A$2:$Q$13,3,FALSE)</x:f>
        <x:v>296000</x:v>
      </x:c>
      <x:c r="F1052" s="66" t="n">
        <x:f>IF(E1052=0,0,D1052/E1052*10000)</x:f>
        <x:v>0</x:v>
      </x:c>
      <x:c r="G1052" s="67" t="n">
        <x:f>VLOOKUP(C1052,'Governorate Master'!$A$2:$Q$13,7,FALSE)</x:f>
        <x:v>722.3</x:v>
      </x:c>
      <x:c r="H1052" s="20" t="n">
        <x:f>VLOOKUP(C1052,'Governorate Master'!$A$2:$Q$13,6,FALSE)</x:f>
        <x:v>0.7695945945945946</x:v>
      </x:c>
      <x:c r="I1052" s="20" t="n">
        <x:f>VLOOKUP(C1052,'Governorate Master'!$A$2:$Q$13,15,FALSE)</x:f>
        <x:v>-0.06527415143603134</x:v>
      </x:c>
      <x:c r="J1052" s="12" t="str">
        <x:v>Location model input - competition/saturation context</x:v>
      </x:c>
      <x:c r="K1052" s="12" t="str">
        <x:v>Business count is from 2018 while population/context indicators are newer; use as a historical proxy, not a current market count.</x:v>
      </x:c>
    </x:row>
    <x:row r="1053">
      <x:c r="A1053" s="12" t="str">
        <x:v>2813</x:v>
      </x:c>
      <x:c r="B1053" s="12" t="str">
        <x:v>Manufacture of other pumps, compressors, taps and valves</x:v>
      </x:c>
      <x:c r="C1053" s="12" t="str">
        <x:v>عجلون</x:v>
      </x:c>
      <x:c r="D1053" s="14" t="n">
        <x:v>0</x:v>
      </x:c>
      <x:c r="E1053" s="14" t="n">
        <x:f>VLOOKUP(C1053,'Governorate Master'!$A$2:$Q$13,3,FALSE)</x:f>
        <x:v>219900</x:v>
      </x:c>
      <x:c r="F1053" s="66" t="n">
        <x:f>IF(E1053=0,0,D1053/E1053*10000)</x:f>
        <x:v>0</x:v>
      </x:c>
      <x:c r="G1053" s="67" t="n">
        <x:f>VLOOKUP(C1053,'Governorate Master'!$A$2:$Q$13,7,FALSE)</x:f>
        <x:v>524</x:v>
      </x:c>
      <x:c r="H1053" s="20" t="n">
        <x:f>VLOOKUP(C1053,'Governorate Master'!$A$2:$Q$13,6,FALSE)</x:f>
        <x:v>0.8390177353342428</x:v>
      </x:c>
      <x:c r="I1053" s="20" t="n">
        <x:f>VLOOKUP(C1053,'Governorate Master'!$A$2:$Q$13,15,FALSE)</x:f>
        <x:v>0.03614457831325301</x:v>
      </x:c>
      <x:c r="J1053" s="12" t="str">
        <x:v>Location model input - competition/saturation context</x:v>
      </x:c>
      <x:c r="K1053" s="12" t="str">
        <x:v>Business count is from 2018 while population/context indicators are newer; use as a historical proxy, not a current market count.</x:v>
      </x:c>
    </x:row>
    <x:row r="1054">
      <x:c r="A1054" s="12" t="str">
        <x:v>2813</x:v>
      </x:c>
      <x:c r="B1054" s="12" t="str">
        <x:v>Manufacture of other pumps, compressors, taps and valves</x:v>
      </x:c>
      <x:c r="C1054" s="12" t="str">
        <x:v>الكرك</x:v>
      </x:c>
      <x:c r="D1054" s="14" t="n">
        <x:v>0</x:v>
      </x:c>
      <x:c r="E1054" s="14" t="n">
        <x:f>VLOOKUP(C1054,'Governorate Master'!$A$2:$Q$13,3,FALSE)</x:f>
        <x:v>395400</x:v>
      </x:c>
      <x:c r="F1054" s="66" t="n">
        <x:f>IF(E1054=0,0,D1054/E1054*10000)</x:f>
        <x:v>0</x:v>
      </x:c>
      <x:c r="G1054" s="67" t="n">
        <x:f>VLOOKUP(C1054,'Governorate Master'!$A$2:$Q$13,7,FALSE)</x:f>
        <x:v>113.1</x:v>
      </x:c>
      <x:c r="H1054" s="20" t="n">
        <x:f>VLOOKUP(C1054,'Governorate Master'!$A$2:$Q$13,6,FALSE)</x:f>
        <x:v>0.5912999494183105</x:v>
      </x:c>
      <x:c r="I1054" s="20" t="n">
        <x:f>VLOOKUP(C1054,'Governorate Master'!$A$2:$Q$13,15,FALSE)</x:f>
        <x:v>0.08710801393728224</x:v>
      </x:c>
      <x:c r="J1054" s="12" t="str">
        <x:v>Location model input - competition/saturation context</x:v>
      </x:c>
      <x:c r="K1054" s="12" t="str">
        <x:v>Business count is from 2018 while population/context indicators are newer; use as a historical proxy, not a current market count.</x:v>
      </x:c>
    </x:row>
    <x:row r="1055">
      <x:c r="A1055" s="12" t="str">
        <x:v>2813</x:v>
      </x:c>
      <x:c r="B1055" s="12" t="str">
        <x:v>Manufacture of other pumps, compressors, taps and valves</x:v>
      </x:c>
      <x:c r="C1055" s="12" t="str">
        <x:v>الطفيلة</x:v>
      </x:c>
      <x:c r="D1055" s="14" t="n">
        <x:v>0</x:v>
      </x:c>
      <x:c r="E1055" s="14" t="n">
        <x:f>VLOOKUP(C1055,'Governorate Master'!$A$2:$Q$13,3,FALSE)</x:f>
        <x:v>120300</x:v>
      </x:c>
      <x:c r="F1055" s="66" t="n">
        <x:f>IF(E1055=0,0,D1055/E1055*10000)</x:f>
        <x:v>0</x:v>
      </x:c>
      <x:c r="G1055" s="67" t="n">
        <x:f>VLOOKUP(C1055,'Governorate Master'!$A$2:$Q$13,7,FALSE)</x:f>
        <x:v>54.4</x:v>
      </x:c>
      <x:c r="H1055" s="20" t="n">
        <x:f>VLOOKUP(C1055,'Governorate Master'!$A$2:$Q$13,6,FALSE)</x:f>
        <x:v>0.7797173732335827</x:v>
      </x:c>
      <x:c r="I1055" s="20" t="n">
        <x:f>VLOOKUP(C1055,'Governorate Master'!$A$2:$Q$13,15,FALSE)</x:f>
        <x:v>0.18452380952380953</x:v>
      </x:c>
      <x:c r="J1055" s="12" t="str">
        <x:v>Location model input - competition/saturation context</x:v>
      </x:c>
      <x:c r="K1055" s="12" t="str">
        <x:v>Business count is from 2018 while population/context indicators are newer; use as a historical proxy, not a current market count.</x:v>
      </x:c>
    </x:row>
    <x:row r="1056">
      <x:c r="A1056" s="12" t="str">
        <x:v>2813</x:v>
      </x:c>
      <x:c r="B1056" s="12" t="str">
        <x:v>Manufacture of other pumps, compressors, taps and valves</x:v>
      </x:c>
      <x:c r="C1056" s="12" t="str">
        <x:v>معان</x:v>
      </x:c>
      <x:c r="D1056" s="14" t="n">
        <x:v>0</x:v>
      </x:c>
      <x:c r="E1056" s="14" t="n">
        <x:f>VLOOKUP(C1056,'Governorate Master'!$A$2:$Q$13,3,FALSE)</x:f>
        <x:v>197900</x:v>
      </x:c>
      <x:c r="F1056" s="66" t="n">
        <x:f>IF(E1056=0,0,D1056/E1056*10000)</x:f>
        <x:v>0</x:v>
      </x:c>
      <x:c r="G1056" s="67" t="n">
        <x:f>VLOOKUP(C1056,'Governorate Master'!$A$2:$Q$13,7,FALSE)</x:f>
        <x:v>6</x:v>
      </x:c>
      <x:c r="H1056" s="20" t="n">
        <x:f>VLOOKUP(C1056,'Governorate Master'!$A$2:$Q$13,6,FALSE)</x:f>
        <x:v>0.5406771096513391</x:v>
      </x:c>
      <x:c r="I1056" s="20" t="n">
        <x:f>VLOOKUP(C1056,'Governorate Master'!$A$2:$Q$13,15,FALSE)</x:f>
        <x:v>0.026845637583892617</x:v>
      </x:c>
      <x:c r="J1056" s="12" t="str">
        <x:v>Location model input - competition/saturation context</x:v>
      </x:c>
      <x:c r="K1056" s="12" t="str">
        <x:v>Business count is from 2018 while population/context indicators are newer; use as a historical proxy, not a current market count.</x:v>
      </x:c>
    </x:row>
    <x:row r="1057">
      <x:c r="A1057" s="12" t="str">
        <x:v>2813</x:v>
      </x:c>
      <x:c r="B1057" s="12" t="str">
        <x:v>Manufacture of other pumps, compressors, taps and valves</x:v>
      </x:c>
      <x:c r="C1057" s="12" t="str">
        <x:v>العقبة</x:v>
      </x:c>
      <x:c r="D1057" s="14" t="n">
        <x:v>0</x:v>
      </x:c>
      <x:c r="E1057" s="14" t="n">
        <x:f>VLOOKUP(C1057,'Governorate Master'!$A$2:$Q$13,3,FALSE)</x:f>
        <x:v>250900</x:v>
      </x:c>
      <x:c r="F1057" s="66" t="n">
        <x:f>IF(E1057=0,0,D1057/E1057*10000)</x:f>
        <x:v>0</x:v>
      </x:c>
      <x:c r="G1057" s="67" t="n">
        <x:f>VLOOKUP(C1057,'Governorate Master'!$A$2:$Q$13,7,FALSE)</x:f>
        <x:v>36.3</x:v>
      </x:c>
      <x:c r="H1057" s="20" t="n">
        <x:f>VLOOKUP(C1057,'Governorate Master'!$A$2:$Q$13,6,FALSE)</x:f>
        <x:v>0.882024711040255</x:v>
      </x:c>
      <x:c r="I1057" s="20" t="n">
        <x:f>VLOOKUP(C1057,'Governorate Master'!$A$2:$Q$13,15,FALSE)</x:f>
        <x:v>-0.09</x:v>
      </x:c>
      <x:c r="J1057" s="12" t="str">
        <x:v>Location model input - competition/saturation context</x:v>
      </x:c>
      <x:c r="K1057" s="12" t="str">
        <x:v>Business count is from 2018 while population/context indicators are newer; use as a historical proxy, not a current market count.</x:v>
      </x:c>
    </x:row>
    <x:row r="1058">
      <x:c r="A1058" s="12" t="str">
        <x:v>2815</x:v>
      </x:c>
      <x:c r="B1058" s="12" t="str">
        <x:v>Manufacture of ovens, furnaces and furnace burners</x:v>
      </x:c>
      <x:c r="C1058" s="12" t="str">
        <x:v>عمان</x:v>
      </x:c>
      <x:c r="D1058" s="14" t="n">
        <x:v>1</x:v>
      </x:c>
      <x:c r="E1058" s="14" t="n">
        <x:f>VLOOKUP(C1058,'Governorate Master'!$A$2:$Q$13,3,FALSE)</x:f>
        <x:v>5004600</x:v>
      </x:c>
      <x:c r="F1058" s="66" t="n">
        <x:f>IF(E1058=0,0,D1058/E1058*10000)</x:f>
        <x:v>0.0019981616912440555</x:v>
      </x:c>
      <x:c r="G1058" s="67" t="n">
        <x:f>VLOOKUP(C1058,'Governorate Master'!$A$2:$Q$13,7,FALSE)</x:f>
        <x:v>660.3</x:v>
      </x:c>
      <x:c r="H1058" s="20" t="n">
        <x:f>VLOOKUP(C1058,'Governorate Master'!$A$2:$Q$13,6,FALSE)</x:f>
        <x:v>0.9721656076409703</x:v>
      </x:c>
      <x:c r="I1058" s="20" t="n">
        <x:f>VLOOKUP(C1058,'Governorate Master'!$A$2:$Q$13,15,FALSE)</x:f>
        <x:v>0.06367041198501873</x:v>
      </x:c>
      <x:c r="J1058" s="12" t="str">
        <x:v>Location model input - competition/saturation context</x:v>
      </x:c>
      <x:c r="K1058" s="12" t="str">
        <x:v>Business count is from 2018 while population/context indicators are newer; use as a historical proxy, not a current market count.</x:v>
      </x:c>
    </x:row>
    <x:row r="1059">
      <x:c r="A1059" s="12" t="str">
        <x:v>2815</x:v>
      </x:c>
      <x:c r="B1059" s="12" t="str">
        <x:v>Manufacture of ovens, furnaces and furnace burners</x:v>
      </x:c>
      <x:c r="C1059" s="12" t="str">
        <x:v>البلقاء</x:v>
      </x:c>
      <x:c r="D1059" s="14" t="n">
        <x:v>0</x:v>
      </x:c>
      <x:c r="E1059" s="14" t="n">
        <x:f>VLOOKUP(C1059,'Governorate Master'!$A$2:$Q$13,3,FALSE)</x:f>
        <x:v>614000</x:v>
      </x:c>
      <x:c r="F1059" s="66" t="n">
        <x:f>IF(E1059=0,0,D1059/E1059*10000)</x:f>
        <x:v>0</x:v>
      </x:c>
      <x:c r="G1059" s="67" t="n">
        <x:f>VLOOKUP(C1059,'Governorate Master'!$A$2:$Q$13,7,FALSE)</x:f>
        <x:v>548</x:v>
      </x:c>
      <x:c r="H1059" s="20" t="n">
        <x:f>VLOOKUP(C1059,'Governorate Master'!$A$2:$Q$13,6,FALSE)</x:f>
        <x:v>0.8210097719869707</x:v>
      </x:c>
      <x:c r="I1059" s="20" t="n">
        <x:f>VLOOKUP(C1059,'Governorate Master'!$A$2:$Q$13,15,FALSE)</x:f>
        <x:v>0.10794044665012408</x:v>
      </x:c>
      <x:c r="J1059" s="12" t="str">
        <x:v>Location model input - competition/saturation context</x:v>
      </x:c>
      <x:c r="K1059" s="12" t="str">
        <x:v>Business count is from 2018 while population/context indicators are newer; use as a historical proxy, not a current market count.</x:v>
      </x:c>
    </x:row>
    <x:row r="1060">
      <x:c r="A1060" s="12" t="str">
        <x:v>2815</x:v>
      </x:c>
      <x:c r="B1060" s="12" t="str">
        <x:v>Manufacture of ovens, furnaces and furnace burners</x:v>
      </x:c>
      <x:c r="C1060" s="12" t="str">
        <x:v>الزرقاء</x:v>
      </x:c>
      <x:c r="D1060" s="14" t="n">
        <x:v>0</x:v>
      </x:c>
      <x:c r="E1060" s="14" t="n">
        <x:f>VLOOKUP(C1060,'Governorate Master'!$A$2:$Q$13,3,FALSE)</x:f>
        <x:v>1704500</x:v>
      </x:c>
      <x:c r="F1060" s="66" t="n">
        <x:f>IF(E1060=0,0,D1060/E1060*10000)</x:f>
        <x:v>0</x:v>
      </x:c>
      <x:c r="G1060" s="67" t="n">
        <x:f>VLOOKUP(C1060,'Governorate Master'!$A$2:$Q$13,7,FALSE)</x:f>
        <x:v>358</x:v>
      </x:c>
      <x:c r="H1060" s="20" t="n">
        <x:f>VLOOKUP(C1060,'Governorate Master'!$A$2:$Q$13,6,FALSE)</x:f>
        <x:v>0.9636256966852449</x:v>
      </x:c>
      <x:c r="I1060" s="20" t="n">
        <x:f>VLOOKUP(C1060,'Governorate Master'!$A$2:$Q$13,15,FALSE)</x:f>
        <x:v>-0.06808762581409118</x:v>
      </x:c>
      <x:c r="J1060" s="12" t="str">
        <x:v>Location model input - competition/saturation context</x:v>
      </x:c>
      <x:c r="K1060" s="12" t="str">
        <x:v>Business count is from 2018 while population/context indicators are newer; use as a historical proxy, not a current market count.</x:v>
      </x:c>
    </x:row>
    <x:row r="1061">
      <x:c r="A1061" s="12" t="str">
        <x:v>2815</x:v>
      </x:c>
      <x:c r="B1061" s="12" t="str">
        <x:v>Manufacture of ovens, furnaces and furnace burners</x:v>
      </x:c>
      <x:c r="C1061" s="12" t="str">
        <x:v>مادبا</x:v>
      </x:c>
      <x:c r="D1061" s="14" t="n">
        <x:v>0</x:v>
      </x:c>
      <x:c r="E1061" s="14" t="n">
        <x:f>VLOOKUP(C1061,'Governorate Master'!$A$2:$Q$13,3,FALSE)</x:f>
        <x:v>236200</x:v>
      </x:c>
      <x:c r="F1061" s="66" t="n">
        <x:f>IF(E1061=0,0,D1061/E1061*10000)</x:f>
        <x:v>0</x:v>
      </x:c>
      <x:c r="G1061" s="67" t="n">
        <x:f>VLOOKUP(C1061,'Governorate Master'!$A$2:$Q$13,7,FALSE)</x:f>
        <x:v>251.4</x:v>
      </x:c>
      <x:c r="H1061" s="20" t="n">
        <x:f>VLOOKUP(C1061,'Governorate Master'!$A$2:$Q$13,6,FALSE)</x:f>
        <x:v>0.7823878069432684</x:v>
      </x:c>
      <x:c r="I1061" s="20" t="n">
        <x:f>VLOOKUP(C1061,'Governorate Master'!$A$2:$Q$13,15,FALSE)</x:f>
        <x:v>-0.18823529411764706</x:v>
      </x:c>
      <x:c r="J1061" s="12" t="str">
        <x:v>Location model input - competition/saturation context</x:v>
      </x:c>
      <x:c r="K1061" s="12" t="str">
        <x:v>Business count is from 2018 while population/context indicators are newer; use as a historical proxy, not a current market count.</x:v>
      </x:c>
    </x:row>
    <x:row r="1062">
      <x:c r="A1062" s="12" t="str">
        <x:v>2815</x:v>
      </x:c>
      <x:c r="B1062" s="12" t="str">
        <x:v>Manufacture of ovens, furnaces and furnace burners</x:v>
      </x:c>
      <x:c r="C1062" s="12" t="str">
        <x:v>إربد</x:v>
      </x:c>
      <x:c r="D1062" s="14" t="n">
        <x:v>0</x:v>
      </x:c>
      <x:c r="E1062" s="14" t="n">
        <x:f>VLOOKUP(C1062,'Governorate Master'!$A$2:$Q$13,3,FALSE)</x:f>
        <x:v>2210500</x:v>
      </x:c>
      <x:c r="F1062" s="66" t="n">
        <x:f>IF(E1062=0,0,D1062/E1062*10000)</x:f>
        <x:v>0</x:v>
      </x:c>
      <x:c r="G1062" s="67" t="n">
        <x:f>VLOOKUP(C1062,'Governorate Master'!$A$2:$Q$13,7,FALSE)</x:f>
        <x:v>1406.4</x:v>
      </x:c>
      <x:c r="H1062" s="20" t="n">
        <x:f>VLOOKUP(C1062,'Governorate Master'!$A$2:$Q$13,6,FALSE)</x:f>
        <x:v>0.9235014702555983</x:v>
      </x:c>
      <x:c r="I1062" s="20" t="n">
        <x:f>VLOOKUP(C1062,'Governorate Master'!$A$2:$Q$13,15,FALSE)</x:f>
        <x:v>0.07086922474549726</x:v>
      </x:c>
      <x:c r="J1062" s="12" t="str">
        <x:v>Location model input - competition/saturation context</x:v>
      </x:c>
      <x:c r="K1062" s="12" t="str">
        <x:v>Business count is from 2018 while population/context indicators are newer; use as a historical proxy, not a current market count.</x:v>
      </x:c>
    </x:row>
    <x:row r="1063">
      <x:c r="A1063" s="12" t="str">
        <x:v>2815</x:v>
      </x:c>
      <x:c r="B1063" s="12" t="str">
        <x:v>Manufacture of ovens, furnaces and furnace burners</x:v>
      </x:c>
      <x:c r="C1063" s="12" t="str">
        <x:v>المفرق</x:v>
      </x:c>
      <x:c r="D1063" s="14" t="n">
        <x:v>0</x:v>
      </x:c>
      <x:c r="E1063" s="14" t="n">
        <x:f>VLOOKUP(C1063,'Governorate Master'!$A$2:$Q$13,3,FALSE)</x:f>
        <x:v>686800</x:v>
      </x:c>
      <x:c r="F1063" s="66" t="n">
        <x:f>IF(E1063=0,0,D1063/E1063*10000)</x:f>
        <x:v>0</x:v>
      </x:c>
      <x:c r="G1063" s="67" t="n">
        <x:f>VLOOKUP(C1063,'Governorate Master'!$A$2:$Q$13,7,FALSE)</x:f>
        <x:v>25.9</x:v>
      </x:c>
      <x:c r="H1063" s="20" t="n">
        <x:f>VLOOKUP(C1063,'Governorate Master'!$A$2:$Q$13,6,FALSE)</x:f>
        <x:v>0.6965637740244612</x:v>
      </x:c>
      <x:c r="I1063" s="20" t="n">
        <x:f>VLOOKUP(C1063,'Governorate Master'!$A$2:$Q$13,15,FALSE)</x:f>
        <x:v>-0.016638935108153077</x:v>
      </x:c>
      <x:c r="J1063" s="12" t="str">
        <x:v>Location model input - competition/saturation context</x:v>
      </x:c>
      <x:c r="K1063" s="12" t="str">
        <x:v>Business count is from 2018 while population/context indicators are newer; use as a historical proxy, not a current market count.</x:v>
      </x:c>
    </x:row>
    <x:row r="1064">
      <x:c r="A1064" s="12" t="str">
        <x:v>2815</x:v>
      </x:c>
      <x:c r="B1064" s="12" t="str">
        <x:v>Manufacture of ovens, furnaces and furnace burners</x:v>
      </x:c>
      <x:c r="C1064" s="12" t="str">
        <x:v>جرش</x:v>
      </x:c>
      <x:c r="D1064" s="14" t="n">
        <x:v>0</x:v>
      </x:c>
      <x:c r="E1064" s="14" t="n">
        <x:f>VLOOKUP(C1064,'Governorate Master'!$A$2:$Q$13,3,FALSE)</x:f>
        <x:v>296000</x:v>
      </x:c>
      <x:c r="F1064" s="66" t="n">
        <x:f>IF(E1064=0,0,D1064/E1064*10000)</x:f>
        <x:v>0</x:v>
      </x:c>
      <x:c r="G1064" s="67" t="n">
        <x:f>VLOOKUP(C1064,'Governorate Master'!$A$2:$Q$13,7,FALSE)</x:f>
        <x:v>722.3</x:v>
      </x:c>
      <x:c r="H1064" s="20" t="n">
        <x:f>VLOOKUP(C1064,'Governorate Master'!$A$2:$Q$13,6,FALSE)</x:f>
        <x:v>0.7695945945945946</x:v>
      </x:c>
      <x:c r="I1064" s="20" t="n">
        <x:f>VLOOKUP(C1064,'Governorate Master'!$A$2:$Q$13,15,FALSE)</x:f>
        <x:v>-0.06527415143603134</x:v>
      </x:c>
      <x:c r="J1064" s="12" t="str">
        <x:v>Location model input - competition/saturation context</x:v>
      </x:c>
      <x:c r="K1064" s="12" t="str">
        <x:v>Business count is from 2018 while population/context indicators are newer; use as a historical proxy, not a current market count.</x:v>
      </x:c>
    </x:row>
    <x:row r="1065">
      <x:c r="A1065" s="12" t="str">
        <x:v>2815</x:v>
      </x:c>
      <x:c r="B1065" s="12" t="str">
        <x:v>Manufacture of ovens, furnaces and furnace burners</x:v>
      </x:c>
      <x:c r="C1065" s="12" t="str">
        <x:v>عجلون</x:v>
      </x:c>
      <x:c r="D1065" s="14" t="n">
        <x:v>0</x:v>
      </x:c>
      <x:c r="E1065" s="14" t="n">
        <x:f>VLOOKUP(C1065,'Governorate Master'!$A$2:$Q$13,3,FALSE)</x:f>
        <x:v>219900</x:v>
      </x:c>
      <x:c r="F1065" s="66" t="n">
        <x:f>IF(E1065=0,0,D1065/E1065*10000)</x:f>
        <x:v>0</x:v>
      </x:c>
      <x:c r="G1065" s="67" t="n">
        <x:f>VLOOKUP(C1065,'Governorate Master'!$A$2:$Q$13,7,FALSE)</x:f>
        <x:v>524</x:v>
      </x:c>
      <x:c r="H1065" s="20" t="n">
        <x:f>VLOOKUP(C1065,'Governorate Master'!$A$2:$Q$13,6,FALSE)</x:f>
        <x:v>0.8390177353342428</x:v>
      </x:c>
      <x:c r="I1065" s="20" t="n">
        <x:f>VLOOKUP(C1065,'Governorate Master'!$A$2:$Q$13,15,FALSE)</x:f>
        <x:v>0.03614457831325301</x:v>
      </x:c>
      <x:c r="J1065" s="12" t="str">
        <x:v>Location model input - competition/saturation context</x:v>
      </x:c>
      <x:c r="K1065" s="12" t="str">
        <x:v>Business count is from 2018 while population/context indicators are newer; use as a historical proxy, not a current market count.</x:v>
      </x:c>
    </x:row>
    <x:row r="1066">
      <x:c r="A1066" s="12" t="str">
        <x:v>2815</x:v>
      </x:c>
      <x:c r="B1066" s="12" t="str">
        <x:v>Manufacture of ovens, furnaces and furnace burners</x:v>
      </x:c>
      <x:c r="C1066" s="12" t="str">
        <x:v>الكرك</x:v>
      </x:c>
      <x:c r="D1066" s="14" t="n">
        <x:v>0</x:v>
      </x:c>
      <x:c r="E1066" s="14" t="n">
        <x:f>VLOOKUP(C1066,'Governorate Master'!$A$2:$Q$13,3,FALSE)</x:f>
        <x:v>395400</x:v>
      </x:c>
      <x:c r="F1066" s="66" t="n">
        <x:f>IF(E1066=0,0,D1066/E1066*10000)</x:f>
        <x:v>0</x:v>
      </x:c>
      <x:c r="G1066" s="67" t="n">
        <x:f>VLOOKUP(C1066,'Governorate Master'!$A$2:$Q$13,7,FALSE)</x:f>
        <x:v>113.1</x:v>
      </x:c>
      <x:c r="H1066" s="20" t="n">
        <x:f>VLOOKUP(C1066,'Governorate Master'!$A$2:$Q$13,6,FALSE)</x:f>
        <x:v>0.5912999494183105</x:v>
      </x:c>
      <x:c r="I1066" s="20" t="n">
        <x:f>VLOOKUP(C1066,'Governorate Master'!$A$2:$Q$13,15,FALSE)</x:f>
        <x:v>0.08710801393728224</x:v>
      </x:c>
      <x:c r="J1066" s="12" t="str">
        <x:v>Location model input - competition/saturation context</x:v>
      </x:c>
      <x:c r="K1066" s="12" t="str">
        <x:v>Business count is from 2018 while population/context indicators are newer; use as a historical proxy, not a current market count.</x:v>
      </x:c>
    </x:row>
    <x:row r="1067">
      <x:c r="A1067" s="12" t="str">
        <x:v>2815</x:v>
      </x:c>
      <x:c r="B1067" s="12" t="str">
        <x:v>Manufacture of ovens, furnaces and furnace burners</x:v>
      </x:c>
      <x:c r="C1067" s="12" t="str">
        <x:v>الطفيلة</x:v>
      </x:c>
      <x:c r="D1067" s="14" t="n">
        <x:v>0</x:v>
      </x:c>
      <x:c r="E1067" s="14" t="n">
        <x:f>VLOOKUP(C1067,'Governorate Master'!$A$2:$Q$13,3,FALSE)</x:f>
        <x:v>120300</x:v>
      </x:c>
      <x:c r="F1067" s="66" t="n">
        <x:f>IF(E1067=0,0,D1067/E1067*10000)</x:f>
        <x:v>0</x:v>
      </x:c>
      <x:c r="G1067" s="67" t="n">
        <x:f>VLOOKUP(C1067,'Governorate Master'!$A$2:$Q$13,7,FALSE)</x:f>
        <x:v>54.4</x:v>
      </x:c>
      <x:c r="H1067" s="20" t="n">
        <x:f>VLOOKUP(C1067,'Governorate Master'!$A$2:$Q$13,6,FALSE)</x:f>
        <x:v>0.7797173732335827</x:v>
      </x:c>
      <x:c r="I1067" s="20" t="n">
        <x:f>VLOOKUP(C1067,'Governorate Master'!$A$2:$Q$13,15,FALSE)</x:f>
        <x:v>0.18452380952380953</x:v>
      </x:c>
      <x:c r="J1067" s="12" t="str">
        <x:v>Location model input - competition/saturation context</x:v>
      </x:c>
      <x:c r="K1067" s="12" t="str">
        <x:v>Business count is from 2018 while population/context indicators are newer; use as a historical proxy, not a current market count.</x:v>
      </x:c>
    </x:row>
    <x:row r="1068">
      <x:c r="A1068" s="12" t="str">
        <x:v>2815</x:v>
      </x:c>
      <x:c r="B1068" s="12" t="str">
        <x:v>Manufacture of ovens, furnaces and furnace burners</x:v>
      </x:c>
      <x:c r="C1068" s="12" t="str">
        <x:v>معان</x:v>
      </x:c>
      <x:c r="D1068" s="14" t="n">
        <x:v>0</x:v>
      </x:c>
      <x:c r="E1068" s="14" t="n">
        <x:f>VLOOKUP(C1068,'Governorate Master'!$A$2:$Q$13,3,FALSE)</x:f>
        <x:v>197900</x:v>
      </x:c>
      <x:c r="F1068" s="66" t="n">
        <x:f>IF(E1068=0,0,D1068/E1068*10000)</x:f>
        <x:v>0</x:v>
      </x:c>
      <x:c r="G1068" s="67" t="n">
        <x:f>VLOOKUP(C1068,'Governorate Master'!$A$2:$Q$13,7,FALSE)</x:f>
        <x:v>6</x:v>
      </x:c>
      <x:c r="H1068" s="20" t="n">
        <x:f>VLOOKUP(C1068,'Governorate Master'!$A$2:$Q$13,6,FALSE)</x:f>
        <x:v>0.5406771096513391</x:v>
      </x:c>
      <x:c r="I1068" s="20" t="n">
        <x:f>VLOOKUP(C1068,'Governorate Master'!$A$2:$Q$13,15,FALSE)</x:f>
        <x:v>0.026845637583892617</x:v>
      </x:c>
      <x:c r="J1068" s="12" t="str">
        <x:v>Location model input - competition/saturation context</x:v>
      </x:c>
      <x:c r="K1068" s="12" t="str">
        <x:v>Business count is from 2018 while population/context indicators are newer; use as a historical proxy, not a current market count.</x:v>
      </x:c>
    </x:row>
    <x:row r="1069">
      <x:c r="A1069" s="12" t="str">
        <x:v>2815</x:v>
      </x:c>
      <x:c r="B1069" s="12" t="str">
        <x:v>Manufacture of ovens, furnaces and furnace burners</x:v>
      </x:c>
      <x:c r="C1069" s="12" t="str">
        <x:v>العقبة</x:v>
      </x:c>
      <x:c r="D1069" s="14" t="n">
        <x:v>0</x:v>
      </x:c>
      <x:c r="E1069" s="14" t="n">
        <x:f>VLOOKUP(C1069,'Governorate Master'!$A$2:$Q$13,3,FALSE)</x:f>
        <x:v>250900</x:v>
      </x:c>
      <x:c r="F1069" s="66" t="n">
        <x:f>IF(E1069=0,0,D1069/E1069*10000)</x:f>
        <x:v>0</x:v>
      </x:c>
      <x:c r="G1069" s="67" t="n">
        <x:f>VLOOKUP(C1069,'Governorate Master'!$A$2:$Q$13,7,FALSE)</x:f>
        <x:v>36.3</x:v>
      </x:c>
      <x:c r="H1069" s="20" t="n">
        <x:f>VLOOKUP(C1069,'Governorate Master'!$A$2:$Q$13,6,FALSE)</x:f>
        <x:v>0.882024711040255</x:v>
      </x:c>
      <x:c r="I1069" s="20" t="n">
        <x:f>VLOOKUP(C1069,'Governorate Master'!$A$2:$Q$13,15,FALSE)</x:f>
        <x:v>-0.09</x:v>
      </x:c>
      <x:c r="J1069" s="12" t="str">
        <x:v>Location model input - competition/saturation context</x:v>
      </x:c>
      <x:c r="K1069" s="12" t="str">
        <x:v>Business count is from 2018 while population/context indicators are newer; use as a historical proxy, not a current market count.</x:v>
      </x:c>
    </x:row>
    <x:row r="1070">
      <x:c r="A1070" s="12" t="str">
        <x:v>2816</x:v>
      </x:c>
      <x:c r="B1070" s="12" t="str">
        <x:v>Manufacture of lifting and handling equipment</x:v>
      </x:c>
      <x:c r="C1070" s="12" t="str">
        <x:v>عمان</x:v>
      </x:c>
      <x:c r="D1070" s="14" t="n">
        <x:v>16</x:v>
      </x:c>
      <x:c r="E1070" s="14" t="n">
        <x:f>VLOOKUP(C1070,'Governorate Master'!$A$2:$Q$13,3,FALSE)</x:f>
        <x:v>5004600</x:v>
      </x:c>
      <x:c r="F1070" s="66" t="n">
        <x:f>IF(E1070=0,0,D1070/E1070*10000)</x:f>
        <x:v>0.03197058705990489</x:v>
      </x:c>
      <x:c r="G1070" s="67" t="n">
        <x:f>VLOOKUP(C1070,'Governorate Master'!$A$2:$Q$13,7,FALSE)</x:f>
        <x:v>660.3</x:v>
      </x:c>
      <x:c r="H1070" s="20" t="n">
        <x:f>VLOOKUP(C1070,'Governorate Master'!$A$2:$Q$13,6,FALSE)</x:f>
        <x:v>0.9721656076409703</x:v>
      </x:c>
      <x:c r="I1070" s="20" t="n">
        <x:f>VLOOKUP(C1070,'Governorate Master'!$A$2:$Q$13,15,FALSE)</x:f>
        <x:v>0.06367041198501873</x:v>
      </x:c>
      <x:c r="J1070" s="12" t="str">
        <x:v>Location model input - competition/saturation context</x:v>
      </x:c>
      <x:c r="K1070" s="12" t="str">
        <x:v>Business count is from 2018 while population/context indicators are newer; use as a historical proxy, not a current market count.</x:v>
      </x:c>
    </x:row>
    <x:row r="1071">
      <x:c r="A1071" s="12" t="str">
        <x:v>2816</x:v>
      </x:c>
      <x:c r="B1071" s="12" t="str">
        <x:v>Manufacture of lifting and handling equipment</x:v>
      </x:c>
      <x:c r="C1071" s="12" t="str">
        <x:v>البلقاء</x:v>
      </x:c>
      <x:c r="D1071" s="14" t="n">
        <x:v>1</x:v>
      </x:c>
      <x:c r="E1071" s="14" t="n">
        <x:f>VLOOKUP(C1071,'Governorate Master'!$A$2:$Q$13,3,FALSE)</x:f>
        <x:v>614000</x:v>
      </x:c>
      <x:c r="F1071" s="66" t="n">
        <x:f>IF(E1071=0,0,D1071/E1071*10000)</x:f>
        <x:v>0.016286644951140065</x:v>
      </x:c>
      <x:c r="G1071" s="67" t="n">
        <x:f>VLOOKUP(C1071,'Governorate Master'!$A$2:$Q$13,7,FALSE)</x:f>
        <x:v>548</x:v>
      </x:c>
      <x:c r="H1071" s="20" t="n">
        <x:f>VLOOKUP(C1071,'Governorate Master'!$A$2:$Q$13,6,FALSE)</x:f>
        <x:v>0.8210097719869707</x:v>
      </x:c>
      <x:c r="I1071" s="20" t="n">
        <x:f>VLOOKUP(C1071,'Governorate Master'!$A$2:$Q$13,15,FALSE)</x:f>
        <x:v>0.10794044665012408</x:v>
      </x:c>
      <x:c r="J1071" s="12" t="str">
        <x:v>Location model input - competition/saturation context</x:v>
      </x:c>
      <x:c r="K1071" s="12" t="str">
        <x:v>Business count is from 2018 while population/context indicators are newer; use as a historical proxy, not a current market count.</x:v>
      </x:c>
    </x:row>
    <x:row r="1072">
      <x:c r="A1072" s="12" t="str">
        <x:v>2816</x:v>
      </x:c>
      <x:c r="B1072" s="12" t="str">
        <x:v>Manufacture of lifting and handling equipment</x:v>
      </x:c>
      <x:c r="C1072" s="12" t="str">
        <x:v>الزرقاء</x:v>
      </x:c>
      <x:c r="D1072" s="14" t="n">
        <x:v>0</x:v>
      </x:c>
      <x:c r="E1072" s="14" t="n">
        <x:f>VLOOKUP(C1072,'Governorate Master'!$A$2:$Q$13,3,FALSE)</x:f>
        <x:v>1704500</x:v>
      </x:c>
      <x:c r="F1072" s="66" t="n">
        <x:f>IF(E1072=0,0,D1072/E1072*10000)</x:f>
        <x:v>0</x:v>
      </x:c>
      <x:c r="G1072" s="67" t="n">
        <x:f>VLOOKUP(C1072,'Governorate Master'!$A$2:$Q$13,7,FALSE)</x:f>
        <x:v>358</x:v>
      </x:c>
      <x:c r="H1072" s="20" t="n">
        <x:f>VLOOKUP(C1072,'Governorate Master'!$A$2:$Q$13,6,FALSE)</x:f>
        <x:v>0.9636256966852449</x:v>
      </x:c>
      <x:c r="I1072" s="20" t="n">
        <x:f>VLOOKUP(C1072,'Governorate Master'!$A$2:$Q$13,15,FALSE)</x:f>
        <x:v>-0.06808762581409118</x:v>
      </x:c>
      <x:c r="J1072" s="12" t="str">
        <x:v>Location model input - competition/saturation context</x:v>
      </x:c>
      <x:c r="K1072" s="12" t="str">
        <x:v>Business count is from 2018 while population/context indicators are newer; use as a historical proxy, not a current market count.</x:v>
      </x:c>
    </x:row>
    <x:row r="1073">
      <x:c r="A1073" s="12" t="str">
        <x:v>2816</x:v>
      </x:c>
      <x:c r="B1073" s="12" t="str">
        <x:v>Manufacture of lifting and handling equipment</x:v>
      </x:c>
      <x:c r="C1073" s="12" t="str">
        <x:v>مادبا</x:v>
      </x:c>
      <x:c r="D1073" s="14" t="n">
        <x:v>0</x:v>
      </x:c>
      <x:c r="E1073" s="14" t="n">
        <x:f>VLOOKUP(C1073,'Governorate Master'!$A$2:$Q$13,3,FALSE)</x:f>
        <x:v>236200</x:v>
      </x:c>
      <x:c r="F1073" s="66" t="n">
        <x:f>IF(E1073=0,0,D1073/E1073*10000)</x:f>
        <x:v>0</x:v>
      </x:c>
      <x:c r="G1073" s="67" t="n">
        <x:f>VLOOKUP(C1073,'Governorate Master'!$A$2:$Q$13,7,FALSE)</x:f>
        <x:v>251.4</x:v>
      </x:c>
      <x:c r="H1073" s="20" t="n">
        <x:f>VLOOKUP(C1073,'Governorate Master'!$A$2:$Q$13,6,FALSE)</x:f>
        <x:v>0.7823878069432684</x:v>
      </x:c>
      <x:c r="I1073" s="20" t="n">
        <x:f>VLOOKUP(C1073,'Governorate Master'!$A$2:$Q$13,15,FALSE)</x:f>
        <x:v>-0.18823529411764706</x:v>
      </x:c>
      <x:c r="J1073" s="12" t="str">
        <x:v>Location model input - competition/saturation context</x:v>
      </x:c>
      <x:c r="K1073" s="12" t="str">
        <x:v>Business count is from 2018 while population/context indicators are newer; use as a historical proxy, not a current market count.</x:v>
      </x:c>
    </x:row>
    <x:row r="1074">
      <x:c r="A1074" s="12" t="str">
        <x:v>2816</x:v>
      </x:c>
      <x:c r="B1074" s="12" t="str">
        <x:v>Manufacture of lifting and handling equipment</x:v>
      </x:c>
      <x:c r="C1074" s="12" t="str">
        <x:v>إربد</x:v>
      </x:c>
      <x:c r="D1074" s="14" t="n">
        <x:v>0</x:v>
      </x:c>
      <x:c r="E1074" s="14" t="n">
        <x:f>VLOOKUP(C1074,'Governorate Master'!$A$2:$Q$13,3,FALSE)</x:f>
        <x:v>2210500</x:v>
      </x:c>
      <x:c r="F1074" s="66" t="n">
        <x:f>IF(E1074=0,0,D1074/E1074*10000)</x:f>
        <x:v>0</x:v>
      </x:c>
      <x:c r="G1074" s="67" t="n">
        <x:f>VLOOKUP(C1074,'Governorate Master'!$A$2:$Q$13,7,FALSE)</x:f>
        <x:v>1406.4</x:v>
      </x:c>
      <x:c r="H1074" s="20" t="n">
        <x:f>VLOOKUP(C1074,'Governorate Master'!$A$2:$Q$13,6,FALSE)</x:f>
        <x:v>0.9235014702555983</x:v>
      </x:c>
      <x:c r="I1074" s="20" t="n">
        <x:f>VLOOKUP(C1074,'Governorate Master'!$A$2:$Q$13,15,FALSE)</x:f>
        <x:v>0.07086922474549726</x:v>
      </x:c>
      <x:c r="J1074" s="12" t="str">
        <x:v>Location model input - competition/saturation context</x:v>
      </x:c>
      <x:c r="K1074" s="12" t="str">
        <x:v>Business count is from 2018 while population/context indicators are newer; use as a historical proxy, not a current market count.</x:v>
      </x:c>
    </x:row>
    <x:row r="1075">
      <x:c r="A1075" s="12" t="str">
        <x:v>2816</x:v>
      </x:c>
      <x:c r="B1075" s="12" t="str">
        <x:v>Manufacture of lifting and handling equipment</x:v>
      </x:c>
      <x:c r="C1075" s="12" t="str">
        <x:v>المفرق</x:v>
      </x:c>
      <x:c r="D1075" s="14" t="n">
        <x:v>0</x:v>
      </x:c>
      <x:c r="E1075" s="14" t="n">
        <x:f>VLOOKUP(C1075,'Governorate Master'!$A$2:$Q$13,3,FALSE)</x:f>
        <x:v>686800</x:v>
      </x:c>
      <x:c r="F1075" s="66" t="n">
        <x:f>IF(E1075=0,0,D1075/E1075*10000)</x:f>
        <x:v>0</x:v>
      </x:c>
      <x:c r="G1075" s="67" t="n">
        <x:f>VLOOKUP(C1075,'Governorate Master'!$A$2:$Q$13,7,FALSE)</x:f>
        <x:v>25.9</x:v>
      </x:c>
      <x:c r="H1075" s="20" t="n">
        <x:f>VLOOKUP(C1075,'Governorate Master'!$A$2:$Q$13,6,FALSE)</x:f>
        <x:v>0.6965637740244612</x:v>
      </x:c>
      <x:c r="I1075" s="20" t="n">
        <x:f>VLOOKUP(C1075,'Governorate Master'!$A$2:$Q$13,15,FALSE)</x:f>
        <x:v>-0.016638935108153077</x:v>
      </x:c>
      <x:c r="J1075" s="12" t="str">
        <x:v>Location model input - competition/saturation context</x:v>
      </x:c>
      <x:c r="K1075" s="12" t="str">
        <x:v>Business count is from 2018 while population/context indicators are newer; use as a historical proxy, not a current market count.</x:v>
      </x:c>
    </x:row>
    <x:row r="1076">
      <x:c r="A1076" s="12" t="str">
        <x:v>2816</x:v>
      </x:c>
      <x:c r="B1076" s="12" t="str">
        <x:v>Manufacture of lifting and handling equipment</x:v>
      </x:c>
      <x:c r="C1076" s="12" t="str">
        <x:v>جرش</x:v>
      </x:c>
      <x:c r="D1076" s="14" t="n">
        <x:v>0</x:v>
      </x:c>
      <x:c r="E1076" s="14" t="n">
        <x:f>VLOOKUP(C1076,'Governorate Master'!$A$2:$Q$13,3,FALSE)</x:f>
        <x:v>296000</x:v>
      </x:c>
      <x:c r="F1076" s="66" t="n">
        <x:f>IF(E1076=0,0,D1076/E1076*10000)</x:f>
        <x:v>0</x:v>
      </x:c>
      <x:c r="G1076" s="67" t="n">
        <x:f>VLOOKUP(C1076,'Governorate Master'!$A$2:$Q$13,7,FALSE)</x:f>
        <x:v>722.3</x:v>
      </x:c>
      <x:c r="H1076" s="20" t="n">
        <x:f>VLOOKUP(C1076,'Governorate Master'!$A$2:$Q$13,6,FALSE)</x:f>
        <x:v>0.7695945945945946</x:v>
      </x:c>
      <x:c r="I1076" s="20" t="n">
        <x:f>VLOOKUP(C1076,'Governorate Master'!$A$2:$Q$13,15,FALSE)</x:f>
        <x:v>-0.06527415143603134</x:v>
      </x:c>
      <x:c r="J1076" s="12" t="str">
        <x:v>Location model input - competition/saturation context</x:v>
      </x:c>
      <x:c r="K1076" s="12" t="str">
        <x:v>Business count is from 2018 while population/context indicators are newer; use as a historical proxy, not a current market count.</x:v>
      </x:c>
    </x:row>
    <x:row r="1077">
      <x:c r="A1077" s="12" t="str">
        <x:v>2816</x:v>
      </x:c>
      <x:c r="B1077" s="12" t="str">
        <x:v>Manufacture of lifting and handling equipment</x:v>
      </x:c>
      <x:c r="C1077" s="12" t="str">
        <x:v>عجلون</x:v>
      </x:c>
      <x:c r="D1077" s="14" t="n">
        <x:v>0</x:v>
      </x:c>
      <x:c r="E1077" s="14" t="n">
        <x:f>VLOOKUP(C1077,'Governorate Master'!$A$2:$Q$13,3,FALSE)</x:f>
        <x:v>219900</x:v>
      </x:c>
      <x:c r="F1077" s="66" t="n">
        <x:f>IF(E1077=0,0,D1077/E1077*10000)</x:f>
        <x:v>0</x:v>
      </x:c>
      <x:c r="G1077" s="67" t="n">
        <x:f>VLOOKUP(C1077,'Governorate Master'!$A$2:$Q$13,7,FALSE)</x:f>
        <x:v>524</x:v>
      </x:c>
      <x:c r="H1077" s="20" t="n">
        <x:f>VLOOKUP(C1077,'Governorate Master'!$A$2:$Q$13,6,FALSE)</x:f>
        <x:v>0.8390177353342428</x:v>
      </x:c>
      <x:c r="I1077" s="20" t="n">
        <x:f>VLOOKUP(C1077,'Governorate Master'!$A$2:$Q$13,15,FALSE)</x:f>
        <x:v>0.03614457831325301</x:v>
      </x:c>
      <x:c r="J1077" s="12" t="str">
        <x:v>Location model input - competition/saturation context</x:v>
      </x:c>
      <x:c r="K1077" s="12" t="str">
        <x:v>Business count is from 2018 while population/context indicators are newer; use as a historical proxy, not a current market count.</x:v>
      </x:c>
    </x:row>
    <x:row r="1078">
      <x:c r="A1078" s="12" t="str">
        <x:v>2816</x:v>
      </x:c>
      <x:c r="B1078" s="12" t="str">
        <x:v>Manufacture of lifting and handling equipment</x:v>
      </x:c>
      <x:c r="C1078" s="12" t="str">
        <x:v>الكرك</x:v>
      </x:c>
      <x:c r="D1078" s="14" t="n">
        <x:v>0</x:v>
      </x:c>
      <x:c r="E1078" s="14" t="n">
        <x:f>VLOOKUP(C1078,'Governorate Master'!$A$2:$Q$13,3,FALSE)</x:f>
        <x:v>395400</x:v>
      </x:c>
      <x:c r="F1078" s="66" t="n">
        <x:f>IF(E1078=0,0,D1078/E1078*10000)</x:f>
        <x:v>0</x:v>
      </x:c>
      <x:c r="G1078" s="67" t="n">
        <x:f>VLOOKUP(C1078,'Governorate Master'!$A$2:$Q$13,7,FALSE)</x:f>
        <x:v>113.1</x:v>
      </x:c>
      <x:c r="H1078" s="20" t="n">
        <x:f>VLOOKUP(C1078,'Governorate Master'!$A$2:$Q$13,6,FALSE)</x:f>
        <x:v>0.5912999494183105</x:v>
      </x:c>
      <x:c r="I1078" s="20" t="n">
        <x:f>VLOOKUP(C1078,'Governorate Master'!$A$2:$Q$13,15,FALSE)</x:f>
        <x:v>0.08710801393728224</x:v>
      </x:c>
      <x:c r="J1078" s="12" t="str">
        <x:v>Location model input - competition/saturation context</x:v>
      </x:c>
      <x:c r="K1078" s="12" t="str">
        <x:v>Business count is from 2018 while population/context indicators are newer; use as a historical proxy, not a current market count.</x:v>
      </x:c>
    </x:row>
    <x:row r="1079">
      <x:c r="A1079" s="12" t="str">
        <x:v>2816</x:v>
      </x:c>
      <x:c r="B1079" s="12" t="str">
        <x:v>Manufacture of lifting and handling equipment</x:v>
      </x:c>
      <x:c r="C1079" s="12" t="str">
        <x:v>الطفيلة</x:v>
      </x:c>
      <x:c r="D1079" s="14" t="n">
        <x:v>0</x:v>
      </x:c>
      <x:c r="E1079" s="14" t="n">
        <x:f>VLOOKUP(C1079,'Governorate Master'!$A$2:$Q$13,3,FALSE)</x:f>
        <x:v>120300</x:v>
      </x:c>
      <x:c r="F1079" s="66" t="n">
        <x:f>IF(E1079=0,0,D1079/E1079*10000)</x:f>
        <x:v>0</x:v>
      </x:c>
      <x:c r="G1079" s="67" t="n">
        <x:f>VLOOKUP(C1079,'Governorate Master'!$A$2:$Q$13,7,FALSE)</x:f>
        <x:v>54.4</x:v>
      </x:c>
      <x:c r="H1079" s="20" t="n">
        <x:f>VLOOKUP(C1079,'Governorate Master'!$A$2:$Q$13,6,FALSE)</x:f>
        <x:v>0.7797173732335827</x:v>
      </x:c>
      <x:c r="I1079" s="20" t="n">
        <x:f>VLOOKUP(C1079,'Governorate Master'!$A$2:$Q$13,15,FALSE)</x:f>
        <x:v>0.18452380952380953</x:v>
      </x:c>
      <x:c r="J1079" s="12" t="str">
        <x:v>Location model input - competition/saturation context</x:v>
      </x:c>
      <x:c r="K1079" s="12" t="str">
        <x:v>Business count is from 2018 while population/context indicators are newer; use as a historical proxy, not a current market count.</x:v>
      </x:c>
    </x:row>
    <x:row r="1080">
      <x:c r="A1080" s="12" t="str">
        <x:v>2816</x:v>
      </x:c>
      <x:c r="B1080" s="12" t="str">
        <x:v>Manufacture of lifting and handling equipment</x:v>
      </x:c>
      <x:c r="C1080" s="12" t="str">
        <x:v>معان</x:v>
      </x:c>
      <x:c r="D1080" s="14" t="n">
        <x:v>0</x:v>
      </x:c>
      <x:c r="E1080" s="14" t="n">
        <x:f>VLOOKUP(C1080,'Governorate Master'!$A$2:$Q$13,3,FALSE)</x:f>
        <x:v>197900</x:v>
      </x:c>
      <x:c r="F1080" s="66" t="n">
        <x:f>IF(E1080=0,0,D1080/E1080*10000)</x:f>
        <x:v>0</x:v>
      </x:c>
      <x:c r="G1080" s="67" t="n">
        <x:f>VLOOKUP(C1080,'Governorate Master'!$A$2:$Q$13,7,FALSE)</x:f>
        <x:v>6</x:v>
      </x:c>
      <x:c r="H1080" s="20" t="n">
        <x:f>VLOOKUP(C1080,'Governorate Master'!$A$2:$Q$13,6,FALSE)</x:f>
        <x:v>0.5406771096513391</x:v>
      </x:c>
      <x:c r="I1080" s="20" t="n">
        <x:f>VLOOKUP(C1080,'Governorate Master'!$A$2:$Q$13,15,FALSE)</x:f>
        <x:v>0.026845637583892617</x:v>
      </x:c>
      <x:c r="J1080" s="12" t="str">
        <x:v>Location model input - competition/saturation context</x:v>
      </x:c>
      <x:c r="K1080" s="12" t="str">
        <x:v>Business count is from 2018 while population/context indicators are newer; use as a historical proxy, not a current market count.</x:v>
      </x:c>
    </x:row>
    <x:row r="1081">
      <x:c r="A1081" s="12" t="str">
        <x:v>2816</x:v>
      </x:c>
      <x:c r="B1081" s="12" t="str">
        <x:v>Manufacture of lifting and handling equipment</x:v>
      </x:c>
      <x:c r="C1081" s="12" t="str">
        <x:v>العقبة</x:v>
      </x:c>
      <x:c r="D1081" s="14" t="n">
        <x:v>0</x:v>
      </x:c>
      <x:c r="E1081" s="14" t="n">
        <x:f>VLOOKUP(C1081,'Governorate Master'!$A$2:$Q$13,3,FALSE)</x:f>
        <x:v>250900</x:v>
      </x:c>
      <x:c r="F1081" s="66" t="n">
        <x:f>IF(E1081=0,0,D1081/E1081*10000)</x:f>
        <x:v>0</x:v>
      </x:c>
      <x:c r="G1081" s="67" t="n">
        <x:f>VLOOKUP(C1081,'Governorate Master'!$A$2:$Q$13,7,FALSE)</x:f>
        <x:v>36.3</x:v>
      </x:c>
      <x:c r="H1081" s="20" t="n">
        <x:f>VLOOKUP(C1081,'Governorate Master'!$A$2:$Q$13,6,FALSE)</x:f>
        <x:v>0.882024711040255</x:v>
      </x:c>
      <x:c r="I1081" s="20" t="n">
        <x:f>VLOOKUP(C1081,'Governorate Master'!$A$2:$Q$13,15,FALSE)</x:f>
        <x:v>-0.09</x:v>
      </x:c>
      <x:c r="J1081" s="12" t="str">
        <x:v>Location model input - competition/saturation context</x:v>
      </x:c>
      <x:c r="K1081" s="12" t="str">
        <x:v>Business count is from 2018 while population/context indicators are newer; use as a historical proxy, not a current market count.</x:v>
      </x:c>
    </x:row>
    <x:row r="1082">
      <x:c r="A1082" s="12" t="str">
        <x:v>2819</x:v>
      </x:c>
      <x:c r="B1082" s="12" t="str">
        <x:v>Manufacture of other general-purpose machinery</x:v>
      </x:c>
      <x:c r="C1082" s="12" t="str">
        <x:v>عمان</x:v>
      </x:c>
      <x:c r="D1082" s="14" t="n">
        <x:v>19</x:v>
      </x:c>
      <x:c r="E1082" s="14" t="n">
        <x:f>VLOOKUP(C1082,'Governorate Master'!$A$2:$Q$13,3,FALSE)</x:f>
        <x:v>5004600</x:v>
      </x:c>
      <x:c r="F1082" s="66" t="n">
        <x:f>IF(E1082=0,0,D1082/E1082*10000)</x:f>
        <x:v>0.037965072133637055</x:v>
      </x:c>
      <x:c r="G1082" s="67" t="n">
        <x:f>VLOOKUP(C1082,'Governorate Master'!$A$2:$Q$13,7,FALSE)</x:f>
        <x:v>660.3</x:v>
      </x:c>
      <x:c r="H1082" s="20" t="n">
        <x:f>VLOOKUP(C1082,'Governorate Master'!$A$2:$Q$13,6,FALSE)</x:f>
        <x:v>0.9721656076409703</x:v>
      </x:c>
      <x:c r="I1082" s="20" t="n">
        <x:f>VLOOKUP(C1082,'Governorate Master'!$A$2:$Q$13,15,FALSE)</x:f>
        <x:v>0.06367041198501873</x:v>
      </x:c>
      <x:c r="J1082" s="12" t="str">
        <x:v>Location model input - competition/saturation context</x:v>
      </x:c>
      <x:c r="K1082" s="12" t="str">
        <x:v>Business count is from 2018 while population/context indicators are newer; use as a historical proxy, not a current market count.</x:v>
      </x:c>
    </x:row>
    <x:row r="1083">
      <x:c r="A1083" s="12" t="str">
        <x:v>2819</x:v>
      </x:c>
      <x:c r="B1083" s="12" t="str">
        <x:v>Manufacture of other general-purpose machinery</x:v>
      </x:c>
      <x:c r="C1083" s="12" t="str">
        <x:v>البلقاء</x:v>
      </x:c>
      <x:c r="D1083" s="14" t="n">
        <x:v>0</x:v>
      </x:c>
      <x:c r="E1083" s="14" t="n">
        <x:f>VLOOKUP(C1083,'Governorate Master'!$A$2:$Q$13,3,FALSE)</x:f>
        <x:v>614000</x:v>
      </x:c>
      <x:c r="F1083" s="66" t="n">
        <x:f>IF(E1083=0,0,D1083/E1083*10000)</x:f>
        <x:v>0</x:v>
      </x:c>
      <x:c r="G1083" s="67" t="n">
        <x:f>VLOOKUP(C1083,'Governorate Master'!$A$2:$Q$13,7,FALSE)</x:f>
        <x:v>548</x:v>
      </x:c>
      <x:c r="H1083" s="20" t="n">
        <x:f>VLOOKUP(C1083,'Governorate Master'!$A$2:$Q$13,6,FALSE)</x:f>
        <x:v>0.8210097719869707</x:v>
      </x:c>
      <x:c r="I1083" s="20" t="n">
        <x:f>VLOOKUP(C1083,'Governorate Master'!$A$2:$Q$13,15,FALSE)</x:f>
        <x:v>0.10794044665012408</x:v>
      </x:c>
      <x:c r="J1083" s="12" t="str">
        <x:v>Location model input - competition/saturation context</x:v>
      </x:c>
      <x:c r="K1083" s="12" t="str">
        <x:v>Business count is from 2018 while population/context indicators are newer; use as a historical proxy, not a current market count.</x:v>
      </x:c>
    </x:row>
    <x:row r="1084">
      <x:c r="A1084" s="12" t="str">
        <x:v>2819</x:v>
      </x:c>
      <x:c r="B1084" s="12" t="str">
        <x:v>Manufacture of other general-purpose machinery</x:v>
      </x:c>
      <x:c r="C1084" s="12" t="str">
        <x:v>الزرقاء</x:v>
      </x:c>
      <x:c r="D1084" s="14" t="n">
        <x:v>1</x:v>
      </x:c>
      <x:c r="E1084" s="14" t="n">
        <x:f>VLOOKUP(C1084,'Governorate Master'!$A$2:$Q$13,3,FALSE)</x:f>
        <x:v>1704500</x:v>
      </x:c>
      <x:c r="F1084" s="66" t="n">
        <x:f>IF(E1084=0,0,D1084/E1084*10000)</x:f>
        <x:v>0.005866823115283074</x:v>
      </x:c>
      <x:c r="G1084" s="67" t="n">
        <x:f>VLOOKUP(C1084,'Governorate Master'!$A$2:$Q$13,7,FALSE)</x:f>
        <x:v>358</x:v>
      </x:c>
      <x:c r="H1084" s="20" t="n">
        <x:f>VLOOKUP(C1084,'Governorate Master'!$A$2:$Q$13,6,FALSE)</x:f>
        <x:v>0.9636256966852449</x:v>
      </x:c>
      <x:c r="I1084" s="20" t="n">
        <x:f>VLOOKUP(C1084,'Governorate Master'!$A$2:$Q$13,15,FALSE)</x:f>
        <x:v>-0.06808762581409118</x:v>
      </x:c>
      <x:c r="J1084" s="12" t="str">
        <x:v>Location model input - competition/saturation context</x:v>
      </x:c>
      <x:c r="K1084" s="12" t="str">
        <x:v>Business count is from 2018 while population/context indicators are newer; use as a historical proxy, not a current market count.</x:v>
      </x:c>
    </x:row>
    <x:row r="1085">
      <x:c r="A1085" s="12" t="str">
        <x:v>2819</x:v>
      </x:c>
      <x:c r="B1085" s="12" t="str">
        <x:v>Manufacture of other general-purpose machinery</x:v>
      </x:c>
      <x:c r="C1085" s="12" t="str">
        <x:v>مادبا</x:v>
      </x:c>
      <x:c r="D1085" s="14" t="n">
        <x:v>0</x:v>
      </x:c>
      <x:c r="E1085" s="14" t="n">
        <x:f>VLOOKUP(C1085,'Governorate Master'!$A$2:$Q$13,3,FALSE)</x:f>
        <x:v>236200</x:v>
      </x:c>
      <x:c r="F1085" s="66" t="n">
        <x:f>IF(E1085=0,0,D1085/E1085*10000)</x:f>
        <x:v>0</x:v>
      </x:c>
      <x:c r="G1085" s="67" t="n">
        <x:f>VLOOKUP(C1085,'Governorate Master'!$A$2:$Q$13,7,FALSE)</x:f>
        <x:v>251.4</x:v>
      </x:c>
      <x:c r="H1085" s="20" t="n">
        <x:f>VLOOKUP(C1085,'Governorate Master'!$A$2:$Q$13,6,FALSE)</x:f>
        <x:v>0.7823878069432684</x:v>
      </x:c>
      <x:c r="I1085" s="20" t="n">
        <x:f>VLOOKUP(C1085,'Governorate Master'!$A$2:$Q$13,15,FALSE)</x:f>
        <x:v>-0.18823529411764706</x:v>
      </x:c>
      <x:c r="J1085" s="12" t="str">
        <x:v>Location model input - competition/saturation context</x:v>
      </x:c>
      <x:c r="K1085" s="12" t="str">
        <x:v>Business count is from 2018 while population/context indicators are newer; use as a historical proxy, not a current market count.</x:v>
      </x:c>
    </x:row>
    <x:row r="1086">
      <x:c r="A1086" s="12" t="str">
        <x:v>2819</x:v>
      </x:c>
      <x:c r="B1086" s="12" t="str">
        <x:v>Manufacture of other general-purpose machinery</x:v>
      </x:c>
      <x:c r="C1086" s="12" t="str">
        <x:v>إربد</x:v>
      </x:c>
      <x:c r="D1086" s="14" t="n">
        <x:v>2</x:v>
      </x:c>
      <x:c r="E1086" s="14" t="n">
        <x:f>VLOOKUP(C1086,'Governorate Master'!$A$2:$Q$13,3,FALSE)</x:f>
        <x:v>2210500</x:v>
      </x:c>
      <x:c r="F1086" s="66" t="n">
        <x:f>IF(E1086=0,0,D1086/E1086*10000)</x:f>
        <x:v>0.009047726758651889</x:v>
      </x:c>
      <x:c r="G1086" s="67" t="n">
        <x:f>VLOOKUP(C1086,'Governorate Master'!$A$2:$Q$13,7,FALSE)</x:f>
        <x:v>1406.4</x:v>
      </x:c>
      <x:c r="H1086" s="20" t="n">
        <x:f>VLOOKUP(C1086,'Governorate Master'!$A$2:$Q$13,6,FALSE)</x:f>
        <x:v>0.9235014702555983</x:v>
      </x:c>
      <x:c r="I1086" s="20" t="n">
        <x:f>VLOOKUP(C1086,'Governorate Master'!$A$2:$Q$13,15,FALSE)</x:f>
        <x:v>0.07086922474549726</x:v>
      </x:c>
      <x:c r="J1086" s="12" t="str">
        <x:v>Location model input - competition/saturation context</x:v>
      </x:c>
      <x:c r="K1086" s="12" t="str">
        <x:v>Business count is from 2018 while population/context indicators are newer; use as a historical proxy, not a current market count.</x:v>
      </x:c>
    </x:row>
    <x:row r="1087">
      <x:c r="A1087" s="12" t="str">
        <x:v>2819</x:v>
      </x:c>
      <x:c r="B1087" s="12" t="str">
        <x:v>Manufacture of other general-purpose machinery</x:v>
      </x:c>
      <x:c r="C1087" s="12" t="str">
        <x:v>المفرق</x:v>
      </x:c>
      <x:c r="D1087" s="14" t="n">
        <x:v>1</x:v>
      </x:c>
      <x:c r="E1087" s="14" t="n">
        <x:f>VLOOKUP(C1087,'Governorate Master'!$A$2:$Q$13,3,FALSE)</x:f>
        <x:v>686800</x:v>
      </x:c>
      <x:c r="F1087" s="66" t="n">
        <x:f>IF(E1087=0,0,D1087/E1087*10000)</x:f>
        <x:v>0.014560279557367502</x:v>
      </x:c>
      <x:c r="G1087" s="67" t="n">
        <x:f>VLOOKUP(C1087,'Governorate Master'!$A$2:$Q$13,7,FALSE)</x:f>
        <x:v>25.9</x:v>
      </x:c>
      <x:c r="H1087" s="20" t="n">
        <x:f>VLOOKUP(C1087,'Governorate Master'!$A$2:$Q$13,6,FALSE)</x:f>
        <x:v>0.6965637740244612</x:v>
      </x:c>
      <x:c r="I1087" s="20" t="n">
        <x:f>VLOOKUP(C1087,'Governorate Master'!$A$2:$Q$13,15,FALSE)</x:f>
        <x:v>-0.016638935108153077</x:v>
      </x:c>
      <x:c r="J1087" s="12" t="str">
        <x:v>Location model input - competition/saturation context</x:v>
      </x:c>
      <x:c r="K1087" s="12" t="str">
        <x:v>Business count is from 2018 while population/context indicators are newer; use as a historical proxy, not a current market count.</x:v>
      </x:c>
    </x:row>
    <x:row r="1088">
      <x:c r="A1088" s="12" t="str">
        <x:v>2819</x:v>
      </x:c>
      <x:c r="B1088" s="12" t="str">
        <x:v>Manufacture of other general-purpose machinery</x:v>
      </x:c>
      <x:c r="C1088" s="12" t="str">
        <x:v>جرش</x:v>
      </x:c>
      <x:c r="D1088" s="14" t="n">
        <x:v>0</x:v>
      </x:c>
      <x:c r="E1088" s="14" t="n">
        <x:f>VLOOKUP(C1088,'Governorate Master'!$A$2:$Q$13,3,FALSE)</x:f>
        <x:v>296000</x:v>
      </x:c>
      <x:c r="F1088" s="66" t="n">
        <x:f>IF(E1088=0,0,D1088/E1088*10000)</x:f>
        <x:v>0</x:v>
      </x:c>
      <x:c r="G1088" s="67" t="n">
        <x:f>VLOOKUP(C1088,'Governorate Master'!$A$2:$Q$13,7,FALSE)</x:f>
        <x:v>722.3</x:v>
      </x:c>
      <x:c r="H1088" s="20" t="n">
        <x:f>VLOOKUP(C1088,'Governorate Master'!$A$2:$Q$13,6,FALSE)</x:f>
        <x:v>0.7695945945945946</x:v>
      </x:c>
      <x:c r="I1088" s="20" t="n">
        <x:f>VLOOKUP(C1088,'Governorate Master'!$A$2:$Q$13,15,FALSE)</x:f>
        <x:v>-0.06527415143603134</x:v>
      </x:c>
      <x:c r="J1088" s="12" t="str">
        <x:v>Location model input - competition/saturation context</x:v>
      </x:c>
      <x:c r="K1088" s="12" t="str">
        <x:v>Business count is from 2018 while population/context indicators are newer; use as a historical proxy, not a current market count.</x:v>
      </x:c>
    </x:row>
    <x:row r="1089">
      <x:c r="A1089" s="12" t="str">
        <x:v>2819</x:v>
      </x:c>
      <x:c r="B1089" s="12" t="str">
        <x:v>Manufacture of other general-purpose machinery</x:v>
      </x:c>
      <x:c r="C1089" s="12" t="str">
        <x:v>عجلون</x:v>
      </x:c>
      <x:c r="D1089" s="14" t="n">
        <x:v>0</x:v>
      </x:c>
      <x:c r="E1089" s="14" t="n">
        <x:f>VLOOKUP(C1089,'Governorate Master'!$A$2:$Q$13,3,FALSE)</x:f>
        <x:v>219900</x:v>
      </x:c>
      <x:c r="F1089" s="66" t="n">
        <x:f>IF(E1089=0,0,D1089/E1089*10000)</x:f>
        <x:v>0</x:v>
      </x:c>
      <x:c r="G1089" s="67" t="n">
        <x:f>VLOOKUP(C1089,'Governorate Master'!$A$2:$Q$13,7,FALSE)</x:f>
        <x:v>524</x:v>
      </x:c>
      <x:c r="H1089" s="20" t="n">
        <x:f>VLOOKUP(C1089,'Governorate Master'!$A$2:$Q$13,6,FALSE)</x:f>
        <x:v>0.8390177353342428</x:v>
      </x:c>
      <x:c r="I1089" s="20" t="n">
        <x:f>VLOOKUP(C1089,'Governorate Master'!$A$2:$Q$13,15,FALSE)</x:f>
        <x:v>0.03614457831325301</x:v>
      </x:c>
      <x:c r="J1089" s="12" t="str">
        <x:v>Location model input - competition/saturation context</x:v>
      </x:c>
      <x:c r="K1089" s="12" t="str">
        <x:v>Business count is from 2018 while population/context indicators are newer; use as a historical proxy, not a current market count.</x:v>
      </x:c>
    </x:row>
    <x:row r="1090">
      <x:c r="A1090" s="12" t="str">
        <x:v>2819</x:v>
      </x:c>
      <x:c r="B1090" s="12" t="str">
        <x:v>Manufacture of other general-purpose machinery</x:v>
      </x:c>
      <x:c r="C1090" s="12" t="str">
        <x:v>الكرك</x:v>
      </x:c>
      <x:c r="D1090" s="14" t="n">
        <x:v>0</x:v>
      </x:c>
      <x:c r="E1090" s="14" t="n">
        <x:f>VLOOKUP(C1090,'Governorate Master'!$A$2:$Q$13,3,FALSE)</x:f>
        <x:v>395400</x:v>
      </x:c>
      <x:c r="F1090" s="66" t="n">
        <x:f>IF(E1090=0,0,D1090/E1090*10000)</x:f>
        <x:v>0</x:v>
      </x:c>
      <x:c r="G1090" s="67" t="n">
        <x:f>VLOOKUP(C1090,'Governorate Master'!$A$2:$Q$13,7,FALSE)</x:f>
        <x:v>113.1</x:v>
      </x:c>
      <x:c r="H1090" s="20" t="n">
        <x:f>VLOOKUP(C1090,'Governorate Master'!$A$2:$Q$13,6,FALSE)</x:f>
        <x:v>0.5912999494183105</x:v>
      </x:c>
      <x:c r="I1090" s="20" t="n">
        <x:f>VLOOKUP(C1090,'Governorate Master'!$A$2:$Q$13,15,FALSE)</x:f>
        <x:v>0.08710801393728224</x:v>
      </x:c>
      <x:c r="J1090" s="12" t="str">
        <x:v>Location model input - competition/saturation context</x:v>
      </x:c>
      <x:c r="K1090" s="12" t="str">
        <x:v>Business count is from 2018 while population/context indicators are newer; use as a historical proxy, not a current market count.</x:v>
      </x:c>
    </x:row>
    <x:row r="1091">
      <x:c r="A1091" s="12" t="str">
        <x:v>2819</x:v>
      </x:c>
      <x:c r="B1091" s="12" t="str">
        <x:v>Manufacture of other general-purpose machinery</x:v>
      </x:c>
      <x:c r="C1091" s="12" t="str">
        <x:v>الطفيلة</x:v>
      </x:c>
      <x:c r="D1091" s="14" t="n">
        <x:v>0</x:v>
      </x:c>
      <x:c r="E1091" s="14" t="n">
        <x:f>VLOOKUP(C1091,'Governorate Master'!$A$2:$Q$13,3,FALSE)</x:f>
        <x:v>120300</x:v>
      </x:c>
      <x:c r="F1091" s="66" t="n">
        <x:f>IF(E1091=0,0,D1091/E1091*10000)</x:f>
        <x:v>0</x:v>
      </x:c>
      <x:c r="G1091" s="67" t="n">
        <x:f>VLOOKUP(C1091,'Governorate Master'!$A$2:$Q$13,7,FALSE)</x:f>
        <x:v>54.4</x:v>
      </x:c>
      <x:c r="H1091" s="20" t="n">
        <x:f>VLOOKUP(C1091,'Governorate Master'!$A$2:$Q$13,6,FALSE)</x:f>
        <x:v>0.7797173732335827</x:v>
      </x:c>
      <x:c r="I1091" s="20" t="n">
        <x:f>VLOOKUP(C1091,'Governorate Master'!$A$2:$Q$13,15,FALSE)</x:f>
        <x:v>0.18452380952380953</x:v>
      </x:c>
      <x:c r="J1091" s="12" t="str">
        <x:v>Location model input - competition/saturation context</x:v>
      </x:c>
      <x:c r="K1091" s="12" t="str">
        <x:v>Business count is from 2018 while population/context indicators are newer; use as a historical proxy, not a current market count.</x:v>
      </x:c>
    </x:row>
    <x:row r="1092">
      <x:c r="A1092" s="12" t="str">
        <x:v>2819</x:v>
      </x:c>
      <x:c r="B1092" s="12" t="str">
        <x:v>Manufacture of other general-purpose machinery</x:v>
      </x:c>
      <x:c r="C1092" s="12" t="str">
        <x:v>معان</x:v>
      </x:c>
      <x:c r="D1092" s="14" t="n">
        <x:v>0</x:v>
      </x:c>
      <x:c r="E1092" s="14" t="n">
        <x:f>VLOOKUP(C1092,'Governorate Master'!$A$2:$Q$13,3,FALSE)</x:f>
        <x:v>197900</x:v>
      </x:c>
      <x:c r="F1092" s="66" t="n">
        <x:f>IF(E1092=0,0,D1092/E1092*10000)</x:f>
        <x:v>0</x:v>
      </x:c>
      <x:c r="G1092" s="67" t="n">
        <x:f>VLOOKUP(C1092,'Governorate Master'!$A$2:$Q$13,7,FALSE)</x:f>
        <x:v>6</x:v>
      </x:c>
      <x:c r="H1092" s="20" t="n">
        <x:f>VLOOKUP(C1092,'Governorate Master'!$A$2:$Q$13,6,FALSE)</x:f>
        <x:v>0.5406771096513391</x:v>
      </x:c>
      <x:c r="I1092" s="20" t="n">
        <x:f>VLOOKUP(C1092,'Governorate Master'!$A$2:$Q$13,15,FALSE)</x:f>
        <x:v>0.026845637583892617</x:v>
      </x:c>
      <x:c r="J1092" s="12" t="str">
        <x:v>Location model input - competition/saturation context</x:v>
      </x:c>
      <x:c r="K1092" s="12" t="str">
        <x:v>Business count is from 2018 while population/context indicators are newer; use as a historical proxy, not a current market count.</x:v>
      </x:c>
    </x:row>
    <x:row r="1093">
      <x:c r="A1093" s="12" t="str">
        <x:v>2819</x:v>
      </x:c>
      <x:c r="B1093" s="12" t="str">
        <x:v>Manufacture of other general-purpose machinery</x:v>
      </x:c>
      <x:c r="C1093" s="12" t="str">
        <x:v>العقبة</x:v>
      </x:c>
      <x:c r="D1093" s="14" t="n">
        <x:v>1</x:v>
      </x:c>
      <x:c r="E1093" s="14" t="n">
        <x:f>VLOOKUP(C1093,'Governorate Master'!$A$2:$Q$13,3,FALSE)</x:f>
        <x:v>250900</x:v>
      </x:c>
      <x:c r="F1093" s="66" t="n">
        <x:f>IF(E1093=0,0,D1093/E1093*10000)</x:f>
        <x:v>0.03985651654045436</x:v>
      </x:c>
      <x:c r="G1093" s="67" t="n">
        <x:f>VLOOKUP(C1093,'Governorate Master'!$A$2:$Q$13,7,FALSE)</x:f>
        <x:v>36.3</x:v>
      </x:c>
      <x:c r="H1093" s="20" t="n">
        <x:f>VLOOKUP(C1093,'Governorate Master'!$A$2:$Q$13,6,FALSE)</x:f>
        <x:v>0.882024711040255</x:v>
      </x:c>
      <x:c r="I1093" s="20" t="n">
        <x:f>VLOOKUP(C1093,'Governorate Master'!$A$2:$Q$13,15,FALSE)</x:f>
        <x:v>-0.09</x:v>
      </x:c>
      <x:c r="J1093" s="12" t="str">
        <x:v>Location model input - competition/saturation context</x:v>
      </x:c>
      <x:c r="K1093" s="12" t="str">
        <x:v>Business count is from 2018 while population/context indicators are newer; use as a historical proxy, not a current market count.</x:v>
      </x:c>
    </x:row>
    <x:row r="1094">
      <x:c r="A1094" s="12" t="str">
        <x:v>2821</x:v>
      </x:c>
      <x:c r="B1094" s="12" t="str">
        <x:v>Manufacture of agricultural and forestry machinery</x:v>
      </x:c>
      <x:c r="C1094" s="12" t="str">
        <x:v>عمان</x:v>
      </x:c>
      <x:c r="D1094" s="14" t="n">
        <x:v>3</x:v>
      </x:c>
      <x:c r="E1094" s="14" t="n">
        <x:f>VLOOKUP(C1094,'Governorate Master'!$A$2:$Q$13,3,FALSE)</x:f>
        <x:v>5004600</x:v>
      </x:c>
      <x:c r="F1094" s="66" t="n">
        <x:f>IF(E1094=0,0,D1094/E1094*10000)</x:f>
        <x:v>0.005994485073732166</x:v>
      </x:c>
      <x:c r="G1094" s="67" t="n">
        <x:f>VLOOKUP(C1094,'Governorate Master'!$A$2:$Q$13,7,FALSE)</x:f>
        <x:v>660.3</x:v>
      </x:c>
      <x:c r="H1094" s="20" t="n">
        <x:f>VLOOKUP(C1094,'Governorate Master'!$A$2:$Q$13,6,FALSE)</x:f>
        <x:v>0.9721656076409703</x:v>
      </x:c>
      <x:c r="I1094" s="20" t="n">
        <x:f>VLOOKUP(C1094,'Governorate Master'!$A$2:$Q$13,15,FALSE)</x:f>
        <x:v>0.06367041198501873</x:v>
      </x:c>
      <x:c r="J1094" s="12" t="str">
        <x:v>Location model input - competition/saturation context</x:v>
      </x:c>
      <x:c r="K1094" s="12" t="str">
        <x:v>Business count is from 2018 while population/context indicators are newer; use as a historical proxy, not a current market count.</x:v>
      </x:c>
    </x:row>
    <x:row r="1095">
      <x:c r="A1095" s="12" t="str">
        <x:v>2821</x:v>
      </x:c>
      <x:c r="B1095" s="12" t="str">
        <x:v>Manufacture of agricultural and forestry machinery</x:v>
      </x:c>
      <x:c r="C1095" s="12" t="str">
        <x:v>البلقاء</x:v>
      </x:c>
      <x:c r="D1095" s="14" t="n">
        <x:v>0</x:v>
      </x:c>
      <x:c r="E1095" s="14" t="n">
        <x:f>VLOOKUP(C1095,'Governorate Master'!$A$2:$Q$13,3,FALSE)</x:f>
        <x:v>614000</x:v>
      </x:c>
      <x:c r="F1095" s="66" t="n">
        <x:f>IF(E1095=0,0,D1095/E1095*10000)</x:f>
        <x:v>0</x:v>
      </x:c>
      <x:c r="G1095" s="67" t="n">
        <x:f>VLOOKUP(C1095,'Governorate Master'!$A$2:$Q$13,7,FALSE)</x:f>
        <x:v>548</x:v>
      </x:c>
      <x:c r="H1095" s="20" t="n">
        <x:f>VLOOKUP(C1095,'Governorate Master'!$A$2:$Q$13,6,FALSE)</x:f>
        <x:v>0.8210097719869707</x:v>
      </x:c>
      <x:c r="I1095" s="20" t="n">
        <x:f>VLOOKUP(C1095,'Governorate Master'!$A$2:$Q$13,15,FALSE)</x:f>
        <x:v>0.10794044665012408</x:v>
      </x:c>
      <x:c r="J1095" s="12" t="str">
        <x:v>Location model input - competition/saturation context</x:v>
      </x:c>
      <x:c r="K1095" s="12" t="str">
        <x:v>Business count is from 2018 while population/context indicators are newer; use as a historical proxy, not a current market count.</x:v>
      </x:c>
    </x:row>
    <x:row r="1096">
      <x:c r="A1096" s="12" t="str">
        <x:v>2821</x:v>
      </x:c>
      <x:c r="B1096" s="12" t="str">
        <x:v>Manufacture of agricultural and forestry machinery</x:v>
      </x:c>
      <x:c r="C1096" s="12" t="str">
        <x:v>الزرقاء</x:v>
      </x:c>
      <x:c r="D1096" s="14" t="n">
        <x:v>2</x:v>
      </x:c>
      <x:c r="E1096" s="14" t="n">
        <x:f>VLOOKUP(C1096,'Governorate Master'!$A$2:$Q$13,3,FALSE)</x:f>
        <x:v>1704500</x:v>
      </x:c>
      <x:c r="F1096" s="66" t="n">
        <x:f>IF(E1096=0,0,D1096/E1096*10000)</x:f>
        <x:v>0.011733646230566148</x:v>
      </x:c>
      <x:c r="G1096" s="67" t="n">
        <x:f>VLOOKUP(C1096,'Governorate Master'!$A$2:$Q$13,7,FALSE)</x:f>
        <x:v>358</x:v>
      </x:c>
      <x:c r="H1096" s="20" t="n">
        <x:f>VLOOKUP(C1096,'Governorate Master'!$A$2:$Q$13,6,FALSE)</x:f>
        <x:v>0.9636256966852449</x:v>
      </x:c>
      <x:c r="I1096" s="20" t="n">
        <x:f>VLOOKUP(C1096,'Governorate Master'!$A$2:$Q$13,15,FALSE)</x:f>
        <x:v>-0.06808762581409118</x:v>
      </x:c>
      <x:c r="J1096" s="12" t="str">
        <x:v>Location model input - competition/saturation context</x:v>
      </x:c>
      <x:c r="K1096" s="12" t="str">
        <x:v>Business count is from 2018 while population/context indicators are newer; use as a historical proxy, not a current market count.</x:v>
      </x:c>
    </x:row>
    <x:row r="1097">
      <x:c r="A1097" s="12" t="str">
        <x:v>2821</x:v>
      </x:c>
      <x:c r="B1097" s="12" t="str">
        <x:v>Manufacture of agricultural and forestry machinery</x:v>
      </x:c>
      <x:c r="C1097" s="12" t="str">
        <x:v>مادبا</x:v>
      </x:c>
      <x:c r="D1097" s="14" t="n">
        <x:v>0</x:v>
      </x:c>
      <x:c r="E1097" s="14" t="n">
        <x:f>VLOOKUP(C1097,'Governorate Master'!$A$2:$Q$13,3,FALSE)</x:f>
        <x:v>236200</x:v>
      </x:c>
      <x:c r="F1097" s="66" t="n">
        <x:f>IF(E1097=0,0,D1097/E1097*10000)</x:f>
        <x:v>0</x:v>
      </x:c>
      <x:c r="G1097" s="67" t="n">
        <x:f>VLOOKUP(C1097,'Governorate Master'!$A$2:$Q$13,7,FALSE)</x:f>
        <x:v>251.4</x:v>
      </x:c>
      <x:c r="H1097" s="20" t="n">
        <x:f>VLOOKUP(C1097,'Governorate Master'!$A$2:$Q$13,6,FALSE)</x:f>
        <x:v>0.7823878069432684</x:v>
      </x:c>
      <x:c r="I1097" s="20" t="n">
        <x:f>VLOOKUP(C1097,'Governorate Master'!$A$2:$Q$13,15,FALSE)</x:f>
        <x:v>-0.18823529411764706</x:v>
      </x:c>
      <x:c r="J1097" s="12" t="str">
        <x:v>Location model input - competition/saturation context</x:v>
      </x:c>
      <x:c r="K1097" s="12" t="str">
        <x:v>Business count is from 2018 while population/context indicators are newer; use as a historical proxy, not a current market count.</x:v>
      </x:c>
    </x:row>
    <x:row r="1098">
      <x:c r="A1098" s="12" t="str">
        <x:v>2821</x:v>
      </x:c>
      <x:c r="B1098" s="12" t="str">
        <x:v>Manufacture of agricultural and forestry machinery</x:v>
      </x:c>
      <x:c r="C1098" s="12" t="str">
        <x:v>إربد</x:v>
      </x:c>
      <x:c r="D1098" s="14" t="n">
        <x:v>1</x:v>
      </x:c>
      <x:c r="E1098" s="14" t="n">
        <x:f>VLOOKUP(C1098,'Governorate Master'!$A$2:$Q$13,3,FALSE)</x:f>
        <x:v>2210500</x:v>
      </x:c>
      <x:c r="F1098" s="66" t="n">
        <x:f>IF(E1098=0,0,D1098/E1098*10000)</x:f>
        <x:v>0.004523863379325944</x:v>
      </x:c>
      <x:c r="G1098" s="67" t="n">
        <x:f>VLOOKUP(C1098,'Governorate Master'!$A$2:$Q$13,7,FALSE)</x:f>
        <x:v>1406.4</x:v>
      </x:c>
      <x:c r="H1098" s="20" t="n">
        <x:f>VLOOKUP(C1098,'Governorate Master'!$A$2:$Q$13,6,FALSE)</x:f>
        <x:v>0.9235014702555983</x:v>
      </x:c>
      <x:c r="I1098" s="20" t="n">
        <x:f>VLOOKUP(C1098,'Governorate Master'!$A$2:$Q$13,15,FALSE)</x:f>
        <x:v>0.07086922474549726</x:v>
      </x:c>
      <x:c r="J1098" s="12" t="str">
        <x:v>Location model input - competition/saturation context</x:v>
      </x:c>
      <x:c r="K1098" s="12" t="str">
        <x:v>Business count is from 2018 while population/context indicators are newer; use as a historical proxy, not a current market count.</x:v>
      </x:c>
    </x:row>
    <x:row r="1099">
      <x:c r="A1099" s="12" t="str">
        <x:v>2821</x:v>
      </x:c>
      <x:c r="B1099" s="12" t="str">
        <x:v>Manufacture of agricultural and forestry machinery</x:v>
      </x:c>
      <x:c r="C1099" s="12" t="str">
        <x:v>المفرق</x:v>
      </x:c>
      <x:c r="D1099" s="14" t="n">
        <x:v>0</x:v>
      </x:c>
      <x:c r="E1099" s="14" t="n">
        <x:f>VLOOKUP(C1099,'Governorate Master'!$A$2:$Q$13,3,FALSE)</x:f>
        <x:v>686800</x:v>
      </x:c>
      <x:c r="F1099" s="66" t="n">
        <x:f>IF(E1099=0,0,D1099/E1099*10000)</x:f>
        <x:v>0</x:v>
      </x:c>
      <x:c r="G1099" s="67" t="n">
        <x:f>VLOOKUP(C1099,'Governorate Master'!$A$2:$Q$13,7,FALSE)</x:f>
        <x:v>25.9</x:v>
      </x:c>
      <x:c r="H1099" s="20" t="n">
        <x:f>VLOOKUP(C1099,'Governorate Master'!$A$2:$Q$13,6,FALSE)</x:f>
        <x:v>0.6965637740244612</x:v>
      </x:c>
      <x:c r="I1099" s="20" t="n">
        <x:f>VLOOKUP(C1099,'Governorate Master'!$A$2:$Q$13,15,FALSE)</x:f>
        <x:v>-0.016638935108153077</x:v>
      </x:c>
      <x:c r="J1099" s="12" t="str">
        <x:v>Location model input - competition/saturation context</x:v>
      </x:c>
      <x:c r="K1099" s="12" t="str">
        <x:v>Business count is from 2018 while population/context indicators are newer; use as a historical proxy, not a current market count.</x:v>
      </x:c>
    </x:row>
    <x:row r="1100">
      <x:c r="A1100" s="12" t="str">
        <x:v>2821</x:v>
      </x:c>
      <x:c r="B1100" s="12" t="str">
        <x:v>Manufacture of agricultural and forestry machinery</x:v>
      </x:c>
      <x:c r="C1100" s="12" t="str">
        <x:v>جرش</x:v>
      </x:c>
      <x:c r="D1100" s="14" t="n">
        <x:v>0</x:v>
      </x:c>
      <x:c r="E1100" s="14" t="n">
        <x:f>VLOOKUP(C1100,'Governorate Master'!$A$2:$Q$13,3,FALSE)</x:f>
        <x:v>296000</x:v>
      </x:c>
      <x:c r="F1100" s="66" t="n">
        <x:f>IF(E1100=0,0,D1100/E1100*10000)</x:f>
        <x:v>0</x:v>
      </x:c>
      <x:c r="G1100" s="67" t="n">
        <x:f>VLOOKUP(C1100,'Governorate Master'!$A$2:$Q$13,7,FALSE)</x:f>
        <x:v>722.3</x:v>
      </x:c>
      <x:c r="H1100" s="20" t="n">
        <x:f>VLOOKUP(C1100,'Governorate Master'!$A$2:$Q$13,6,FALSE)</x:f>
        <x:v>0.7695945945945946</x:v>
      </x:c>
      <x:c r="I1100" s="20" t="n">
        <x:f>VLOOKUP(C1100,'Governorate Master'!$A$2:$Q$13,15,FALSE)</x:f>
        <x:v>-0.06527415143603134</x:v>
      </x:c>
      <x:c r="J1100" s="12" t="str">
        <x:v>Location model input - competition/saturation context</x:v>
      </x:c>
      <x:c r="K1100" s="12" t="str">
        <x:v>Business count is from 2018 while population/context indicators are newer; use as a historical proxy, not a current market count.</x:v>
      </x:c>
    </x:row>
    <x:row r="1101">
      <x:c r="A1101" s="12" t="str">
        <x:v>2821</x:v>
      </x:c>
      <x:c r="B1101" s="12" t="str">
        <x:v>Manufacture of agricultural and forestry machinery</x:v>
      </x:c>
      <x:c r="C1101" s="12" t="str">
        <x:v>عجلون</x:v>
      </x:c>
      <x:c r="D1101" s="14" t="n">
        <x:v>0</x:v>
      </x:c>
      <x:c r="E1101" s="14" t="n">
        <x:f>VLOOKUP(C1101,'Governorate Master'!$A$2:$Q$13,3,FALSE)</x:f>
        <x:v>219900</x:v>
      </x:c>
      <x:c r="F1101" s="66" t="n">
        <x:f>IF(E1101=0,0,D1101/E1101*10000)</x:f>
        <x:v>0</x:v>
      </x:c>
      <x:c r="G1101" s="67" t="n">
        <x:f>VLOOKUP(C1101,'Governorate Master'!$A$2:$Q$13,7,FALSE)</x:f>
        <x:v>524</x:v>
      </x:c>
      <x:c r="H1101" s="20" t="n">
        <x:f>VLOOKUP(C1101,'Governorate Master'!$A$2:$Q$13,6,FALSE)</x:f>
        <x:v>0.8390177353342428</x:v>
      </x:c>
      <x:c r="I1101" s="20" t="n">
        <x:f>VLOOKUP(C1101,'Governorate Master'!$A$2:$Q$13,15,FALSE)</x:f>
        <x:v>0.03614457831325301</x:v>
      </x:c>
      <x:c r="J1101" s="12" t="str">
        <x:v>Location model input - competition/saturation context</x:v>
      </x:c>
      <x:c r="K1101" s="12" t="str">
        <x:v>Business count is from 2018 while population/context indicators are newer; use as a historical proxy, not a current market count.</x:v>
      </x:c>
    </x:row>
    <x:row r="1102">
      <x:c r="A1102" s="12" t="str">
        <x:v>2821</x:v>
      </x:c>
      <x:c r="B1102" s="12" t="str">
        <x:v>Manufacture of agricultural and forestry machinery</x:v>
      </x:c>
      <x:c r="C1102" s="12" t="str">
        <x:v>الكرك</x:v>
      </x:c>
      <x:c r="D1102" s="14" t="n">
        <x:v>0</x:v>
      </x:c>
      <x:c r="E1102" s="14" t="n">
        <x:f>VLOOKUP(C1102,'Governorate Master'!$A$2:$Q$13,3,FALSE)</x:f>
        <x:v>395400</x:v>
      </x:c>
      <x:c r="F1102" s="66" t="n">
        <x:f>IF(E1102=0,0,D1102/E1102*10000)</x:f>
        <x:v>0</x:v>
      </x:c>
      <x:c r="G1102" s="67" t="n">
        <x:f>VLOOKUP(C1102,'Governorate Master'!$A$2:$Q$13,7,FALSE)</x:f>
        <x:v>113.1</x:v>
      </x:c>
      <x:c r="H1102" s="20" t="n">
        <x:f>VLOOKUP(C1102,'Governorate Master'!$A$2:$Q$13,6,FALSE)</x:f>
        <x:v>0.5912999494183105</x:v>
      </x:c>
      <x:c r="I1102" s="20" t="n">
        <x:f>VLOOKUP(C1102,'Governorate Master'!$A$2:$Q$13,15,FALSE)</x:f>
        <x:v>0.08710801393728224</x:v>
      </x:c>
      <x:c r="J1102" s="12" t="str">
        <x:v>Location model input - competition/saturation context</x:v>
      </x:c>
      <x:c r="K1102" s="12" t="str">
        <x:v>Business count is from 2018 while population/context indicators are newer; use as a historical proxy, not a current market count.</x:v>
      </x:c>
    </x:row>
    <x:row r="1103">
      <x:c r="A1103" s="12" t="str">
        <x:v>2821</x:v>
      </x:c>
      <x:c r="B1103" s="12" t="str">
        <x:v>Manufacture of agricultural and forestry machinery</x:v>
      </x:c>
      <x:c r="C1103" s="12" t="str">
        <x:v>الطفيلة</x:v>
      </x:c>
      <x:c r="D1103" s="14" t="n">
        <x:v>0</x:v>
      </x:c>
      <x:c r="E1103" s="14" t="n">
        <x:f>VLOOKUP(C1103,'Governorate Master'!$A$2:$Q$13,3,FALSE)</x:f>
        <x:v>120300</x:v>
      </x:c>
      <x:c r="F1103" s="66" t="n">
        <x:f>IF(E1103=0,0,D1103/E1103*10000)</x:f>
        <x:v>0</x:v>
      </x:c>
      <x:c r="G1103" s="67" t="n">
        <x:f>VLOOKUP(C1103,'Governorate Master'!$A$2:$Q$13,7,FALSE)</x:f>
        <x:v>54.4</x:v>
      </x:c>
      <x:c r="H1103" s="20" t="n">
        <x:f>VLOOKUP(C1103,'Governorate Master'!$A$2:$Q$13,6,FALSE)</x:f>
        <x:v>0.7797173732335827</x:v>
      </x:c>
      <x:c r="I1103" s="20" t="n">
        <x:f>VLOOKUP(C1103,'Governorate Master'!$A$2:$Q$13,15,FALSE)</x:f>
        <x:v>0.18452380952380953</x:v>
      </x:c>
      <x:c r="J1103" s="12" t="str">
        <x:v>Location model input - competition/saturation context</x:v>
      </x:c>
      <x:c r="K1103" s="12" t="str">
        <x:v>Business count is from 2018 while population/context indicators are newer; use as a historical proxy, not a current market count.</x:v>
      </x:c>
    </x:row>
    <x:row r="1104">
      <x:c r="A1104" s="12" t="str">
        <x:v>2821</x:v>
      </x:c>
      <x:c r="B1104" s="12" t="str">
        <x:v>Manufacture of agricultural and forestry machinery</x:v>
      </x:c>
      <x:c r="C1104" s="12" t="str">
        <x:v>معان</x:v>
      </x:c>
      <x:c r="D1104" s="14" t="n">
        <x:v>0</x:v>
      </x:c>
      <x:c r="E1104" s="14" t="n">
        <x:f>VLOOKUP(C1104,'Governorate Master'!$A$2:$Q$13,3,FALSE)</x:f>
        <x:v>197900</x:v>
      </x:c>
      <x:c r="F1104" s="66" t="n">
        <x:f>IF(E1104=0,0,D1104/E1104*10000)</x:f>
        <x:v>0</x:v>
      </x:c>
      <x:c r="G1104" s="67" t="n">
        <x:f>VLOOKUP(C1104,'Governorate Master'!$A$2:$Q$13,7,FALSE)</x:f>
        <x:v>6</x:v>
      </x:c>
      <x:c r="H1104" s="20" t="n">
        <x:f>VLOOKUP(C1104,'Governorate Master'!$A$2:$Q$13,6,FALSE)</x:f>
        <x:v>0.5406771096513391</x:v>
      </x:c>
      <x:c r="I1104" s="20" t="n">
        <x:f>VLOOKUP(C1104,'Governorate Master'!$A$2:$Q$13,15,FALSE)</x:f>
        <x:v>0.026845637583892617</x:v>
      </x:c>
      <x:c r="J1104" s="12" t="str">
        <x:v>Location model input - competition/saturation context</x:v>
      </x:c>
      <x:c r="K1104" s="12" t="str">
        <x:v>Business count is from 2018 while population/context indicators are newer; use as a historical proxy, not a current market count.</x:v>
      </x:c>
    </x:row>
    <x:row r="1105">
      <x:c r="A1105" s="12" t="str">
        <x:v>2821</x:v>
      </x:c>
      <x:c r="B1105" s="12" t="str">
        <x:v>Manufacture of agricultural and forestry machinery</x:v>
      </x:c>
      <x:c r="C1105" s="12" t="str">
        <x:v>العقبة</x:v>
      </x:c>
      <x:c r="D1105" s="14" t="n">
        <x:v>0</x:v>
      </x:c>
      <x:c r="E1105" s="14" t="n">
        <x:f>VLOOKUP(C1105,'Governorate Master'!$A$2:$Q$13,3,FALSE)</x:f>
        <x:v>250900</x:v>
      </x:c>
      <x:c r="F1105" s="66" t="n">
        <x:f>IF(E1105=0,0,D1105/E1105*10000)</x:f>
        <x:v>0</x:v>
      </x:c>
      <x:c r="G1105" s="67" t="n">
        <x:f>VLOOKUP(C1105,'Governorate Master'!$A$2:$Q$13,7,FALSE)</x:f>
        <x:v>36.3</x:v>
      </x:c>
      <x:c r="H1105" s="20" t="n">
        <x:f>VLOOKUP(C1105,'Governorate Master'!$A$2:$Q$13,6,FALSE)</x:f>
        <x:v>0.882024711040255</x:v>
      </x:c>
      <x:c r="I1105" s="20" t="n">
        <x:f>VLOOKUP(C1105,'Governorate Master'!$A$2:$Q$13,15,FALSE)</x:f>
        <x:v>-0.09</x:v>
      </x:c>
      <x:c r="J1105" s="12" t="str">
        <x:v>Location model input - competition/saturation context</x:v>
      </x:c>
      <x:c r="K1105" s="12" t="str">
        <x:v>Business count is from 2018 while population/context indicators are newer; use as a historical proxy, not a current market count.</x:v>
      </x:c>
    </x:row>
    <x:row r="1106">
      <x:c r="A1106" s="12" t="str">
        <x:v>2822</x:v>
      </x:c>
      <x:c r="B1106" s="12" t="str">
        <x:v>Manufacture of metal-forming machinery and machine tools</x:v>
      </x:c>
      <x:c r="C1106" s="12" t="str">
        <x:v>عمان</x:v>
      </x:c>
      <x:c r="D1106" s="14" t="n">
        <x:v>1</x:v>
      </x:c>
      <x:c r="E1106" s="14" t="n">
        <x:f>VLOOKUP(C1106,'Governorate Master'!$A$2:$Q$13,3,FALSE)</x:f>
        <x:v>5004600</x:v>
      </x:c>
      <x:c r="F1106" s="66" t="n">
        <x:f>IF(E1106=0,0,D1106/E1106*10000)</x:f>
        <x:v>0.0019981616912440555</x:v>
      </x:c>
      <x:c r="G1106" s="67" t="n">
        <x:f>VLOOKUP(C1106,'Governorate Master'!$A$2:$Q$13,7,FALSE)</x:f>
        <x:v>660.3</x:v>
      </x:c>
      <x:c r="H1106" s="20" t="n">
        <x:f>VLOOKUP(C1106,'Governorate Master'!$A$2:$Q$13,6,FALSE)</x:f>
        <x:v>0.9721656076409703</x:v>
      </x:c>
      <x:c r="I1106" s="20" t="n">
        <x:f>VLOOKUP(C1106,'Governorate Master'!$A$2:$Q$13,15,FALSE)</x:f>
        <x:v>0.06367041198501873</x:v>
      </x:c>
      <x:c r="J1106" s="12" t="str">
        <x:v>Location model input - competition/saturation context</x:v>
      </x:c>
      <x:c r="K1106" s="12" t="str">
        <x:v>Business count is from 2018 while population/context indicators are newer; use as a historical proxy, not a current market count.</x:v>
      </x:c>
    </x:row>
    <x:row r="1107">
      <x:c r="A1107" s="12" t="str">
        <x:v>2822</x:v>
      </x:c>
      <x:c r="B1107" s="12" t="str">
        <x:v>Manufacture of metal-forming machinery and machine tools</x:v>
      </x:c>
      <x:c r="C1107" s="12" t="str">
        <x:v>البلقاء</x:v>
      </x:c>
      <x:c r="D1107" s="14" t="n">
        <x:v>0</x:v>
      </x:c>
      <x:c r="E1107" s="14" t="n">
        <x:f>VLOOKUP(C1107,'Governorate Master'!$A$2:$Q$13,3,FALSE)</x:f>
        <x:v>614000</x:v>
      </x:c>
      <x:c r="F1107" s="66" t="n">
        <x:f>IF(E1107=0,0,D1107/E1107*10000)</x:f>
        <x:v>0</x:v>
      </x:c>
      <x:c r="G1107" s="67" t="n">
        <x:f>VLOOKUP(C1107,'Governorate Master'!$A$2:$Q$13,7,FALSE)</x:f>
        <x:v>548</x:v>
      </x:c>
      <x:c r="H1107" s="20" t="n">
        <x:f>VLOOKUP(C1107,'Governorate Master'!$A$2:$Q$13,6,FALSE)</x:f>
        <x:v>0.8210097719869707</x:v>
      </x:c>
      <x:c r="I1107" s="20" t="n">
        <x:f>VLOOKUP(C1107,'Governorate Master'!$A$2:$Q$13,15,FALSE)</x:f>
        <x:v>0.10794044665012408</x:v>
      </x:c>
      <x:c r="J1107" s="12" t="str">
        <x:v>Location model input - competition/saturation context</x:v>
      </x:c>
      <x:c r="K1107" s="12" t="str">
        <x:v>Business count is from 2018 while population/context indicators are newer; use as a historical proxy, not a current market count.</x:v>
      </x:c>
    </x:row>
    <x:row r="1108">
      <x:c r="A1108" s="12" t="str">
        <x:v>2822</x:v>
      </x:c>
      <x:c r="B1108" s="12" t="str">
        <x:v>Manufacture of metal-forming machinery and machine tools</x:v>
      </x:c>
      <x:c r="C1108" s="12" t="str">
        <x:v>الزرقاء</x:v>
      </x:c>
      <x:c r="D1108" s="14" t="n">
        <x:v>1</x:v>
      </x:c>
      <x:c r="E1108" s="14" t="n">
        <x:f>VLOOKUP(C1108,'Governorate Master'!$A$2:$Q$13,3,FALSE)</x:f>
        <x:v>1704500</x:v>
      </x:c>
      <x:c r="F1108" s="66" t="n">
        <x:f>IF(E1108=0,0,D1108/E1108*10000)</x:f>
        <x:v>0.005866823115283074</x:v>
      </x:c>
      <x:c r="G1108" s="67" t="n">
        <x:f>VLOOKUP(C1108,'Governorate Master'!$A$2:$Q$13,7,FALSE)</x:f>
        <x:v>358</x:v>
      </x:c>
      <x:c r="H1108" s="20" t="n">
        <x:f>VLOOKUP(C1108,'Governorate Master'!$A$2:$Q$13,6,FALSE)</x:f>
        <x:v>0.9636256966852449</x:v>
      </x:c>
      <x:c r="I1108" s="20" t="n">
        <x:f>VLOOKUP(C1108,'Governorate Master'!$A$2:$Q$13,15,FALSE)</x:f>
        <x:v>-0.06808762581409118</x:v>
      </x:c>
      <x:c r="J1108" s="12" t="str">
        <x:v>Location model input - competition/saturation context</x:v>
      </x:c>
      <x:c r="K1108" s="12" t="str">
        <x:v>Business count is from 2018 while population/context indicators are newer; use as a historical proxy, not a current market count.</x:v>
      </x:c>
    </x:row>
    <x:row r="1109">
      <x:c r="A1109" s="12" t="str">
        <x:v>2822</x:v>
      </x:c>
      <x:c r="B1109" s="12" t="str">
        <x:v>Manufacture of metal-forming machinery and machine tools</x:v>
      </x:c>
      <x:c r="C1109" s="12" t="str">
        <x:v>مادبا</x:v>
      </x:c>
      <x:c r="D1109" s="14" t="n">
        <x:v>0</x:v>
      </x:c>
      <x:c r="E1109" s="14" t="n">
        <x:f>VLOOKUP(C1109,'Governorate Master'!$A$2:$Q$13,3,FALSE)</x:f>
        <x:v>236200</x:v>
      </x:c>
      <x:c r="F1109" s="66" t="n">
        <x:f>IF(E1109=0,0,D1109/E1109*10000)</x:f>
        <x:v>0</x:v>
      </x:c>
      <x:c r="G1109" s="67" t="n">
        <x:f>VLOOKUP(C1109,'Governorate Master'!$A$2:$Q$13,7,FALSE)</x:f>
        <x:v>251.4</x:v>
      </x:c>
      <x:c r="H1109" s="20" t="n">
        <x:f>VLOOKUP(C1109,'Governorate Master'!$A$2:$Q$13,6,FALSE)</x:f>
        <x:v>0.7823878069432684</x:v>
      </x:c>
      <x:c r="I1109" s="20" t="n">
        <x:f>VLOOKUP(C1109,'Governorate Master'!$A$2:$Q$13,15,FALSE)</x:f>
        <x:v>-0.18823529411764706</x:v>
      </x:c>
      <x:c r="J1109" s="12" t="str">
        <x:v>Location model input - competition/saturation context</x:v>
      </x:c>
      <x:c r="K1109" s="12" t="str">
        <x:v>Business count is from 2018 while population/context indicators are newer; use as a historical proxy, not a current market count.</x:v>
      </x:c>
    </x:row>
    <x:row r="1110">
      <x:c r="A1110" s="12" t="str">
        <x:v>2822</x:v>
      </x:c>
      <x:c r="B1110" s="12" t="str">
        <x:v>Manufacture of metal-forming machinery and machine tools</x:v>
      </x:c>
      <x:c r="C1110" s="12" t="str">
        <x:v>إربد</x:v>
      </x:c>
      <x:c r="D1110" s="14" t="n">
        <x:v>0</x:v>
      </x:c>
      <x:c r="E1110" s="14" t="n">
        <x:f>VLOOKUP(C1110,'Governorate Master'!$A$2:$Q$13,3,FALSE)</x:f>
        <x:v>2210500</x:v>
      </x:c>
      <x:c r="F1110" s="66" t="n">
        <x:f>IF(E1110=0,0,D1110/E1110*10000)</x:f>
        <x:v>0</x:v>
      </x:c>
      <x:c r="G1110" s="67" t="n">
        <x:f>VLOOKUP(C1110,'Governorate Master'!$A$2:$Q$13,7,FALSE)</x:f>
        <x:v>1406.4</x:v>
      </x:c>
      <x:c r="H1110" s="20" t="n">
        <x:f>VLOOKUP(C1110,'Governorate Master'!$A$2:$Q$13,6,FALSE)</x:f>
        <x:v>0.9235014702555983</x:v>
      </x:c>
      <x:c r="I1110" s="20" t="n">
        <x:f>VLOOKUP(C1110,'Governorate Master'!$A$2:$Q$13,15,FALSE)</x:f>
        <x:v>0.07086922474549726</x:v>
      </x:c>
      <x:c r="J1110" s="12" t="str">
        <x:v>Location model input - competition/saturation context</x:v>
      </x:c>
      <x:c r="K1110" s="12" t="str">
        <x:v>Business count is from 2018 while population/context indicators are newer; use as a historical proxy, not a current market count.</x:v>
      </x:c>
    </x:row>
    <x:row r="1111">
      <x:c r="A1111" s="12" t="str">
        <x:v>2822</x:v>
      </x:c>
      <x:c r="B1111" s="12" t="str">
        <x:v>Manufacture of metal-forming machinery and machine tools</x:v>
      </x:c>
      <x:c r="C1111" s="12" t="str">
        <x:v>المفرق</x:v>
      </x:c>
      <x:c r="D1111" s="14" t="n">
        <x:v>0</x:v>
      </x:c>
      <x:c r="E1111" s="14" t="n">
        <x:f>VLOOKUP(C1111,'Governorate Master'!$A$2:$Q$13,3,FALSE)</x:f>
        <x:v>686800</x:v>
      </x:c>
      <x:c r="F1111" s="66" t="n">
        <x:f>IF(E1111=0,0,D1111/E1111*10000)</x:f>
        <x:v>0</x:v>
      </x:c>
      <x:c r="G1111" s="67" t="n">
        <x:f>VLOOKUP(C1111,'Governorate Master'!$A$2:$Q$13,7,FALSE)</x:f>
        <x:v>25.9</x:v>
      </x:c>
      <x:c r="H1111" s="20" t="n">
        <x:f>VLOOKUP(C1111,'Governorate Master'!$A$2:$Q$13,6,FALSE)</x:f>
        <x:v>0.6965637740244612</x:v>
      </x:c>
      <x:c r="I1111" s="20" t="n">
        <x:f>VLOOKUP(C1111,'Governorate Master'!$A$2:$Q$13,15,FALSE)</x:f>
        <x:v>-0.016638935108153077</x:v>
      </x:c>
      <x:c r="J1111" s="12" t="str">
        <x:v>Location model input - competition/saturation context</x:v>
      </x:c>
      <x:c r="K1111" s="12" t="str">
        <x:v>Business count is from 2018 while population/context indicators are newer; use as a historical proxy, not a current market count.</x:v>
      </x:c>
    </x:row>
    <x:row r="1112">
      <x:c r="A1112" s="12" t="str">
        <x:v>2822</x:v>
      </x:c>
      <x:c r="B1112" s="12" t="str">
        <x:v>Manufacture of metal-forming machinery and machine tools</x:v>
      </x:c>
      <x:c r="C1112" s="12" t="str">
        <x:v>جرش</x:v>
      </x:c>
      <x:c r="D1112" s="14" t="n">
        <x:v>0</x:v>
      </x:c>
      <x:c r="E1112" s="14" t="n">
        <x:f>VLOOKUP(C1112,'Governorate Master'!$A$2:$Q$13,3,FALSE)</x:f>
        <x:v>296000</x:v>
      </x:c>
      <x:c r="F1112" s="66" t="n">
        <x:f>IF(E1112=0,0,D1112/E1112*10000)</x:f>
        <x:v>0</x:v>
      </x:c>
      <x:c r="G1112" s="67" t="n">
        <x:f>VLOOKUP(C1112,'Governorate Master'!$A$2:$Q$13,7,FALSE)</x:f>
        <x:v>722.3</x:v>
      </x:c>
      <x:c r="H1112" s="20" t="n">
        <x:f>VLOOKUP(C1112,'Governorate Master'!$A$2:$Q$13,6,FALSE)</x:f>
        <x:v>0.7695945945945946</x:v>
      </x:c>
      <x:c r="I1112" s="20" t="n">
        <x:f>VLOOKUP(C1112,'Governorate Master'!$A$2:$Q$13,15,FALSE)</x:f>
        <x:v>-0.06527415143603134</x:v>
      </x:c>
      <x:c r="J1112" s="12" t="str">
        <x:v>Location model input - competition/saturation context</x:v>
      </x:c>
      <x:c r="K1112" s="12" t="str">
        <x:v>Business count is from 2018 while population/context indicators are newer; use as a historical proxy, not a current market count.</x:v>
      </x:c>
    </x:row>
    <x:row r="1113">
      <x:c r="A1113" s="12" t="str">
        <x:v>2822</x:v>
      </x:c>
      <x:c r="B1113" s="12" t="str">
        <x:v>Manufacture of metal-forming machinery and machine tools</x:v>
      </x:c>
      <x:c r="C1113" s="12" t="str">
        <x:v>عجلون</x:v>
      </x:c>
      <x:c r="D1113" s="14" t="n">
        <x:v>0</x:v>
      </x:c>
      <x:c r="E1113" s="14" t="n">
        <x:f>VLOOKUP(C1113,'Governorate Master'!$A$2:$Q$13,3,FALSE)</x:f>
        <x:v>219900</x:v>
      </x:c>
      <x:c r="F1113" s="66" t="n">
        <x:f>IF(E1113=0,0,D1113/E1113*10000)</x:f>
        <x:v>0</x:v>
      </x:c>
      <x:c r="G1113" s="67" t="n">
        <x:f>VLOOKUP(C1113,'Governorate Master'!$A$2:$Q$13,7,FALSE)</x:f>
        <x:v>524</x:v>
      </x:c>
      <x:c r="H1113" s="20" t="n">
        <x:f>VLOOKUP(C1113,'Governorate Master'!$A$2:$Q$13,6,FALSE)</x:f>
        <x:v>0.8390177353342428</x:v>
      </x:c>
      <x:c r="I1113" s="20" t="n">
        <x:f>VLOOKUP(C1113,'Governorate Master'!$A$2:$Q$13,15,FALSE)</x:f>
        <x:v>0.03614457831325301</x:v>
      </x:c>
      <x:c r="J1113" s="12" t="str">
        <x:v>Location model input - competition/saturation context</x:v>
      </x:c>
      <x:c r="K1113" s="12" t="str">
        <x:v>Business count is from 2018 while population/context indicators are newer; use as a historical proxy, not a current market count.</x:v>
      </x:c>
    </x:row>
    <x:row r="1114">
      <x:c r="A1114" s="12" t="str">
        <x:v>2822</x:v>
      </x:c>
      <x:c r="B1114" s="12" t="str">
        <x:v>Manufacture of metal-forming machinery and machine tools</x:v>
      </x:c>
      <x:c r="C1114" s="12" t="str">
        <x:v>الكرك</x:v>
      </x:c>
      <x:c r="D1114" s="14" t="n">
        <x:v>0</x:v>
      </x:c>
      <x:c r="E1114" s="14" t="n">
        <x:f>VLOOKUP(C1114,'Governorate Master'!$A$2:$Q$13,3,FALSE)</x:f>
        <x:v>395400</x:v>
      </x:c>
      <x:c r="F1114" s="66" t="n">
        <x:f>IF(E1114=0,0,D1114/E1114*10000)</x:f>
        <x:v>0</x:v>
      </x:c>
      <x:c r="G1114" s="67" t="n">
        <x:f>VLOOKUP(C1114,'Governorate Master'!$A$2:$Q$13,7,FALSE)</x:f>
        <x:v>113.1</x:v>
      </x:c>
      <x:c r="H1114" s="20" t="n">
        <x:f>VLOOKUP(C1114,'Governorate Master'!$A$2:$Q$13,6,FALSE)</x:f>
        <x:v>0.5912999494183105</x:v>
      </x:c>
      <x:c r="I1114" s="20" t="n">
        <x:f>VLOOKUP(C1114,'Governorate Master'!$A$2:$Q$13,15,FALSE)</x:f>
        <x:v>0.08710801393728224</x:v>
      </x:c>
      <x:c r="J1114" s="12" t="str">
        <x:v>Location model input - competition/saturation context</x:v>
      </x:c>
      <x:c r="K1114" s="12" t="str">
        <x:v>Business count is from 2018 while population/context indicators are newer; use as a historical proxy, not a current market count.</x:v>
      </x:c>
    </x:row>
    <x:row r="1115">
      <x:c r="A1115" s="12" t="str">
        <x:v>2822</x:v>
      </x:c>
      <x:c r="B1115" s="12" t="str">
        <x:v>Manufacture of metal-forming machinery and machine tools</x:v>
      </x:c>
      <x:c r="C1115" s="12" t="str">
        <x:v>الطفيلة</x:v>
      </x:c>
      <x:c r="D1115" s="14" t="n">
        <x:v>0</x:v>
      </x:c>
      <x:c r="E1115" s="14" t="n">
        <x:f>VLOOKUP(C1115,'Governorate Master'!$A$2:$Q$13,3,FALSE)</x:f>
        <x:v>120300</x:v>
      </x:c>
      <x:c r="F1115" s="66" t="n">
        <x:f>IF(E1115=0,0,D1115/E1115*10000)</x:f>
        <x:v>0</x:v>
      </x:c>
      <x:c r="G1115" s="67" t="n">
        <x:f>VLOOKUP(C1115,'Governorate Master'!$A$2:$Q$13,7,FALSE)</x:f>
        <x:v>54.4</x:v>
      </x:c>
      <x:c r="H1115" s="20" t="n">
        <x:f>VLOOKUP(C1115,'Governorate Master'!$A$2:$Q$13,6,FALSE)</x:f>
        <x:v>0.7797173732335827</x:v>
      </x:c>
      <x:c r="I1115" s="20" t="n">
        <x:f>VLOOKUP(C1115,'Governorate Master'!$A$2:$Q$13,15,FALSE)</x:f>
        <x:v>0.18452380952380953</x:v>
      </x:c>
      <x:c r="J1115" s="12" t="str">
        <x:v>Location model input - competition/saturation context</x:v>
      </x:c>
      <x:c r="K1115" s="12" t="str">
        <x:v>Business count is from 2018 while population/context indicators are newer; use as a historical proxy, not a current market count.</x:v>
      </x:c>
    </x:row>
    <x:row r="1116">
      <x:c r="A1116" s="12" t="str">
        <x:v>2822</x:v>
      </x:c>
      <x:c r="B1116" s="12" t="str">
        <x:v>Manufacture of metal-forming machinery and machine tools</x:v>
      </x:c>
      <x:c r="C1116" s="12" t="str">
        <x:v>معان</x:v>
      </x:c>
      <x:c r="D1116" s="14" t="n">
        <x:v>0</x:v>
      </x:c>
      <x:c r="E1116" s="14" t="n">
        <x:f>VLOOKUP(C1116,'Governorate Master'!$A$2:$Q$13,3,FALSE)</x:f>
        <x:v>197900</x:v>
      </x:c>
      <x:c r="F1116" s="66" t="n">
        <x:f>IF(E1116=0,0,D1116/E1116*10000)</x:f>
        <x:v>0</x:v>
      </x:c>
      <x:c r="G1116" s="67" t="n">
        <x:f>VLOOKUP(C1116,'Governorate Master'!$A$2:$Q$13,7,FALSE)</x:f>
        <x:v>6</x:v>
      </x:c>
      <x:c r="H1116" s="20" t="n">
        <x:f>VLOOKUP(C1116,'Governorate Master'!$A$2:$Q$13,6,FALSE)</x:f>
        <x:v>0.5406771096513391</x:v>
      </x:c>
      <x:c r="I1116" s="20" t="n">
        <x:f>VLOOKUP(C1116,'Governorate Master'!$A$2:$Q$13,15,FALSE)</x:f>
        <x:v>0.026845637583892617</x:v>
      </x:c>
      <x:c r="J1116" s="12" t="str">
        <x:v>Location model input - competition/saturation context</x:v>
      </x:c>
      <x:c r="K1116" s="12" t="str">
        <x:v>Business count is from 2018 while population/context indicators are newer; use as a historical proxy, not a current market count.</x:v>
      </x:c>
    </x:row>
    <x:row r="1117">
      <x:c r="A1117" s="12" t="str">
        <x:v>2822</x:v>
      </x:c>
      <x:c r="B1117" s="12" t="str">
        <x:v>Manufacture of metal-forming machinery and machine tools</x:v>
      </x:c>
      <x:c r="C1117" s="12" t="str">
        <x:v>العقبة</x:v>
      </x:c>
      <x:c r="D1117" s="14" t="n">
        <x:v>0</x:v>
      </x:c>
      <x:c r="E1117" s="14" t="n">
        <x:f>VLOOKUP(C1117,'Governorate Master'!$A$2:$Q$13,3,FALSE)</x:f>
        <x:v>250900</x:v>
      </x:c>
      <x:c r="F1117" s="66" t="n">
        <x:f>IF(E1117=0,0,D1117/E1117*10000)</x:f>
        <x:v>0</x:v>
      </x:c>
      <x:c r="G1117" s="67" t="n">
        <x:f>VLOOKUP(C1117,'Governorate Master'!$A$2:$Q$13,7,FALSE)</x:f>
        <x:v>36.3</x:v>
      </x:c>
      <x:c r="H1117" s="20" t="n">
        <x:f>VLOOKUP(C1117,'Governorate Master'!$A$2:$Q$13,6,FALSE)</x:f>
        <x:v>0.882024711040255</x:v>
      </x:c>
      <x:c r="I1117" s="20" t="n">
        <x:f>VLOOKUP(C1117,'Governorate Master'!$A$2:$Q$13,15,FALSE)</x:f>
        <x:v>-0.09</x:v>
      </x:c>
      <x:c r="J1117" s="12" t="str">
        <x:v>Location model input - competition/saturation context</x:v>
      </x:c>
      <x:c r="K1117" s="12" t="str">
        <x:v>Business count is from 2018 while population/context indicators are newer; use as a historical proxy, not a current market count.</x:v>
      </x:c>
    </x:row>
    <x:row r="1118">
      <x:c r="A1118" s="12" t="str">
        <x:v>2824</x:v>
      </x:c>
      <x:c r="B1118" s="12" t="str">
        <x:v>Manufacture of machinery for mining, quarrying and construction</x:v>
      </x:c>
      <x:c r="C1118" s="12" t="str">
        <x:v>عمان</x:v>
      </x:c>
      <x:c r="D1118" s="14" t="n">
        <x:v>7</x:v>
      </x:c>
      <x:c r="E1118" s="14" t="n">
        <x:f>VLOOKUP(C1118,'Governorate Master'!$A$2:$Q$13,3,FALSE)</x:f>
        <x:v>5004600</x:v>
      </x:c>
      <x:c r="F1118" s="66" t="n">
        <x:f>IF(E1118=0,0,D1118/E1118*10000)</x:f>
        <x:v>0.013987131838708389</x:v>
      </x:c>
      <x:c r="G1118" s="67" t="n">
        <x:f>VLOOKUP(C1118,'Governorate Master'!$A$2:$Q$13,7,FALSE)</x:f>
        <x:v>660.3</x:v>
      </x:c>
      <x:c r="H1118" s="20" t="n">
        <x:f>VLOOKUP(C1118,'Governorate Master'!$A$2:$Q$13,6,FALSE)</x:f>
        <x:v>0.9721656076409703</x:v>
      </x:c>
      <x:c r="I1118" s="20" t="n">
        <x:f>VLOOKUP(C1118,'Governorate Master'!$A$2:$Q$13,15,FALSE)</x:f>
        <x:v>0.06367041198501873</x:v>
      </x:c>
      <x:c r="J1118" s="12" t="str">
        <x:v>Location model input - competition/saturation context</x:v>
      </x:c>
      <x:c r="K1118" s="12" t="str">
        <x:v>Business count is from 2018 while population/context indicators are newer; use as a historical proxy, not a current market count.</x:v>
      </x:c>
    </x:row>
    <x:row r="1119">
      <x:c r="A1119" s="12" t="str">
        <x:v>2824</x:v>
      </x:c>
      <x:c r="B1119" s="12" t="str">
        <x:v>Manufacture of machinery for mining, quarrying and construction</x:v>
      </x:c>
      <x:c r="C1119" s="12" t="str">
        <x:v>البلقاء</x:v>
      </x:c>
      <x:c r="D1119" s="14" t="n">
        <x:v>0</x:v>
      </x:c>
      <x:c r="E1119" s="14" t="n">
        <x:f>VLOOKUP(C1119,'Governorate Master'!$A$2:$Q$13,3,FALSE)</x:f>
        <x:v>614000</x:v>
      </x:c>
      <x:c r="F1119" s="66" t="n">
        <x:f>IF(E1119=0,0,D1119/E1119*10000)</x:f>
        <x:v>0</x:v>
      </x:c>
      <x:c r="G1119" s="67" t="n">
        <x:f>VLOOKUP(C1119,'Governorate Master'!$A$2:$Q$13,7,FALSE)</x:f>
        <x:v>548</x:v>
      </x:c>
      <x:c r="H1119" s="20" t="n">
        <x:f>VLOOKUP(C1119,'Governorate Master'!$A$2:$Q$13,6,FALSE)</x:f>
        <x:v>0.8210097719869707</x:v>
      </x:c>
      <x:c r="I1119" s="20" t="n">
        <x:f>VLOOKUP(C1119,'Governorate Master'!$A$2:$Q$13,15,FALSE)</x:f>
        <x:v>0.10794044665012408</x:v>
      </x:c>
      <x:c r="J1119" s="12" t="str">
        <x:v>Location model input - competition/saturation context</x:v>
      </x:c>
      <x:c r="K1119" s="12" t="str">
        <x:v>Business count is from 2018 while population/context indicators are newer; use as a historical proxy, not a current market count.</x:v>
      </x:c>
    </x:row>
    <x:row r="1120">
      <x:c r="A1120" s="12" t="str">
        <x:v>2824</x:v>
      </x:c>
      <x:c r="B1120" s="12" t="str">
        <x:v>Manufacture of machinery for mining, quarrying and construction</x:v>
      </x:c>
      <x:c r="C1120" s="12" t="str">
        <x:v>الزرقاء</x:v>
      </x:c>
      <x:c r="D1120" s="14" t="n">
        <x:v>1</x:v>
      </x:c>
      <x:c r="E1120" s="14" t="n">
        <x:f>VLOOKUP(C1120,'Governorate Master'!$A$2:$Q$13,3,FALSE)</x:f>
        <x:v>1704500</x:v>
      </x:c>
      <x:c r="F1120" s="66" t="n">
        <x:f>IF(E1120=0,0,D1120/E1120*10000)</x:f>
        <x:v>0.005866823115283074</x:v>
      </x:c>
      <x:c r="G1120" s="67" t="n">
        <x:f>VLOOKUP(C1120,'Governorate Master'!$A$2:$Q$13,7,FALSE)</x:f>
        <x:v>358</x:v>
      </x:c>
      <x:c r="H1120" s="20" t="n">
        <x:f>VLOOKUP(C1120,'Governorate Master'!$A$2:$Q$13,6,FALSE)</x:f>
        <x:v>0.9636256966852449</x:v>
      </x:c>
      <x:c r="I1120" s="20" t="n">
        <x:f>VLOOKUP(C1120,'Governorate Master'!$A$2:$Q$13,15,FALSE)</x:f>
        <x:v>-0.06808762581409118</x:v>
      </x:c>
      <x:c r="J1120" s="12" t="str">
        <x:v>Location model input - competition/saturation context</x:v>
      </x:c>
      <x:c r="K1120" s="12" t="str">
        <x:v>Business count is from 2018 while population/context indicators are newer; use as a historical proxy, not a current market count.</x:v>
      </x:c>
    </x:row>
    <x:row r="1121">
      <x:c r="A1121" s="12" t="str">
        <x:v>2824</x:v>
      </x:c>
      <x:c r="B1121" s="12" t="str">
        <x:v>Manufacture of machinery for mining, quarrying and construction</x:v>
      </x:c>
      <x:c r="C1121" s="12" t="str">
        <x:v>مادبا</x:v>
      </x:c>
      <x:c r="D1121" s="14" t="n">
        <x:v>0</x:v>
      </x:c>
      <x:c r="E1121" s="14" t="n">
        <x:f>VLOOKUP(C1121,'Governorate Master'!$A$2:$Q$13,3,FALSE)</x:f>
        <x:v>236200</x:v>
      </x:c>
      <x:c r="F1121" s="66" t="n">
        <x:f>IF(E1121=0,0,D1121/E1121*10000)</x:f>
        <x:v>0</x:v>
      </x:c>
      <x:c r="G1121" s="67" t="n">
        <x:f>VLOOKUP(C1121,'Governorate Master'!$A$2:$Q$13,7,FALSE)</x:f>
        <x:v>251.4</x:v>
      </x:c>
      <x:c r="H1121" s="20" t="n">
        <x:f>VLOOKUP(C1121,'Governorate Master'!$A$2:$Q$13,6,FALSE)</x:f>
        <x:v>0.7823878069432684</x:v>
      </x:c>
      <x:c r="I1121" s="20" t="n">
        <x:f>VLOOKUP(C1121,'Governorate Master'!$A$2:$Q$13,15,FALSE)</x:f>
        <x:v>-0.18823529411764706</x:v>
      </x:c>
      <x:c r="J1121" s="12" t="str">
        <x:v>Location model input - competition/saturation context</x:v>
      </x:c>
      <x:c r="K1121" s="12" t="str">
        <x:v>Business count is from 2018 while population/context indicators are newer; use as a historical proxy, not a current market count.</x:v>
      </x:c>
    </x:row>
    <x:row r="1122">
      <x:c r="A1122" s="12" t="str">
        <x:v>2824</x:v>
      </x:c>
      <x:c r="B1122" s="12" t="str">
        <x:v>Manufacture of machinery for mining, quarrying and construction</x:v>
      </x:c>
      <x:c r="C1122" s="12" t="str">
        <x:v>إربد</x:v>
      </x:c>
      <x:c r="D1122" s="14" t="n">
        <x:v>0</x:v>
      </x:c>
      <x:c r="E1122" s="14" t="n">
        <x:f>VLOOKUP(C1122,'Governorate Master'!$A$2:$Q$13,3,FALSE)</x:f>
        <x:v>2210500</x:v>
      </x:c>
      <x:c r="F1122" s="66" t="n">
        <x:f>IF(E1122=0,0,D1122/E1122*10000)</x:f>
        <x:v>0</x:v>
      </x:c>
      <x:c r="G1122" s="67" t="n">
        <x:f>VLOOKUP(C1122,'Governorate Master'!$A$2:$Q$13,7,FALSE)</x:f>
        <x:v>1406.4</x:v>
      </x:c>
      <x:c r="H1122" s="20" t="n">
        <x:f>VLOOKUP(C1122,'Governorate Master'!$A$2:$Q$13,6,FALSE)</x:f>
        <x:v>0.9235014702555983</x:v>
      </x:c>
      <x:c r="I1122" s="20" t="n">
        <x:f>VLOOKUP(C1122,'Governorate Master'!$A$2:$Q$13,15,FALSE)</x:f>
        <x:v>0.07086922474549726</x:v>
      </x:c>
      <x:c r="J1122" s="12" t="str">
        <x:v>Location model input - competition/saturation context</x:v>
      </x:c>
      <x:c r="K1122" s="12" t="str">
        <x:v>Business count is from 2018 while population/context indicators are newer; use as a historical proxy, not a current market count.</x:v>
      </x:c>
    </x:row>
    <x:row r="1123">
      <x:c r="A1123" s="12" t="str">
        <x:v>2824</x:v>
      </x:c>
      <x:c r="B1123" s="12" t="str">
        <x:v>Manufacture of machinery for mining, quarrying and construction</x:v>
      </x:c>
      <x:c r="C1123" s="12" t="str">
        <x:v>المفرق</x:v>
      </x:c>
      <x:c r="D1123" s="14" t="n">
        <x:v>0</x:v>
      </x:c>
      <x:c r="E1123" s="14" t="n">
        <x:f>VLOOKUP(C1123,'Governorate Master'!$A$2:$Q$13,3,FALSE)</x:f>
        <x:v>686800</x:v>
      </x:c>
      <x:c r="F1123" s="66" t="n">
        <x:f>IF(E1123=0,0,D1123/E1123*10000)</x:f>
        <x:v>0</x:v>
      </x:c>
      <x:c r="G1123" s="67" t="n">
        <x:f>VLOOKUP(C1123,'Governorate Master'!$A$2:$Q$13,7,FALSE)</x:f>
        <x:v>25.9</x:v>
      </x:c>
      <x:c r="H1123" s="20" t="n">
        <x:f>VLOOKUP(C1123,'Governorate Master'!$A$2:$Q$13,6,FALSE)</x:f>
        <x:v>0.6965637740244612</x:v>
      </x:c>
      <x:c r="I1123" s="20" t="n">
        <x:f>VLOOKUP(C1123,'Governorate Master'!$A$2:$Q$13,15,FALSE)</x:f>
        <x:v>-0.016638935108153077</x:v>
      </x:c>
      <x:c r="J1123" s="12" t="str">
        <x:v>Location model input - competition/saturation context</x:v>
      </x:c>
      <x:c r="K1123" s="12" t="str">
        <x:v>Business count is from 2018 while population/context indicators are newer; use as a historical proxy, not a current market count.</x:v>
      </x:c>
    </x:row>
    <x:row r="1124">
      <x:c r="A1124" s="12" t="str">
        <x:v>2824</x:v>
      </x:c>
      <x:c r="B1124" s="12" t="str">
        <x:v>Manufacture of machinery for mining, quarrying and construction</x:v>
      </x:c>
      <x:c r="C1124" s="12" t="str">
        <x:v>جرش</x:v>
      </x:c>
      <x:c r="D1124" s="14" t="n">
        <x:v>0</x:v>
      </x:c>
      <x:c r="E1124" s="14" t="n">
        <x:f>VLOOKUP(C1124,'Governorate Master'!$A$2:$Q$13,3,FALSE)</x:f>
        <x:v>296000</x:v>
      </x:c>
      <x:c r="F1124" s="66" t="n">
        <x:f>IF(E1124=0,0,D1124/E1124*10000)</x:f>
        <x:v>0</x:v>
      </x:c>
      <x:c r="G1124" s="67" t="n">
        <x:f>VLOOKUP(C1124,'Governorate Master'!$A$2:$Q$13,7,FALSE)</x:f>
        <x:v>722.3</x:v>
      </x:c>
      <x:c r="H1124" s="20" t="n">
        <x:f>VLOOKUP(C1124,'Governorate Master'!$A$2:$Q$13,6,FALSE)</x:f>
        <x:v>0.7695945945945946</x:v>
      </x:c>
      <x:c r="I1124" s="20" t="n">
        <x:f>VLOOKUP(C1124,'Governorate Master'!$A$2:$Q$13,15,FALSE)</x:f>
        <x:v>-0.06527415143603134</x:v>
      </x:c>
      <x:c r="J1124" s="12" t="str">
        <x:v>Location model input - competition/saturation context</x:v>
      </x:c>
      <x:c r="K1124" s="12" t="str">
        <x:v>Business count is from 2018 while population/context indicators are newer; use as a historical proxy, not a current market count.</x:v>
      </x:c>
    </x:row>
    <x:row r="1125">
      <x:c r="A1125" s="12" t="str">
        <x:v>2824</x:v>
      </x:c>
      <x:c r="B1125" s="12" t="str">
        <x:v>Manufacture of machinery for mining, quarrying and construction</x:v>
      </x:c>
      <x:c r="C1125" s="12" t="str">
        <x:v>عجلون</x:v>
      </x:c>
      <x:c r="D1125" s="14" t="n">
        <x:v>0</x:v>
      </x:c>
      <x:c r="E1125" s="14" t="n">
        <x:f>VLOOKUP(C1125,'Governorate Master'!$A$2:$Q$13,3,FALSE)</x:f>
        <x:v>219900</x:v>
      </x:c>
      <x:c r="F1125" s="66" t="n">
        <x:f>IF(E1125=0,0,D1125/E1125*10000)</x:f>
        <x:v>0</x:v>
      </x:c>
      <x:c r="G1125" s="67" t="n">
        <x:f>VLOOKUP(C1125,'Governorate Master'!$A$2:$Q$13,7,FALSE)</x:f>
        <x:v>524</x:v>
      </x:c>
      <x:c r="H1125" s="20" t="n">
        <x:f>VLOOKUP(C1125,'Governorate Master'!$A$2:$Q$13,6,FALSE)</x:f>
        <x:v>0.8390177353342428</x:v>
      </x:c>
      <x:c r="I1125" s="20" t="n">
        <x:f>VLOOKUP(C1125,'Governorate Master'!$A$2:$Q$13,15,FALSE)</x:f>
        <x:v>0.03614457831325301</x:v>
      </x:c>
      <x:c r="J1125" s="12" t="str">
        <x:v>Location model input - competition/saturation context</x:v>
      </x:c>
      <x:c r="K1125" s="12" t="str">
        <x:v>Business count is from 2018 while population/context indicators are newer; use as a historical proxy, not a current market count.</x:v>
      </x:c>
    </x:row>
    <x:row r="1126">
      <x:c r="A1126" s="12" t="str">
        <x:v>2824</x:v>
      </x:c>
      <x:c r="B1126" s="12" t="str">
        <x:v>Manufacture of machinery for mining, quarrying and construction</x:v>
      </x:c>
      <x:c r="C1126" s="12" t="str">
        <x:v>الكرك</x:v>
      </x:c>
      <x:c r="D1126" s="14" t="n">
        <x:v>0</x:v>
      </x:c>
      <x:c r="E1126" s="14" t="n">
        <x:f>VLOOKUP(C1126,'Governorate Master'!$A$2:$Q$13,3,FALSE)</x:f>
        <x:v>395400</x:v>
      </x:c>
      <x:c r="F1126" s="66" t="n">
        <x:f>IF(E1126=0,0,D1126/E1126*10000)</x:f>
        <x:v>0</x:v>
      </x:c>
      <x:c r="G1126" s="67" t="n">
        <x:f>VLOOKUP(C1126,'Governorate Master'!$A$2:$Q$13,7,FALSE)</x:f>
        <x:v>113.1</x:v>
      </x:c>
      <x:c r="H1126" s="20" t="n">
        <x:f>VLOOKUP(C1126,'Governorate Master'!$A$2:$Q$13,6,FALSE)</x:f>
        <x:v>0.5912999494183105</x:v>
      </x:c>
      <x:c r="I1126" s="20" t="n">
        <x:f>VLOOKUP(C1126,'Governorate Master'!$A$2:$Q$13,15,FALSE)</x:f>
        <x:v>0.08710801393728224</x:v>
      </x:c>
      <x:c r="J1126" s="12" t="str">
        <x:v>Location model input - competition/saturation context</x:v>
      </x:c>
      <x:c r="K1126" s="12" t="str">
        <x:v>Business count is from 2018 while population/context indicators are newer; use as a historical proxy, not a current market count.</x:v>
      </x:c>
    </x:row>
    <x:row r="1127">
      <x:c r="A1127" s="12" t="str">
        <x:v>2824</x:v>
      </x:c>
      <x:c r="B1127" s="12" t="str">
        <x:v>Manufacture of machinery for mining, quarrying and construction</x:v>
      </x:c>
      <x:c r="C1127" s="12" t="str">
        <x:v>الطفيلة</x:v>
      </x:c>
      <x:c r="D1127" s="14" t="n">
        <x:v>0</x:v>
      </x:c>
      <x:c r="E1127" s="14" t="n">
        <x:f>VLOOKUP(C1127,'Governorate Master'!$A$2:$Q$13,3,FALSE)</x:f>
        <x:v>120300</x:v>
      </x:c>
      <x:c r="F1127" s="66" t="n">
        <x:f>IF(E1127=0,0,D1127/E1127*10000)</x:f>
        <x:v>0</x:v>
      </x:c>
      <x:c r="G1127" s="67" t="n">
        <x:f>VLOOKUP(C1127,'Governorate Master'!$A$2:$Q$13,7,FALSE)</x:f>
        <x:v>54.4</x:v>
      </x:c>
      <x:c r="H1127" s="20" t="n">
        <x:f>VLOOKUP(C1127,'Governorate Master'!$A$2:$Q$13,6,FALSE)</x:f>
        <x:v>0.7797173732335827</x:v>
      </x:c>
      <x:c r="I1127" s="20" t="n">
        <x:f>VLOOKUP(C1127,'Governorate Master'!$A$2:$Q$13,15,FALSE)</x:f>
        <x:v>0.18452380952380953</x:v>
      </x:c>
      <x:c r="J1127" s="12" t="str">
        <x:v>Location model input - competition/saturation context</x:v>
      </x:c>
      <x:c r="K1127" s="12" t="str">
        <x:v>Business count is from 2018 while population/context indicators are newer; use as a historical proxy, not a current market count.</x:v>
      </x:c>
    </x:row>
    <x:row r="1128">
      <x:c r="A1128" s="12" t="str">
        <x:v>2824</x:v>
      </x:c>
      <x:c r="B1128" s="12" t="str">
        <x:v>Manufacture of machinery for mining, quarrying and construction</x:v>
      </x:c>
      <x:c r="C1128" s="12" t="str">
        <x:v>معان</x:v>
      </x:c>
      <x:c r="D1128" s="14" t="n">
        <x:v>0</x:v>
      </x:c>
      <x:c r="E1128" s="14" t="n">
        <x:f>VLOOKUP(C1128,'Governorate Master'!$A$2:$Q$13,3,FALSE)</x:f>
        <x:v>197900</x:v>
      </x:c>
      <x:c r="F1128" s="66" t="n">
        <x:f>IF(E1128=0,0,D1128/E1128*10000)</x:f>
        <x:v>0</x:v>
      </x:c>
      <x:c r="G1128" s="67" t="n">
        <x:f>VLOOKUP(C1128,'Governorate Master'!$A$2:$Q$13,7,FALSE)</x:f>
        <x:v>6</x:v>
      </x:c>
      <x:c r="H1128" s="20" t="n">
        <x:f>VLOOKUP(C1128,'Governorate Master'!$A$2:$Q$13,6,FALSE)</x:f>
        <x:v>0.5406771096513391</x:v>
      </x:c>
      <x:c r="I1128" s="20" t="n">
        <x:f>VLOOKUP(C1128,'Governorate Master'!$A$2:$Q$13,15,FALSE)</x:f>
        <x:v>0.026845637583892617</x:v>
      </x:c>
      <x:c r="J1128" s="12" t="str">
        <x:v>Location model input - competition/saturation context</x:v>
      </x:c>
      <x:c r="K1128" s="12" t="str">
        <x:v>Business count is from 2018 while population/context indicators are newer; use as a historical proxy, not a current market count.</x:v>
      </x:c>
    </x:row>
    <x:row r="1129">
      <x:c r="A1129" s="12" t="str">
        <x:v>2824</x:v>
      </x:c>
      <x:c r="B1129" s="12" t="str">
        <x:v>Manufacture of machinery for mining, quarrying and construction</x:v>
      </x:c>
      <x:c r="C1129" s="12" t="str">
        <x:v>العقبة</x:v>
      </x:c>
      <x:c r="D1129" s="14" t="n">
        <x:v>1</x:v>
      </x:c>
      <x:c r="E1129" s="14" t="n">
        <x:f>VLOOKUP(C1129,'Governorate Master'!$A$2:$Q$13,3,FALSE)</x:f>
        <x:v>250900</x:v>
      </x:c>
      <x:c r="F1129" s="66" t="n">
        <x:f>IF(E1129=0,0,D1129/E1129*10000)</x:f>
        <x:v>0.03985651654045436</x:v>
      </x:c>
      <x:c r="G1129" s="67" t="n">
        <x:f>VLOOKUP(C1129,'Governorate Master'!$A$2:$Q$13,7,FALSE)</x:f>
        <x:v>36.3</x:v>
      </x:c>
      <x:c r="H1129" s="20" t="n">
        <x:f>VLOOKUP(C1129,'Governorate Master'!$A$2:$Q$13,6,FALSE)</x:f>
        <x:v>0.882024711040255</x:v>
      </x:c>
      <x:c r="I1129" s="20" t="n">
        <x:f>VLOOKUP(C1129,'Governorate Master'!$A$2:$Q$13,15,FALSE)</x:f>
        <x:v>-0.09</x:v>
      </x:c>
      <x:c r="J1129" s="12" t="str">
        <x:v>Location model input - competition/saturation context</x:v>
      </x:c>
      <x:c r="K1129" s="12" t="str">
        <x:v>Business count is from 2018 while population/context indicators are newer; use as a historical proxy, not a current market count.</x:v>
      </x:c>
    </x:row>
    <x:row r="1130">
      <x:c r="A1130" s="12" t="str">
        <x:v>2825</x:v>
      </x:c>
      <x:c r="B1130" s="12" t="str">
        <x:v>Manufacture of machinery for food, beverage and tobacco processing</x:v>
      </x:c>
      <x:c r="C1130" s="12" t="str">
        <x:v>عمان</x:v>
      </x:c>
      <x:c r="D1130" s="14" t="n">
        <x:v>6</x:v>
      </x:c>
      <x:c r="E1130" s="14" t="n">
        <x:f>VLOOKUP(C1130,'Governorate Master'!$A$2:$Q$13,3,FALSE)</x:f>
        <x:v>5004600</x:v>
      </x:c>
      <x:c r="F1130" s="66" t="n">
        <x:f>IF(E1130=0,0,D1130/E1130*10000)</x:f>
        <x:v>0.011988970147464332</x:v>
      </x:c>
      <x:c r="G1130" s="67" t="n">
        <x:f>VLOOKUP(C1130,'Governorate Master'!$A$2:$Q$13,7,FALSE)</x:f>
        <x:v>660.3</x:v>
      </x:c>
      <x:c r="H1130" s="20" t="n">
        <x:f>VLOOKUP(C1130,'Governorate Master'!$A$2:$Q$13,6,FALSE)</x:f>
        <x:v>0.9721656076409703</x:v>
      </x:c>
      <x:c r="I1130" s="20" t="n">
        <x:f>VLOOKUP(C1130,'Governorate Master'!$A$2:$Q$13,15,FALSE)</x:f>
        <x:v>0.06367041198501873</x:v>
      </x:c>
      <x:c r="J1130" s="12" t="str">
        <x:v>Location model input - competition/saturation context</x:v>
      </x:c>
      <x:c r="K1130" s="12" t="str">
        <x:v>Business count is from 2018 while population/context indicators are newer; use as a historical proxy, not a current market count.</x:v>
      </x:c>
    </x:row>
    <x:row r="1131">
      <x:c r="A1131" s="12" t="str">
        <x:v>2825</x:v>
      </x:c>
      <x:c r="B1131" s="12" t="str">
        <x:v>Manufacture of machinery for food, beverage and tobacco processing</x:v>
      </x:c>
      <x:c r="C1131" s="12" t="str">
        <x:v>البلقاء</x:v>
      </x:c>
      <x:c r="D1131" s="14" t="n">
        <x:v>0</x:v>
      </x:c>
      <x:c r="E1131" s="14" t="n">
        <x:f>VLOOKUP(C1131,'Governorate Master'!$A$2:$Q$13,3,FALSE)</x:f>
        <x:v>614000</x:v>
      </x:c>
      <x:c r="F1131" s="66" t="n">
        <x:f>IF(E1131=0,0,D1131/E1131*10000)</x:f>
        <x:v>0</x:v>
      </x:c>
      <x:c r="G1131" s="67" t="n">
        <x:f>VLOOKUP(C1131,'Governorate Master'!$A$2:$Q$13,7,FALSE)</x:f>
        <x:v>548</x:v>
      </x:c>
      <x:c r="H1131" s="20" t="n">
        <x:f>VLOOKUP(C1131,'Governorate Master'!$A$2:$Q$13,6,FALSE)</x:f>
        <x:v>0.8210097719869707</x:v>
      </x:c>
      <x:c r="I1131" s="20" t="n">
        <x:f>VLOOKUP(C1131,'Governorate Master'!$A$2:$Q$13,15,FALSE)</x:f>
        <x:v>0.10794044665012408</x:v>
      </x:c>
      <x:c r="J1131" s="12" t="str">
        <x:v>Location model input - competition/saturation context</x:v>
      </x:c>
      <x:c r="K1131" s="12" t="str">
        <x:v>Business count is from 2018 while population/context indicators are newer; use as a historical proxy, not a current market count.</x:v>
      </x:c>
    </x:row>
    <x:row r="1132">
      <x:c r="A1132" s="12" t="str">
        <x:v>2825</x:v>
      </x:c>
      <x:c r="B1132" s="12" t="str">
        <x:v>Manufacture of machinery for food, beverage and tobacco processing</x:v>
      </x:c>
      <x:c r="C1132" s="12" t="str">
        <x:v>الزرقاء</x:v>
      </x:c>
      <x:c r="D1132" s="14" t="n">
        <x:v>2</x:v>
      </x:c>
      <x:c r="E1132" s="14" t="n">
        <x:f>VLOOKUP(C1132,'Governorate Master'!$A$2:$Q$13,3,FALSE)</x:f>
        <x:v>1704500</x:v>
      </x:c>
      <x:c r="F1132" s="66" t="n">
        <x:f>IF(E1132=0,0,D1132/E1132*10000)</x:f>
        <x:v>0.011733646230566148</x:v>
      </x:c>
      <x:c r="G1132" s="67" t="n">
        <x:f>VLOOKUP(C1132,'Governorate Master'!$A$2:$Q$13,7,FALSE)</x:f>
        <x:v>358</x:v>
      </x:c>
      <x:c r="H1132" s="20" t="n">
        <x:f>VLOOKUP(C1132,'Governorate Master'!$A$2:$Q$13,6,FALSE)</x:f>
        <x:v>0.9636256966852449</x:v>
      </x:c>
      <x:c r="I1132" s="20" t="n">
        <x:f>VLOOKUP(C1132,'Governorate Master'!$A$2:$Q$13,15,FALSE)</x:f>
        <x:v>-0.06808762581409118</x:v>
      </x:c>
      <x:c r="J1132" s="12" t="str">
        <x:v>Location model input - competition/saturation context</x:v>
      </x:c>
      <x:c r="K1132" s="12" t="str">
        <x:v>Business count is from 2018 while population/context indicators are newer; use as a historical proxy, not a current market count.</x:v>
      </x:c>
    </x:row>
    <x:row r="1133">
      <x:c r="A1133" s="12" t="str">
        <x:v>2825</x:v>
      </x:c>
      <x:c r="B1133" s="12" t="str">
        <x:v>Manufacture of machinery for food, beverage and tobacco processing</x:v>
      </x:c>
      <x:c r="C1133" s="12" t="str">
        <x:v>مادبا</x:v>
      </x:c>
      <x:c r="D1133" s="14" t="n">
        <x:v>0</x:v>
      </x:c>
      <x:c r="E1133" s="14" t="n">
        <x:f>VLOOKUP(C1133,'Governorate Master'!$A$2:$Q$13,3,FALSE)</x:f>
        <x:v>236200</x:v>
      </x:c>
      <x:c r="F1133" s="66" t="n">
        <x:f>IF(E1133=0,0,D1133/E1133*10000)</x:f>
        <x:v>0</x:v>
      </x:c>
      <x:c r="G1133" s="67" t="n">
        <x:f>VLOOKUP(C1133,'Governorate Master'!$A$2:$Q$13,7,FALSE)</x:f>
        <x:v>251.4</x:v>
      </x:c>
      <x:c r="H1133" s="20" t="n">
        <x:f>VLOOKUP(C1133,'Governorate Master'!$A$2:$Q$13,6,FALSE)</x:f>
        <x:v>0.7823878069432684</x:v>
      </x:c>
      <x:c r="I1133" s="20" t="n">
        <x:f>VLOOKUP(C1133,'Governorate Master'!$A$2:$Q$13,15,FALSE)</x:f>
        <x:v>-0.18823529411764706</x:v>
      </x:c>
      <x:c r="J1133" s="12" t="str">
        <x:v>Location model input - competition/saturation context</x:v>
      </x:c>
      <x:c r="K1133" s="12" t="str">
        <x:v>Business count is from 2018 while population/context indicators are newer; use as a historical proxy, not a current market count.</x:v>
      </x:c>
    </x:row>
    <x:row r="1134">
      <x:c r="A1134" s="12" t="str">
        <x:v>2825</x:v>
      </x:c>
      <x:c r="B1134" s="12" t="str">
        <x:v>Manufacture of machinery for food, beverage and tobacco processing</x:v>
      </x:c>
      <x:c r="C1134" s="12" t="str">
        <x:v>إربد</x:v>
      </x:c>
      <x:c r="D1134" s="14" t="n">
        <x:v>0</x:v>
      </x:c>
      <x:c r="E1134" s="14" t="n">
        <x:f>VLOOKUP(C1134,'Governorate Master'!$A$2:$Q$13,3,FALSE)</x:f>
        <x:v>2210500</x:v>
      </x:c>
      <x:c r="F1134" s="66" t="n">
        <x:f>IF(E1134=0,0,D1134/E1134*10000)</x:f>
        <x:v>0</x:v>
      </x:c>
      <x:c r="G1134" s="67" t="n">
        <x:f>VLOOKUP(C1134,'Governorate Master'!$A$2:$Q$13,7,FALSE)</x:f>
        <x:v>1406.4</x:v>
      </x:c>
      <x:c r="H1134" s="20" t="n">
        <x:f>VLOOKUP(C1134,'Governorate Master'!$A$2:$Q$13,6,FALSE)</x:f>
        <x:v>0.9235014702555983</x:v>
      </x:c>
      <x:c r="I1134" s="20" t="n">
        <x:f>VLOOKUP(C1134,'Governorate Master'!$A$2:$Q$13,15,FALSE)</x:f>
        <x:v>0.07086922474549726</x:v>
      </x:c>
      <x:c r="J1134" s="12" t="str">
        <x:v>Location model input - competition/saturation context</x:v>
      </x:c>
      <x:c r="K1134" s="12" t="str">
        <x:v>Business count is from 2018 while population/context indicators are newer; use as a historical proxy, not a current market count.</x:v>
      </x:c>
    </x:row>
    <x:row r="1135">
      <x:c r="A1135" s="12" t="str">
        <x:v>2825</x:v>
      </x:c>
      <x:c r="B1135" s="12" t="str">
        <x:v>Manufacture of machinery for food, beverage and tobacco processing</x:v>
      </x:c>
      <x:c r="C1135" s="12" t="str">
        <x:v>المفرق</x:v>
      </x:c>
      <x:c r="D1135" s="14" t="n">
        <x:v>0</x:v>
      </x:c>
      <x:c r="E1135" s="14" t="n">
        <x:f>VLOOKUP(C1135,'Governorate Master'!$A$2:$Q$13,3,FALSE)</x:f>
        <x:v>686800</x:v>
      </x:c>
      <x:c r="F1135" s="66" t="n">
        <x:f>IF(E1135=0,0,D1135/E1135*10000)</x:f>
        <x:v>0</x:v>
      </x:c>
      <x:c r="G1135" s="67" t="n">
        <x:f>VLOOKUP(C1135,'Governorate Master'!$A$2:$Q$13,7,FALSE)</x:f>
        <x:v>25.9</x:v>
      </x:c>
      <x:c r="H1135" s="20" t="n">
        <x:f>VLOOKUP(C1135,'Governorate Master'!$A$2:$Q$13,6,FALSE)</x:f>
        <x:v>0.6965637740244612</x:v>
      </x:c>
      <x:c r="I1135" s="20" t="n">
        <x:f>VLOOKUP(C1135,'Governorate Master'!$A$2:$Q$13,15,FALSE)</x:f>
        <x:v>-0.016638935108153077</x:v>
      </x:c>
      <x:c r="J1135" s="12" t="str">
        <x:v>Location model input - competition/saturation context</x:v>
      </x:c>
      <x:c r="K1135" s="12" t="str">
        <x:v>Business count is from 2018 while population/context indicators are newer; use as a historical proxy, not a current market count.</x:v>
      </x:c>
    </x:row>
    <x:row r="1136">
      <x:c r="A1136" s="12" t="str">
        <x:v>2825</x:v>
      </x:c>
      <x:c r="B1136" s="12" t="str">
        <x:v>Manufacture of machinery for food, beverage and tobacco processing</x:v>
      </x:c>
      <x:c r="C1136" s="12" t="str">
        <x:v>جرش</x:v>
      </x:c>
      <x:c r="D1136" s="14" t="n">
        <x:v>0</x:v>
      </x:c>
      <x:c r="E1136" s="14" t="n">
        <x:f>VLOOKUP(C1136,'Governorate Master'!$A$2:$Q$13,3,FALSE)</x:f>
        <x:v>296000</x:v>
      </x:c>
      <x:c r="F1136" s="66" t="n">
        <x:f>IF(E1136=0,0,D1136/E1136*10000)</x:f>
        <x:v>0</x:v>
      </x:c>
      <x:c r="G1136" s="67" t="n">
        <x:f>VLOOKUP(C1136,'Governorate Master'!$A$2:$Q$13,7,FALSE)</x:f>
        <x:v>722.3</x:v>
      </x:c>
      <x:c r="H1136" s="20" t="n">
        <x:f>VLOOKUP(C1136,'Governorate Master'!$A$2:$Q$13,6,FALSE)</x:f>
        <x:v>0.7695945945945946</x:v>
      </x:c>
      <x:c r="I1136" s="20" t="n">
        <x:f>VLOOKUP(C1136,'Governorate Master'!$A$2:$Q$13,15,FALSE)</x:f>
        <x:v>-0.06527415143603134</x:v>
      </x:c>
      <x:c r="J1136" s="12" t="str">
        <x:v>Location model input - competition/saturation context</x:v>
      </x:c>
      <x:c r="K1136" s="12" t="str">
        <x:v>Business count is from 2018 while population/context indicators are newer; use as a historical proxy, not a current market count.</x:v>
      </x:c>
    </x:row>
    <x:row r="1137">
      <x:c r="A1137" s="12" t="str">
        <x:v>2825</x:v>
      </x:c>
      <x:c r="B1137" s="12" t="str">
        <x:v>Manufacture of machinery for food, beverage and tobacco processing</x:v>
      </x:c>
      <x:c r="C1137" s="12" t="str">
        <x:v>عجلون</x:v>
      </x:c>
      <x:c r="D1137" s="14" t="n">
        <x:v>0</x:v>
      </x:c>
      <x:c r="E1137" s="14" t="n">
        <x:f>VLOOKUP(C1137,'Governorate Master'!$A$2:$Q$13,3,FALSE)</x:f>
        <x:v>219900</x:v>
      </x:c>
      <x:c r="F1137" s="66" t="n">
        <x:f>IF(E1137=0,0,D1137/E1137*10000)</x:f>
        <x:v>0</x:v>
      </x:c>
      <x:c r="G1137" s="67" t="n">
        <x:f>VLOOKUP(C1137,'Governorate Master'!$A$2:$Q$13,7,FALSE)</x:f>
        <x:v>524</x:v>
      </x:c>
      <x:c r="H1137" s="20" t="n">
        <x:f>VLOOKUP(C1137,'Governorate Master'!$A$2:$Q$13,6,FALSE)</x:f>
        <x:v>0.8390177353342428</x:v>
      </x:c>
      <x:c r="I1137" s="20" t="n">
        <x:f>VLOOKUP(C1137,'Governorate Master'!$A$2:$Q$13,15,FALSE)</x:f>
        <x:v>0.03614457831325301</x:v>
      </x:c>
      <x:c r="J1137" s="12" t="str">
        <x:v>Location model input - competition/saturation context</x:v>
      </x:c>
      <x:c r="K1137" s="12" t="str">
        <x:v>Business count is from 2018 while population/context indicators are newer; use as a historical proxy, not a current market count.</x:v>
      </x:c>
    </x:row>
    <x:row r="1138">
      <x:c r="A1138" s="12" t="str">
        <x:v>2825</x:v>
      </x:c>
      <x:c r="B1138" s="12" t="str">
        <x:v>Manufacture of machinery for food, beverage and tobacco processing</x:v>
      </x:c>
      <x:c r="C1138" s="12" t="str">
        <x:v>الكرك</x:v>
      </x:c>
      <x:c r="D1138" s="14" t="n">
        <x:v>0</x:v>
      </x:c>
      <x:c r="E1138" s="14" t="n">
        <x:f>VLOOKUP(C1138,'Governorate Master'!$A$2:$Q$13,3,FALSE)</x:f>
        <x:v>395400</x:v>
      </x:c>
      <x:c r="F1138" s="66" t="n">
        <x:f>IF(E1138=0,0,D1138/E1138*10000)</x:f>
        <x:v>0</x:v>
      </x:c>
      <x:c r="G1138" s="67" t="n">
        <x:f>VLOOKUP(C1138,'Governorate Master'!$A$2:$Q$13,7,FALSE)</x:f>
        <x:v>113.1</x:v>
      </x:c>
      <x:c r="H1138" s="20" t="n">
        <x:f>VLOOKUP(C1138,'Governorate Master'!$A$2:$Q$13,6,FALSE)</x:f>
        <x:v>0.5912999494183105</x:v>
      </x:c>
      <x:c r="I1138" s="20" t="n">
        <x:f>VLOOKUP(C1138,'Governorate Master'!$A$2:$Q$13,15,FALSE)</x:f>
        <x:v>0.08710801393728224</x:v>
      </x:c>
      <x:c r="J1138" s="12" t="str">
        <x:v>Location model input - competition/saturation context</x:v>
      </x:c>
      <x:c r="K1138" s="12" t="str">
        <x:v>Business count is from 2018 while population/context indicators are newer; use as a historical proxy, not a current market count.</x:v>
      </x:c>
    </x:row>
    <x:row r="1139">
      <x:c r="A1139" s="12" t="str">
        <x:v>2825</x:v>
      </x:c>
      <x:c r="B1139" s="12" t="str">
        <x:v>Manufacture of machinery for food, beverage and tobacco processing</x:v>
      </x:c>
      <x:c r="C1139" s="12" t="str">
        <x:v>الطفيلة</x:v>
      </x:c>
      <x:c r="D1139" s="14" t="n">
        <x:v>0</x:v>
      </x:c>
      <x:c r="E1139" s="14" t="n">
        <x:f>VLOOKUP(C1139,'Governorate Master'!$A$2:$Q$13,3,FALSE)</x:f>
        <x:v>120300</x:v>
      </x:c>
      <x:c r="F1139" s="66" t="n">
        <x:f>IF(E1139=0,0,D1139/E1139*10000)</x:f>
        <x:v>0</x:v>
      </x:c>
      <x:c r="G1139" s="67" t="n">
        <x:f>VLOOKUP(C1139,'Governorate Master'!$A$2:$Q$13,7,FALSE)</x:f>
        <x:v>54.4</x:v>
      </x:c>
      <x:c r="H1139" s="20" t="n">
        <x:f>VLOOKUP(C1139,'Governorate Master'!$A$2:$Q$13,6,FALSE)</x:f>
        <x:v>0.7797173732335827</x:v>
      </x:c>
      <x:c r="I1139" s="20" t="n">
        <x:f>VLOOKUP(C1139,'Governorate Master'!$A$2:$Q$13,15,FALSE)</x:f>
        <x:v>0.18452380952380953</x:v>
      </x:c>
      <x:c r="J1139" s="12" t="str">
        <x:v>Location model input - competition/saturation context</x:v>
      </x:c>
      <x:c r="K1139" s="12" t="str">
        <x:v>Business count is from 2018 while population/context indicators are newer; use as a historical proxy, not a current market count.</x:v>
      </x:c>
    </x:row>
    <x:row r="1140">
      <x:c r="A1140" s="12" t="str">
        <x:v>2825</x:v>
      </x:c>
      <x:c r="B1140" s="12" t="str">
        <x:v>Manufacture of machinery for food, beverage and tobacco processing</x:v>
      </x:c>
      <x:c r="C1140" s="12" t="str">
        <x:v>معان</x:v>
      </x:c>
      <x:c r="D1140" s="14" t="n">
        <x:v>0</x:v>
      </x:c>
      <x:c r="E1140" s="14" t="n">
        <x:f>VLOOKUP(C1140,'Governorate Master'!$A$2:$Q$13,3,FALSE)</x:f>
        <x:v>197900</x:v>
      </x:c>
      <x:c r="F1140" s="66" t="n">
        <x:f>IF(E1140=0,0,D1140/E1140*10000)</x:f>
        <x:v>0</x:v>
      </x:c>
      <x:c r="G1140" s="67" t="n">
        <x:f>VLOOKUP(C1140,'Governorate Master'!$A$2:$Q$13,7,FALSE)</x:f>
        <x:v>6</x:v>
      </x:c>
      <x:c r="H1140" s="20" t="n">
        <x:f>VLOOKUP(C1140,'Governorate Master'!$A$2:$Q$13,6,FALSE)</x:f>
        <x:v>0.5406771096513391</x:v>
      </x:c>
      <x:c r="I1140" s="20" t="n">
        <x:f>VLOOKUP(C1140,'Governorate Master'!$A$2:$Q$13,15,FALSE)</x:f>
        <x:v>0.026845637583892617</x:v>
      </x:c>
      <x:c r="J1140" s="12" t="str">
        <x:v>Location model input - competition/saturation context</x:v>
      </x:c>
      <x:c r="K1140" s="12" t="str">
        <x:v>Business count is from 2018 while population/context indicators are newer; use as a historical proxy, not a current market count.</x:v>
      </x:c>
    </x:row>
    <x:row r="1141">
      <x:c r="A1141" s="12" t="str">
        <x:v>2825</x:v>
      </x:c>
      <x:c r="B1141" s="12" t="str">
        <x:v>Manufacture of machinery for food, beverage and tobacco processing</x:v>
      </x:c>
      <x:c r="C1141" s="12" t="str">
        <x:v>العقبة</x:v>
      </x:c>
      <x:c r="D1141" s="14" t="n">
        <x:v>0</x:v>
      </x:c>
      <x:c r="E1141" s="14" t="n">
        <x:f>VLOOKUP(C1141,'Governorate Master'!$A$2:$Q$13,3,FALSE)</x:f>
        <x:v>250900</x:v>
      </x:c>
      <x:c r="F1141" s="66" t="n">
        <x:f>IF(E1141=0,0,D1141/E1141*10000)</x:f>
        <x:v>0</x:v>
      </x:c>
      <x:c r="G1141" s="67" t="n">
        <x:f>VLOOKUP(C1141,'Governorate Master'!$A$2:$Q$13,7,FALSE)</x:f>
        <x:v>36.3</x:v>
      </x:c>
      <x:c r="H1141" s="20" t="n">
        <x:f>VLOOKUP(C1141,'Governorate Master'!$A$2:$Q$13,6,FALSE)</x:f>
        <x:v>0.882024711040255</x:v>
      </x:c>
      <x:c r="I1141" s="20" t="n">
        <x:f>VLOOKUP(C1141,'Governorate Master'!$A$2:$Q$13,15,FALSE)</x:f>
        <x:v>-0.09</x:v>
      </x:c>
      <x:c r="J1141" s="12" t="str">
        <x:v>Location model input - competition/saturation context</x:v>
      </x:c>
      <x:c r="K1141" s="12" t="str">
        <x:v>Business count is from 2018 while population/context indicators are newer; use as a historical proxy, not a current market count.</x:v>
      </x:c>
    </x:row>
    <x:row r="1142">
      <x:c r="A1142" s="12" t="str">
        <x:v>2826</x:v>
      </x:c>
      <x:c r="B1142" s="12" t="str">
        <x:v>Manufacture of machinery for textile, apparel and leather production</x:v>
      </x:c>
      <x:c r="C1142" s="12" t="str">
        <x:v>عمان</x:v>
      </x:c>
      <x:c r="D1142" s="14" t="n">
        <x:v>1</x:v>
      </x:c>
      <x:c r="E1142" s="14" t="n">
        <x:f>VLOOKUP(C1142,'Governorate Master'!$A$2:$Q$13,3,FALSE)</x:f>
        <x:v>5004600</x:v>
      </x:c>
      <x:c r="F1142" s="66" t="n">
        <x:f>IF(E1142=0,0,D1142/E1142*10000)</x:f>
        <x:v>0.0019981616912440555</x:v>
      </x:c>
      <x:c r="G1142" s="67" t="n">
        <x:f>VLOOKUP(C1142,'Governorate Master'!$A$2:$Q$13,7,FALSE)</x:f>
        <x:v>660.3</x:v>
      </x:c>
      <x:c r="H1142" s="20" t="n">
        <x:f>VLOOKUP(C1142,'Governorate Master'!$A$2:$Q$13,6,FALSE)</x:f>
        <x:v>0.9721656076409703</x:v>
      </x:c>
      <x:c r="I1142" s="20" t="n">
        <x:f>VLOOKUP(C1142,'Governorate Master'!$A$2:$Q$13,15,FALSE)</x:f>
        <x:v>0.06367041198501873</x:v>
      </x:c>
      <x:c r="J1142" s="12" t="str">
        <x:v>Location model input - competition/saturation context</x:v>
      </x:c>
      <x:c r="K1142" s="12" t="str">
        <x:v>Business count is from 2018 while population/context indicators are newer; use as a historical proxy, not a current market count.</x:v>
      </x:c>
    </x:row>
    <x:row r="1143">
      <x:c r="A1143" s="12" t="str">
        <x:v>2826</x:v>
      </x:c>
      <x:c r="B1143" s="12" t="str">
        <x:v>Manufacture of machinery for textile, apparel and leather production</x:v>
      </x:c>
      <x:c r="C1143" s="12" t="str">
        <x:v>البلقاء</x:v>
      </x:c>
      <x:c r="D1143" s="14" t="n">
        <x:v>0</x:v>
      </x:c>
      <x:c r="E1143" s="14" t="n">
        <x:f>VLOOKUP(C1143,'Governorate Master'!$A$2:$Q$13,3,FALSE)</x:f>
        <x:v>614000</x:v>
      </x:c>
      <x:c r="F1143" s="66" t="n">
        <x:f>IF(E1143=0,0,D1143/E1143*10000)</x:f>
        <x:v>0</x:v>
      </x:c>
      <x:c r="G1143" s="67" t="n">
        <x:f>VLOOKUP(C1143,'Governorate Master'!$A$2:$Q$13,7,FALSE)</x:f>
        <x:v>548</x:v>
      </x:c>
      <x:c r="H1143" s="20" t="n">
        <x:f>VLOOKUP(C1143,'Governorate Master'!$A$2:$Q$13,6,FALSE)</x:f>
        <x:v>0.8210097719869707</x:v>
      </x:c>
      <x:c r="I1143" s="20" t="n">
        <x:f>VLOOKUP(C1143,'Governorate Master'!$A$2:$Q$13,15,FALSE)</x:f>
        <x:v>0.10794044665012408</x:v>
      </x:c>
      <x:c r="J1143" s="12" t="str">
        <x:v>Location model input - competition/saturation context</x:v>
      </x:c>
      <x:c r="K1143" s="12" t="str">
        <x:v>Business count is from 2018 while population/context indicators are newer; use as a historical proxy, not a current market count.</x:v>
      </x:c>
    </x:row>
    <x:row r="1144">
      <x:c r="A1144" s="12" t="str">
        <x:v>2826</x:v>
      </x:c>
      <x:c r="B1144" s="12" t="str">
        <x:v>Manufacture of machinery for textile, apparel and leather production</x:v>
      </x:c>
      <x:c r="C1144" s="12" t="str">
        <x:v>الزرقاء</x:v>
      </x:c>
      <x:c r="D1144" s="14" t="n">
        <x:v>0</x:v>
      </x:c>
      <x:c r="E1144" s="14" t="n">
        <x:f>VLOOKUP(C1144,'Governorate Master'!$A$2:$Q$13,3,FALSE)</x:f>
        <x:v>1704500</x:v>
      </x:c>
      <x:c r="F1144" s="66" t="n">
        <x:f>IF(E1144=0,0,D1144/E1144*10000)</x:f>
        <x:v>0</x:v>
      </x:c>
      <x:c r="G1144" s="67" t="n">
        <x:f>VLOOKUP(C1144,'Governorate Master'!$A$2:$Q$13,7,FALSE)</x:f>
        <x:v>358</x:v>
      </x:c>
      <x:c r="H1144" s="20" t="n">
        <x:f>VLOOKUP(C1144,'Governorate Master'!$A$2:$Q$13,6,FALSE)</x:f>
        <x:v>0.9636256966852449</x:v>
      </x:c>
      <x:c r="I1144" s="20" t="n">
        <x:f>VLOOKUP(C1144,'Governorate Master'!$A$2:$Q$13,15,FALSE)</x:f>
        <x:v>-0.06808762581409118</x:v>
      </x:c>
      <x:c r="J1144" s="12" t="str">
        <x:v>Location model input - competition/saturation context</x:v>
      </x:c>
      <x:c r="K1144" s="12" t="str">
        <x:v>Business count is from 2018 while population/context indicators are newer; use as a historical proxy, not a current market count.</x:v>
      </x:c>
    </x:row>
    <x:row r="1145">
      <x:c r="A1145" s="12" t="str">
        <x:v>2826</x:v>
      </x:c>
      <x:c r="B1145" s="12" t="str">
        <x:v>Manufacture of machinery for textile, apparel and leather production</x:v>
      </x:c>
      <x:c r="C1145" s="12" t="str">
        <x:v>مادبا</x:v>
      </x:c>
      <x:c r="D1145" s="14" t="n">
        <x:v>0</x:v>
      </x:c>
      <x:c r="E1145" s="14" t="n">
        <x:f>VLOOKUP(C1145,'Governorate Master'!$A$2:$Q$13,3,FALSE)</x:f>
        <x:v>236200</x:v>
      </x:c>
      <x:c r="F1145" s="66" t="n">
        <x:f>IF(E1145=0,0,D1145/E1145*10000)</x:f>
        <x:v>0</x:v>
      </x:c>
      <x:c r="G1145" s="67" t="n">
        <x:f>VLOOKUP(C1145,'Governorate Master'!$A$2:$Q$13,7,FALSE)</x:f>
        <x:v>251.4</x:v>
      </x:c>
      <x:c r="H1145" s="20" t="n">
        <x:f>VLOOKUP(C1145,'Governorate Master'!$A$2:$Q$13,6,FALSE)</x:f>
        <x:v>0.7823878069432684</x:v>
      </x:c>
      <x:c r="I1145" s="20" t="n">
        <x:f>VLOOKUP(C1145,'Governorate Master'!$A$2:$Q$13,15,FALSE)</x:f>
        <x:v>-0.18823529411764706</x:v>
      </x:c>
      <x:c r="J1145" s="12" t="str">
        <x:v>Location model input - competition/saturation context</x:v>
      </x:c>
      <x:c r="K1145" s="12" t="str">
        <x:v>Business count is from 2018 while population/context indicators are newer; use as a historical proxy, not a current market count.</x:v>
      </x:c>
    </x:row>
    <x:row r="1146">
      <x:c r="A1146" s="12" t="str">
        <x:v>2826</x:v>
      </x:c>
      <x:c r="B1146" s="12" t="str">
        <x:v>Manufacture of machinery for textile, apparel and leather production</x:v>
      </x:c>
      <x:c r="C1146" s="12" t="str">
        <x:v>إربد</x:v>
      </x:c>
      <x:c r="D1146" s="14" t="n">
        <x:v>0</x:v>
      </x:c>
      <x:c r="E1146" s="14" t="n">
        <x:f>VLOOKUP(C1146,'Governorate Master'!$A$2:$Q$13,3,FALSE)</x:f>
        <x:v>2210500</x:v>
      </x:c>
      <x:c r="F1146" s="66" t="n">
        <x:f>IF(E1146=0,0,D1146/E1146*10000)</x:f>
        <x:v>0</x:v>
      </x:c>
      <x:c r="G1146" s="67" t="n">
        <x:f>VLOOKUP(C1146,'Governorate Master'!$A$2:$Q$13,7,FALSE)</x:f>
        <x:v>1406.4</x:v>
      </x:c>
      <x:c r="H1146" s="20" t="n">
        <x:f>VLOOKUP(C1146,'Governorate Master'!$A$2:$Q$13,6,FALSE)</x:f>
        <x:v>0.9235014702555983</x:v>
      </x:c>
      <x:c r="I1146" s="20" t="n">
        <x:f>VLOOKUP(C1146,'Governorate Master'!$A$2:$Q$13,15,FALSE)</x:f>
        <x:v>0.07086922474549726</x:v>
      </x:c>
      <x:c r="J1146" s="12" t="str">
        <x:v>Location model input - competition/saturation context</x:v>
      </x:c>
      <x:c r="K1146" s="12" t="str">
        <x:v>Business count is from 2018 while population/context indicators are newer; use as a historical proxy, not a current market count.</x:v>
      </x:c>
    </x:row>
    <x:row r="1147">
      <x:c r="A1147" s="12" t="str">
        <x:v>2826</x:v>
      </x:c>
      <x:c r="B1147" s="12" t="str">
        <x:v>Manufacture of machinery for textile, apparel and leather production</x:v>
      </x:c>
      <x:c r="C1147" s="12" t="str">
        <x:v>المفرق</x:v>
      </x:c>
      <x:c r="D1147" s="14" t="n">
        <x:v>0</x:v>
      </x:c>
      <x:c r="E1147" s="14" t="n">
        <x:f>VLOOKUP(C1147,'Governorate Master'!$A$2:$Q$13,3,FALSE)</x:f>
        <x:v>686800</x:v>
      </x:c>
      <x:c r="F1147" s="66" t="n">
        <x:f>IF(E1147=0,0,D1147/E1147*10000)</x:f>
        <x:v>0</x:v>
      </x:c>
      <x:c r="G1147" s="67" t="n">
        <x:f>VLOOKUP(C1147,'Governorate Master'!$A$2:$Q$13,7,FALSE)</x:f>
        <x:v>25.9</x:v>
      </x:c>
      <x:c r="H1147" s="20" t="n">
        <x:f>VLOOKUP(C1147,'Governorate Master'!$A$2:$Q$13,6,FALSE)</x:f>
        <x:v>0.6965637740244612</x:v>
      </x:c>
      <x:c r="I1147" s="20" t="n">
        <x:f>VLOOKUP(C1147,'Governorate Master'!$A$2:$Q$13,15,FALSE)</x:f>
        <x:v>-0.016638935108153077</x:v>
      </x:c>
      <x:c r="J1147" s="12" t="str">
        <x:v>Location model input - competition/saturation context</x:v>
      </x:c>
      <x:c r="K1147" s="12" t="str">
        <x:v>Business count is from 2018 while population/context indicators are newer; use as a historical proxy, not a current market count.</x:v>
      </x:c>
    </x:row>
    <x:row r="1148">
      <x:c r="A1148" s="12" t="str">
        <x:v>2826</x:v>
      </x:c>
      <x:c r="B1148" s="12" t="str">
        <x:v>Manufacture of machinery for textile, apparel and leather production</x:v>
      </x:c>
      <x:c r="C1148" s="12" t="str">
        <x:v>جرش</x:v>
      </x:c>
      <x:c r="D1148" s="14" t="n">
        <x:v>0</x:v>
      </x:c>
      <x:c r="E1148" s="14" t="n">
        <x:f>VLOOKUP(C1148,'Governorate Master'!$A$2:$Q$13,3,FALSE)</x:f>
        <x:v>296000</x:v>
      </x:c>
      <x:c r="F1148" s="66" t="n">
        <x:f>IF(E1148=0,0,D1148/E1148*10000)</x:f>
        <x:v>0</x:v>
      </x:c>
      <x:c r="G1148" s="67" t="n">
        <x:f>VLOOKUP(C1148,'Governorate Master'!$A$2:$Q$13,7,FALSE)</x:f>
        <x:v>722.3</x:v>
      </x:c>
      <x:c r="H1148" s="20" t="n">
        <x:f>VLOOKUP(C1148,'Governorate Master'!$A$2:$Q$13,6,FALSE)</x:f>
        <x:v>0.7695945945945946</x:v>
      </x:c>
      <x:c r="I1148" s="20" t="n">
        <x:f>VLOOKUP(C1148,'Governorate Master'!$A$2:$Q$13,15,FALSE)</x:f>
        <x:v>-0.06527415143603134</x:v>
      </x:c>
      <x:c r="J1148" s="12" t="str">
        <x:v>Location model input - competition/saturation context</x:v>
      </x:c>
      <x:c r="K1148" s="12" t="str">
        <x:v>Business count is from 2018 while population/context indicators are newer; use as a historical proxy, not a current market count.</x:v>
      </x:c>
    </x:row>
    <x:row r="1149">
      <x:c r="A1149" s="12" t="str">
        <x:v>2826</x:v>
      </x:c>
      <x:c r="B1149" s="12" t="str">
        <x:v>Manufacture of machinery for textile, apparel and leather production</x:v>
      </x:c>
      <x:c r="C1149" s="12" t="str">
        <x:v>عجلون</x:v>
      </x:c>
      <x:c r="D1149" s="14" t="n">
        <x:v>0</x:v>
      </x:c>
      <x:c r="E1149" s="14" t="n">
        <x:f>VLOOKUP(C1149,'Governorate Master'!$A$2:$Q$13,3,FALSE)</x:f>
        <x:v>219900</x:v>
      </x:c>
      <x:c r="F1149" s="66" t="n">
        <x:f>IF(E1149=0,0,D1149/E1149*10000)</x:f>
        <x:v>0</x:v>
      </x:c>
      <x:c r="G1149" s="67" t="n">
        <x:f>VLOOKUP(C1149,'Governorate Master'!$A$2:$Q$13,7,FALSE)</x:f>
        <x:v>524</x:v>
      </x:c>
      <x:c r="H1149" s="20" t="n">
        <x:f>VLOOKUP(C1149,'Governorate Master'!$A$2:$Q$13,6,FALSE)</x:f>
        <x:v>0.8390177353342428</x:v>
      </x:c>
      <x:c r="I1149" s="20" t="n">
        <x:f>VLOOKUP(C1149,'Governorate Master'!$A$2:$Q$13,15,FALSE)</x:f>
        <x:v>0.03614457831325301</x:v>
      </x:c>
      <x:c r="J1149" s="12" t="str">
        <x:v>Location model input - competition/saturation context</x:v>
      </x:c>
      <x:c r="K1149" s="12" t="str">
        <x:v>Business count is from 2018 while population/context indicators are newer; use as a historical proxy, not a current market count.</x:v>
      </x:c>
    </x:row>
    <x:row r="1150">
      <x:c r="A1150" s="12" t="str">
        <x:v>2826</x:v>
      </x:c>
      <x:c r="B1150" s="12" t="str">
        <x:v>Manufacture of machinery for textile, apparel and leather production</x:v>
      </x:c>
      <x:c r="C1150" s="12" t="str">
        <x:v>الكرك</x:v>
      </x:c>
      <x:c r="D1150" s="14" t="n">
        <x:v>0</x:v>
      </x:c>
      <x:c r="E1150" s="14" t="n">
        <x:f>VLOOKUP(C1150,'Governorate Master'!$A$2:$Q$13,3,FALSE)</x:f>
        <x:v>395400</x:v>
      </x:c>
      <x:c r="F1150" s="66" t="n">
        <x:f>IF(E1150=0,0,D1150/E1150*10000)</x:f>
        <x:v>0</x:v>
      </x:c>
      <x:c r="G1150" s="67" t="n">
        <x:f>VLOOKUP(C1150,'Governorate Master'!$A$2:$Q$13,7,FALSE)</x:f>
        <x:v>113.1</x:v>
      </x:c>
      <x:c r="H1150" s="20" t="n">
        <x:f>VLOOKUP(C1150,'Governorate Master'!$A$2:$Q$13,6,FALSE)</x:f>
        <x:v>0.5912999494183105</x:v>
      </x:c>
      <x:c r="I1150" s="20" t="n">
        <x:f>VLOOKUP(C1150,'Governorate Master'!$A$2:$Q$13,15,FALSE)</x:f>
        <x:v>0.08710801393728224</x:v>
      </x:c>
      <x:c r="J1150" s="12" t="str">
        <x:v>Location model input - competition/saturation context</x:v>
      </x:c>
      <x:c r="K1150" s="12" t="str">
        <x:v>Business count is from 2018 while population/context indicators are newer; use as a historical proxy, not a current market count.</x:v>
      </x:c>
    </x:row>
    <x:row r="1151">
      <x:c r="A1151" s="12" t="str">
        <x:v>2826</x:v>
      </x:c>
      <x:c r="B1151" s="12" t="str">
        <x:v>Manufacture of machinery for textile, apparel and leather production</x:v>
      </x:c>
      <x:c r="C1151" s="12" t="str">
        <x:v>الطفيلة</x:v>
      </x:c>
      <x:c r="D1151" s="14" t="n">
        <x:v>0</x:v>
      </x:c>
      <x:c r="E1151" s="14" t="n">
        <x:f>VLOOKUP(C1151,'Governorate Master'!$A$2:$Q$13,3,FALSE)</x:f>
        <x:v>120300</x:v>
      </x:c>
      <x:c r="F1151" s="66" t="n">
        <x:f>IF(E1151=0,0,D1151/E1151*10000)</x:f>
        <x:v>0</x:v>
      </x:c>
      <x:c r="G1151" s="67" t="n">
        <x:f>VLOOKUP(C1151,'Governorate Master'!$A$2:$Q$13,7,FALSE)</x:f>
        <x:v>54.4</x:v>
      </x:c>
      <x:c r="H1151" s="20" t="n">
        <x:f>VLOOKUP(C1151,'Governorate Master'!$A$2:$Q$13,6,FALSE)</x:f>
        <x:v>0.7797173732335827</x:v>
      </x:c>
      <x:c r="I1151" s="20" t="n">
        <x:f>VLOOKUP(C1151,'Governorate Master'!$A$2:$Q$13,15,FALSE)</x:f>
        <x:v>0.18452380952380953</x:v>
      </x:c>
      <x:c r="J1151" s="12" t="str">
        <x:v>Location model input - competition/saturation context</x:v>
      </x:c>
      <x:c r="K1151" s="12" t="str">
        <x:v>Business count is from 2018 while population/context indicators are newer; use as a historical proxy, not a current market count.</x:v>
      </x:c>
    </x:row>
    <x:row r="1152">
      <x:c r="A1152" s="12" t="str">
        <x:v>2826</x:v>
      </x:c>
      <x:c r="B1152" s="12" t="str">
        <x:v>Manufacture of machinery for textile, apparel and leather production</x:v>
      </x:c>
      <x:c r="C1152" s="12" t="str">
        <x:v>معان</x:v>
      </x:c>
      <x:c r="D1152" s="14" t="n">
        <x:v>0</x:v>
      </x:c>
      <x:c r="E1152" s="14" t="n">
        <x:f>VLOOKUP(C1152,'Governorate Master'!$A$2:$Q$13,3,FALSE)</x:f>
        <x:v>197900</x:v>
      </x:c>
      <x:c r="F1152" s="66" t="n">
        <x:f>IF(E1152=0,0,D1152/E1152*10000)</x:f>
        <x:v>0</x:v>
      </x:c>
      <x:c r="G1152" s="67" t="n">
        <x:f>VLOOKUP(C1152,'Governorate Master'!$A$2:$Q$13,7,FALSE)</x:f>
        <x:v>6</x:v>
      </x:c>
      <x:c r="H1152" s="20" t="n">
        <x:f>VLOOKUP(C1152,'Governorate Master'!$A$2:$Q$13,6,FALSE)</x:f>
        <x:v>0.5406771096513391</x:v>
      </x:c>
      <x:c r="I1152" s="20" t="n">
        <x:f>VLOOKUP(C1152,'Governorate Master'!$A$2:$Q$13,15,FALSE)</x:f>
        <x:v>0.026845637583892617</x:v>
      </x:c>
      <x:c r="J1152" s="12" t="str">
        <x:v>Location model input - competition/saturation context</x:v>
      </x:c>
      <x:c r="K1152" s="12" t="str">
        <x:v>Business count is from 2018 while population/context indicators are newer; use as a historical proxy, not a current market count.</x:v>
      </x:c>
    </x:row>
    <x:row r="1153">
      <x:c r="A1153" s="12" t="str">
        <x:v>2826</x:v>
      </x:c>
      <x:c r="B1153" s="12" t="str">
        <x:v>Manufacture of machinery for textile, apparel and leather production</x:v>
      </x:c>
      <x:c r="C1153" s="12" t="str">
        <x:v>العقبة</x:v>
      </x:c>
      <x:c r="D1153" s="14" t="n">
        <x:v>0</x:v>
      </x:c>
      <x:c r="E1153" s="14" t="n">
        <x:f>VLOOKUP(C1153,'Governorate Master'!$A$2:$Q$13,3,FALSE)</x:f>
        <x:v>250900</x:v>
      </x:c>
      <x:c r="F1153" s="66" t="n">
        <x:f>IF(E1153=0,0,D1153/E1153*10000)</x:f>
        <x:v>0</x:v>
      </x:c>
      <x:c r="G1153" s="67" t="n">
        <x:f>VLOOKUP(C1153,'Governorate Master'!$A$2:$Q$13,7,FALSE)</x:f>
        <x:v>36.3</x:v>
      </x:c>
      <x:c r="H1153" s="20" t="n">
        <x:f>VLOOKUP(C1153,'Governorate Master'!$A$2:$Q$13,6,FALSE)</x:f>
        <x:v>0.882024711040255</x:v>
      </x:c>
      <x:c r="I1153" s="20" t="n">
        <x:f>VLOOKUP(C1153,'Governorate Master'!$A$2:$Q$13,15,FALSE)</x:f>
        <x:v>-0.09</x:v>
      </x:c>
      <x:c r="J1153" s="12" t="str">
        <x:v>Location model input - competition/saturation context</x:v>
      </x:c>
      <x:c r="K1153" s="12" t="str">
        <x:v>Business count is from 2018 while population/context indicators are newer; use as a historical proxy, not a current market count.</x:v>
      </x:c>
    </x:row>
    <x:row r="1154">
      <x:c r="A1154" s="12" t="str">
        <x:v>2829</x:v>
      </x:c>
      <x:c r="B1154" s="12" t="str">
        <x:v>Manufacture of other special-purpose machinery</x:v>
      </x:c>
      <x:c r="C1154" s="12" t="str">
        <x:v>عمان</x:v>
      </x:c>
      <x:c r="D1154" s="14" t="n">
        <x:v>9</x:v>
      </x:c>
      <x:c r="E1154" s="14" t="n">
        <x:f>VLOOKUP(C1154,'Governorate Master'!$A$2:$Q$13,3,FALSE)</x:f>
        <x:v>5004600</x:v>
      </x:c>
      <x:c r="F1154" s="66" t="n">
        <x:f>IF(E1154=0,0,D1154/E1154*10000)</x:f>
        <x:v>0.0179834552211965</x:v>
      </x:c>
      <x:c r="G1154" s="67" t="n">
        <x:f>VLOOKUP(C1154,'Governorate Master'!$A$2:$Q$13,7,FALSE)</x:f>
        <x:v>660.3</x:v>
      </x:c>
      <x:c r="H1154" s="20" t="n">
        <x:f>VLOOKUP(C1154,'Governorate Master'!$A$2:$Q$13,6,FALSE)</x:f>
        <x:v>0.9721656076409703</x:v>
      </x:c>
      <x:c r="I1154" s="20" t="n">
        <x:f>VLOOKUP(C1154,'Governorate Master'!$A$2:$Q$13,15,FALSE)</x:f>
        <x:v>0.06367041198501873</x:v>
      </x:c>
      <x:c r="J1154" s="12" t="str">
        <x:v>Location model input - competition/saturation context</x:v>
      </x:c>
      <x:c r="K1154" s="12" t="str">
        <x:v>Business count is from 2018 while population/context indicators are newer; use as a historical proxy, not a current market count.</x:v>
      </x:c>
    </x:row>
    <x:row r="1155">
      <x:c r="A1155" s="12" t="str">
        <x:v>2829</x:v>
      </x:c>
      <x:c r="B1155" s="12" t="str">
        <x:v>Manufacture of other special-purpose machinery</x:v>
      </x:c>
      <x:c r="C1155" s="12" t="str">
        <x:v>البلقاء</x:v>
      </x:c>
      <x:c r="D1155" s="14" t="n">
        <x:v>0</x:v>
      </x:c>
      <x:c r="E1155" s="14" t="n">
        <x:f>VLOOKUP(C1155,'Governorate Master'!$A$2:$Q$13,3,FALSE)</x:f>
        <x:v>614000</x:v>
      </x:c>
      <x:c r="F1155" s="66" t="n">
        <x:f>IF(E1155=0,0,D1155/E1155*10000)</x:f>
        <x:v>0</x:v>
      </x:c>
      <x:c r="G1155" s="67" t="n">
        <x:f>VLOOKUP(C1155,'Governorate Master'!$A$2:$Q$13,7,FALSE)</x:f>
        <x:v>548</x:v>
      </x:c>
      <x:c r="H1155" s="20" t="n">
        <x:f>VLOOKUP(C1155,'Governorate Master'!$A$2:$Q$13,6,FALSE)</x:f>
        <x:v>0.8210097719869707</x:v>
      </x:c>
      <x:c r="I1155" s="20" t="n">
        <x:f>VLOOKUP(C1155,'Governorate Master'!$A$2:$Q$13,15,FALSE)</x:f>
        <x:v>0.10794044665012408</x:v>
      </x:c>
      <x:c r="J1155" s="12" t="str">
        <x:v>Location model input - competition/saturation context</x:v>
      </x:c>
      <x:c r="K1155" s="12" t="str">
        <x:v>Business count is from 2018 while population/context indicators are newer; use as a historical proxy, not a current market count.</x:v>
      </x:c>
    </x:row>
    <x:row r="1156">
      <x:c r="A1156" s="12" t="str">
        <x:v>2829</x:v>
      </x:c>
      <x:c r="B1156" s="12" t="str">
        <x:v>Manufacture of other special-purpose machinery</x:v>
      </x:c>
      <x:c r="C1156" s="12" t="str">
        <x:v>الزرقاء</x:v>
      </x:c>
      <x:c r="D1156" s="14" t="n">
        <x:v>0</x:v>
      </x:c>
      <x:c r="E1156" s="14" t="n">
        <x:f>VLOOKUP(C1156,'Governorate Master'!$A$2:$Q$13,3,FALSE)</x:f>
        <x:v>1704500</x:v>
      </x:c>
      <x:c r="F1156" s="66" t="n">
        <x:f>IF(E1156=0,0,D1156/E1156*10000)</x:f>
        <x:v>0</x:v>
      </x:c>
      <x:c r="G1156" s="67" t="n">
        <x:f>VLOOKUP(C1156,'Governorate Master'!$A$2:$Q$13,7,FALSE)</x:f>
        <x:v>358</x:v>
      </x:c>
      <x:c r="H1156" s="20" t="n">
        <x:f>VLOOKUP(C1156,'Governorate Master'!$A$2:$Q$13,6,FALSE)</x:f>
        <x:v>0.9636256966852449</x:v>
      </x:c>
      <x:c r="I1156" s="20" t="n">
        <x:f>VLOOKUP(C1156,'Governorate Master'!$A$2:$Q$13,15,FALSE)</x:f>
        <x:v>-0.06808762581409118</x:v>
      </x:c>
      <x:c r="J1156" s="12" t="str">
        <x:v>Location model input - competition/saturation context</x:v>
      </x:c>
      <x:c r="K1156" s="12" t="str">
        <x:v>Business count is from 2018 while population/context indicators are newer; use as a historical proxy, not a current market count.</x:v>
      </x:c>
    </x:row>
    <x:row r="1157">
      <x:c r="A1157" s="12" t="str">
        <x:v>2829</x:v>
      </x:c>
      <x:c r="B1157" s="12" t="str">
        <x:v>Manufacture of other special-purpose machinery</x:v>
      </x:c>
      <x:c r="C1157" s="12" t="str">
        <x:v>مادبا</x:v>
      </x:c>
      <x:c r="D1157" s="14" t="n">
        <x:v>0</x:v>
      </x:c>
      <x:c r="E1157" s="14" t="n">
        <x:f>VLOOKUP(C1157,'Governorate Master'!$A$2:$Q$13,3,FALSE)</x:f>
        <x:v>236200</x:v>
      </x:c>
      <x:c r="F1157" s="66" t="n">
        <x:f>IF(E1157=0,0,D1157/E1157*10000)</x:f>
        <x:v>0</x:v>
      </x:c>
      <x:c r="G1157" s="67" t="n">
        <x:f>VLOOKUP(C1157,'Governorate Master'!$A$2:$Q$13,7,FALSE)</x:f>
        <x:v>251.4</x:v>
      </x:c>
      <x:c r="H1157" s="20" t="n">
        <x:f>VLOOKUP(C1157,'Governorate Master'!$A$2:$Q$13,6,FALSE)</x:f>
        <x:v>0.7823878069432684</x:v>
      </x:c>
      <x:c r="I1157" s="20" t="n">
        <x:f>VLOOKUP(C1157,'Governorate Master'!$A$2:$Q$13,15,FALSE)</x:f>
        <x:v>-0.18823529411764706</x:v>
      </x:c>
      <x:c r="J1157" s="12" t="str">
        <x:v>Location model input - competition/saturation context</x:v>
      </x:c>
      <x:c r="K1157" s="12" t="str">
        <x:v>Business count is from 2018 while population/context indicators are newer; use as a historical proxy, not a current market count.</x:v>
      </x:c>
    </x:row>
    <x:row r="1158">
      <x:c r="A1158" s="12" t="str">
        <x:v>2829</x:v>
      </x:c>
      <x:c r="B1158" s="12" t="str">
        <x:v>Manufacture of other special-purpose machinery</x:v>
      </x:c>
      <x:c r="C1158" s="12" t="str">
        <x:v>إربد</x:v>
      </x:c>
      <x:c r="D1158" s="14" t="n">
        <x:v>0</x:v>
      </x:c>
      <x:c r="E1158" s="14" t="n">
        <x:f>VLOOKUP(C1158,'Governorate Master'!$A$2:$Q$13,3,FALSE)</x:f>
        <x:v>2210500</x:v>
      </x:c>
      <x:c r="F1158" s="66" t="n">
        <x:f>IF(E1158=0,0,D1158/E1158*10000)</x:f>
        <x:v>0</x:v>
      </x:c>
      <x:c r="G1158" s="67" t="n">
        <x:f>VLOOKUP(C1158,'Governorate Master'!$A$2:$Q$13,7,FALSE)</x:f>
        <x:v>1406.4</x:v>
      </x:c>
      <x:c r="H1158" s="20" t="n">
        <x:f>VLOOKUP(C1158,'Governorate Master'!$A$2:$Q$13,6,FALSE)</x:f>
        <x:v>0.9235014702555983</x:v>
      </x:c>
      <x:c r="I1158" s="20" t="n">
        <x:f>VLOOKUP(C1158,'Governorate Master'!$A$2:$Q$13,15,FALSE)</x:f>
        <x:v>0.07086922474549726</x:v>
      </x:c>
      <x:c r="J1158" s="12" t="str">
        <x:v>Location model input - competition/saturation context</x:v>
      </x:c>
      <x:c r="K1158" s="12" t="str">
        <x:v>Business count is from 2018 while population/context indicators are newer; use as a historical proxy, not a current market count.</x:v>
      </x:c>
    </x:row>
    <x:row r="1159">
      <x:c r="A1159" s="12" t="str">
        <x:v>2829</x:v>
      </x:c>
      <x:c r="B1159" s="12" t="str">
        <x:v>Manufacture of other special-purpose machinery</x:v>
      </x:c>
      <x:c r="C1159" s="12" t="str">
        <x:v>المفرق</x:v>
      </x:c>
      <x:c r="D1159" s="14" t="n">
        <x:v>0</x:v>
      </x:c>
      <x:c r="E1159" s="14" t="n">
        <x:f>VLOOKUP(C1159,'Governorate Master'!$A$2:$Q$13,3,FALSE)</x:f>
        <x:v>686800</x:v>
      </x:c>
      <x:c r="F1159" s="66" t="n">
        <x:f>IF(E1159=0,0,D1159/E1159*10000)</x:f>
        <x:v>0</x:v>
      </x:c>
      <x:c r="G1159" s="67" t="n">
        <x:f>VLOOKUP(C1159,'Governorate Master'!$A$2:$Q$13,7,FALSE)</x:f>
        <x:v>25.9</x:v>
      </x:c>
      <x:c r="H1159" s="20" t="n">
        <x:f>VLOOKUP(C1159,'Governorate Master'!$A$2:$Q$13,6,FALSE)</x:f>
        <x:v>0.6965637740244612</x:v>
      </x:c>
      <x:c r="I1159" s="20" t="n">
        <x:f>VLOOKUP(C1159,'Governorate Master'!$A$2:$Q$13,15,FALSE)</x:f>
        <x:v>-0.016638935108153077</x:v>
      </x:c>
      <x:c r="J1159" s="12" t="str">
        <x:v>Location model input - competition/saturation context</x:v>
      </x:c>
      <x:c r="K1159" s="12" t="str">
        <x:v>Business count is from 2018 while population/context indicators are newer; use as a historical proxy, not a current market count.</x:v>
      </x:c>
    </x:row>
    <x:row r="1160">
      <x:c r="A1160" s="12" t="str">
        <x:v>2829</x:v>
      </x:c>
      <x:c r="B1160" s="12" t="str">
        <x:v>Manufacture of other special-purpose machinery</x:v>
      </x:c>
      <x:c r="C1160" s="12" t="str">
        <x:v>جرش</x:v>
      </x:c>
      <x:c r="D1160" s="14" t="n">
        <x:v>0</x:v>
      </x:c>
      <x:c r="E1160" s="14" t="n">
        <x:f>VLOOKUP(C1160,'Governorate Master'!$A$2:$Q$13,3,FALSE)</x:f>
        <x:v>296000</x:v>
      </x:c>
      <x:c r="F1160" s="66" t="n">
        <x:f>IF(E1160=0,0,D1160/E1160*10000)</x:f>
        <x:v>0</x:v>
      </x:c>
      <x:c r="G1160" s="67" t="n">
        <x:f>VLOOKUP(C1160,'Governorate Master'!$A$2:$Q$13,7,FALSE)</x:f>
        <x:v>722.3</x:v>
      </x:c>
      <x:c r="H1160" s="20" t="n">
        <x:f>VLOOKUP(C1160,'Governorate Master'!$A$2:$Q$13,6,FALSE)</x:f>
        <x:v>0.7695945945945946</x:v>
      </x:c>
      <x:c r="I1160" s="20" t="n">
        <x:f>VLOOKUP(C1160,'Governorate Master'!$A$2:$Q$13,15,FALSE)</x:f>
        <x:v>-0.06527415143603134</x:v>
      </x:c>
      <x:c r="J1160" s="12" t="str">
        <x:v>Location model input - competition/saturation context</x:v>
      </x:c>
      <x:c r="K1160" s="12" t="str">
        <x:v>Business count is from 2018 while population/context indicators are newer; use as a historical proxy, not a current market count.</x:v>
      </x:c>
    </x:row>
    <x:row r="1161">
      <x:c r="A1161" s="12" t="str">
        <x:v>2829</x:v>
      </x:c>
      <x:c r="B1161" s="12" t="str">
        <x:v>Manufacture of other special-purpose machinery</x:v>
      </x:c>
      <x:c r="C1161" s="12" t="str">
        <x:v>عجلون</x:v>
      </x:c>
      <x:c r="D1161" s="14" t="n">
        <x:v>0</x:v>
      </x:c>
      <x:c r="E1161" s="14" t="n">
        <x:f>VLOOKUP(C1161,'Governorate Master'!$A$2:$Q$13,3,FALSE)</x:f>
        <x:v>219900</x:v>
      </x:c>
      <x:c r="F1161" s="66" t="n">
        <x:f>IF(E1161=0,0,D1161/E1161*10000)</x:f>
        <x:v>0</x:v>
      </x:c>
      <x:c r="G1161" s="67" t="n">
        <x:f>VLOOKUP(C1161,'Governorate Master'!$A$2:$Q$13,7,FALSE)</x:f>
        <x:v>524</x:v>
      </x:c>
      <x:c r="H1161" s="20" t="n">
        <x:f>VLOOKUP(C1161,'Governorate Master'!$A$2:$Q$13,6,FALSE)</x:f>
        <x:v>0.8390177353342428</x:v>
      </x:c>
      <x:c r="I1161" s="20" t="n">
        <x:f>VLOOKUP(C1161,'Governorate Master'!$A$2:$Q$13,15,FALSE)</x:f>
        <x:v>0.03614457831325301</x:v>
      </x:c>
      <x:c r="J1161" s="12" t="str">
        <x:v>Location model input - competition/saturation context</x:v>
      </x:c>
      <x:c r="K1161" s="12" t="str">
        <x:v>Business count is from 2018 while population/context indicators are newer; use as a historical proxy, not a current market count.</x:v>
      </x:c>
    </x:row>
    <x:row r="1162">
      <x:c r="A1162" s="12" t="str">
        <x:v>2829</x:v>
      </x:c>
      <x:c r="B1162" s="12" t="str">
        <x:v>Manufacture of other special-purpose machinery</x:v>
      </x:c>
      <x:c r="C1162" s="12" t="str">
        <x:v>الكرك</x:v>
      </x:c>
      <x:c r="D1162" s="14" t="n">
        <x:v>0</x:v>
      </x:c>
      <x:c r="E1162" s="14" t="n">
        <x:f>VLOOKUP(C1162,'Governorate Master'!$A$2:$Q$13,3,FALSE)</x:f>
        <x:v>395400</x:v>
      </x:c>
      <x:c r="F1162" s="66" t="n">
        <x:f>IF(E1162=0,0,D1162/E1162*10000)</x:f>
        <x:v>0</x:v>
      </x:c>
      <x:c r="G1162" s="67" t="n">
        <x:f>VLOOKUP(C1162,'Governorate Master'!$A$2:$Q$13,7,FALSE)</x:f>
        <x:v>113.1</x:v>
      </x:c>
      <x:c r="H1162" s="20" t="n">
        <x:f>VLOOKUP(C1162,'Governorate Master'!$A$2:$Q$13,6,FALSE)</x:f>
        <x:v>0.5912999494183105</x:v>
      </x:c>
      <x:c r="I1162" s="20" t="n">
        <x:f>VLOOKUP(C1162,'Governorate Master'!$A$2:$Q$13,15,FALSE)</x:f>
        <x:v>0.08710801393728224</x:v>
      </x:c>
      <x:c r="J1162" s="12" t="str">
        <x:v>Location model input - competition/saturation context</x:v>
      </x:c>
      <x:c r="K1162" s="12" t="str">
        <x:v>Business count is from 2018 while population/context indicators are newer; use as a historical proxy, not a current market count.</x:v>
      </x:c>
    </x:row>
    <x:row r="1163">
      <x:c r="A1163" s="12" t="str">
        <x:v>2829</x:v>
      </x:c>
      <x:c r="B1163" s="12" t="str">
        <x:v>Manufacture of other special-purpose machinery</x:v>
      </x:c>
      <x:c r="C1163" s="12" t="str">
        <x:v>الطفيلة</x:v>
      </x:c>
      <x:c r="D1163" s="14" t="n">
        <x:v>0</x:v>
      </x:c>
      <x:c r="E1163" s="14" t="n">
        <x:f>VLOOKUP(C1163,'Governorate Master'!$A$2:$Q$13,3,FALSE)</x:f>
        <x:v>120300</x:v>
      </x:c>
      <x:c r="F1163" s="66" t="n">
        <x:f>IF(E1163=0,0,D1163/E1163*10000)</x:f>
        <x:v>0</x:v>
      </x:c>
      <x:c r="G1163" s="67" t="n">
        <x:f>VLOOKUP(C1163,'Governorate Master'!$A$2:$Q$13,7,FALSE)</x:f>
        <x:v>54.4</x:v>
      </x:c>
      <x:c r="H1163" s="20" t="n">
        <x:f>VLOOKUP(C1163,'Governorate Master'!$A$2:$Q$13,6,FALSE)</x:f>
        <x:v>0.7797173732335827</x:v>
      </x:c>
      <x:c r="I1163" s="20" t="n">
        <x:f>VLOOKUP(C1163,'Governorate Master'!$A$2:$Q$13,15,FALSE)</x:f>
        <x:v>0.18452380952380953</x:v>
      </x:c>
      <x:c r="J1163" s="12" t="str">
        <x:v>Location model input - competition/saturation context</x:v>
      </x:c>
      <x:c r="K1163" s="12" t="str">
        <x:v>Business count is from 2018 while population/context indicators are newer; use as a historical proxy, not a current market count.</x:v>
      </x:c>
    </x:row>
    <x:row r="1164">
      <x:c r="A1164" s="12" t="str">
        <x:v>2829</x:v>
      </x:c>
      <x:c r="B1164" s="12" t="str">
        <x:v>Manufacture of other special-purpose machinery</x:v>
      </x:c>
      <x:c r="C1164" s="12" t="str">
        <x:v>معان</x:v>
      </x:c>
      <x:c r="D1164" s="14" t="n">
        <x:v>0</x:v>
      </x:c>
      <x:c r="E1164" s="14" t="n">
        <x:f>VLOOKUP(C1164,'Governorate Master'!$A$2:$Q$13,3,FALSE)</x:f>
        <x:v>197900</x:v>
      </x:c>
      <x:c r="F1164" s="66" t="n">
        <x:f>IF(E1164=0,0,D1164/E1164*10000)</x:f>
        <x:v>0</x:v>
      </x:c>
      <x:c r="G1164" s="67" t="n">
        <x:f>VLOOKUP(C1164,'Governorate Master'!$A$2:$Q$13,7,FALSE)</x:f>
        <x:v>6</x:v>
      </x:c>
      <x:c r="H1164" s="20" t="n">
        <x:f>VLOOKUP(C1164,'Governorate Master'!$A$2:$Q$13,6,FALSE)</x:f>
        <x:v>0.5406771096513391</x:v>
      </x:c>
      <x:c r="I1164" s="20" t="n">
        <x:f>VLOOKUP(C1164,'Governorate Master'!$A$2:$Q$13,15,FALSE)</x:f>
        <x:v>0.026845637583892617</x:v>
      </x:c>
      <x:c r="J1164" s="12" t="str">
        <x:v>Location model input - competition/saturation context</x:v>
      </x:c>
      <x:c r="K1164" s="12" t="str">
        <x:v>Business count is from 2018 while population/context indicators are newer; use as a historical proxy, not a current market count.</x:v>
      </x:c>
    </x:row>
    <x:row r="1165">
      <x:c r="A1165" s="12" t="str">
        <x:v>2829</x:v>
      </x:c>
      <x:c r="B1165" s="12" t="str">
        <x:v>Manufacture of other special-purpose machinery</x:v>
      </x:c>
      <x:c r="C1165" s="12" t="str">
        <x:v>العقبة</x:v>
      </x:c>
      <x:c r="D1165" s="14" t="n">
        <x:v>0</x:v>
      </x:c>
      <x:c r="E1165" s="14" t="n">
        <x:f>VLOOKUP(C1165,'Governorate Master'!$A$2:$Q$13,3,FALSE)</x:f>
        <x:v>250900</x:v>
      </x:c>
      <x:c r="F1165" s="66" t="n">
        <x:f>IF(E1165=0,0,D1165/E1165*10000)</x:f>
        <x:v>0</x:v>
      </x:c>
      <x:c r="G1165" s="67" t="n">
        <x:f>VLOOKUP(C1165,'Governorate Master'!$A$2:$Q$13,7,FALSE)</x:f>
        <x:v>36.3</x:v>
      </x:c>
      <x:c r="H1165" s="20" t="n">
        <x:f>VLOOKUP(C1165,'Governorate Master'!$A$2:$Q$13,6,FALSE)</x:f>
        <x:v>0.882024711040255</x:v>
      </x:c>
      <x:c r="I1165" s="20" t="n">
        <x:f>VLOOKUP(C1165,'Governorate Master'!$A$2:$Q$13,15,FALSE)</x:f>
        <x:v>-0.09</x:v>
      </x:c>
      <x:c r="J1165" s="12" t="str">
        <x:v>Location model input - competition/saturation context</x:v>
      </x:c>
      <x:c r="K1165" s="12" t="str">
        <x:v>Business count is from 2018 while population/context indicators are newer; use as a historical proxy, not a current market count.</x:v>
      </x:c>
    </x:row>
    <x:row r="1166">
      <x:c r="A1166" s="12" t="str">
        <x:v>2910</x:v>
      </x:c>
      <x:c r="B1166" s="12" t="str">
        <x:v>Manufacture of motor vehicles</x:v>
      </x:c>
      <x:c r="C1166" s="12" t="str">
        <x:v>عمان</x:v>
      </x:c>
      <x:c r="D1166" s="14" t="n">
        <x:v>8</x:v>
      </x:c>
      <x:c r="E1166" s="14" t="n">
        <x:f>VLOOKUP(C1166,'Governorate Master'!$A$2:$Q$13,3,FALSE)</x:f>
        <x:v>5004600</x:v>
      </x:c>
      <x:c r="F1166" s="66" t="n">
        <x:f>IF(E1166=0,0,D1166/E1166*10000)</x:f>
        <x:v>0.015985293529952444</x:v>
      </x:c>
      <x:c r="G1166" s="67" t="n">
        <x:f>VLOOKUP(C1166,'Governorate Master'!$A$2:$Q$13,7,FALSE)</x:f>
        <x:v>660.3</x:v>
      </x:c>
      <x:c r="H1166" s="20" t="n">
        <x:f>VLOOKUP(C1166,'Governorate Master'!$A$2:$Q$13,6,FALSE)</x:f>
        <x:v>0.9721656076409703</x:v>
      </x:c>
      <x:c r="I1166" s="20" t="n">
        <x:f>VLOOKUP(C1166,'Governorate Master'!$A$2:$Q$13,15,FALSE)</x:f>
        <x:v>0.06367041198501873</x:v>
      </x:c>
      <x:c r="J1166" s="12" t="str">
        <x:v>Location model input - competition/saturation context</x:v>
      </x:c>
      <x:c r="K1166" s="12" t="str">
        <x:v>Business count is from 2018 while population/context indicators are newer; use as a historical proxy, not a current market count.</x:v>
      </x:c>
    </x:row>
    <x:row r="1167">
      <x:c r="A1167" s="12" t="str">
        <x:v>2910</x:v>
      </x:c>
      <x:c r="B1167" s="12" t="str">
        <x:v>Manufacture of motor vehicles</x:v>
      </x:c>
      <x:c r="C1167" s="12" t="str">
        <x:v>البلقاء</x:v>
      </x:c>
      <x:c r="D1167" s="14" t="n">
        <x:v>0</x:v>
      </x:c>
      <x:c r="E1167" s="14" t="n">
        <x:f>VLOOKUP(C1167,'Governorate Master'!$A$2:$Q$13,3,FALSE)</x:f>
        <x:v>614000</x:v>
      </x:c>
      <x:c r="F1167" s="66" t="n">
        <x:f>IF(E1167=0,0,D1167/E1167*10000)</x:f>
        <x:v>0</x:v>
      </x:c>
      <x:c r="G1167" s="67" t="n">
        <x:f>VLOOKUP(C1167,'Governorate Master'!$A$2:$Q$13,7,FALSE)</x:f>
        <x:v>548</x:v>
      </x:c>
      <x:c r="H1167" s="20" t="n">
        <x:f>VLOOKUP(C1167,'Governorate Master'!$A$2:$Q$13,6,FALSE)</x:f>
        <x:v>0.8210097719869707</x:v>
      </x:c>
      <x:c r="I1167" s="20" t="n">
        <x:f>VLOOKUP(C1167,'Governorate Master'!$A$2:$Q$13,15,FALSE)</x:f>
        <x:v>0.10794044665012408</x:v>
      </x:c>
      <x:c r="J1167" s="12" t="str">
        <x:v>Location model input - competition/saturation context</x:v>
      </x:c>
      <x:c r="K1167" s="12" t="str">
        <x:v>Business count is from 2018 while population/context indicators are newer; use as a historical proxy, not a current market count.</x:v>
      </x:c>
    </x:row>
    <x:row r="1168">
      <x:c r="A1168" s="12" t="str">
        <x:v>2910</x:v>
      </x:c>
      <x:c r="B1168" s="12" t="str">
        <x:v>Manufacture of motor vehicles</x:v>
      </x:c>
      <x:c r="C1168" s="12" t="str">
        <x:v>الزرقاء</x:v>
      </x:c>
      <x:c r="D1168" s="14" t="n">
        <x:v>1</x:v>
      </x:c>
      <x:c r="E1168" s="14" t="n">
        <x:f>VLOOKUP(C1168,'Governorate Master'!$A$2:$Q$13,3,FALSE)</x:f>
        <x:v>1704500</x:v>
      </x:c>
      <x:c r="F1168" s="66" t="n">
        <x:f>IF(E1168=0,0,D1168/E1168*10000)</x:f>
        <x:v>0.005866823115283074</x:v>
      </x:c>
      <x:c r="G1168" s="67" t="n">
        <x:f>VLOOKUP(C1168,'Governorate Master'!$A$2:$Q$13,7,FALSE)</x:f>
        <x:v>358</x:v>
      </x:c>
      <x:c r="H1168" s="20" t="n">
        <x:f>VLOOKUP(C1168,'Governorate Master'!$A$2:$Q$13,6,FALSE)</x:f>
        <x:v>0.9636256966852449</x:v>
      </x:c>
      <x:c r="I1168" s="20" t="n">
        <x:f>VLOOKUP(C1168,'Governorate Master'!$A$2:$Q$13,15,FALSE)</x:f>
        <x:v>-0.06808762581409118</x:v>
      </x:c>
      <x:c r="J1168" s="12" t="str">
        <x:v>Location model input - competition/saturation context</x:v>
      </x:c>
      <x:c r="K1168" s="12" t="str">
        <x:v>Business count is from 2018 while population/context indicators are newer; use as a historical proxy, not a current market count.</x:v>
      </x:c>
    </x:row>
    <x:row r="1169">
      <x:c r="A1169" s="12" t="str">
        <x:v>2910</x:v>
      </x:c>
      <x:c r="B1169" s="12" t="str">
        <x:v>Manufacture of motor vehicles</x:v>
      </x:c>
      <x:c r="C1169" s="12" t="str">
        <x:v>مادبا</x:v>
      </x:c>
      <x:c r="D1169" s="14" t="n">
        <x:v>0</x:v>
      </x:c>
      <x:c r="E1169" s="14" t="n">
        <x:f>VLOOKUP(C1169,'Governorate Master'!$A$2:$Q$13,3,FALSE)</x:f>
        <x:v>236200</x:v>
      </x:c>
      <x:c r="F1169" s="66" t="n">
        <x:f>IF(E1169=0,0,D1169/E1169*10000)</x:f>
        <x:v>0</x:v>
      </x:c>
      <x:c r="G1169" s="67" t="n">
        <x:f>VLOOKUP(C1169,'Governorate Master'!$A$2:$Q$13,7,FALSE)</x:f>
        <x:v>251.4</x:v>
      </x:c>
      <x:c r="H1169" s="20" t="n">
        <x:f>VLOOKUP(C1169,'Governorate Master'!$A$2:$Q$13,6,FALSE)</x:f>
        <x:v>0.7823878069432684</x:v>
      </x:c>
      <x:c r="I1169" s="20" t="n">
        <x:f>VLOOKUP(C1169,'Governorate Master'!$A$2:$Q$13,15,FALSE)</x:f>
        <x:v>-0.18823529411764706</x:v>
      </x:c>
      <x:c r="J1169" s="12" t="str">
        <x:v>Location model input - competition/saturation context</x:v>
      </x:c>
      <x:c r="K1169" s="12" t="str">
        <x:v>Business count is from 2018 while population/context indicators are newer; use as a historical proxy, not a current market count.</x:v>
      </x:c>
    </x:row>
    <x:row r="1170">
      <x:c r="A1170" s="12" t="str">
        <x:v>2910</x:v>
      </x:c>
      <x:c r="B1170" s="12" t="str">
        <x:v>Manufacture of motor vehicles</x:v>
      </x:c>
      <x:c r="C1170" s="12" t="str">
        <x:v>إربد</x:v>
      </x:c>
      <x:c r="D1170" s="14" t="n">
        <x:v>0</x:v>
      </x:c>
      <x:c r="E1170" s="14" t="n">
        <x:f>VLOOKUP(C1170,'Governorate Master'!$A$2:$Q$13,3,FALSE)</x:f>
        <x:v>2210500</x:v>
      </x:c>
      <x:c r="F1170" s="66" t="n">
        <x:f>IF(E1170=0,0,D1170/E1170*10000)</x:f>
        <x:v>0</x:v>
      </x:c>
      <x:c r="G1170" s="67" t="n">
        <x:f>VLOOKUP(C1170,'Governorate Master'!$A$2:$Q$13,7,FALSE)</x:f>
        <x:v>1406.4</x:v>
      </x:c>
      <x:c r="H1170" s="20" t="n">
        <x:f>VLOOKUP(C1170,'Governorate Master'!$A$2:$Q$13,6,FALSE)</x:f>
        <x:v>0.9235014702555983</x:v>
      </x:c>
      <x:c r="I1170" s="20" t="n">
        <x:f>VLOOKUP(C1170,'Governorate Master'!$A$2:$Q$13,15,FALSE)</x:f>
        <x:v>0.07086922474549726</x:v>
      </x:c>
      <x:c r="J1170" s="12" t="str">
        <x:v>Location model input - competition/saturation context</x:v>
      </x:c>
      <x:c r="K1170" s="12" t="str">
        <x:v>Business count is from 2018 while population/context indicators are newer; use as a historical proxy, not a current market count.</x:v>
      </x:c>
    </x:row>
    <x:row r="1171">
      <x:c r="A1171" s="12" t="str">
        <x:v>2910</x:v>
      </x:c>
      <x:c r="B1171" s="12" t="str">
        <x:v>Manufacture of motor vehicles</x:v>
      </x:c>
      <x:c r="C1171" s="12" t="str">
        <x:v>المفرق</x:v>
      </x:c>
      <x:c r="D1171" s="14" t="n">
        <x:v>0</x:v>
      </x:c>
      <x:c r="E1171" s="14" t="n">
        <x:f>VLOOKUP(C1171,'Governorate Master'!$A$2:$Q$13,3,FALSE)</x:f>
        <x:v>686800</x:v>
      </x:c>
      <x:c r="F1171" s="66" t="n">
        <x:f>IF(E1171=0,0,D1171/E1171*10000)</x:f>
        <x:v>0</x:v>
      </x:c>
      <x:c r="G1171" s="67" t="n">
        <x:f>VLOOKUP(C1171,'Governorate Master'!$A$2:$Q$13,7,FALSE)</x:f>
        <x:v>25.9</x:v>
      </x:c>
      <x:c r="H1171" s="20" t="n">
        <x:f>VLOOKUP(C1171,'Governorate Master'!$A$2:$Q$13,6,FALSE)</x:f>
        <x:v>0.6965637740244612</x:v>
      </x:c>
      <x:c r="I1171" s="20" t="n">
        <x:f>VLOOKUP(C1171,'Governorate Master'!$A$2:$Q$13,15,FALSE)</x:f>
        <x:v>-0.016638935108153077</x:v>
      </x:c>
      <x:c r="J1171" s="12" t="str">
        <x:v>Location model input - competition/saturation context</x:v>
      </x:c>
      <x:c r="K1171" s="12" t="str">
        <x:v>Business count is from 2018 while population/context indicators are newer; use as a historical proxy, not a current market count.</x:v>
      </x:c>
    </x:row>
    <x:row r="1172">
      <x:c r="A1172" s="12" t="str">
        <x:v>2910</x:v>
      </x:c>
      <x:c r="B1172" s="12" t="str">
        <x:v>Manufacture of motor vehicles</x:v>
      </x:c>
      <x:c r="C1172" s="12" t="str">
        <x:v>جرش</x:v>
      </x:c>
      <x:c r="D1172" s="14" t="n">
        <x:v>0</x:v>
      </x:c>
      <x:c r="E1172" s="14" t="n">
        <x:f>VLOOKUP(C1172,'Governorate Master'!$A$2:$Q$13,3,FALSE)</x:f>
        <x:v>296000</x:v>
      </x:c>
      <x:c r="F1172" s="66" t="n">
        <x:f>IF(E1172=0,0,D1172/E1172*10000)</x:f>
        <x:v>0</x:v>
      </x:c>
      <x:c r="G1172" s="67" t="n">
        <x:f>VLOOKUP(C1172,'Governorate Master'!$A$2:$Q$13,7,FALSE)</x:f>
        <x:v>722.3</x:v>
      </x:c>
      <x:c r="H1172" s="20" t="n">
        <x:f>VLOOKUP(C1172,'Governorate Master'!$A$2:$Q$13,6,FALSE)</x:f>
        <x:v>0.7695945945945946</x:v>
      </x:c>
      <x:c r="I1172" s="20" t="n">
        <x:f>VLOOKUP(C1172,'Governorate Master'!$A$2:$Q$13,15,FALSE)</x:f>
        <x:v>-0.06527415143603134</x:v>
      </x:c>
      <x:c r="J1172" s="12" t="str">
        <x:v>Location model input - competition/saturation context</x:v>
      </x:c>
      <x:c r="K1172" s="12" t="str">
        <x:v>Business count is from 2018 while population/context indicators are newer; use as a historical proxy, not a current market count.</x:v>
      </x:c>
    </x:row>
    <x:row r="1173">
      <x:c r="A1173" s="12" t="str">
        <x:v>2910</x:v>
      </x:c>
      <x:c r="B1173" s="12" t="str">
        <x:v>Manufacture of motor vehicles</x:v>
      </x:c>
      <x:c r="C1173" s="12" t="str">
        <x:v>عجلون</x:v>
      </x:c>
      <x:c r="D1173" s="14" t="n">
        <x:v>0</x:v>
      </x:c>
      <x:c r="E1173" s="14" t="n">
        <x:f>VLOOKUP(C1173,'Governorate Master'!$A$2:$Q$13,3,FALSE)</x:f>
        <x:v>219900</x:v>
      </x:c>
      <x:c r="F1173" s="66" t="n">
        <x:f>IF(E1173=0,0,D1173/E1173*10000)</x:f>
        <x:v>0</x:v>
      </x:c>
      <x:c r="G1173" s="67" t="n">
        <x:f>VLOOKUP(C1173,'Governorate Master'!$A$2:$Q$13,7,FALSE)</x:f>
        <x:v>524</x:v>
      </x:c>
      <x:c r="H1173" s="20" t="n">
        <x:f>VLOOKUP(C1173,'Governorate Master'!$A$2:$Q$13,6,FALSE)</x:f>
        <x:v>0.8390177353342428</x:v>
      </x:c>
      <x:c r="I1173" s="20" t="n">
        <x:f>VLOOKUP(C1173,'Governorate Master'!$A$2:$Q$13,15,FALSE)</x:f>
        <x:v>0.03614457831325301</x:v>
      </x:c>
      <x:c r="J1173" s="12" t="str">
        <x:v>Location model input - competition/saturation context</x:v>
      </x:c>
      <x:c r="K1173" s="12" t="str">
        <x:v>Business count is from 2018 while population/context indicators are newer; use as a historical proxy, not a current market count.</x:v>
      </x:c>
    </x:row>
    <x:row r="1174">
      <x:c r="A1174" s="12" t="str">
        <x:v>2910</x:v>
      </x:c>
      <x:c r="B1174" s="12" t="str">
        <x:v>Manufacture of motor vehicles</x:v>
      </x:c>
      <x:c r="C1174" s="12" t="str">
        <x:v>الكرك</x:v>
      </x:c>
      <x:c r="D1174" s="14" t="n">
        <x:v>0</x:v>
      </x:c>
      <x:c r="E1174" s="14" t="n">
        <x:f>VLOOKUP(C1174,'Governorate Master'!$A$2:$Q$13,3,FALSE)</x:f>
        <x:v>395400</x:v>
      </x:c>
      <x:c r="F1174" s="66" t="n">
        <x:f>IF(E1174=0,0,D1174/E1174*10000)</x:f>
        <x:v>0</x:v>
      </x:c>
      <x:c r="G1174" s="67" t="n">
        <x:f>VLOOKUP(C1174,'Governorate Master'!$A$2:$Q$13,7,FALSE)</x:f>
        <x:v>113.1</x:v>
      </x:c>
      <x:c r="H1174" s="20" t="n">
        <x:f>VLOOKUP(C1174,'Governorate Master'!$A$2:$Q$13,6,FALSE)</x:f>
        <x:v>0.5912999494183105</x:v>
      </x:c>
      <x:c r="I1174" s="20" t="n">
        <x:f>VLOOKUP(C1174,'Governorate Master'!$A$2:$Q$13,15,FALSE)</x:f>
        <x:v>0.08710801393728224</x:v>
      </x:c>
      <x:c r="J1174" s="12" t="str">
        <x:v>Location model input - competition/saturation context</x:v>
      </x:c>
      <x:c r="K1174" s="12" t="str">
        <x:v>Business count is from 2018 while population/context indicators are newer; use as a historical proxy, not a current market count.</x:v>
      </x:c>
    </x:row>
    <x:row r="1175">
      <x:c r="A1175" s="12" t="str">
        <x:v>2910</x:v>
      </x:c>
      <x:c r="B1175" s="12" t="str">
        <x:v>Manufacture of motor vehicles</x:v>
      </x:c>
      <x:c r="C1175" s="12" t="str">
        <x:v>الطفيلة</x:v>
      </x:c>
      <x:c r="D1175" s="14" t="n">
        <x:v>0</x:v>
      </x:c>
      <x:c r="E1175" s="14" t="n">
        <x:f>VLOOKUP(C1175,'Governorate Master'!$A$2:$Q$13,3,FALSE)</x:f>
        <x:v>120300</x:v>
      </x:c>
      <x:c r="F1175" s="66" t="n">
        <x:f>IF(E1175=0,0,D1175/E1175*10000)</x:f>
        <x:v>0</x:v>
      </x:c>
      <x:c r="G1175" s="67" t="n">
        <x:f>VLOOKUP(C1175,'Governorate Master'!$A$2:$Q$13,7,FALSE)</x:f>
        <x:v>54.4</x:v>
      </x:c>
      <x:c r="H1175" s="20" t="n">
        <x:f>VLOOKUP(C1175,'Governorate Master'!$A$2:$Q$13,6,FALSE)</x:f>
        <x:v>0.7797173732335827</x:v>
      </x:c>
      <x:c r="I1175" s="20" t="n">
        <x:f>VLOOKUP(C1175,'Governorate Master'!$A$2:$Q$13,15,FALSE)</x:f>
        <x:v>0.18452380952380953</x:v>
      </x:c>
      <x:c r="J1175" s="12" t="str">
        <x:v>Location model input - competition/saturation context</x:v>
      </x:c>
      <x:c r="K1175" s="12" t="str">
        <x:v>Business count is from 2018 while population/context indicators are newer; use as a historical proxy, not a current market count.</x:v>
      </x:c>
    </x:row>
    <x:row r="1176">
      <x:c r="A1176" s="12" t="str">
        <x:v>2910</x:v>
      </x:c>
      <x:c r="B1176" s="12" t="str">
        <x:v>Manufacture of motor vehicles</x:v>
      </x:c>
      <x:c r="C1176" s="12" t="str">
        <x:v>معان</x:v>
      </x:c>
      <x:c r="D1176" s="14" t="n">
        <x:v>0</x:v>
      </x:c>
      <x:c r="E1176" s="14" t="n">
        <x:f>VLOOKUP(C1176,'Governorate Master'!$A$2:$Q$13,3,FALSE)</x:f>
        <x:v>197900</x:v>
      </x:c>
      <x:c r="F1176" s="66" t="n">
        <x:f>IF(E1176=0,0,D1176/E1176*10000)</x:f>
        <x:v>0</x:v>
      </x:c>
      <x:c r="G1176" s="67" t="n">
        <x:f>VLOOKUP(C1176,'Governorate Master'!$A$2:$Q$13,7,FALSE)</x:f>
        <x:v>6</x:v>
      </x:c>
      <x:c r="H1176" s="20" t="n">
        <x:f>VLOOKUP(C1176,'Governorate Master'!$A$2:$Q$13,6,FALSE)</x:f>
        <x:v>0.5406771096513391</x:v>
      </x:c>
      <x:c r="I1176" s="20" t="n">
        <x:f>VLOOKUP(C1176,'Governorate Master'!$A$2:$Q$13,15,FALSE)</x:f>
        <x:v>0.026845637583892617</x:v>
      </x:c>
      <x:c r="J1176" s="12" t="str">
        <x:v>Location model input - competition/saturation context</x:v>
      </x:c>
      <x:c r="K1176" s="12" t="str">
        <x:v>Business count is from 2018 while population/context indicators are newer; use as a historical proxy, not a current market count.</x:v>
      </x:c>
    </x:row>
    <x:row r="1177">
      <x:c r="A1177" s="12" t="str">
        <x:v>2910</x:v>
      </x:c>
      <x:c r="B1177" s="12" t="str">
        <x:v>Manufacture of motor vehicles</x:v>
      </x:c>
      <x:c r="C1177" s="12" t="str">
        <x:v>العقبة</x:v>
      </x:c>
      <x:c r="D1177" s="14" t="n">
        <x:v>0</x:v>
      </x:c>
      <x:c r="E1177" s="14" t="n">
        <x:f>VLOOKUP(C1177,'Governorate Master'!$A$2:$Q$13,3,FALSE)</x:f>
        <x:v>250900</x:v>
      </x:c>
      <x:c r="F1177" s="66" t="n">
        <x:f>IF(E1177=0,0,D1177/E1177*10000)</x:f>
        <x:v>0</x:v>
      </x:c>
      <x:c r="G1177" s="67" t="n">
        <x:f>VLOOKUP(C1177,'Governorate Master'!$A$2:$Q$13,7,FALSE)</x:f>
        <x:v>36.3</x:v>
      </x:c>
      <x:c r="H1177" s="20" t="n">
        <x:f>VLOOKUP(C1177,'Governorate Master'!$A$2:$Q$13,6,FALSE)</x:f>
        <x:v>0.882024711040255</x:v>
      </x:c>
      <x:c r="I1177" s="20" t="n">
        <x:f>VLOOKUP(C1177,'Governorate Master'!$A$2:$Q$13,15,FALSE)</x:f>
        <x:v>-0.09</x:v>
      </x:c>
      <x:c r="J1177" s="12" t="str">
        <x:v>Location model input - competition/saturation context</x:v>
      </x:c>
      <x:c r="K1177" s="12" t="str">
        <x:v>Business count is from 2018 while population/context indicators are newer; use as a historical proxy, not a current market count.</x:v>
      </x:c>
    </x:row>
    <x:row r="1178">
      <x:c r="A1178" s="12" t="str">
        <x:v>2920</x:v>
      </x:c>
      <x:c r="B1178" s="12" t="str">
        <x:v>Manufacture of bodies (coachwork) for motor vehicles; manufacture of trailers and semi-trailers</x:v>
      </x:c>
      <x:c r="C1178" s="12" t="str">
        <x:v>عمان</x:v>
      </x:c>
      <x:c r="D1178" s="14" t="n">
        <x:v>84</x:v>
      </x:c>
      <x:c r="E1178" s="14" t="n">
        <x:f>VLOOKUP(C1178,'Governorate Master'!$A$2:$Q$13,3,FALSE)</x:f>
        <x:v>5004600</x:v>
      </x:c>
      <x:c r="F1178" s="66" t="n">
        <x:f>IF(E1178=0,0,D1178/E1178*10000)</x:f>
        <x:v>0.16784558206450065</x:v>
      </x:c>
      <x:c r="G1178" s="67" t="n">
        <x:f>VLOOKUP(C1178,'Governorate Master'!$A$2:$Q$13,7,FALSE)</x:f>
        <x:v>660.3</x:v>
      </x:c>
      <x:c r="H1178" s="20" t="n">
        <x:f>VLOOKUP(C1178,'Governorate Master'!$A$2:$Q$13,6,FALSE)</x:f>
        <x:v>0.9721656076409703</x:v>
      </x:c>
      <x:c r="I1178" s="20" t="n">
        <x:f>VLOOKUP(C1178,'Governorate Master'!$A$2:$Q$13,15,FALSE)</x:f>
        <x:v>0.06367041198501873</x:v>
      </x:c>
      <x:c r="J1178" s="12" t="str">
        <x:v>Location model input - competition/saturation context</x:v>
      </x:c>
      <x:c r="K1178" s="12" t="str">
        <x:v>Business count is from 2018 while population/context indicators are newer; use as a historical proxy, not a current market count.</x:v>
      </x:c>
    </x:row>
    <x:row r="1179">
      <x:c r="A1179" s="12" t="str">
        <x:v>2920</x:v>
      </x:c>
      <x:c r="B1179" s="12" t="str">
        <x:v>Manufacture of bodies (coachwork) for motor vehicles; manufacture of trailers and semi-trailers</x:v>
      </x:c>
      <x:c r="C1179" s="12" t="str">
        <x:v>البلقاء</x:v>
      </x:c>
      <x:c r="D1179" s="14" t="n">
        <x:v>8</x:v>
      </x:c>
      <x:c r="E1179" s="14" t="n">
        <x:f>VLOOKUP(C1179,'Governorate Master'!$A$2:$Q$13,3,FALSE)</x:f>
        <x:v>614000</x:v>
      </x:c>
      <x:c r="F1179" s="66" t="n">
        <x:f>IF(E1179=0,0,D1179/E1179*10000)</x:f>
        <x:v>0.13029315960912052</x:v>
      </x:c>
      <x:c r="G1179" s="67" t="n">
        <x:f>VLOOKUP(C1179,'Governorate Master'!$A$2:$Q$13,7,FALSE)</x:f>
        <x:v>548</x:v>
      </x:c>
      <x:c r="H1179" s="20" t="n">
        <x:f>VLOOKUP(C1179,'Governorate Master'!$A$2:$Q$13,6,FALSE)</x:f>
        <x:v>0.8210097719869707</x:v>
      </x:c>
      <x:c r="I1179" s="20" t="n">
        <x:f>VLOOKUP(C1179,'Governorate Master'!$A$2:$Q$13,15,FALSE)</x:f>
        <x:v>0.10794044665012408</x:v>
      </x:c>
      <x:c r="J1179" s="12" t="str">
        <x:v>Location model input - competition/saturation context</x:v>
      </x:c>
      <x:c r="K1179" s="12" t="str">
        <x:v>Business count is from 2018 while population/context indicators are newer; use as a historical proxy, not a current market count.</x:v>
      </x:c>
    </x:row>
    <x:row r="1180">
      <x:c r="A1180" s="12" t="str">
        <x:v>2920</x:v>
      </x:c>
      <x:c r="B1180" s="12" t="str">
        <x:v>Manufacture of bodies (coachwork) for motor vehicles; manufacture of trailers and semi-trailers</x:v>
      </x:c>
      <x:c r="C1180" s="12" t="str">
        <x:v>الزرقاء</x:v>
      </x:c>
      <x:c r="D1180" s="14" t="n">
        <x:v>20</x:v>
      </x:c>
      <x:c r="E1180" s="14" t="n">
        <x:f>VLOOKUP(C1180,'Governorate Master'!$A$2:$Q$13,3,FALSE)</x:f>
        <x:v>1704500</x:v>
      </x:c>
      <x:c r="F1180" s="66" t="n">
        <x:f>IF(E1180=0,0,D1180/E1180*10000)</x:f>
        <x:v>0.1173364623056615</x:v>
      </x:c>
      <x:c r="G1180" s="67" t="n">
        <x:f>VLOOKUP(C1180,'Governorate Master'!$A$2:$Q$13,7,FALSE)</x:f>
        <x:v>358</x:v>
      </x:c>
      <x:c r="H1180" s="20" t="n">
        <x:f>VLOOKUP(C1180,'Governorate Master'!$A$2:$Q$13,6,FALSE)</x:f>
        <x:v>0.9636256966852449</x:v>
      </x:c>
      <x:c r="I1180" s="20" t="n">
        <x:f>VLOOKUP(C1180,'Governorate Master'!$A$2:$Q$13,15,FALSE)</x:f>
        <x:v>-0.06808762581409118</x:v>
      </x:c>
      <x:c r="J1180" s="12" t="str">
        <x:v>Location model input - competition/saturation context</x:v>
      </x:c>
      <x:c r="K1180" s="12" t="str">
        <x:v>Business count is from 2018 while population/context indicators are newer; use as a historical proxy, not a current market count.</x:v>
      </x:c>
    </x:row>
    <x:row r="1181">
      <x:c r="A1181" s="12" t="str">
        <x:v>2920</x:v>
      </x:c>
      <x:c r="B1181" s="12" t="str">
        <x:v>Manufacture of bodies (coachwork) for motor vehicles; manufacture of trailers and semi-trailers</x:v>
      </x:c>
      <x:c r="C1181" s="12" t="str">
        <x:v>مادبا</x:v>
      </x:c>
      <x:c r="D1181" s="14" t="n">
        <x:v>3</x:v>
      </x:c>
      <x:c r="E1181" s="14" t="n">
        <x:f>VLOOKUP(C1181,'Governorate Master'!$A$2:$Q$13,3,FALSE)</x:f>
        <x:v>236200</x:v>
      </x:c>
      <x:c r="F1181" s="66" t="n">
        <x:f>IF(E1181=0,0,D1181/E1181*10000)</x:f>
        <x:v>0.12701100762066045</x:v>
      </x:c>
      <x:c r="G1181" s="67" t="n">
        <x:f>VLOOKUP(C1181,'Governorate Master'!$A$2:$Q$13,7,FALSE)</x:f>
        <x:v>251.4</x:v>
      </x:c>
      <x:c r="H1181" s="20" t="n">
        <x:f>VLOOKUP(C1181,'Governorate Master'!$A$2:$Q$13,6,FALSE)</x:f>
        <x:v>0.7823878069432684</x:v>
      </x:c>
      <x:c r="I1181" s="20" t="n">
        <x:f>VLOOKUP(C1181,'Governorate Master'!$A$2:$Q$13,15,FALSE)</x:f>
        <x:v>-0.18823529411764706</x:v>
      </x:c>
      <x:c r="J1181" s="12" t="str">
        <x:v>Location model input - competition/saturation context</x:v>
      </x:c>
      <x:c r="K1181" s="12" t="str">
        <x:v>Business count is from 2018 while population/context indicators are newer; use as a historical proxy, not a current market count.</x:v>
      </x:c>
    </x:row>
    <x:row r="1182">
      <x:c r="A1182" s="12" t="str">
        <x:v>2920</x:v>
      </x:c>
      <x:c r="B1182" s="12" t="str">
        <x:v>Manufacture of bodies (coachwork) for motor vehicles; manufacture of trailers and semi-trailers</x:v>
      </x:c>
      <x:c r="C1182" s="12" t="str">
        <x:v>إربد</x:v>
      </x:c>
      <x:c r="D1182" s="14" t="n">
        <x:v>6</x:v>
      </x:c>
      <x:c r="E1182" s="14" t="n">
        <x:f>VLOOKUP(C1182,'Governorate Master'!$A$2:$Q$13,3,FALSE)</x:f>
        <x:v>2210500</x:v>
      </x:c>
      <x:c r="F1182" s="66" t="n">
        <x:f>IF(E1182=0,0,D1182/E1182*10000)</x:f>
        <x:v>0.027143180275955664</x:v>
      </x:c>
      <x:c r="G1182" s="67" t="n">
        <x:f>VLOOKUP(C1182,'Governorate Master'!$A$2:$Q$13,7,FALSE)</x:f>
        <x:v>1406.4</x:v>
      </x:c>
      <x:c r="H1182" s="20" t="n">
        <x:f>VLOOKUP(C1182,'Governorate Master'!$A$2:$Q$13,6,FALSE)</x:f>
        <x:v>0.9235014702555983</x:v>
      </x:c>
      <x:c r="I1182" s="20" t="n">
        <x:f>VLOOKUP(C1182,'Governorate Master'!$A$2:$Q$13,15,FALSE)</x:f>
        <x:v>0.07086922474549726</x:v>
      </x:c>
      <x:c r="J1182" s="12" t="str">
        <x:v>Location model input - competition/saturation context</x:v>
      </x:c>
      <x:c r="K1182" s="12" t="str">
        <x:v>Business count is from 2018 while population/context indicators are newer; use as a historical proxy, not a current market count.</x:v>
      </x:c>
    </x:row>
    <x:row r="1183">
      <x:c r="A1183" s="12" t="str">
        <x:v>2920</x:v>
      </x:c>
      <x:c r="B1183" s="12" t="str">
        <x:v>Manufacture of bodies (coachwork) for motor vehicles; manufacture of trailers and semi-trailers</x:v>
      </x:c>
      <x:c r="C1183" s="12" t="str">
        <x:v>المفرق</x:v>
      </x:c>
      <x:c r="D1183" s="14" t="n">
        <x:v>1</x:v>
      </x:c>
      <x:c r="E1183" s="14" t="n">
        <x:f>VLOOKUP(C1183,'Governorate Master'!$A$2:$Q$13,3,FALSE)</x:f>
        <x:v>686800</x:v>
      </x:c>
      <x:c r="F1183" s="66" t="n">
        <x:f>IF(E1183=0,0,D1183/E1183*10000)</x:f>
        <x:v>0.014560279557367502</x:v>
      </x:c>
      <x:c r="G1183" s="67" t="n">
        <x:f>VLOOKUP(C1183,'Governorate Master'!$A$2:$Q$13,7,FALSE)</x:f>
        <x:v>25.9</x:v>
      </x:c>
      <x:c r="H1183" s="20" t="n">
        <x:f>VLOOKUP(C1183,'Governorate Master'!$A$2:$Q$13,6,FALSE)</x:f>
        <x:v>0.6965637740244612</x:v>
      </x:c>
      <x:c r="I1183" s="20" t="n">
        <x:f>VLOOKUP(C1183,'Governorate Master'!$A$2:$Q$13,15,FALSE)</x:f>
        <x:v>-0.016638935108153077</x:v>
      </x:c>
      <x:c r="J1183" s="12" t="str">
        <x:v>Location model input - competition/saturation context</x:v>
      </x:c>
      <x:c r="K1183" s="12" t="str">
        <x:v>Business count is from 2018 while population/context indicators are newer; use as a historical proxy, not a current market count.</x:v>
      </x:c>
    </x:row>
    <x:row r="1184">
      <x:c r="A1184" s="12" t="str">
        <x:v>2920</x:v>
      </x:c>
      <x:c r="B1184" s="12" t="str">
        <x:v>Manufacture of bodies (coachwork) for motor vehicles; manufacture of trailers and semi-trailers</x:v>
      </x:c>
      <x:c r="C1184" s="12" t="str">
        <x:v>جرش</x:v>
      </x:c>
      <x:c r="D1184" s="14" t="n">
        <x:v>1</x:v>
      </x:c>
      <x:c r="E1184" s="14" t="n">
        <x:f>VLOOKUP(C1184,'Governorate Master'!$A$2:$Q$13,3,FALSE)</x:f>
        <x:v>296000</x:v>
      </x:c>
      <x:c r="F1184" s="66" t="n">
        <x:f>IF(E1184=0,0,D1184/E1184*10000)</x:f>
        <x:v>0.033783783783783786</x:v>
      </x:c>
      <x:c r="G1184" s="67" t="n">
        <x:f>VLOOKUP(C1184,'Governorate Master'!$A$2:$Q$13,7,FALSE)</x:f>
        <x:v>722.3</x:v>
      </x:c>
      <x:c r="H1184" s="20" t="n">
        <x:f>VLOOKUP(C1184,'Governorate Master'!$A$2:$Q$13,6,FALSE)</x:f>
        <x:v>0.7695945945945946</x:v>
      </x:c>
      <x:c r="I1184" s="20" t="n">
        <x:f>VLOOKUP(C1184,'Governorate Master'!$A$2:$Q$13,15,FALSE)</x:f>
        <x:v>-0.06527415143603134</x:v>
      </x:c>
      <x:c r="J1184" s="12" t="str">
        <x:v>Location model input - competition/saturation context</x:v>
      </x:c>
      <x:c r="K1184" s="12" t="str">
        <x:v>Business count is from 2018 while population/context indicators are newer; use as a historical proxy, not a current market count.</x:v>
      </x:c>
    </x:row>
    <x:row r="1185">
      <x:c r="A1185" s="12" t="str">
        <x:v>2920</x:v>
      </x:c>
      <x:c r="B1185" s="12" t="str">
        <x:v>Manufacture of bodies (coachwork) for motor vehicles; manufacture of trailers and semi-trailers</x:v>
      </x:c>
      <x:c r="C1185" s="12" t="str">
        <x:v>عجلون</x:v>
      </x:c>
      <x:c r="D1185" s="14" t="n">
        <x:v>0</x:v>
      </x:c>
      <x:c r="E1185" s="14" t="n">
        <x:f>VLOOKUP(C1185,'Governorate Master'!$A$2:$Q$13,3,FALSE)</x:f>
        <x:v>219900</x:v>
      </x:c>
      <x:c r="F1185" s="66" t="n">
        <x:f>IF(E1185=0,0,D1185/E1185*10000)</x:f>
        <x:v>0</x:v>
      </x:c>
      <x:c r="G1185" s="67" t="n">
        <x:f>VLOOKUP(C1185,'Governorate Master'!$A$2:$Q$13,7,FALSE)</x:f>
        <x:v>524</x:v>
      </x:c>
      <x:c r="H1185" s="20" t="n">
        <x:f>VLOOKUP(C1185,'Governorate Master'!$A$2:$Q$13,6,FALSE)</x:f>
        <x:v>0.8390177353342428</x:v>
      </x:c>
      <x:c r="I1185" s="20" t="n">
        <x:f>VLOOKUP(C1185,'Governorate Master'!$A$2:$Q$13,15,FALSE)</x:f>
        <x:v>0.03614457831325301</x:v>
      </x:c>
      <x:c r="J1185" s="12" t="str">
        <x:v>Location model input - competition/saturation context</x:v>
      </x:c>
      <x:c r="K1185" s="12" t="str">
        <x:v>Business count is from 2018 while population/context indicators are newer; use as a historical proxy, not a current market count.</x:v>
      </x:c>
    </x:row>
    <x:row r="1186">
      <x:c r="A1186" s="12" t="str">
        <x:v>2920</x:v>
      </x:c>
      <x:c r="B1186" s="12" t="str">
        <x:v>Manufacture of bodies (coachwork) for motor vehicles; manufacture of trailers and semi-trailers</x:v>
      </x:c>
      <x:c r="C1186" s="12" t="str">
        <x:v>الكرك</x:v>
      </x:c>
      <x:c r="D1186" s="14" t="n">
        <x:v>0</x:v>
      </x:c>
      <x:c r="E1186" s="14" t="n">
        <x:f>VLOOKUP(C1186,'Governorate Master'!$A$2:$Q$13,3,FALSE)</x:f>
        <x:v>395400</x:v>
      </x:c>
      <x:c r="F1186" s="66" t="n">
        <x:f>IF(E1186=0,0,D1186/E1186*10000)</x:f>
        <x:v>0</x:v>
      </x:c>
      <x:c r="G1186" s="67" t="n">
        <x:f>VLOOKUP(C1186,'Governorate Master'!$A$2:$Q$13,7,FALSE)</x:f>
        <x:v>113.1</x:v>
      </x:c>
      <x:c r="H1186" s="20" t="n">
        <x:f>VLOOKUP(C1186,'Governorate Master'!$A$2:$Q$13,6,FALSE)</x:f>
        <x:v>0.5912999494183105</x:v>
      </x:c>
      <x:c r="I1186" s="20" t="n">
        <x:f>VLOOKUP(C1186,'Governorate Master'!$A$2:$Q$13,15,FALSE)</x:f>
        <x:v>0.08710801393728224</x:v>
      </x:c>
      <x:c r="J1186" s="12" t="str">
        <x:v>Location model input - competition/saturation context</x:v>
      </x:c>
      <x:c r="K1186" s="12" t="str">
        <x:v>Business count is from 2018 while population/context indicators are newer; use as a historical proxy, not a current market count.</x:v>
      </x:c>
    </x:row>
    <x:row r="1187">
      <x:c r="A1187" s="12" t="str">
        <x:v>2920</x:v>
      </x:c>
      <x:c r="B1187" s="12" t="str">
        <x:v>Manufacture of bodies (coachwork) for motor vehicles; manufacture of trailers and semi-trailers</x:v>
      </x:c>
      <x:c r="C1187" s="12" t="str">
        <x:v>الطفيلة</x:v>
      </x:c>
      <x:c r="D1187" s="14" t="n">
        <x:v>0</x:v>
      </x:c>
      <x:c r="E1187" s="14" t="n">
        <x:f>VLOOKUP(C1187,'Governorate Master'!$A$2:$Q$13,3,FALSE)</x:f>
        <x:v>120300</x:v>
      </x:c>
      <x:c r="F1187" s="66" t="n">
        <x:f>IF(E1187=0,0,D1187/E1187*10000)</x:f>
        <x:v>0</x:v>
      </x:c>
      <x:c r="G1187" s="67" t="n">
        <x:f>VLOOKUP(C1187,'Governorate Master'!$A$2:$Q$13,7,FALSE)</x:f>
        <x:v>54.4</x:v>
      </x:c>
      <x:c r="H1187" s="20" t="n">
        <x:f>VLOOKUP(C1187,'Governorate Master'!$A$2:$Q$13,6,FALSE)</x:f>
        <x:v>0.7797173732335827</x:v>
      </x:c>
      <x:c r="I1187" s="20" t="n">
        <x:f>VLOOKUP(C1187,'Governorate Master'!$A$2:$Q$13,15,FALSE)</x:f>
        <x:v>0.18452380952380953</x:v>
      </x:c>
      <x:c r="J1187" s="12" t="str">
        <x:v>Location model input - competition/saturation context</x:v>
      </x:c>
      <x:c r="K1187" s="12" t="str">
        <x:v>Business count is from 2018 while population/context indicators are newer; use as a historical proxy, not a current market count.</x:v>
      </x:c>
    </x:row>
    <x:row r="1188">
      <x:c r="A1188" s="12" t="str">
        <x:v>2920</x:v>
      </x:c>
      <x:c r="B1188" s="12" t="str">
        <x:v>Manufacture of bodies (coachwork) for motor vehicles; manufacture of trailers and semi-trailers</x:v>
      </x:c>
      <x:c r="C1188" s="12" t="str">
        <x:v>معان</x:v>
      </x:c>
      <x:c r="D1188" s="14" t="n">
        <x:v>0</x:v>
      </x:c>
      <x:c r="E1188" s="14" t="n">
        <x:f>VLOOKUP(C1188,'Governorate Master'!$A$2:$Q$13,3,FALSE)</x:f>
        <x:v>197900</x:v>
      </x:c>
      <x:c r="F1188" s="66" t="n">
        <x:f>IF(E1188=0,0,D1188/E1188*10000)</x:f>
        <x:v>0</x:v>
      </x:c>
      <x:c r="G1188" s="67" t="n">
        <x:f>VLOOKUP(C1188,'Governorate Master'!$A$2:$Q$13,7,FALSE)</x:f>
        <x:v>6</x:v>
      </x:c>
      <x:c r="H1188" s="20" t="n">
        <x:f>VLOOKUP(C1188,'Governorate Master'!$A$2:$Q$13,6,FALSE)</x:f>
        <x:v>0.5406771096513391</x:v>
      </x:c>
      <x:c r="I1188" s="20" t="n">
        <x:f>VLOOKUP(C1188,'Governorate Master'!$A$2:$Q$13,15,FALSE)</x:f>
        <x:v>0.026845637583892617</x:v>
      </x:c>
      <x:c r="J1188" s="12" t="str">
        <x:v>Location model input - competition/saturation context</x:v>
      </x:c>
      <x:c r="K1188" s="12" t="str">
        <x:v>Business count is from 2018 while population/context indicators are newer; use as a historical proxy, not a current market count.</x:v>
      </x:c>
    </x:row>
    <x:row r="1189">
      <x:c r="A1189" s="12" t="str">
        <x:v>2920</x:v>
      </x:c>
      <x:c r="B1189" s="12" t="str">
        <x:v>Manufacture of bodies (coachwork) for motor vehicles; manufacture of trailers and semi-trailers</x:v>
      </x:c>
      <x:c r="C1189" s="12" t="str">
        <x:v>العقبة</x:v>
      </x:c>
      <x:c r="D1189" s="14" t="n">
        <x:v>10</x:v>
      </x:c>
      <x:c r="E1189" s="14" t="n">
        <x:f>VLOOKUP(C1189,'Governorate Master'!$A$2:$Q$13,3,FALSE)</x:f>
        <x:v>250900</x:v>
      </x:c>
      <x:c r="F1189" s="66" t="n">
        <x:f>IF(E1189=0,0,D1189/E1189*10000)</x:f>
        <x:v>0.3985651654045436</x:v>
      </x:c>
      <x:c r="G1189" s="67" t="n">
        <x:f>VLOOKUP(C1189,'Governorate Master'!$A$2:$Q$13,7,FALSE)</x:f>
        <x:v>36.3</x:v>
      </x:c>
      <x:c r="H1189" s="20" t="n">
        <x:f>VLOOKUP(C1189,'Governorate Master'!$A$2:$Q$13,6,FALSE)</x:f>
        <x:v>0.882024711040255</x:v>
      </x:c>
      <x:c r="I1189" s="20" t="n">
        <x:f>VLOOKUP(C1189,'Governorate Master'!$A$2:$Q$13,15,FALSE)</x:f>
        <x:v>-0.09</x:v>
      </x:c>
      <x:c r="J1189" s="12" t="str">
        <x:v>Location model input - competition/saturation context</x:v>
      </x:c>
      <x:c r="K1189" s="12" t="str">
        <x:v>Business count is from 2018 while population/context indicators are newer; use as a historical proxy, not a current market count.</x:v>
      </x:c>
    </x:row>
    <x:row r="1190">
      <x:c r="A1190" s="12" t="str">
        <x:v>2930</x:v>
      </x:c>
      <x:c r="B1190" s="12" t="str">
        <x:v>Manufacture of parts and accessories for motor vehicles</x:v>
      </x:c>
      <x:c r="C1190" s="12" t="str">
        <x:v>عمان</x:v>
      </x:c>
      <x:c r="D1190" s="14" t="n">
        <x:v>6</x:v>
      </x:c>
      <x:c r="E1190" s="14" t="n">
        <x:f>VLOOKUP(C1190,'Governorate Master'!$A$2:$Q$13,3,FALSE)</x:f>
        <x:v>5004600</x:v>
      </x:c>
      <x:c r="F1190" s="66" t="n">
        <x:f>IF(E1190=0,0,D1190/E1190*10000)</x:f>
        <x:v>0.011988970147464332</x:v>
      </x:c>
      <x:c r="G1190" s="67" t="n">
        <x:f>VLOOKUP(C1190,'Governorate Master'!$A$2:$Q$13,7,FALSE)</x:f>
        <x:v>660.3</x:v>
      </x:c>
      <x:c r="H1190" s="20" t="n">
        <x:f>VLOOKUP(C1190,'Governorate Master'!$A$2:$Q$13,6,FALSE)</x:f>
        <x:v>0.9721656076409703</x:v>
      </x:c>
      <x:c r="I1190" s="20" t="n">
        <x:f>VLOOKUP(C1190,'Governorate Master'!$A$2:$Q$13,15,FALSE)</x:f>
        <x:v>0.06367041198501873</x:v>
      </x:c>
      <x:c r="J1190" s="12" t="str">
        <x:v>Location model input - competition/saturation context</x:v>
      </x:c>
      <x:c r="K1190" s="12" t="str">
        <x:v>Business count is from 2018 while population/context indicators are newer; use as a historical proxy, not a current market count.</x:v>
      </x:c>
    </x:row>
    <x:row r="1191">
      <x:c r="A1191" s="12" t="str">
        <x:v>2930</x:v>
      </x:c>
      <x:c r="B1191" s="12" t="str">
        <x:v>Manufacture of parts and accessories for motor vehicles</x:v>
      </x:c>
      <x:c r="C1191" s="12" t="str">
        <x:v>البلقاء</x:v>
      </x:c>
      <x:c r="D1191" s="14" t="n">
        <x:v>1</x:v>
      </x:c>
      <x:c r="E1191" s="14" t="n">
        <x:f>VLOOKUP(C1191,'Governorate Master'!$A$2:$Q$13,3,FALSE)</x:f>
        <x:v>614000</x:v>
      </x:c>
      <x:c r="F1191" s="66" t="n">
        <x:f>IF(E1191=0,0,D1191/E1191*10000)</x:f>
        <x:v>0.016286644951140065</x:v>
      </x:c>
      <x:c r="G1191" s="67" t="n">
        <x:f>VLOOKUP(C1191,'Governorate Master'!$A$2:$Q$13,7,FALSE)</x:f>
        <x:v>548</x:v>
      </x:c>
      <x:c r="H1191" s="20" t="n">
        <x:f>VLOOKUP(C1191,'Governorate Master'!$A$2:$Q$13,6,FALSE)</x:f>
        <x:v>0.8210097719869707</x:v>
      </x:c>
      <x:c r="I1191" s="20" t="n">
        <x:f>VLOOKUP(C1191,'Governorate Master'!$A$2:$Q$13,15,FALSE)</x:f>
        <x:v>0.10794044665012408</x:v>
      </x:c>
      <x:c r="J1191" s="12" t="str">
        <x:v>Location model input - competition/saturation context</x:v>
      </x:c>
      <x:c r="K1191" s="12" t="str">
        <x:v>Business count is from 2018 while population/context indicators are newer; use as a historical proxy, not a current market count.</x:v>
      </x:c>
    </x:row>
    <x:row r="1192">
      <x:c r="A1192" s="12" t="str">
        <x:v>2930</x:v>
      </x:c>
      <x:c r="B1192" s="12" t="str">
        <x:v>Manufacture of parts and accessories for motor vehicles</x:v>
      </x:c>
      <x:c r="C1192" s="12" t="str">
        <x:v>الزرقاء</x:v>
      </x:c>
      <x:c r="D1192" s="14" t="n">
        <x:v>5</x:v>
      </x:c>
      <x:c r="E1192" s="14" t="n">
        <x:f>VLOOKUP(C1192,'Governorate Master'!$A$2:$Q$13,3,FALSE)</x:f>
        <x:v>1704500</x:v>
      </x:c>
      <x:c r="F1192" s="66" t="n">
        <x:f>IF(E1192=0,0,D1192/E1192*10000)</x:f>
        <x:v>0.029334115576415375</x:v>
      </x:c>
      <x:c r="G1192" s="67" t="n">
        <x:f>VLOOKUP(C1192,'Governorate Master'!$A$2:$Q$13,7,FALSE)</x:f>
        <x:v>358</x:v>
      </x:c>
      <x:c r="H1192" s="20" t="n">
        <x:f>VLOOKUP(C1192,'Governorate Master'!$A$2:$Q$13,6,FALSE)</x:f>
        <x:v>0.9636256966852449</x:v>
      </x:c>
      <x:c r="I1192" s="20" t="n">
        <x:f>VLOOKUP(C1192,'Governorate Master'!$A$2:$Q$13,15,FALSE)</x:f>
        <x:v>-0.06808762581409118</x:v>
      </x:c>
      <x:c r="J1192" s="12" t="str">
        <x:v>Location model input - competition/saturation context</x:v>
      </x:c>
      <x:c r="K1192" s="12" t="str">
        <x:v>Business count is from 2018 while population/context indicators are newer; use as a historical proxy, not a current market count.</x:v>
      </x:c>
    </x:row>
    <x:row r="1193">
      <x:c r="A1193" s="12" t="str">
        <x:v>2930</x:v>
      </x:c>
      <x:c r="B1193" s="12" t="str">
        <x:v>Manufacture of parts and accessories for motor vehicles</x:v>
      </x:c>
      <x:c r="C1193" s="12" t="str">
        <x:v>مادبا</x:v>
      </x:c>
      <x:c r="D1193" s="14" t="n">
        <x:v>1</x:v>
      </x:c>
      <x:c r="E1193" s="14" t="n">
        <x:f>VLOOKUP(C1193,'Governorate Master'!$A$2:$Q$13,3,FALSE)</x:f>
        <x:v>236200</x:v>
      </x:c>
      <x:c r="F1193" s="66" t="n">
        <x:f>IF(E1193=0,0,D1193/E1193*10000)</x:f>
        <x:v>0.04233700254022015</x:v>
      </x:c>
      <x:c r="G1193" s="67" t="n">
        <x:f>VLOOKUP(C1193,'Governorate Master'!$A$2:$Q$13,7,FALSE)</x:f>
        <x:v>251.4</x:v>
      </x:c>
      <x:c r="H1193" s="20" t="n">
        <x:f>VLOOKUP(C1193,'Governorate Master'!$A$2:$Q$13,6,FALSE)</x:f>
        <x:v>0.7823878069432684</x:v>
      </x:c>
      <x:c r="I1193" s="20" t="n">
        <x:f>VLOOKUP(C1193,'Governorate Master'!$A$2:$Q$13,15,FALSE)</x:f>
        <x:v>-0.18823529411764706</x:v>
      </x:c>
      <x:c r="J1193" s="12" t="str">
        <x:v>Location model input - competition/saturation context</x:v>
      </x:c>
      <x:c r="K1193" s="12" t="str">
        <x:v>Business count is from 2018 while population/context indicators are newer; use as a historical proxy, not a current market count.</x:v>
      </x:c>
    </x:row>
    <x:row r="1194">
      <x:c r="A1194" s="12" t="str">
        <x:v>2930</x:v>
      </x:c>
      <x:c r="B1194" s="12" t="str">
        <x:v>Manufacture of parts and accessories for motor vehicles</x:v>
      </x:c>
      <x:c r="C1194" s="12" t="str">
        <x:v>إربد</x:v>
      </x:c>
      <x:c r="D1194" s="14" t="n">
        <x:v>3</x:v>
      </x:c>
      <x:c r="E1194" s="14" t="n">
        <x:f>VLOOKUP(C1194,'Governorate Master'!$A$2:$Q$13,3,FALSE)</x:f>
        <x:v>2210500</x:v>
      </x:c>
      <x:c r="F1194" s="66" t="n">
        <x:f>IF(E1194=0,0,D1194/E1194*10000)</x:f>
        <x:v>0.013571590137977832</x:v>
      </x:c>
      <x:c r="G1194" s="67" t="n">
        <x:f>VLOOKUP(C1194,'Governorate Master'!$A$2:$Q$13,7,FALSE)</x:f>
        <x:v>1406.4</x:v>
      </x:c>
      <x:c r="H1194" s="20" t="n">
        <x:f>VLOOKUP(C1194,'Governorate Master'!$A$2:$Q$13,6,FALSE)</x:f>
        <x:v>0.9235014702555983</x:v>
      </x:c>
      <x:c r="I1194" s="20" t="n">
        <x:f>VLOOKUP(C1194,'Governorate Master'!$A$2:$Q$13,15,FALSE)</x:f>
        <x:v>0.07086922474549726</x:v>
      </x:c>
      <x:c r="J1194" s="12" t="str">
        <x:v>Location model input - competition/saturation context</x:v>
      </x:c>
      <x:c r="K1194" s="12" t="str">
        <x:v>Business count is from 2018 while population/context indicators are newer; use as a historical proxy, not a current market count.</x:v>
      </x:c>
    </x:row>
    <x:row r="1195">
      <x:c r="A1195" s="12" t="str">
        <x:v>2930</x:v>
      </x:c>
      <x:c r="B1195" s="12" t="str">
        <x:v>Manufacture of parts and accessories for motor vehicles</x:v>
      </x:c>
      <x:c r="C1195" s="12" t="str">
        <x:v>المفرق</x:v>
      </x:c>
      <x:c r="D1195" s="14" t="n">
        <x:v>0</x:v>
      </x:c>
      <x:c r="E1195" s="14" t="n">
        <x:f>VLOOKUP(C1195,'Governorate Master'!$A$2:$Q$13,3,FALSE)</x:f>
        <x:v>686800</x:v>
      </x:c>
      <x:c r="F1195" s="66" t="n">
        <x:f>IF(E1195=0,0,D1195/E1195*10000)</x:f>
        <x:v>0</x:v>
      </x:c>
      <x:c r="G1195" s="67" t="n">
        <x:f>VLOOKUP(C1195,'Governorate Master'!$A$2:$Q$13,7,FALSE)</x:f>
        <x:v>25.9</x:v>
      </x:c>
      <x:c r="H1195" s="20" t="n">
        <x:f>VLOOKUP(C1195,'Governorate Master'!$A$2:$Q$13,6,FALSE)</x:f>
        <x:v>0.6965637740244612</x:v>
      </x:c>
      <x:c r="I1195" s="20" t="n">
        <x:f>VLOOKUP(C1195,'Governorate Master'!$A$2:$Q$13,15,FALSE)</x:f>
        <x:v>-0.016638935108153077</x:v>
      </x:c>
      <x:c r="J1195" s="12" t="str">
        <x:v>Location model input - competition/saturation context</x:v>
      </x:c>
      <x:c r="K1195" s="12" t="str">
        <x:v>Business count is from 2018 while population/context indicators are newer; use as a historical proxy, not a current market count.</x:v>
      </x:c>
    </x:row>
    <x:row r="1196">
      <x:c r="A1196" s="12" t="str">
        <x:v>2930</x:v>
      </x:c>
      <x:c r="B1196" s="12" t="str">
        <x:v>Manufacture of parts and accessories for motor vehicles</x:v>
      </x:c>
      <x:c r="C1196" s="12" t="str">
        <x:v>جرش</x:v>
      </x:c>
      <x:c r="D1196" s="14" t="n">
        <x:v>0</x:v>
      </x:c>
      <x:c r="E1196" s="14" t="n">
        <x:f>VLOOKUP(C1196,'Governorate Master'!$A$2:$Q$13,3,FALSE)</x:f>
        <x:v>296000</x:v>
      </x:c>
      <x:c r="F1196" s="66" t="n">
        <x:f>IF(E1196=0,0,D1196/E1196*10000)</x:f>
        <x:v>0</x:v>
      </x:c>
      <x:c r="G1196" s="67" t="n">
        <x:f>VLOOKUP(C1196,'Governorate Master'!$A$2:$Q$13,7,FALSE)</x:f>
        <x:v>722.3</x:v>
      </x:c>
      <x:c r="H1196" s="20" t="n">
        <x:f>VLOOKUP(C1196,'Governorate Master'!$A$2:$Q$13,6,FALSE)</x:f>
        <x:v>0.7695945945945946</x:v>
      </x:c>
      <x:c r="I1196" s="20" t="n">
        <x:f>VLOOKUP(C1196,'Governorate Master'!$A$2:$Q$13,15,FALSE)</x:f>
        <x:v>-0.06527415143603134</x:v>
      </x:c>
      <x:c r="J1196" s="12" t="str">
        <x:v>Location model input - competition/saturation context</x:v>
      </x:c>
      <x:c r="K1196" s="12" t="str">
        <x:v>Business count is from 2018 while population/context indicators are newer; use as a historical proxy, not a current market count.</x:v>
      </x:c>
    </x:row>
    <x:row r="1197">
      <x:c r="A1197" s="12" t="str">
        <x:v>2930</x:v>
      </x:c>
      <x:c r="B1197" s="12" t="str">
        <x:v>Manufacture of parts and accessories for motor vehicles</x:v>
      </x:c>
      <x:c r="C1197" s="12" t="str">
        <x:v>عجلون</x:v>
      </x:c>
      <x:c r="D1197" s="14" t="n">
        <x:v>0</x:v>
      </x:c>
      <x:c r="E1197" s="14" t="n">
        <x:f>VLOOKUP(C1197,'Governorate Master'!$A$2:$Q$13,3,FALSE)</x:f>
        <x:v>219900</x:v>
      </x:c>
      <x:c r="F1197" s="66" t="n">
        <x:f>IF(E1197=0,0,D1197/E1197*10000)</x:f>
        <x:v>0</x:v>
      </x:c>
      <x:c r="G1197" s="67" t="n">
        <x:f>VLOOKUP(C1197,'Governorate Master'!$A$2:$Q$13,7,FALSE)</x:f>
        <x:v>524</x:v>
      </x:c>
      <x:c r="H1197" s="20" t="n">
        <x:f>VLOOKUP(C1197,'Governorate Master'!$A$2:$Q$13,6,FALSE)</x:f>
        <x:v>0.8390177353342428</x:v>
      </x:c>
      <x:c r="I1197" s="20" t="n">
        <x:f>VLOOKUP(C1197,'Governorate Master'!$A$2:$Q$13,15,FALSE)</x:f>
        <x:v>0.03614457831325301</x:v>
      </x:c>
      <x:c r="J1197" s="12" t="str">
        <x:v>Location model input - competition/saturation context</x:v>
      </x:c>
      <x:c r="K1197" s="12" t="str">
        <x:v>Business count is from 2018 while population/context indicators are newer; use as a historical proxy, not a current market count.</x:v>
      </x:c>
    </x:row>
    <x:row r="1198">
      <x:c r="A1198" s="12" t="str">
        <x:v>2930</x:v>
      </x:c>
      <x:c r="B1198" s="12" t="str">
        <x:v>Manufacture of parts and accessories for motor vehicles</x:v>
      </x:c>
      <x:c r="C1198" s="12" t="str">
        <x:v>الكرك</x:v>
      </x:c>
      <x:c r="D1198" s="14" t="n">
        <x:v>1</x:v>
      </x:c>
      <x:c r="E1198" s="14" t="n">
        <x:f>VLOOKUP(C1198,'Governorate Master'!$A$2:$Q$13,3,FALSE)</x:f>
        <x:v>395400</x:v>
      </x:c>
      <x:c r="F1198" s="66" t="n">
        <x:f>IF(E1198=0,0,D1198/E1198*10000)</x:f>
        <x:v>0.025290844714213452</x:v>
      </x:c>
      <x:c r="G1198" s="67" t="n">
        <x:f>VLOOKUP(C1198,'Governorate Master'!$A$2:$Q$13,7,FALSE)</x:f>
        <x:v>113.1</x:v>
      </x:c>
      <x:c r="H1198" s="20" t="n">
        <x:f>VLOOKUP(C1198,'Governorate Master'!$A$2:$Q$13,6,FALSE)</x:f>
        <x:v>0.5912999494183105</x:v>
      </x:c>
      <x:c r="I1198" s="20" t="n">
        <x:f>VLOOKUP(C1198,'Governorate Master'!$A$2:$Q$13,15,FALSE)</x:f>
        <x:v>0.08710801393728224</x:v>
      </x:c>
      <x:c r="J1198" s="12" t="str">
        <x:v>Location model input - competition/saturation context</x:v>
      </x:c>
      <x:c r="K1198" s="12" t="str">
        <x:v>Business count is from 2018 while population/context indicators are newer; use as a historical proxy, not a current market count.</x:v>
      </x:c>
    </x:row>
    <x:row r="1199">
      <x:c r="A1199" s="12" t="str">
        <x:v>2930</x:v>
      </x:c>
      <x:c r="B1199" s="12" t="str">
        <x:v>Manufacture of parts and accessories for motor vehicles</x:v>
      </x:c>
      <x:c r="C1199" s="12" t="str">
        <x:v>الطفيلة</x:v>
      </x:c>
      <x:c r="D1199" s="14" t="n">
        <x:v>0</x:v>
      </x:c>
      <x:c r="E1199" s="14" t="n">
        <x:f>VLOOKUP(C1199,'Governorate Master'!$A$2:$Q$13,3,FALSE)</x:f>
        <x:v>120300</x:v>
      </x:c>
      <x:c r="F1199" s="66" t="n">
        <x:f>IF(E1199=0,0,D1199/E1199*10000)</x:f>
        <x:v>0</x:v>
      </x:c>
      <x:c r="G1199" s="67" t="n">
        <x:f>VLOOKUP(C1199,'Governorate Master'!$A$2:$Q$13,7,FALSE)</x:f>
        <x:v>54.4</x:v>
      </x:c>
      <x:c r="H1199" s="20" t="n">
        <x:f>VLOOKUP(C1199,'Governorate Master'!$A$2:$Q$13,6,FALSE)</x:f>
        <x:v>0.7797173732335827</x:v>
      </x:c>
      <x:c r="I1199" s="20" t="n">
        <x:f>VLOOKUP(C1199,'Governorate Master'!$A$2:$Q$13,15,FALSE)</x:f>
        <x:v>0.18452380952380953</x:v>
      </x:c>
      <x:c r="J1199" s="12" t="str">
        <x:v>Location model input - competition/saturation context</x:v>
      </x:c>
      <x:c r="K1199" s="12" t="str">
        <x:v>Business count is from 2018 while population/context indicators are newer; use as a historical proxy, not a current market count.</x:v>
      </x:c>
    </x:row>
    <x:row r="1200">
      <x:c r="A1200" s="12" t="str">
        <x:v>2930</x:v>
      </x:c>
      <x:c r="B1200" s="12" t="str">
        <x:v>Manufacture of parts and accessories for motor vehicles</x:v>
      </x:c>
      <x:c r="C1200" s="12" t="str">
        <x:v>معان</x:v>
      </x:c>
      <x:c r="D1200" s="14" t="n">
        <x:v>0</x:v>
      </x:c>
      <x:c r="E1200" s="14" t="n">
        <x:f>VLOOKUP(C1200,'Governorate Master'!$A$2:$Q$13,3,FALSE)</x:f>
        <x:v>197900</x:v>
      </x:c>
      <x:c r="F1200" s="66" t="n">
        <x:f>IF(E1200=0,0,D1200/E1200*10000)</x:f>
        <x:v>0</x:v>
      </x:c>
      <x:c r="G1200" s="67" t="n">
        <x:f>VLOOKUP(C1200,'Governorate Master'!$A$2:$Q$13,7,FALSE)</x:f>
        <x:v>6</x:v>
      </x:c>
      <x:c r="H1200" s="20" t="n">
        <x:f>VLOOKUP(C1200,'Governorate Master'!$A$2:$Q$13,6,FALSE)</x:f>
        <x:v>0.5406771096513391</x:v>
      </x:c>
      <x:c r="I1200" s="20" t="n">
        <x:f>VLOOKUP(C1200,'Governorate Master'!$A$2:$Q$13,15,FALSE)</x:f>
        <x:v>0.026845637583892617</x:v>
      </x:c>
      <x:c r="J1200" s="12" t="str">
        <x:v>Location model input - competition/saturation context</x:v>
      </x:c>
      <x:c r="K1200" s="12" t="str">
        <x:v>Business count is from 2018 while population/context indicators are newer; use as a historical proxy, not a current market count.</x:v>
      </x:c>
    </x:row>
    <x:row r="1201">
      <x:c r="A1201" s="12" t="str">
        <x:v>2930</x:v>
      </x:c>
      <x:c r="B1201" s="12" t="str">
        <x:v>Manufacture of parts and accessories for motor vehicles</x:v>
      </x:c>
      <x:c r="C1201" s="12" t="str">
        <x:v>العقبة</x:v>
      </x:c>
      <x:c r="D1201" s="14" t="n">
        <x:v>0</x:v>
      </x:c>
      <x:c r="E1201" s="14" t="n">
        <x:f>VLOOKUP(C1201,'Governorate Master'!$A$2:$Q$13,3,FALSE)</x:f>
        <x:v>250900</x:v>
      </x:c>
      <x:c r="F1201" s="66" t="n">
        <x:f>IF(E1201=0,0,D1201/E1201*10000)</x:f>
        <x:v>0</x:v>
      </x:c>
      <x:c r="G1201" s="67" t="n">
        <x:f>VLOOKUP(C1201,'Governorate Master'!$A$2:$Q$13,7,FALSE)</x:f>
        <x:v>36.3</x:v>
      </x:c>
      <x:c r="H1201" s="20" t="n">
        <x:f>VLOOKUP(C1201,'Governorate Master'!$A$2:$Q$13,6,FALSE)</x:f>
        <x:v>0.882024711040255</x:v>
      </x:c>
      <x:c r="I1201" s="20" t="n">
        <x:f>VLOOKUP(C1201,'Governorate Master'!$A$2:$Q$13,15,FALSE)</x:f>
        <x:v>-0.09</x:v>
      </x:c>
      <x:c r="J1201" s="12" t="str">
        <x:v>Location model input - competition/saturation context</x:v>
      </x:c>
      <x:c r="K1201" s="12" t="str">
        <x:v>Business count is from 2018 while population/context indicators are newer; use as a historical proxy, not a current market count.</x:v>
      </x:c>
    </x:row>
    <x:row r="1202">
      <x:c r="A1202" s="12" t="str">
        <x:v>3012</x:v>
      </x:c>
      <x:c r="B1202" s="12" t="str">
        <x:v>Building of pleasure and sporting boats</x:v>
      </x:c>
      <x:c r="C1202" s="12" t="str">
        <x:v>عمان</x:v>
      </x:c>
      <x:c r="D1202" s="14" t="n">
        <x:v>0</x:v>
      </x:c>
      <x:c r="E1202" s="14" t="n">
        <x:f>VLOOKUP(C1202,'Governorate Master'!$A$2:$Q$13,3,FALSE)</x:f>
        <x:v>5004600</x:v>
      </x:c>
      <x:c r="F1202" s="66" t="n">
        <x:f>IF(E1202=0,0,D1202/E1202*10000)</x:f>
        <x:v>0</x:v>
      </x:c>
      <x:c r="G1202" s="67" t="n">
        <x:f>VLOOKUP(C1202,'Governorate Master'!$A$2:$Q$13,7,FALSE)</x:f>
        <x:v>660.3</x:v>
      </x:c>
      <x:c r="H1202" s="20" t="n">
        <x:f>VLOOKUP(C1202,'Governorate Master'!$A$2:$Q$13,6,FALSE)</x:f>
        <x:v>0.9721656076409703</x:v>
      </x:c>
      <x:c r="I1202" s="20" t="n">
        <x:f>VLOOKUP(C1202,'Governorate Master'!$A$2:$Q$13,15,FALSE)</x:f>
        <x:v>0.06367041198501873</x:v>
      </x:c>
      <x:c r="J1202" s="12" t="str">
        <x:v>Location model input - competition/saturation context</x:v>
      </x:c>
      <x:c r="K1202" s="12" t="str">
        <x:v>Business count is from 2018 while population/context indicators are newer; use as a historical proxy, not a current market count.</x:v>
      </x:c>
    </x:row>
    <x:row r="1203">
      <x:c r="A1203" s="12" t="str">
        <x:v>3012</x:v>
      </x:c>
      <x:c r="B1203" s="12" t="str">
        <x:v>Building of pleasure and sporting boats</x:v>
      </x:c>
      <x:c r="C1203" s="12" t="str">
        <x:v>البلقاء</x:v>
      </x:c>
      <x:c r="D1203" s="14" t="n">
        <x:v>0</x:v>
      </x:c>
      <x:c r="E1203" s="14" t="n">
        <x:f>VLOOKUP(C1203,'Governorate Master'!$A$2:$Q$13,3,FALSE)</x:f>
        <x:v>614000</x:v>
      </x:c>
      <x:c r="F1203" s="66" t="n">
        <x:f>IF(E1203=0,0,D1203/E1203*10000)</x:f>
        <x:v>0</x:v>
      </x:c>
      <x:c r="G1203" s="67" t="n">
        <x:f>VLOOKUP(C1203,'Governorate Master'!$A$2:$Q$13,7,FALSE)</x:f>
        <x:v>548</x:v>
      </x:c>
      <x:c r="H1203" s="20" t="n">
        <x:f>VLOOKUP(C1203,'Governorate Master'!$A$2:$Q$13,6,FALSE)</x:f>
        <x:v>0.8210097719869707</x:v>
      </x:c>
      <x:c r="I1203" s="20" t="n">
        <x:f>VLOOKUP(C1203,'Governorate Master'!$A$2:$Q$13,15,FALSE)</x:f>
        <x:v>0.10794044665012408</x:v>
      </x:c>
      <x:c r="J1203" s="12" t="str">
        <x:v>Location model input - competition/saturation context</x:v>
      </x:c>
      <x:c r="K1203" s="12" t="str">
        <x:v>Business count is from 2018 while population/context indicators are newer; use as a historical proxy, not a current market count.</x:v>
      </x:c>
    </x:row>
    <x:row r="1204">
      <x:c r="A1204" s="12" t="str">
        <x:v>3012</x:v>
      </x:c>
      <x:c r="B1204" s="12" t="str">
        <x:v>Building of pleasure and sporting boats</x:v>
      </x:c>
      <x:c r="C1204" s="12" t="str">
        <x:v>الزرقاء</x:v>
      </x:c>
      <x:c r="D1204" s="14" t="n">
        <x:v>1</x:v>
      </x:c>
      <x:c r="E1204" s="14" t="n">
        <x:f>VLOOKUP(C1204,'Governorate Master'!$A$2:$Q$13,3,FALSE)</x:f>
        <x:v>1704500</x:v>
      </x:c>
      <x:c r="F1204" s="66" t="n">
        <x:f>IF(E1204=0,0,D1204/E1204*10000)</x:f>
        <x:v>0.005866823115283074</x:v>
      </x:c>
      <x:c r="G1204" s="67" t="n">
        <x:f>VLOOKUP(C1204,'Governorate Master'!$A$2:$Q$13,7,FALSE)</x:f>
        <x:v>358</x:v>
      </x:c>
      <x:c r="H1204" s="20" t="n">
        <x:f>VLOOKUP(C1204,'Governorate Master'!$A$2:$Q$13,6,FALSE)</x:f>
        <x:v>0.9636256966852449</x:v>
      </x:c>
      <x:c r="I1204" s="20" t="n">
        <x:f>VLOOKUP(C1204,'Governorate Master'!$A$2:$Q$13,15,FALSE)</x:f>
        <x:v>-0.06808762581409118</x:v>
      </x:c>
      <x:c r="J1204" s="12" t="str">
        <x:v>Location model input - competition/saturation context</x:v>
      </x:c>
      <x:c r="K1204" s="12" t="str">
        <x:v>Business count is from 2018 while population/context indicators are newer; use as a historical proxy, not a current market count.</x:v>
      </x:c>
    </x:row>
    <x:row r="1205">
      <x:c r="A1205" s="12" t="str">
        <x:v>3012</x:v>
      </x:c>
      <x:c r="B1205" s="12" t="str">
        <x:v>Building of pleasure and sporting boats</x:v>
      </x:c>
      <x:c r="C1205" s="12" t="str">
        <x:v>مادبا</x:v>
      </x:c>
      <x:c r="D1205" s="14" t="n">
        <x:v>0</x:v>
      </x:c>
      <x:c r="E1205" s="14" t="n">
        <x:f>VLOOKUP(C1205,'Governorate Master'!$A$2:$Q$13,3,FALSE)</x:f>
        <x:v>236200</x:v>
      </x:c>
      <x:c r="F1205" s="66" t="n">
        <x:f>IF(E1205=0,0,D1205/E1205*10000)</x:f>
        <x:v>0</x:v>
      </x:c>
      <x:c r="G1205" s="67" t="n">
        <x:f>VLOOKUP(C1205,'Governorate Master'!$A$2:$Q$13,7,FALSE)</x:f>
        <x:v>251.4</x:v>
      </x:c>
      <x:c r="H1205" s="20" t="n">
        <x:f>VLOOKUP(C1205,'Governorate Master'!$A$2:$Q$13,6,FALSE)</x:f>
        <x:v>0.7823878069432684</x:v>
      </x:c>
      <x:c r="I1205" s="20" t="n">
        <x:f>VLOOKUP(C1205,'Governorate Master'!$A$2:$Q$13,15,FALSE)</x:f>
        <x:v>-0.18823529411764706</x:v>
      </x:c>
      <x:c r="J1205" s="12" t="str">
        <x:v>Location model input - competition/saturation context</x:v>
      </x:c>
      <x:c r="K1205" s="12" t="str">
        <x:v>Business count is from 2018 while population/context indicators are newer; use as a historical proxy, not a current market count.</x:v>
      </x:c>
    </x:row>
    <x:row r="1206">
      <x:c r="A1206" s="12" t="str">
        <x:v>3012</x:v>
      </x:c>
      <x:c r="B1206" s="12" t="str">
        <x:v>Building of pleasure and sporting boats</x:v>
      </x:c>
      <x:c r="C1206" s="12" t="str">
        <x:v>إربد</x:v>
      </x:c>
      <x:c r="D1206" s="14" t="n">
        <x:v>0</x:v>
      </x:c>
      <x:c r="E1206" s="14" t="n">
        <x:f>VLOOKUP(C1206,'Governorate Master'!$A$2:$Q$13,3,FALSE)</x:f>
        <x:v>2210500</x:v>
      </x:c>
      <x:c r="F1206" s="66" t="n">
        <x:f>IF(E1206=0,0,D1206/E1206*10000)</x:f>
        <x:v>0</x:v>
      </x:c>
      <x:c r="G1206" s="67" t="n">
        <x:f>VLOOKUP(C1206,'Governorate Master'!$A$2:$Q$13,7,FALSE)</x:f>
        <x:v>1406.4</x:v>
      </x:c>
      <x:c r="H1206" s="20" t="n">
        <x:f>VLOOKUP(C1206,'Governorate Master'!$A$2:$Q$13,6,FALSE)</x:f>
        <x:v>0.9235014702555983</x:v>
      </x:c>
      <x:c r="I1206" s="20" t="n">
        <x:f>VLOOKUP(C1206,'Governorate Master'!$A$2:$Q$13,15,FALSE)</x:f>
        <x:v>0.07086922474549726</x:v>
      </x:c>
      <x:c r="J1206" s="12" t="str">
        <x:v>Location model input - competition/saturation context</x:v>
      </x:c>
      <x:c r="K1206" s="12" t="str">
        <x:v>Business count is from 2018 while population/context indicators are newer; use as a historical proxy, not a current market count.</x:v>
      </x:c>
    </x:row>
    <x:row r="1207">
      <x:c r="A1207" s="12" t="str">
        <x:v>3012</x:v>
      </x:c>
      <x:c r="B1207" s="12" t="str">
        <x:v>Building of pleasure and sporting boats</x:v>
      </x:c>
      <x:c r="C1207" s="12" t="str">
        <x:v>المفرق</x:v>
      </x:c>
      <x:c r="D1207" s="14" t="n">
        <x:v>0</x:v>
      </x:c>
      <x:c r="E1207" s="14" t="n">
        <x:f>VLOOKUP(C1207,'Governorate Master'!$A$2:$Q$13,3,FALSE)</x:f>
        <x:v>686800</x:v>
      </x:c>
      <x:c r="F1207" s="66" t="n">
        <x:f>IF(E1207=0,0,D1207/E1207*10000)</x:f>
        <x:v>0</x:v>
      </x:c>
      <x:c r="G1207" s="67" t="n">
        <x:f>VLOOKUP(C1207,'Governorate Master'!$A$2:$Q$13,7,FALSE)</x:f>
        <x:v>25.9</x:v>
      </x:c>
      <x:c r="H1207" s="20" t="n">
        <x:f>VLOOKUP(C1207,'Governorate Master'!$A$2:$Q$13,6,FALSE)</x:f>
        <x:v>0.6965637740244612</x:v>
      </x:c>
      <x:c r="I1207" s="20" t="n">
        <x:f>VLOOKUP(C1207,'Governorate Master'!$A$2:$Q$13,15,FALSE)</x:f>
        <x:v>-0.016638935108153077</x:v>
      </x:c>
      <x:c r="J1207" s="12" t="str">
        <x:v>Location model input - competition/saturation context</x:v>
      </x:c>
      <x:c r="K1207" s="12" t="str">
        <x:v>Business count is from 2018 while population/context indicators are newer; use as a historical proxy, not a current market count.</x:v>
      </x:c>
    </x:row>
    <x:row r="1208">
      <x:c r="A1208" s="12" t="str">
        <x:v>3012</x:v>
      </x:c>
      <x:c r="B1208" s="12" t="str">
        <x:v>Building of pleasure and sporting boats</x:v>
      </x:c>
      <x:c r="C1208" s="12" t="str">
        <x:v>جرش</x:v>
      </x:c>
      <x:c r="D1208" s="14" t="n">
        <x:v>0</x:v>
      </x:c>
      <x:c r="E1208" s="14" t="n">
        <x:f>VLOOKUP(C1208,'Governorate Master'!$A$2:$Q$13,3,FALSE)</x:f>
        <x:v>296000</x:v>
      </x:c>
      <x:c r="F1208" s="66" t="n">
        <x:f>IF(E1208=0,0,D1208/E1208*10000)</x:f>
        <x:v>0</x:v>
      </x:c>
      <x:c r="G1208" s="67" t="n">
        <x:f>VLOOKUP(C1208,'Governorate Master'!$A$2:$Q$13,7,FALSE)</x:f>
        <x:v>722.3</x:v>
      </x:c>
      <x:c r="H1208" s="20" t="n">
        <x:f>VLOOKUP(C1208,'Governorate Master'!$A$2:$Q$13,6,FALSE)</x:f>
        <x:v>0.7695945945945946</x:v>
      </x:c>
      <x:c r="I1208" s="20" t="n">
        <x:f>VLOOKUP(C1208,'Governorate Master'!$A$2:$Q$13,15,FALSE)</x:f>
        <x:v>-0.06527415143603134</x:v>
      </x:c>
      <x:c r="J1208" s="12" t="str">
        <x:v>Location model input - competition/saturation context</x:v>
      </x:c>
      <x:c r="K1208" s="12" t="str">
        <x:v>Business count is from 2018 while population/context indicators are newer; use as a historical proxy, not a current market count.</x:v>
      </x:c>
    </x:row>
    <x:row r="1209">
      <x:c r="A1209" s="12" t="str">
        <x:v>3012</x:v>
      </x:c>
      <x:c r="B1209" s="12" t="str">
        <x:v>Building of pleasure and sporting boats</x:v>
      </x:c>
      <x:c r="C1209" s="12" t="str">
        <x:v>عجلون</x:v>
      </x:c>
      <x:c r="D1209" s="14" t="n">
        <x:v>0</x:v>
      </x:c>
      <x:c r="E1209" s="14" t="n">
        <x:f>VLOOKUP(C1209,'Governorate Master'!$A$2:$Q$13,3,FALSE)</x:f>
        <x:v>219900</x:v>
      </x:c>
      <x:c r="F1209" s="66" t="n">
        <x:f>IF(E1209=0,0,D1209/E1209*10000)</x:f>
        <x:v>0</x:v>
      </x:c>
      <x:c r="G1209" s="67" t="n">
        <x:f>VLOOKUP(C1209,'Governorate Master'!$A$2:$Q$13,7,FALSE)</x:f>
        <x:v>524</x:v>
      </x:c>
      <x:c r="H1209" s="20" t="n">
        <x:f>VLOOKUP(C1209,'Governorate Master'!$A$2:$Q$13,6,FALSE)</x:f>
        <x:v>0.8390177353342428</x:v>
      </x:c>
      <x:c r="I1209" s="20" t="n">
        <x:f>VLOOKUP(C1209,'Governorate Master'!$A$2:$Q$13,15,FALSE)</x:f>
        <x:v>0.03614457831325301</x:v>
      </x:c>
      <x:c r="J1209" s="12" t="str">
        <x:v>Location model input - competition/saturation context</x:v>
      </x:c>
      <x:c r="K1209" s="12" t="str">
        <x:v>Business count is from 2018 while population/context indicators are newer; use as a historical proxy, not a current market count.</x:v>
      </x:c>
    </x:row>
    <x:row r="1210">
      <x:c r="A1210" s="12" t="str">
        <x:v>3012</x:v>
      </x:c>
      <x:c r="B1210" s="12" t="str">
        <x:v>Building of pleasure and sporting boats</x:v>
      </x:c>
      <x:c r="C1210" s="12" t="str">
        <x:v>الكرك</x:v>
      </x:c>
      <x:c r="D1210" s="14" t="n">
        <x:v>0</x:v>
      </x:c>
      <x:c r="E1210" s="14" t="n">
        <x:f>VLOOKUP(C1210,'Governorate Master'!$A$2:$Q$13,3,FALSE)</x:f>
        <x:v>395400</x:v>
      </x:c>
      <x:c r="F1210" s="66" t="n">
        <x:f>IF(E1210=0,0,D1210/E1210*10000)</x:f>
        <x:v>0</x:v>
      </x:c>
      <x:c r="G1210" s="67" t="n">
        <x:f>VLOOKUP(C1210,'Governorate Master'!$A$2:$Q$13,7,FALSE)</x:f>
        <x:v>113.1</x:v>
      </x:c>
      <x:c r="H1210" s="20" t="n">
        <x:f>VLOOKUP(C1210,'Governorate Master'!$A$2:$Q$13,6,FALSE)</x:f>
        <x:v>0.5912999494183105</x:v>
      </x:c>
      <x:c r="I1210" s="20" t="n">
        <x:f>VLOOKUP(C1210,'Governorate Master'!$A$2:$Q$13,15,FALSE)</x:f>
        <x:v>0.08710801393728224</x:v>
      </x:c>
      <x:c r="J1210" s="12" t="str">
        <x:v>Location model input - competition/saturation context</x:v>
      </x:c>
      <x:c r="K1210" s="12" t="str">
        <x:v>Business count is from 2018 while population/context indicators are newer; use as a historical proxy, not a current market count.</x:v>
      </x:c>
    </x:row>
    <x:row r="1211">
      <x:c r="A1211" s="12" t="str">
        <x:v>3012</x:v>
      </x:c>
      <x:c r="B1211" s="12" t="str">
        <x:v>Building of pleasure and sporting boats</x:v>
      </x:c>
      <x:c r="C1211" s="12" t="str">
        <x:v>الطفيلة</x:v>
      </x:c>
      <x:c r="D1211" s="14" t="n">
        <x:v>0</x:v>
      </x:c>
      <x:c r="E1211" s="14" t="n">
        <x:f>VLOOKUP(C1211,'Governorate Master'!$A$2:$Q$13,3,FALSE)</x:f>
        <x:v>120300</x:v>
      </x:c>
      <x:c r="F1211" s="66" t="n">
        <x:f>IF(E1211=0,0,D1211/E1211*10000)</x:f>
        <x:v>0</x:v>
      </x:c>
      <x:c r="G1211" s="67" t="n">
        <x:f>VLOOKUP(C1211,'Governorate Master'!$A$2:$Q$13,7,FALSE)</x:f>
        <x:v>54.4</x:v>
      </x:c>
      <x:c r="H1211" s="20" t="n">
        <x:f>VLOOKUP(C1211,'Governorate Master'!$A$2:$Q$13,6,FALSE)</x:f>
        <x:v>0.7797173732335827</x:v>
      </x:c>
      <x:c r="I1211" s="20" t="n">
        <x:f>VLOOKUP(C1211,'Governorate Master'!$A$2:$Q$13,15,FALSE)</x:f>
        <x:v>0.18452380952380953</x:v>
      </x:c>
      <x:c r="J1211" s="12" t="str">
        <x:v>Location model input - competition/saturation context</x:v>
      </x:c>
      <x:c r="K1211" s="12" t="str">
        <x:v>Business count is from 2018 while population/context indicators are newer; use as a historical proxy, not a current market count.</x:v>
      </x:c>
    </x:row>
    <x:row r="1212">
      <x:c r="A1212" s="12" t="str">
        <x:v>3012</x:v>
      </x:c>
      <x:c r="B1212" s="12" t="str">
        <x:v>Building of pleasure and sporting boats</x:v>
      </x:c>
      <x:c r="C1212" s="12" t="str">
        <x:v>معان</x:v>
      </x:c>
      <x:c r="D1212" s="14" t="n">
        <x:v>0</x:v>
      </x:c>
      <x:c r="E1212" s="14" t="n">
        <x:f>VLOOKUP(C1212,'Governorate Master'!$A$2:$Q$13,3,FALSE)</x:f>
        <x:v>197900</x:v>
      </x:c>
      <x:c r="F1212" s="66" t="n">
        <x:f>IF(E1212=0,0,D1212/E1212*10000)</x:f>
        <x:v>0</x:v>
      </x:c>
      <x:c r="G1212" s="67" t="n">
        <x:f>VLOOKUP(C1212,'Governorate Master'!$A$2:$Q$13,7,FALSE)</x:f>
        <x:v>6</x:v>
      </x:c>
      <x:c r="H1212" s="20" t="n">
        <x:f>VLOOKUP(C1212,'Governorate Master'!$A$2:$Q$13,6,FALSE)</x:f>
        <x:v>0.5406771096513391</x:v>
      </x:c>
      <x:c r="I1212" s="20" t="n">
        <x:f>VLOOKUP(C1212,'Governorate Master'!$A$2:$Q$13,15,FALSE)</x:f>
        <x:v>0.026845637583892617</x:v>
      </x:c>
      <x:c r="J1212" s="12" t="str">
        <x:v>Location model input - competition/saturation context</x:v>
      </x:c>
      <x:c r="K1212" s="12" t="str">
        <x:v>Business count is from 2018 while population/context indicators are newer; use as a historical proxy, not a current market count.</x:v>
      </x:c>
    </x:row>
    <x:row r="1213">
      <x:c r="A1213" s="12" t="str">
        <x:v>3012</x:v>
      </x:c>
      <x:c r="B1213" s="12" t="str">
        <x:v>Building of pleasure and sporting boats</x:v>
      </x:c>
      <x:c r="C1213" s="12" t="str">
        <x:v>العقبة</x:v>
      </x:c>
      <x:c r="D1213" s="14" t="n">
        <x:v>0</x:v>
      </x:c>
      <x:c r="E1213" s="14" t="n">
        <x:f>VLOOKUP(C1213,'Governorate Master'!$A$2:$Q$13,3,FALSE)</x:f>
        <x:v>250900</x:v>
      </x:c>
      <x:c r="F1213" s="66" t="n">
        <x:f>IF(E1213=0,0,D1213/E1213*10000)</x:f>
        <x:v>0</x:v>
      </x:c>
      <x:c r="G1213" s="67" t="n">
        <x:f>VLOOKUP(C1213,'Governorate Master'!$A$2:$Q$13,7,FALSE)</x:f>
        <x:v>36.3</x:v>
      </x:c>
      <x:c r="H1213" s="20" t="n">
        <x:f>VLOOKUP(C1213,'Governorate Master'!$A$2:$Q$13,6,FALSE)</x:f>
        <x:v>0.882024711040255</x:v>
      </x:c>
      <x:c r="I1213" s="20" t="n">
        <x:f>VLOOKUP(C1213,'Governorate Master'!$A$2:$Q$13,15,FALSE)</x:f>
        <x:v>-0.09</x:v>
      </x:c>
      <x:c r="J1213" s="12" t="str">
        <x:v>Location model input - competition/saturation context</x:v>
      </x:c>
      <x:c r="K1213" s="12" t="str">
        <x:v>Business count is from 2018 while population/context indicators are newer; use as a historical proxy, not a current market count.</x:v>
      </x:c>
    </x:row>
    <x:row r="1214">
      <x:c r="A1214" s="12" t="str">
        <x:v>3100</x:v>
      </x:c>
      <x:c r="B1214" s="12" t="str">
        <x:v>Manufacture of furniture</x:v>
      </x:c>
      <x:c r="C1214" s="12" t="str">
        <x:v>عمان</x:v>
      </x:c>
      <x:c r="D1214" s="14" t="n">
        <x:v>1562</x:v>
      </x:c>
      <x:c r="E1214" s="14" t="n">
        <x:f>VLOOKUP(C1214,'Governorate Master'!$A$2:$Q$13,3,FALSE)</x:f>
        <x:v>5004600</x:v>
      </x:c>
      <x:c r="F1214" s="66" t="n">
        <x:f>IF(E1214=0,0,D1214/E1214*10000)</x:f>
        <x:v>3.1211285617232147</x:v>
      </x:c>
      <x:c r="G1214" s="67" t="n">
        <x:f>VLOOKUP(C1214,'Governorate Master'!$A$2:$Q$13,7,FALSE)</x:f>
        <x:v>660.3</x:v>
      </x:c>
      <x:c r="H1214" s="20" t="n">
        <x:f>VLOOKUP(C1214,'Governorate Master'!$A$2:$Q$13,6,FALSE)</x:f>
        <x:v>0.9721656076409703</x:v>
      </x:c>
      <x:c r="I1214" s="20" t="n">
        <x:f>VLOOKUP(C1214,'Governorate Master'!$A$2:$Q$13,15,FALSE)</x:f>
        <x:v>0.06367041198501873</x:v>
      </x:c>
      <x:c r="J1214" s="12" t="str">
        <x:v>Location model input - competition/saturation context</x:v>
      </x:c>
      <x:c r="K1214" s="12" t="str">
        <x:v>Business count is from 2018 while population/context indicators are newer; use as a historical proxy, not a current market count.</x:v>
      </x:c>
    </x:row>
    <x:row r="1215">
      <x:c r="A1215" s="12" t="str">
        <x:v>3100</x:v>
      </x:c>
      <x:c r="B1215" s="12" t="str">
        <x:v>Manufacture of furniture</x:v>
      </x:c>
      <x:c r="C1215" s="12" t="str">
        <x:v>البلقاء</x:v>
      </x:c>
      <x:c r="D1215" s="14" t="n">
        <x:v>130</x:v>
      </x:c>
      <x:c r="E1215" s="14" t="n">
        <x:f>VLOOKUP(C1215,'Governorate Master'!$A$2:$Q$13,3,FALSE)</x:f>
        <x:v>614000</x:v>
      </x:c>
      <x:c r="F1215" s="66" t="n">
        <x:f>IF(E1215=0,0,D1215/E1215*10000)</x:f>
        <x:v>2.1172638436482085</x:v>
      </x:c>
      <x:c r="G1215" s="67" t="n">
        <x:f>VLOOKUP(C1215,'Governorate Master'!$A$2:$Q$13,7,FALSE)</x:f>
        <x:v>548</x:v>
      </x:c>
      <x:c r="H1215" s="20" t="n">
        <x:f>VLOOKUP(C1215,'Governorate Master'!$A$2:$Q$13,6,FALSE)</x:f>
        <x:v>0.8210097719869707</x:v>
      </x:c>
      <x:c r="I1215" s="20" t="n">
        <x:f>VLOOKUP(C1215,'Governorate Master'!$A$2:$Q$13,15,FALSE)</x:f>
        <x:v>0.10794044665012408</x:v>
      </x:c>
      <x:c r="J1215" s="12" t="str">
        <x:v>Location model input - competition/saturation context</x:v>
      </x:c>
      <x:c r="K1215" s="12" t="str">
        <x:v>Business count is from 2018 while population/context indicators are newer; use as a historical proxy, not a current market count.</x:v>
      </x:c>
    </x:row>
    <x:row r="1216">
      <x:c r="A1216" s="12" t="str">
        <x:v>3100</x:v>
      </x:c>
      <x:c r="B1216" s="12" t="str">
        <x:v>Manufacture of furniture</x:v>
      </x:c>
      <x:c r="C1216" s="12" t="str">
        <x:v>الزرقاء</x:v>
      </x:c>
      <x:c r="D1216" s="14" t="n">
        <x:v>587</x:v>
      </x:c>
      <x:c r="E1216" s="14" t="n">
        <x:f>VLOOKUP(C1216,'Governorate Master'!$A$2:$Q$13,3,FALSE)</x:f>
        <x:v>1704500</x:v>
      </x:c>
      <x:c r="F1216" s="66" t="n">
        <x:f>IF(E1216=0,0,D1216/E1216*10000)</x:f>
        <x:v>3.4438251686711645</x:v>
      </x:c>
      <x:c r="G1216" s="67" t="n">
        <x:f>VLOOKUP(C1216,'Governorate Master'!$A$2:$Q$13,7,FALSE)</x:f>
        <x:v>358</x:v>
      </x:c>
      <x:c r="H1216" s="20" t="n">
        <x:f>VLOOKUP(C1216,'Governorate Master'!$A$2:$Q$13,6,FALSE)</x:f>
        <x:v>0.9636256966852449</x:v>
      </x:c>
      <x:c r="I1216" s="20" t="n">
        <x:f>VLOOKUP(C1216,'Governorate Master'!$A$2:$Q$13,15,FALSE)</x:f>
        <x:v>-0.06808762581409118</x:v>
      </x:c>
      <x:c r="J1216" s="12" t="str">
        <x:v>Location model input - competition/saturation context</x:v>
      </x:c>
      <x:c r="K1216" s="12" t="str">
        <x:v>Business count is from 2018 while population/context indicators are newer; use as a historical proxy, not a current market count.</x:v>
      </x:c>
    </x:row>
    <x:row r="1217">
      <x:c r="A1217" s="12" t="str">
        <x:v>3100</x:v>
      </x:c>
      <x:c r="B1217" s="12" t="str">
        <x:v>Manufacture of furniture</x:v>
      </x:c>
      <x:c r="C1217" s="12" t="str">
        <x:v>مادبا</x:v>
      </x:c>
      <x:c r="D1217" s="14" t="n">
        <x:v>46</x:v>
      </x:c>
      <x:c r="E1217" s="14" t="n">
        <x:f>VLOOKUP(C1217,'Governorate Master'!$A$2:$Q$13,3,FALSE)</x:f>
        <x:v>236200</x:v>
      </x:c>
      <x:c r="F1217" s="66" t="n">
        <x:f>IF(E1217=0,0,D1217/E1217*10000)</x:f>
        <x:v>1.947502116850127</x:v>
      </x:c>
      <x:c r="G1217" s="67" t="n">
        <x:f>VLOOKUP(C1217,'Governorate Master'!$A$2:$Q$13,7,FALSE)</x:f>
        <x:v>251.4</x:v>
      </x:c>
      <x:c r="H1217" s="20" t="n">
        <x:f>VLOOKUP(C1217,'Governorate Master'!$A$2:$Q$13,6,FALSE)</x:f>
        <x:v>0.7823878069432684</x:v>
      </x:c>
      <x:c r="I1217" s="20" t="n">
        <x:f>VLOOKUP(C1217,'Governorate Master'!$A$2:$Q$13,15,FALSE)</x:f>
        <x:v>-0.18823529411764706</x:v>
      </x:c>
      <x:c r="J1217" s="12" t="str">
        <x:v>Location model input - competition/saturation context</x:v>
      </x:c>
      <x:c r="K1217" s="12" t="str">
        <x:v>Business count is from 2018 while population/context indicators are newer; use as a historical proxy, not a current market count.</x:v>
      </x:c>
    </x:row>
    <x:row r="1218">
      <x:c r="A1218" s="12" t="str">
        <x:v>3100</x:v>
      </x:c>
      <x:c r="B1218" s="12" t="str">
        <x:v>Manufacture of furniture</x:v>
      </x:c>
      <x:c r="C1218" s="12" t="str">
        <x:v>إربد</x:v>
      </x:c>
      <x:c r="D1218" s="14" t="n">
        <x:v>371</x:v>
      </x:c>
      <x:c r="E1218" s="14" t="n">
        <x:f>VLOOKUP(C1218,'Governorate Master'!$A$2:$Q$13,3,FALSE)</x:f>
        <x:v>2210500</x:v>
      </x:c>
      <x:c r="F1218" s="66" t="n">
        <x:f>IF(E1218=0,0,D1218/E1218*10000)</x:f>
        <x:v>1.6783533137299254</x:v>
      </x:c>
      <x:c r="G1218" s="67" t="n">
        <x:f>VLOOKUP(C1218,'Governorate Master'!$A$2:$Q$13,7,FALSE)</x:f>
        <x:v>1406.4</x:v>
      </x:c>
      <x:c r="H1218" s="20" t="n">
        <x:f>VLOOKUP(C1218,'Governorate Master'!$A$2:$Q$13,6,FALSE)</x:f>
        <x:v>0.9235014702555983</x:v>
      </x:c>
      <x:c r="I1218" s="20" t="n">
        <x:f>VLOOKUP(C1218,'Governorate Master'!$A$2:$Q$13,15,FALSE)</x:f>
        <x:v>0.07086922474549726</x:v>
      </x:c>
      <x:c r="J1218" s="12" t="str">
        <x:v>Location model input - competition/saturation context</x:v>
      </x:c>
      <x:c r="K1218" s="12" t="str">
        <x:v>Business count is from 2018 while population/context indicators are newer; use as a historical proxy, not a current market count.</x:v>
      </x:c>
    </x:row>
    <x:row r="1219">
      <x:c r="A1219" s="12" t="str">
        <x:v>3100</x:v>
      </x:c>
      <x:c r="B1219" s="12" t="str">
        <x:v>Manufacture of furniture</x:v>
      </x:c>
      <x:c r="C1219" s="12" t="str">
        <x:v>المفرق</x:v>
      </x:c>
      <x:c r="D1219" s="14" t="n">
        <x:v>40</x:v>
      </x:c>
      <x:c r="E1219" s="14" t="n">
        <x:f>VLOOKUP(C1219,'Governorate Master'!$A$2:$Q$13,3,FALSE)</x:f>
        <x:v>686800</x:v>
      </x:c>
      <x:c r="F1219" s="66" t="n">
        <x:f>IF(E1219=0,0,D1219/E1219*10000)</x:f>
        <x:v>0.5824111822947</x:v>
      </x:c>
      <x:c r="G1219" s="67" t="n">
        <x:f>VLOOKUP(C1219,'Governorate Master'!$A$2:$Q$13,7,FALSE)</x:f>
        <x:v>25.9</x:v>
      </x:c>
      <x:c r="H1219" s="20" t="n">
        <x:f>VLOOKUP(C1219,'Governorate Master'!$A$2:$Q$13,6,FALSE)</x:f>
        <x:v>0.6965637740244612</x:v>
      </x:c>
      <x:c r="I1219" s="20" t="n">
        <x:f>VLOOKUP(C1219,'Governorate Master'!$A$2:$Q$13,15,FALSE)</x:f>
        <x:v>-0.016638935108153077</x:v>
      </x:c>
      <x:c r="J1219" s="12" t="str">
        <x:v>Location model input - competition/saturation context</x:v>
      </x:c>
      <x:c r="K1219" s="12" t="str">
        <x:v>Business count is from 2018 while population/context indicators are newer; use as a historical proxy, not a current market count.</x:v>
      </x:c>
    </x:row>
    <x:row r="1220">
      <x:c r="A1220" s="12" t="str">
        <x:v>3100</x:v>
      </x:c>
      <x:c r="B1220" s="12" t="str">
        <x:v>Manufacture of furniture</x:v>
      </x:c>
      <x:c r="C1220" s="12" t="str">
        <x:v>جرش</x:v>
      </x:c>
      <x:c r="D1220" s="14" t="n">
        <x:v>29</x:v>
      </x:c>
      <x:c r="E1220" s="14" t="n">
        <x:f>VLOOKUP(C1220,'Governorate Master'!$A$2:$Q$13,3,FALSE)</x:f>
        <x:v>296000</x:v>
      </x:c>
      <x:c r="F1220" s="66" t="n">
        <x:f>IF(E1220=0,0,D1220/E1220*10000)</x:f>
        <x:v>0.9797297297297297</x:v>
      </x:c>
      <x:c r="G1220" s="67" t="n">
        <x:f>VLOOKUP(C1220,'Governorate Master'!$A$2:$Q$13,7,FALSE)</x:f>
        <x:v>722.3</x:v>
      </x:c>
      <x:c r="H1220" s="20" t="n">
        <x:f>VLOOKUP(C1220,'Governorate Master'!$A$2:$Q$13,6,FALSE)</x:f>
        <x:v>0.7695945945945946</x:v>
      </x:c>
      <x:c r="I1220" s="20" t="n">
        <x:f>VLOOKUP(C1220,'Governorate Master'!$A$2:$Q$13,15,FALSE)</x:f>
        <x:v>-0.06527415143603134</x:v>
      </x:c>
      <x:c r="J1220" s="12" t="str">
        <x:v>Location model input - competition/saturation context</x:v>
      </x:c>
      <x:c r="K1220" s="12" t="str">
        <x:v>Business count is from 2018 while population/context indicators are newer; use as a historical proxy, not a current market count.</x:v>
      </x:c>
    </x:row>
    <x:row r="1221">
      <x:c r="A1221" s="12" t="str">
        <x:v>3100</x:v>
      </x:c>
      <x:c r="B1221" s="12" t="str">
        <x:v>Manufacture of furniture</x:v>
      </x:c>
      <x:c r="C1221" s="12" t="str">
        <x:v>عجلون</x:v>
      </x:c>
      <x:c r="D1221" s="14" t="n">
        <x:v>25</x:v>
      </x:c>
      <x:c r="E1221" s="14" t="n">
        <x:f>VLOOKUP(C1221,'Governorate Master'!$A$2:$Q$13,3,FALSE)</x:f>
        <x:v>219900</x:v>
      </x:c>
      <x:c r="F1221" s="66" t="n">
        <x:f>IF(E1221=0,0,D1221/E1221*10000)</x:f>
        <x:v>1.1368804001819008</x:v>
      </x:c>
      <x:c r="G1221" s="67" t="n">
        <x:f>VLOOKUP(C1221,'Governorate Master'!$A$2:$Q$13,7,FALSE)</x:f>
        <x:v>524</x:v>
      </x:c>
      <x:c r="H1221" s="20" t="n">
        <x:f>VLOOKUP(C1221,'Governorate Master'!$A$2:$Q$13,6,FALSE)</x:f>
        <x:v>0.8390177353342428</x:v>
      </x:c>
      <x:c r="I1221" s="20" t="n">
        <x:f>VLOOKUP(C1221,'Governorate Master'!$A$2:$Q$13,15,FALSE)</x:f>
        <x:v>0.03614457831325301</x:v>
      </x:c>
      <x:c r="J1221" s="12" t="str">
        <x:v>Location model input - competition/saturation context</x:v>
      </x:c>
      <x:c r="K1221" s="12" t="str">
        <x:v>Business count is from 2018 while population/context indicators are newer; use as a historical proxy, not a current market count.</x:v>
      </x:c>
    </x:row>
    <x:row r="1222">
      <x:c r="A1222" s="12" t="str">
        <x:v>3100</x:v>
      </x:c>
      <x:c r="B1222" s="12" t="str">
        <x:v>Manufacture of furniture</x:v>
      </x:c>
      <x:c r="C1222" s="12" t="str">
        <x:v>الكرك</x:v>
      </x:c>
      <x:c r="D1222" s="14" t="n">
        <x:v>79</x:v>
      </x:c>
      <x:c r="E1222" s="14" t="n">
        <x:f>VLOOKUP(C1222,'Governorate Master'!$A$2:$Q$13,3,FALSE)</x:f>
        <x:v>395400</x:v>
      </x:c>
      <x:c r="F1222" s="66" t="n">
        <x:f>IF(E1222=0,0,D1222/E1222*10000)</x:f>
        <x:v>1.9979767324228628</x:v>
      </x:c>
      <x:c r="G1222" s="67" t="n">
        <x:f>VLOOKUP(C1222,'Governorate Master'!$A$2:$Q$13,7,FALSE)</x:f>
        <x:v>113.1</x:v>
      </x:c>
      <x:c r="H1222" s="20" t="n">
        <x:f>VLOOKUP(C1222,'Governorate Master'!$A$2:$Q$13,6,FALSE)</x:f>
        <x:v>0.5912999494183105</x:v>
      </x:c>
      <x:c r="I1222" s="20" t="n">
        <x:f>VLOOKUP(C1222,'Governorate Master'!$A$2:$Q$13,15,FALSE)</x:f>
        <x:v>0.08710801393728224</x:v>
      </x:c>
      <x:c r="J1222" s="12" t="str">
        <x:v>Location model input - competition/saturation context</x:v>
      </x:c>
      <x:c r="K1222" s="12" t="str">
        <x:v>Business count is from 2018 while population/context indicators are newer; use as a historical proxy, not a current market count.</x:v>
      </x:c>
    </x:row>
    <x:row r="1223">
      <x:c r="A1223" s="12" t="str">
        <x:v>3100</x:v>
      </x:c>
      <x:c r="B1223" s="12" t="str">
        <x:v>Manufacture of furniture</x:v>
      </x:c>
      <x:c r="C1223" s="12" t="str">
        <x:v>الطفيلة</x:v>
      </x:c>
      <x:c r="D1223" s="14" t="n">
        <x:v>26</x:v>
      </x:c>
      <x:c r="E1223" s="14" t="n">
        <x:f>VLOOKUP(C1223,'Governorate Master'!$A$2:$Q$13,3,FALSE)</x:f>
        <x:v>120300</x:v>
      </x:c>
      <x:c r="F1223" s="66" t="n">
        <x:f>IF(E1223=0,0,D1223/E1223*10000)</x:f>
        <x:v>2.1612635078969245</x:v>
      </x:c>
      <x:c r="G1223" s="67" t="n">
        <x:f>VLOOKUP(C1223,'Governorate Master'!$A$2:$Q$13,7,FALSE)</x:f>
        <x:v>54.4</x:v>
      </x:c>
      <x:c r="H1223" s="20" t="n">
        <x:f>VLOOKUP(C1223,'Governorate Master'!$A$2:$Q$13,6,FALSE)</x:f>
        <x:v>0.7797173732335827</x:v>
      </x:c>
      <x:c r="I1223" s="20" t="n">
        <x:f>VLOOKUP(C1223,'Governorate Master'!$A$2:$Q$13,15,FALSE)</x:f>
        <x:v>0.18452380952380953</x:v>
      </x:c>
      <x:c r="J1223" s="12" t="str">
        <x:v>Location model input - competition/saturation context</x:v>
      </x:c>
      <x:c r="K1223" s="12" t="str">
        <x:v>Business count is from 2018 while population/context indicators are newer; use as a historical proxy, not a current market count.</x:v>
      </x:c>
    </x:row>
    <x:row r="1224">
      <x:c r="A1224" s="12" t="str">
        <x:v>3100</x:v>
      </x:c>
      <x:c r="B1224" s="12" t="str">
        <x:v>Manufacture of furniture</x:v>
      </x:c>
      <x:c r="C1224" s="12" t="str">
        <x:v>معان</x:v>
      </x:c>
      <x:c r="D1224" s="14" t="n">
        <x:v>37</x:v>
      </x:c>
      <x:c r="E1224" s="14" t="n">
        <x:f>VLOOKUP(C1224,'Governorate Master'!$A$2:$Q$13,3,FALSE)</x:f>
        <x:v>197900</x:v>
      </x:c>
      <x:c r="F1224" s="66" t="n">
        <x:f>IF(E1224=0,0,D1224/E1224*10000)</x:f>
        <x:v>1.8696311268317332</x:v>
      </x:c>
      <x:c r="G1224" s="67" t="n">
        <x:f>VLOOKUP(C1224,'Governorate Master'!$A$2:$Q$13,7,FALSE)</x:f>
        <x:v>6</x:v>
      </x:c>
      <x:c r="H1224" s="20" t="n">
        <x:f>VLOOKUP(C1224,'Governorate Master'!$A$2:$Q$13,6,FALSE)</x:f>
        <x:v>0.5406771096513391</x:v>
      </x:c>
      <x:c r="I1224" s="20" t="n">
        <x:f>VLOOKUP(C1224,'Governorate Master'!$A$2:$Q$13,15,FALSE)</x:f>
        <x:v>0.026845637583892617</x:v>
      </x:c>
      <x:c r="J1224" s="12" t="str">
        <x:v>Location model input - competition/saturation context</x:v>
      </x:c>
      <x:c r="K1224" s="12" t="str">
        <x:v>Business count is from 2018 while population/context indicators are newer; use as a historical proxy, not a current market count.</x:v>
      </x:c>
    </x:row>
    <x:row r="1225">
      <x:c r="A1225" s="12" t="str">
        <x:v>3100</x:v>
      </x:c>
      <x:c r="B1225" s="12" t="str">
        <x:v>Manufacture of furniture</x:v>
      </x:c>
      <x:c r="C1225" s="12" t="str">
        <x:v>العقبة</x:v>
      </x:c>
      <x:c r="D1225" s="14" t="n">
        <x:v>43</x:v>
      </x:c>
      <x:c r="E1225" s="14" t="n">
        <x:f>VLOOKUP(C1225,'Governorate Master'!$A$2:$Q$13,3,FALSE)</x:f>
        <x:v>250900</x:v>
      </x:c>
      <x:c r="F1225" s="66" t="n">
        <x:f>IF(E1225=0,0,D1225/E1225*10000)</x:f>
        <x:v>1.7138302112395376</x:v>
      </x:c>
      <x:c r="G1225" s="67" t="n">
        <x:f>VLOOKUP(C1225,'Governorate Master'!$A$2:$Q$13,7,FALSE)</x:f>
        <x:v>36.3</x:v>
      </x:c>
      <x:c r="H1225" s="20" t="n">
        <x:f>VLOOKUP(C1225,'Governorate Master'!$A$2:$Q$13,6,FALSE)</x:f>
        <x:v>0.882024711040255</x:v>
      </x:c>
      <x:c r="I1225" s="20" t="n">
        <x:f>VLOOKUP(C1225,'Governorate Master'!$A$2:$Q$13,15,FALSE)</x:f>
        <x:v>-0.09</x:v>
      </x:c>
      <x:c r="J1225" s="12" t="str">
        <x:v>Location model input - competition/saturation context</x:v>
      </x:c>
      <x:c r="K1225" s="12" t="str">
        <x:v>Business count is from 2018 while population/context indicators are newer; use as a historical proxy, not a current market count.</x:v>
      </x:c>
    </x:row>
    <x:row r="1226">
      <x:c r="A1226" s="12" t="str">
        <x:v>3211</x:v>
      </x:c>
      <x:c r="B1226" s="12" t="str">
        <x:v>Manufacture of jewellery and related articles</x:v>
      </x:c>
      <x:c r="C1226" s="12" t="str">
        <x:v>عمان</x:v>
      </x:c>
      <x:c r="D1226" s="14" t="n">
        <x:v>58</x:v>
      </x:c>
      <x:c r="E1226" s="14" t="n">
        <x:f>VLOOKUP(C1226,'Governorate Master'!$A$2:$Q$13,3,FALSE)</x:f>
        <x:v>5004600</x:v>
      </x:c>
      <x:c r="F1226" s="66" t="n">
        <x:f>IF(E1226=0,0,D1226/E1226*10000)</x:f>
        <x:v>0.11589337809215522</x:v>
      </x:c>
      <x:c r="G1226" s="67" t="n">
        <x:f>VLOOKUP(C1226,'Governorate Master'!$A$2:$Q$13,7,FALSE)</x:f>
        <x:v>660.3</x:v>
      </x:c>
      <x:c r="H1226" s="20" t="n">
        <x:f>VLOOKUP(C1226,'Governorate Master'!$A$2:$Q$13,6,FALSE)</x:f>
        <x:v>0.9721656076409703</x:v>
      </x:c>
      <x:c r="I1226" s="20" t="n">
        <x:f>VLOOKUP(C1226,'Governorate Master'!$A$2:$Q$13,15,FALSE)</x:f>
        <x:v>0.06367041198501873</x:v>
      </x:c>
      <x:c r="J1226" s="12" t="str">
        <x:v>Location model input - competition/saturation context</x:v>
      </x:c>
      <x:c r="K1226" s="12" t="str">
        <x:v>Business count is from 2018 while population/context indicators are newer; use as a historical proxy, not a current market count.</x:v>
      </x:c>
    </x:row>
    <x:row r="1227">
      <x:c r="A1227" s="12" t="str">
        <x:v>3211</x:v>
      </x:c>
      <x:c r="B1227" s="12" t="str">
        <x:v>Manufacture of jewellery and related articles</x:v>
      </x:c>
      <x:c r="C1227" s="12" t="str">
        <x:v>البلقاء</x:v>
      </x:c>
      <x:c r="D1227" s="14" t="n">
        <x:v>1</x:v>
      </x:c>
      <x:c r="E1227" s="14" t="n">
        <x:f>VLOOKUP(C1227,'Governorate Master'!$A$2:$Q$13,3,FALSE)</x:f>
        <x:v>614000</x:v>
      </x:c>
      <x:c r="F1227" s="66" t="n">
        <x:f>IF(E1227=0,0,D1227/E1227*10000)</x:f>
        <x:v>0.016286644951140065</x:v>
      </x:c>
      <x:c r="G1227" s="67" t="n">
        <x:f>VLOOKUP(C1227,'Governorate Master'!$A$2:$Q$13,7,FALSE)</x:f>
        <x:v>548</x:v>
      </x:c>
      <x:c r="H1227" s="20" t="n">
        <x:f>VLOOKUP(C1227,'Governorate Master'!$A$2:$Q$13,6,FALSE)</x:f>
        <x:v>0.8210097719869707</x:v>
      </x:c>
      <x:c r="I1227" s="20" t="n">
        <x:f>VLOOKUP(C1227,'Governorate Master'!$A$2:$Q$13,15,FALSE)</x:f>
        <x:v>0.10794044665012408</x:v>
      </x:c>
      <x:c r="J1227" s="12" t="str">
        <x:v>Location model input - competition/saturation context</x:v>
      </x:c>
      <x:c r="K1227" s="12" t="str">
        <x:v>Business count is from 2018 while population/context indicators are newer; use as a historical proxy, not a current market count.</x:v>
      </x:c>
    </x:row>
    <x:row r="1228">
      <x:c r="A1228" s="12" t="str">
        <x:v>3211</x:v>
      </x:c>
      <x:c r="B1228" s="12" t="str">
        <x:v>Manufacture of jewellery and related articles</x:v>
      </x:c>
      <x:c r="C1228" s="12" t="str">
        <x:v>الزرقاء</x:v>
      </x:c>
      <x:c r="D1228" s="14" t="n">
        <x:v>5</x:v>
      </x:c>
      <x:c r="E1228" s="14" t="n">
        <x:f>VLOOKUP(C1228,'Governorate Master'!$A$2:$Q$13,3,FALSE)</x:f>
        <x:v>1704500</x:v>
      </x:c>
      <x:c r="F1228" s="66" t="n">
        <x:f>IF(E1228=0,0,D1228/E1228*10000)</x:f>
        <x:v>0.029334115576415375</x:v>
      </x:c>
      <x:c r="G1228" s="67" t="n">
        <x:f>VLOOKUP(C1228,'Governorate Master'!$A$2:$Q$13,7,FALSE)</x:f>
        <x:v>358</x:v>
      </x:c>
      <x:c r="H1228" s="20" t="n">
        <x:f>VLOOKUP(C1228,'Governorate Master'!$A$2:$Q$13,6,FALSE)</x:f>
        <x:v>0.9636256966852449</x:v>
      </x:c>
      <x:c r="I1228" s="20" t="n">
        <x:f>VLOOKUP(C1228,'Governorate Master'!$A$2:$Q$13,15,FALSE)</x:f>
        <x:v>-0.06808762581409118</x:v>
      </x:c>
      <x:c r="J1228" s="12" t="str">
        <x:v>Location model input - competition/saturation context</x:v>
      </x:c>
      <x:c r="K1228" s="12" t="str">
        <x:v>Business count is from 2018 while population/context indicators are newer; use as a historical proxy, not a current market count.</x:v>
      </x:c>
    </x:row>
    <x:row r="1229">
      <x:c r="A1229" s="12" t="str">
        <x:v>3211</x:v>
      </x:c>
      <x:c r="B1229" s="12" t="str">
        <x:v>Manufacture of jewellery and related articles</x:v>
      </x:c>
      <x:c r="C1229" s="12" t="str">
        <x:v>مادبا</x:v>
      </x:c>
      <x:c r="D1229" s="14" t="n">
        <x:v>0</x:v>
      </x:c>
      <x:c r="E1229" s="14" t="n">
        <x:f>VLOOKUP(C1229,'Governorate Master'!$A$2:$Q$13,3,FALSE)</x:f>
        <x:v>236200</x:v>
      </x:c>
      <x:c r="F1229" s="66" t="n">
        <x:f>IF(E1229=0,0,D1229/E1229*10000)</x:f>
        <x:v>0</x:v>
      </x:c>
      <x:c r="G1229" s="67" t="n">
        <x:f>VLOOKUP(C1229,'Governorate Master'!$A$2:$Q$13,7,FALSE)</x:f>
        <x:v>251.4</x:v>
      </x:c>
      <x:c r="H1229" s="20" t="n">
        <x:f>VLOOKUP(C1229,'Governorate Master'!$A$2:$Q$13,6,FALSE)</x:f>
        <x:v>0.7823878069432684</x:v>
      </x:c>
      <x:c r="I1229" s="20" t="n">
        <x:f>VLOOKUP(C1229,'Governorate Master'!$A$2:$Q$13,15,FALSE)</x:f>
        <x:v>-0.18823529411764706</x:v>
      </x:c>
      <x:c r="J1229" s="12" t="str">
        <x:v>Location model input - competition/saturation context</x:v>
      </x:c>
      <x:c r="K1229" s="12" t="str">
        <x:v>Business count is from 2018 while population/context indicators are newer; use as a historical proxy, not a current market count.</x:v>
      </x:c>
    </x:row>
    <x:row r="1230">
      <x:c r="A1230" s="12" t="str">
        <x:v>3211</x:v>
      </x:c>
      <x:c r="B1230" s="12" t="str">
        <x:v>Manufacture of jewellery and related articles</x:v>
      </x:c>
      <x:c r="C1230" s="12" t="str">
        <x:v>إربد</x:v>
      </x:c>
      <x:c r="D1230" s="14" t="n">
        <x:v>1</x:v>
      </x:c>
      <x:c r="E1230" s="14" t="n">
        <x:f>VLOOKUP(C1230,'Governorate Master'!$A$2:$Q$13,3,FALSE)</x:f>
        <x:v>2210500</x:v>
      </x:c>
      <x:c r="F1230" s="66" t="n">
        <x:f>IF(E1230=0,0,D1230/E1230*10000)</x:f>
        <x:v>0.004523863379325944</x:v>
      </x:c>
      <x:c r="G1230" s="67" t="n">
        <x:f>VLOOKUP(C1230,'Governorate Master'!$A$2:$Q$13,7,FALSE)</x:f>
        <x:v>1406.4</x:v>
      </x:c>
      <x:c r="H1230" s="20" t="n">
        <x:f>VLOOKUP(C1230,'Governorate Master'!$A$2:$Q$13,6,FALSE)</x:f>
        <x:v>0.9235014702555983</x:v>
      </x:c>
      <x:c r="I1230" s="20" t="n">
        <x:f>VLOOKUP(C1230,'Governorate Master'!$A$2:$Q$13,15,FALSE)</x:f>
        <x:v>0.07086922474549726</x:v>
      </x:c>
      <x:c r="J1230" s="12" t="str">
        <x:v>Location model input - competition/saturation context</x:v>
      </x:c>
      <x:c r="K1230" s="12" t="str">
        <x:v>Business count is from 2018 while population/context indicators are newer; use as a historical proxy, not a current market count.</x:v>
      </x:c>
    </x:row>
    <x:row r="1231">
      <x:c r="A1231" s="12" t="str">
        <x:v>3211</x:v>
      </x:c>
      <x:c r="B1231" s="12" t="str">
        <x:v>Manufacture of jewellery and related articles</x:v>
      </x:c>
      <x:c r="C1231" s="12" t="str">
        <x:v>المفرق</x:v>
      </x:c>
      <x:c r="D1231" s="14" t="n">
        <x:v>0</x:v>
      </x:c>
      <x:c r="E1231" s="14" t="n">
        <x:f>VLOOKUP(C1231,'Governorate Master'!$A$2:$Q$13,3,FALSE)</x:f>
        <x:v>686800</x:v>
      </x:c>
      <x:c r="F1231" s="66" t="n">
        <x:f>IF(E1231=0,0,D1231/E1231*10000)</x:f>
        <x:v>0</x:v>
      </x:c>
      <x:c r="G1231" s="67" t="n">
        <x:f>VLOOKUP(C1231,'Governorate Master'!$A$2:$Q$13,7,FALSE)</x:f>
        <x:v>25.9</x:v>
      </x:c>
      <x:c r="H1231" s="20" t="n">
        <x:f>VLOOKUP(C1231,'Governorate Master'!$A$2:$Q$13,6,FALSE)</x:f>
        <x:v>0.6965637740244612</x:v>
      </x:c>
      <x:c r="I1231" s="20" t="n">
        <x:f>VLOOKUP(C1231,'Governorate Master'!$A$2:$Q$13,15,FALSE)</x:f>
        <x:v>-0.016638935108153077</x:v>
      </x:c>
      <x:c r="J1231" s="12" t="str">
        <x:v>Location model input - competition/saturation context</x:v>
      </x:c>
      <x:c r="K1231" s="12" t="str">
        <x:v>Business count is from 2018 while population/context indicators are newer; use as a historical proxy, not a current market count.</x:v>
      </x:c>
    </x:row>
    <x:row r="1232">
      <x:c r="A1232" s="12" t="str">
        <x:v>3211</x:v>
      </x:c>
      <x:c r="B1232" s="12" t="str">
        <x:v>Manufacture of jewellery and related articles</x:v>
      </x:c>
      <x:c r="C1232" s="12" t="str">
        <x:v>جرش</x:v>
      </x:c>
      <x:c r="D1232" s="14" t="n">
        <x:v>0</x:v>
      </x:c>
      <x:c r="E1232" s="14" t="n">
        <x:f>VLOOKUP(C1232,'Governorate Master'!$A$2:$Q$13,3,FALSE)</x:f>
        <x:v>296000</x:v>
      </x:c>
      <x:c r="F1232" s="66" t="n">
        <x:f>IF(E1232=0,0,D1232/E1232*10000)</x:f>
        <x:v>0</x:v>
      </x:c>
      <x:c r="G1232" s="67" t="n">
        <x:f>VLOOKUP(C1232,'Governorate Master'!$A$2:$Q$13,7,FALSE)</x:f>
        <x:v>722.3</x:v>
      </x:c>
      <x:c r="H1232" s="20" t="n">
        <x:f>VLOOKUP(C1232,'Governorate Master'!$A$2:$Q$13,6,FALSE)</x:f>
        <x:v>0.7695945945945946</x:v>
      </x:c>
      <x:c r="I1232" s="20" t="n">
        <x:f>VLOOKUP(C1232,'Governorate Master'!$A$2:$Q$13,15,FALSE)</x:f>
        <x:v>-0.06527415143603134</x:v>
      </x:c>
      <x:c r="J1232" s="12" t="str">
        <x:v>Location model input - competition/saturation context</x:v>
      </x:c>
      <x:c r="K1232" s="12" t="str">
        <x:v>Business count is from 2018 while population/context indicators are newer; use as a historical proxy, not a current market count.</x:v>
      </x:c>
    </x:row>
    <x:row r="1233">
      <x:c r="A1233" s="12" t="str">
        <x:v>3211</x:v>
      </x:c>
      <x:c r="B1233" s="12" t="str">
        <x:v>Manufacture of jewellery and related articles</x:v>
      </x:c>
      <x:c r="C1233" s="12" t="str">
        <x:v>عجلون</x:v>
      </x:c>
      <x:c r="D1233" s="14" t="n">
        <x:v>0</x:v>
      </x:c>
      <x:c r="E1233" s="14" t="n">
        <x:f>VLOOKUP(C1233,'Governorate Master'!$A$2:$Q$13,3,FALSE)</x:f>
        <x:v>219900</x:v>
      </x:c>
      <x:c r="F1233" s="66" t="n">
        <x:f>IF(E1233=0,0,D1233/E1233*10000)</x:f>
        <x:v>0</x:v>
      </x:c>
      <x:c r="G1233" s="67" t="n">
        <x:f>VLOOKUP(C1233,'Governorate Master'!$A$2:$Q$13,7,FALSE)</x:f>
        <x:v>524</x:v>
      </x:c>
      <x:c r="H1233" s="20" t="n">
        <x:f>VLOOKUP(C1233,'Governorate Master'!$A$2:$Q$13,6,FALSE)</x:f>
        <x:v>0.8390177353342428</x:v>
      </x:c>
      <x:c r="I1233" s="20" t="n">
        <x:f>VLOOKUP(C1233,'Governorate Master'!$A$2:$Q$13,15,FALSE)</x:f>
        <x:v>0.03614457831325301</x:v>
      </x:c>
      <x:c r="J1233" s="12" t="str">
        <x:v>Location model input - competition/saturation context</x:v>
      </x:c>
      <x:c r="K1233" s="12" t="str">
        <x:v>Business count is from 2018 while population/context indicators are newer; use as a historical proxy, not a current market count.</x:v>
      </x:c>
    </x:row>
    <x:row r="1234">
      <x:c r="A1234" s="12" t="str">
        <x:v>3211</x:v>
      </x:c>
      <x:c r="B1234" s="12" t="str">
        <x:v>Manufacture of jewellery and related articles</x:v>
      </x:c>
      <x:c r="C1234" s="12" t="str">
        <x:v>الكرك</x:v>
      </x:c>
      <x:c r="D1234" s="14" t="n">
        <x:v>0</x:v>
      </x:c>
      <x:c r="E1234" s="14" t="n">
        <x:f>VLOOKUP(C1234,'Governorate Master'!$A$2:$Q$13,3,FALSE)</x:f>
        <x:v>395400</x:v>
      </x:c>
      <x:c r="F1234" s="66" t="n">
        <x:f>IF(E1234=0,0,D1234/E1234*10000)</x:f>
        <x:v>0</x:v>
      </x:c>
      <x:c r="G1234" s="67" t="n">
        <x:f>VLOOKUP(C1234,'Governorate Master'!$A$2:$Q$13,7,FALSE)</x:f>
        <x:v>113.1</x:v>
      </x:c>
      <x:c r="H1234" s="20" t="n">
        <x:f>VLOOKUP(C1234,'Governorate Master'!$A$2:$Q$13,6,FALSE)</x:f>
        <x:v>0.5912999494183105</x:v>
      </x:c>
      <x:c r="I1234" s="20" t="n">
        <x:f>VLOOKUP(C1234,'Governorate Master'!$A$2:$Q$13,15,FALSE)</x:f>
        <x:v>0.08710801393728224</x:v>
      </x:c>
      <x:c r="J1234" s="12" t="str">
        <x:v>Location model input - competition/saturation context</x:v>
      </x:c>
      <x:c r="K1234" s="12" t="str">
        <x:v>Business count is from 2018 while population/context indicators are newer; use as a historical proxy, not a current market count.</x:v>
      </x:c>
    </x:row>
    <x:row r="1235">
      <x:c r="A1235" s="12" t="str">
        <x:v>3211</x:v>
      </x:c>
      <x:c r="B1235" s="12" t="str">
        <x:v>Manufacture of jewellery and related articles</x:v>
      </x:c>
      <x:c r="C1235" s="12" t="str">
        <x:v>الطفيلة</x:v>
      </x:c>
      <x:c r="D1235" s="14" t="n">
        <x:v>2</x:v>
      </x:c>
      <x:c r="E1235" s="14" t="n">
        <x:f>VLOOKUP(C1235,'Governorate Master'!$A$2:$Q$13,3,FALSE)</x:f>
        <x:v>120300</x:v>
      </x:c>
      <x:c r="F1235" s="66" t="n">
        <x:f>IF(E1235=0,0,D1235/E1235*10000)</x:f>
        <x:v>0.1662510390689942</x:v>
      </x:c>
      <x:c r="G1235" s="67" t="n">
        <x:f>VLOOKUP(C1235,'Governorate Master'!$A$2:$Q$13,7,FALSE)</x:f>
        <x:v>54.4</x:v>
      </x:c>
      <x:c r="H1235" s="20" t="n">
        <x:f>VLOOKUP(C1235,'Governorate Master'!$A$2:$Q$13,6,FALSE)</x:f>
        <x:v>0.7797173732335827</x:v>
      </x:c>
      <x:c r="I1235" s="20" t="n">
        <x:f>VLOOKUP(C1235,'Governorate Master'!$A$2:$Q$13,15,FALSE)</x:f>
        <x:v>0.18452380952380953</x:v>
      </x:c>
      <x:c r="J1235" s="12" t="str">
        <x:v>Location model input - competition/saturation context</x:v>
      </x:c>
      <x:c r="K1235" s="12" t="str">
        <x:v>Business count is from 2018 while population/context indicators are newer; use as a historical proxy, not a current market count.</x:v>
      </x:c>
    </x:row>
    <x:row r="1236">
      <x:c r="A1236" s="12" t="str">
        <x:v>3211</x:v>
      </x:c>
      <x:c r="B1236" s="12" t="str">
        <x:v>Manufacture of jewellery and related articles</x:v>
      </x:c>
      <x:c r="C1236" s="12" t="str">
        <x:v>معان</x:v>
      </x:c>
      <x:c r="D1236" s="14" t="n">
        <x:v>1</x:v>
      </x:c>
      <x:c r="E1236" s="14" t="n">
        <x:f>VLOOKUP(C1236,'Governorate Master'!$A$2:$Q$13,3,FALSE)</x:f>
        <x:v>197900</x:v>
      </x:c>
      <x:c r="F1236" s="66" t="n">
        <x:f>IF(E1236=0,0,D1236/E1236*10000)</x:f>
        <x:v>0.05053057099545225</x:v>
      </x:c>
      <x:c r="G1236" s="67" t="n">
        <x:f>VLOOKUP(C1236,'Governorate Master'!$A$2:$Q$13,7,FALSE)</x:f>
        <x:v>6</x:v>
      </x:c>
      <x:c r="H1236" s="20" t="n">
        <x:f>VLOOKUP(C1236,'Governorate Master'!$A$2:$Q$13,6,FALSE)</x:f>
        <x:v>0.5406771096513391</x:v>
      </x:c>
      <x:c r="I1236" s="20" t="n">
        <x:f>VLOOKUP(C1236,'Governorate Master'!$A$2:$Q$13,15,FALSE)</x:f>
        <x:v>0.026845637583892617</x:v>
      </x:c>
      <x:c r="J1236" s="12" t="str">
        <x:v>Location model input - competition/saturation context</x:v>
      </x:c>
      <x:c r="K1236" s="12" t="str">
        <x:v>Business count is from 2018 while population/context indicators are newer; use as a historical proxy, not a current market count.</x:v>
      </x:c>
    </x:row>
    <x:row r="1237">
      <x:c r="A1237" s="12" t="str">
        <x:v>3211</x:v>
      </x:c>
      <x:c r="B1237" s="12" t="str">
        <x:v>Manufacture of jewellery and related articles</x:v>
      </x:c>
      <x:c r="C1237" s="12" t="str">
        <x:v>العقبة</x:v>
      </x:c>
      <x:c r="D1237" s="14" t="n">
        <x:v>0</x:v>
      </x:c>
      <x:c r="E1237" s="14" t="n">
        <x:f>VLOOKUP(C1237,'Governorate Master'!$A$2:$Q$13,3,FALSE)</x:f>
        <x:v>250900</x:v>
      </x:c>
      <x:c r="F1237" s="66" t="n">
        <x:f>IF(E1237=0,0,D1237/E1237*10000)</x:f>
        <x:v>0</x:v>
      </x:c>
      <x:c r="G1237" s="67" t="n">
        <x:f>VLOOKUP(C1237,'Governorate Master'!$A$2:$Q$13,7,FALSE)</x:f>
        <x:v>36.3</x:v>
      </x:c>
      <x:c r="H1237" s="20" t="n">
        <x:f>VLOOKUP(C1237,'Governorate Master'!$A$2:$Q$13,6,FALSE)</x:f>
        <x:v>0.882024711040255</x:v>
      </x:c>
      <x:c r="I1237" s="20" t="n">
        <x:f>VLOOKUP(C1237,'Governorate Master'!$A$2:$Q$13,15,FALSE)</x:f>
        <x:v>-0.09</x:v>
      </x:c>
      <x:c r="J1237" s="12" t="str">
        <x:v>Location model input - competition/saturation context</x:v>
      </x:c>
      <x:c r="K1237" s="12" t="str">
        <x:v>Business count is from 2018 while population/context indicators are newer; use as a historical proxy, not a current market count.</x:v>
      </x:c>
    </x:row>
    <x:row r="1238">
      <x:c r="A1238" s="12" t="str">
        <x:v>3240</x:v>
      </x:c>
      <x:c r="B1238" s="12" t="str">
        <x:v>Manufacture of games and toys</x:v>
      </x:c>
      <x:c r="C1238" s="12" t="str">
        <x:v>عمان</x:v>
      </x:c>
      <x:c r="D1238" s="14" t="n">
        <x:v>3</x:v>
      </x:c>
      <x:c r="E1238" s="14" t="n">
        <x:f>VLOOKUP(C1238,'Governorate Master'!$A$2:$Q$13,3,FALSE)</x:f>
        <x:v>5004600</x:v>
      </x:c>
      <x:c r="F1238" s="66" t="n">
        <x:f>IF(E1238=0,0,D1238/E1238*10000)</x:f>
        <x:v>0.005994485073732166</x:v>
      </x:c>
      <x:c r="G1238" s="67" t="n">
        <x:f>VLOOKUP(C1238,'Governorate Master'!$A$2:$Q$13,7,FALSE)</x:f>
        <x:v>660.3</x:v>
      </x:c>
      <x:c r="H1238" s="20" t="n">
        <x:f>VLOOKUP(C1238,'Governorate Master'!$A$2:$Q$13,6,FALSE)</x:f>
        <x:v>0.9721656076409703</x:v>
      </x:c>
      <x:c r="I1238" s="20" t="n">
        <x:f>VLOOKUP(C1238,'Governorate Master'!$A$2:$Q$13,15,FALSE)</x:f>
        <x:v>0.06367041198501873</x:v>
      </x:c>
      <x:c r="J1238" s="12" t="str">
        <x:v>Location model input - competition/saturation context</x:v>
      </x:c>
      <x:c r="K1238" s="12" t="str">
        <x:v>Business count is from 2018 while population/context indicators are newer; use as a historical proxy, not a current market count.</x:v>
      </x:c>
    </x:row>
    <x:row r="1239">
      <x:c r="A1239" s="12" t="str">
        <x:v>3240</x:v>
      </x:c>
      <x:c r="B1239" s="12" t="str">
        <x:v>Manufacture of games and toys</x:v>
      </x:c>
      <x:c r="C1239" s="12" t="str">
        <x:v>البلقاء</x:v>
      </x:c>
      <x:c r="D1239" s="14" t="n">
        <x:v>0</x:v>
      </x:c>
      <x:c r="E1239" s="14" t="n">
        <x:f>VLOOKUP(C1239,'Governorate Master'!$A$2:$Q$13,3,FALSE)</x:f>
        <x:v>614000</x:v>
      </x:c>
      <x:c r="F1239" s="66" t="n">
        <x:f>IF(E1239=0,0,D1239/E1239*10000)</x:f>
        <x:v>0</x:v>
      </x:c>
      <x:c r="G1239" s="67" t="n">
        <x:f>VLOOKUP(C1239,'Governorate Master'!$A$2:$Q$13,7,FALSE)</x:f>
        <x:v>548</x:v>
      </x:c>
      <x:c r="H1239" s="20" t="n">
        <x:f>VLOOKUP(C1239,'Governorate Master'!$A$2:$Q$13,6,FALSE)</x:f>
        <x:v>0.8210097719869707</x:v>
      </x:c>
      <x:c r="I1239" s="20" t="n">
        <x:f>VLOOKUP(C1239,'Governorate Master'!$A$2:$Q$13,15,FALSE)</x:f>
        <x:v>0.10794044665012408</x:v>
      </x:c>
      <x:c r="J1239" s="12" t="str">
        <x:v>Location model input - competition/saturation context</x:v>
      </x:c>
      <x:c r="K1239" s="12" t="str">
        <x:v>Business count is from 2018 while population/context indicators are newer; use as a historical proxy, not a current market count.</x:v>
      </x:c>
    </x:row>
    <x:row r="1240">
      <x:c r="A1240" s="12" t="str">
        <x:v>3240</x:v>
      </x:c>
      <x:c r="B1240" s="12" t="str">
        <x:v>Manufacture of games and toys</x:v>
      </x:c>
      <x:c r="C1240" s="12" t="str">
        <x:v>الزرقاء</x:v>
      </x:c>
      <x:c r="D1240" s="14" t="n">
        <x:v>0</x:v>
      </x:c>
      <x:c r="E1240" s="14" t="n">
        <x:f>VLOOKUP(C1240,'Governorate Master'!$A$2:$Q$13,3,FALSE)</x:f>
        <x:v>1704500</x:v>
      </x:c>
      <x:c r="F1240" s="66" t="n">
        <x:f>IF(E1240=0,0,D1240/E1240*10000)</x:f>
        <x:v>0</x:v>
      </x:c>
      <x:c r="G1240" s="67" t="n">
        <x:f>VLOOKUP(C1240,'Governorate Master'!$A$2:$Q$13,7,FALSE)</x:f>
        <x:v>358</x:v>
      </x:c>
      <x:c r="H1240" s="20" t="n">
        <x:f>VLOOKUP(C1240,'Governorate Master'!$A$2:$Q$13,6,FALSE)</x:f>
        <x:v>0.9636256966852449</x:v>
      </x:c>
      <x:c r="I1240" s="20" t="n">
        <x:f>VLOOKUP(C1240,'Governorate Master'!$A$2:$Q$13,15,FALSE)</x:f>
        <x:v>-0.06808762581409118</x:v>
      </x:c>
      <x:c r="J1240" s="12" t="str">
        <x:v>Location model input - competition/saturation context</x:v>
      </x:c>
      <x:c r="K1240" s="12" t="str">
        <x:v>Business count is from 2018 while population/context indicators are newer; use as a historical proxy, not a current market count.</x:v>
      </x:c>
    </x:row>
    <x:row r="1241">
      <x:c r="A1241" s="12" t="str">
        <x:v>3240</x:v>
      </x:c>
      <x:c r="B1241" s="12" t="str">
        <x:v>Manufacture of games and toys</x:v>
      </x:c>
      <x:c r="C1241" s="12" t="str">
        <x:v>مادبا</x:v>
      </x:c>
      <x:c r="D1241" s="14" t="n">
        <x:v>0</x:v>
      </x:c>
      <x:c r="E1241" s="14" t="n">
        <x:f>VLOOKUP(C1241,'Governorate Master'!$A$2:$Q$13,3,FALSE)</x:f>
        <x:v>236200</x:v>
      </x:c>
      <x:c r="F1241" s="66" t="n">
        <x:f>IF(E1241=0,0,D1241/E1241*10000)</x:f>
        <x:v>0</x:v>
      </x:c>
      <x:c r="G1241" s="67" t="n">
        <x:f>VLOOKUP(C1241,'Governorate Master'!$A$2:$Q$13,7,FALSE)</x:f>
        <x:v>251.4</x:v>
      </x:c>
      <x:c r="H1241" s="20" t="n">
        <x:f>VLOOKUP(C1241,'Governorate Master'!$A$2:$Q$13,6,FALSE)</x:f>
        <x:v>0.7823878069432684</x:v>
      </x:c>
      <x:c r="I1241" s="20" t="n">
        <x:f>VLOOKUP(C1241,'Governorate Master'!$A$2:$Q$13,15,FALSE)</x:f>
        <x:v>-0.18823529411764706</x:v>
      </x:c>
      <x:c r="J1241" s="12" t="str">
        <x:v>Location model input - competition/saturation context</x:v>
      </x:c>
      <x:c r="K1241" s="12" t="str">
        <x:v>Business count is from 2018 while population/context indicators are newer; use as a historical proxy, not a current market count.</x:v>
      </x:c>
    </x:row>
    <x:row r="1242">
      <x:c r="A1242" s="12" t="str">
        <x:v>3240</x:v>
      </x:c>
      <x:c r="B1242" s="12" t="str">
        <x:v>Manufacture of games and toys</x:v>
      </x:c>
      <x:c r="C1242" s="12" t="str">
        <x:v>إربد</x:v>
      </x:c>
      <x:c r="D1242" s="14" t="n">
        <x:v>0</x:v>
      </x:c>
      <x:c r="E1242" s="14" t="n">
        <x:f>VLOOKUP(C1242,'Governorate Master'!$A$2:$Q$13,3,FALSE)</x:f>
        <x:v>2210500</x:v>
      </x:c>
      <x:c r="F1242" s="66" t="n">
        <x:f>IF(E1242=0,0,D1242/E1242*10000)</x:f>
        <x:v>0</x:v>
      </x:c>
      <x:c r="G1242" s="67" t="n">
        <x:f>VLOOKUP(C1242,'Governorate Master'!$A$2:$Q$13,7,FALSE)</x:f>
        <x:v>1406.4</x:v>
      </x:c>
      <x:c r="H1242" s="20" t="n">
        <x:f>VLOOKUP(C1242,'Governorate Master'!$A$2:$Q$13,6,FALSE)</x:f>
        <x:v>0.9235014702555983</x:v>
      </x:c>
      <x:c r="I1242" s="20" t="n">
        <x:f>VLOOKUP(C1242,'Governorate Master'!$A$2:$Q$13,15,FALSE)</x:f>
        <x:v>0.07086922474549726</x:v>
      </x:c>
      <x:c r="J1242" s="12" t="str">
        <x:v>Location model input - competition/saturation context</x:v>
      </x:c>
      <x:c r="K1242" s="12" t="str">
        <x:v>Business count is from 2018 while population/context indicators are newer; use as a historical proxy, not a current market count.</x:v>
      </x:c>
    </x:row>
    <x:row r="1243">
      <x:c r="A1243" s="12" t="str">
        <x:v>3240</x:v>
      </x:c>
      <x:c r="B1243" s="12" t="str">
        <x:v>Manufacture of games and toys</x:v>
      </x:c>
      <x:c r="C1243" s="12" t="str">
        <x:v>المفرق</x:v>
      </x:c>
      <x:c r="D1243" s="14" t="n">
        <x:v>0</x:v>
      </x:c>
      <x:c r="E1243" s="14" t="n">
        <x:f>VLOOKUP(C1243,'Governorate Master'!$A$2:$Q$13,3,FALSE)</x:f>
        <x:v>686800</x:v>
      </x:c>
      <x:c r="F1243" s="66" t="n">
        <x:f>IF(E1243=0,0,D1243/E1243*10000)</x:f>
        <x:v>0</x:v>
      </x:c>
      <x:c r="G1243" s="67" t="n">
        <x:f>VLOOKUP(C1243,'Governorate Master'!$A$2:$Q$13,7,FALSE)</x:f>
        <x:v>25.9</x:v>
      </x:c>
      <x:c r="H1243" s="20" t="n">
        <x:f>VLOOKUP(C1243,'Governorate Master'!$A$2:$Q$13,6,FALSE)</x:f>
        <x:v>0.6965637740244612</x:v>
      </x:c>
      <x:c r="I1243" s="20" t="n">
        <x:f>VLOOKUP(C1243,'Governorate Master'!$A$2:$Q$13,15,FALSE)</x:f>
        <x:v>-0.016638935108153077</x:v>
      </x:c>
      <x:c r="J1243" s="12" t="str">
        <x:v>Location model input - competition/saturation context</x:v>
      </x:c>
      <x:c r="K1243" s="12" t="str">
        <x:v>Business count is from 2018 while population/context indicators are newer; use as a historical proxy, not a current market count.</x:v>
      </x:c>
    </x:row>
    <x:row r="1244">
      <x:c r="A1244" s="12" t="str">
        <x:v>3240</x:v>
      </x:c>
      <x:c r="B1244" s="12" t="str">
        <x:v>Manufacture of games and toys</x:v>
      </x:c>
      <x:c r="C1244" s="12" t="str">
        <x:v>جرش</x:v>
      </x:c>
      <x:c r="D1244" s="14" t="n">
        <x:v>0</x:v>
      </x:c>
      <x:c r="E1244" s="14" t="n">
        <x:f>VLOOKUP(C1244,'Governorate Master'!$A$2:$Q$13,3,FALSE)</x:f>
        <x:v>296000</x:v>
      </x:c>
      <x:c r="F1244" s="66" t="n">
        <x:f>IF(E1244=0,0,D1244/E1244*10000)</x:f>
        <x:v>0</x:v>
      </x:c>
      <x:c r="G1244" s="67" t="n">
        <x:f>VLOOKUP(C1244,'Governorate Master'!$A$2:$Q$13,7,FALSE)</x:f>
        <x:v>722.3</x:v>
      </x:c>
      <x:c r="H1244" s="20" t="n">
        <x:f>VLOOKUP(C1244,'Governorate Master'!$A$2:$Q$13,6,FALSE)</x:f>
        <x:v>0.7695945945945946</x:v>
      </x:c>
      <x:c r="I1244" s="20" t="n">
        <x:f>VLOOKUP(C1244,'Governorate Master'!$A$2:$Q$13,15,FALSE)</x:f>
        <x:v>-0.06527415143603134</x:v>
      </x:c>
      <x:c r="J1244" s="12" t="str">
        <x:v>Location model input - competition/saturation context</x:v>
      </x:c>
      <x:c r="K1244" s="12" t="str">
        <x:v>Business count is from 2018 while population/context indicators are newer; use as a historical proxy, not a current market count.</x:v>
      </x:c>
    </x:row>
    <x:row r="1245">
      <x:c r="A1245" s="12" t="str">
        <x:v>3240</x:v>
      </x:c>
      <x:c r="B1245" s="12" t="str">
        <x:v>Manufacture of games and toys</x:v>
      </x:c>
      <x:c r="C1245" s="12" t="str">
        <x:v>عجلون</x:v>
      </x:c>
      <x:c r="D1245" s="14" t="n">
        <x:v>0</x:v>
      </x:c>
      <x:c r="E1245" s="14" t="n">
        <x:f>VLOOKUP(C1245,'Governorate Master'!$A$2:$Q$13,3,FALSE)</x:f>
        <x:v>219900</x:v>
      </x:c>
      <x:c r="F1245" s="66" t="n">
        <x:f>IF(E1245=0,0,D1245/E1245*10000)</x:f>
        <x:v>0</x:v>
      </x:c>
      <x:c r="G1245" s="67" t="n">
        <x:f>VLOOKUP(C1245,'Governorate Master'!$A$2:$Q$13,7,FALSE)</x:f>
        <x:v>524</x:v>
      </x:c>
      <x:c r="H1245" s="20" t="n">
        <x:f>VLOOKUP(C1245,'Governorate Master'!$A$2:$Q$13,6,FALSE)</x:f>
        <x:v>0.8390177353342428</x:v>
      </x:c>
      <x:c r="I1245" s="20" t="n">
        <x:f>VLOOKUP(C1245,'Governorate Master'!$A$2:$Q$13,15,FALSE)</x:f>
        <x:v>0.03614457831325301</x:v>
      </x:c>
      <x:c r="J1245" s="12" t="str">
        <x:v>Location model input - competition/saturation context</x:v>
      </x:c>
      <x:c r="K1245" s="12" t="str">
        <x:v>Business count is from 2018 while population/context indicators are newer; use as a historical proxy, not a current market count.</x:v>
      </x:c>
    </x:row>
    <x:row r="1246">
      <x:c r="A1246" s="12" t="str">
        <x:v>3240</x:v>
      </x:c>
      <x:c r="B1246" s="12" t="str">
        <x:v>Manufacture of games and toys</x:v>
      </x:c>
      <x:c r="C1246" s="12" t="str">
        <x:v>الكرك</x:v>
      </x:c>
      <x:c r="D1246" s="14" t="n">
        <x:v>0</x:v>
      </x:c>
      <x:c r="E1246" s="14" t="n">
        <x:f>VLOOKUP(C1246,'Governorate Master'!$A$2:$Q$13,3,FALSE)</x:f>
        <x:v>395400</x:v>
      </x:c>
      <x:c r="F1246" s="66" t="n">
        <x:f>IF(E1246=0,0,D1246/E1246*10000)</x:f>
        <x:v>0</x:v>
      </x:c>
      <x:c r="G1246" s="67" t="n">
        <x:f>VLOOKUP(C1246,'Governorate Master'!$A$2:$Q$13,7,FALSE)</x:f>
        <x:v>113.1</x:v>
      </x:c>
      <x:c r="H1246" s="20" t="n">
        <x:f>VLOOKUP(C1246,'Governorate Master'!$A$2:$Q$13,6,FALSE)</x:f>
        <x:v>0.5912999494183105</x:v>
      </x:c>
      <x:c r="I1246" s="20" t="n">
        <x:f>VLOOKUP(C1246,'Governorate Master'!$A$2:$Q$13,15,FALSE)</x:f>
        <x:v>0.08710801393728224</x:v>
      </x:c>
      <x:c r="J1246" s="12" t="str">
        <x:v>Location model input - competition/saturation context</x:v>
      </x:c>
      <x:c r="K1246" s="12" t="str">
        <x:v>Business count is from 2018 while population/context indicators are newer; use as a historical proxy, not a current market count.</x:v>
      </x:c>
    </x:row>
    <x:row r="1247">
      <x:c r="A1247" s="12" t="str">
        <x:v>3240</x:v>
      </x:c>
      <x:c r="B1247" s="12" t="str">
        <x:v>Manufacture of games and toys</x:v>
      </x:c>
      <x:c r="C1247" s="12" t="str">
        <x:v>الطفيلة</x:v>
      </x:c>
      <x:c r="D1247" s="14" t="n">
        <x:v>0</x:v>
      </x:c>
      <x:c r="E1247" s="14" t="n">
        <x:f>VLOOKUP(C1247,'Governorate Master'!$A$2:$Q$13,3,FALSE)</x:f>
        <x:v>120300</x:v>
      </x:c>
      <x:c r="F1247" s="66" t="n">
        <x:f>IF(E1247=0,0,D1247/E1247*10000)</x:f>
        <x:v>0</x:v>
      </x:c>
      <x:c r="G1247" s="67" t="n">
        <x:f>VLOOKUP(C1247,'Governorate Master'!$A$2:$Q$13,7,FALSE)</x:f>
        <x:v>54.4</x:v>
      </x:c>
      <x:c r="H1247" s="20" t="n">
        <x:f>VLOOKUP(C1247,'Governorate Master'!$A$2:$Q$13,6,FALSE)</x:f>
        <x:v>0.7797173732335827</x:v>
      </x:c>
      <x:c r="I1247" s="20" t="n">
        <x:f>VLOOKUP(C1247,'Governorate Master'!$A$2:$Q$13,15,FALSE)</x:f>
        <x:v>0.18452380952380953</x:v>
      </x:c>
      <x:c r="J1247" s="12" t="str">
        <x:v>Location model input - competition/saturation context</x:v>
      </x:c>
      <x:c r="K1247" s="12" t="str">
        <x:v>Business count is from 2018 while population/context indicators are newer; use as a historical proxy, not a current market count.</x:v>
      </x:c>
    </x:row>
    <x:row r="1248">
      <x:c r="A1248" s="12" t="str">
        <x:v>3240</x:v>
      </x:c>
      <x:c r="B1248" s="12" t="str">
        <x:v>Manufacture of games and toys</x:v>
      </x:c>
      <x:c r="C1248" s="12" t="str">
        <x:v>معان</x:v>
      </x:c>
      <x:c r="D1248" s="14" t="n">
        <x:v>1</x:v>
      </x:c>
      <x:c r="E1248" s="14" t="n">
        <x:f>VLOOKUP(C1248,'Governorate Master'!$A$2:$Q$13,3,FALSE)</x:f>
        <x:v>197900</x:v>
      </x:c>
      <x:c r="F1248" s="66" t="n">
        <x:f>IF(E1248=0,0,D1248/E1248*10000)</x:f>
        <x:v>0.05053057099545225</x:v>
      </x:c>
      <x:c r="G1248" s="67" t="n">
        <x:f>VLOOKUP(C1248,'Governorate Master'!$A$2:$Q$13,7,FALSE)</x:f>
        <x:v>6</x:v>
      </x:c>
      <x:c r="H1248" s="20" t="n">
        <x:f>VLOOKUP(C1248,'Governorate Master'!$A$2:$Q$13,6,FALSE)</x:f>
        <x:v>0.5406771096513391</x:v>
      </x:c>
      <x:c r="I1248" s="20" t="n">
        <x:f>VLOOKUP(C1248,'Governorate Master'!$A$2:$Q$13,15,FALSE)</x:f>
        <x:v>0.026845637583892617</x:v>
      </x:c>
      <x:c r="J1248" s="12" t="str">
        <x:v>Location model input - competition/saturation context</x:v>
      </x:c>
      <x:c r="K1248" s="12" t="str">
        <x:v>Business count is from 2018 while population/context indicators are newer; use as a historical proxy, not a current market count.</x:v>
      </x:c>
    </x:row>
    <x:row r="1249">
      <x:c r="A1249" s="12" t="str">
        <x:v>3240</x:v>
      </x:c>
      <x:c r="B1249" s="12" t="str">
        <x:v>Manufacture of games and toys</x:v>
      </x:c>
      <x:c r="C1249" s="12" t="str">
        <x:v>العقبة</x:v>
      </x:c>
      <x:c r="D1249" s="14" t="n">
        <x:v>0</x:v>
      </x:c>
      <x:c r="E1249" s="14" t="n">
        <x:f>VLOOKUP(C1249,'Governorate Master'!$A$2:$Q$13,3,FALSE)</x:f>
        <x:v>250900</x:v>
      </x:c>
      <x:c r="F1249" s="66" t="n">
        <x:f>IF(E1249=0,0,D1249/E1249*10000)</x:f>
        <x:v>0</x:v>
      </x:c>
      <x:c r="G1249" s="67" t="n">
        <x:f>VLOOKUP(C1249,'Governorate Master'!$A$2:$Q$13,7,FALSE)</x:f>
        <x:v>36.3</x:v>
      </x:c>
      <x:c r="H1249" s="20" t="n">
        <x:f>VLOOKUP(C1249,'Governorate Master'!$A$2:$Q$13,6,FALSE)</x:f>
        <x:v>0.882024711040255</x:v>
      </x:c>
      <x:c r="I1249" s="20" t="n">
        <x:f>VLOOKUP(C1249,'Governorate Master'!$A$2:$Q$13,15,FALSE)</x:f>
        <x:v>-0.09</x:v>
      </x:c>
      <x:c r="J1249" s="12" t="str">
        <x:v>Location model input - competition/saturation context</x:v>
      </x:c>
      <x:c r="K1249" s="12" t="str">
        <x:v>Business count is from 2018 while population/context indicators are newer; use as a historical proxy, not a current market count.</x:v>
      </x:c>
    </x:row>
    <x:row r="1250">
      <x:c r="A1250" s="12" t="str">
        <x:v>3250</x:v>
      </x:c>
      <x:c r="B1250" s="12" t="str">
        <x:v>Manufacture of medical and dental instruments and supplies</x:v>
      </x:c>
      <x:c r="C1250" s="12" t="str">
        <x:v>عمان</x:v>
      </x:c>
      <x:c r="D1250" s="14" t="n">
        <x:v>85</x:v>
      </x:c>
      <x:c r="E1250" s="14" t="n">
        <x:f>VLOOKUP(C1250,'Governorate Master'!$A$2:$Q$13,3,FALSE)</x:f>
        <x:v>5004600</x:v>
      </x:c>
      <x:c r="F1250" s="66" t="n">
        <x:f>IF(E1250=0,0,D1250/E1250*10000)</x:f>
        <x:v>0.1698437437557447</x:v>
      </x:c>
      <x:c r="G1250" s="67" t="n">
        <x:f>VLOOKUP(C1250,'Governorate Master'!$A$2:$Q$13,7,FALSE)</x:f>
        <x:v>660.3</x:v>
      </x:c>
      <x:c r="H1250" s="20" t="n">
        <x:f>VLOOKUP(C1250,'Governorate Master'!$A$2:$Q$13,6,FALSE)</x:f>
        <x:v>0.9721656076409703</x:v>
      </x:c>
      <x:c r="I1250" s="20" t="n">
        <x:f>VLOOKUP(C1250,'Governorate Master'!$A$2:$Q$13,15,FALSE)</x:f>
        <x:v>0.06367041198501873</x:v>
      </x:c>
      <x:c r="J1250" s="12" t="str">
        <x:v>Location model input - competition/saturation context</x:v>
      </x:c>
      <x:c r="K1250" s="12" t="str">
        <x:v>Business count is from 2018 while population/context indicators are newer; use as a historical proxy, not a current market count.</x:v>
      </x:c>
    </x:row>
    <x:row r="1251">
      <x:c r="A1251" s="12" t="str">
        <x:v>3250</x:v>
      </x:c>
      <x:c r="B1251" s="12" t="str">
        <x:v>Manufacture of medical and dental instruments and supplies</x:v>
      </x:c>
      <x:c r="C1251" s="12" t="str">
        <x:v>البلقاء</x:v>
      </x:c>
      <x:c r="D1251" s="14" t="n">
        <x:v>1</x:v>
      </x:c>
      <x:c r="E1251" s="14" t="n">
        <x:f>VLOOKUP(C1251,'Governorate Master'!$A$2:$Q$13,3,FALSE)</x:f>
        <x:v>614000</x:v>
      </x:c>
      <x:c r="F1251" s="66" t="n">
        <x:f>IF(E1251=0,0,D1251/E1251*10000)</x:f>
        <x:v>0.016286644951140065</x:v>
      </x:c>
      <x:c r="G1251" s="67" t="n">
        <x:f>VLOOKUP(C1251,'Governorate Master'!$A$2:$Q$13,7,FALSE)</x:f>
        <x:v>548</x:v>
      </x:c>
      <x:c r="H1251" s="20" t="n">
        <x:f>VLOOKUP(C1251,'Governorate Master'!$A$2:$Q$13,6,FALSE)</x:f>
        <x:v>0.8210097719869707</x:v>
      </x:c>
      <x:c r="I1251" s="20" t="n">
        <x:f>VLOOKUP(C1251,'Governorate Master'!$A$2:$Q$13,15,FALSE)</x:f>
        <x:v>0.10794044665012408</x:v>
      </x:c>
      <x:c r="J1251" s="12" t="str">
        <x:v>Location model input - competition/saturation context</x:v>
      </x:c>
      <x:c r="K1251" s="12" t="str">
        <x:v>Business count is from 2018 while population/context indicators are newer; use as a historical proxy, not a current market count.</x:v>
      </x:c>
    </x:row>
    <x:row r="1252">
      <x:c r="A1252" s="12" t="str">
        <x:v>3250</x:v>
      </x:c>
      <x:c r="B1252" s="12" t="str">
        <x:v>Manufacture of medical and dental instruments and supplies</x:v>
      </x:c>
      <x:c r="C1252" s="12" t="str">
        <x:v>الزرقاء</x:v>
      </x:c>
      <x:c r="D1252" s="14" t="n">
        <x:v>15</x:v>
      </x:c>
      <x:c r="E1252" s="14" t="n">
        <x:f>VLOOKUP(C1252,'Governorate Master'!$A$2:$Q$13,3,FALSE)</x:f>
        <x:v>1704500</x:v>
      </x:c>
      <x:c r="F1252" s="66" t="n">
        <x:f>IF(E1252=0,0,D1252/E1252*10000)</x:f>
        <x:v>0.0880023467292461</x:v>
      </x:c>
      <x:c r="G1252" s="67" t="n">
        <x:f>VLOOKUP(C1252,'Governorate Master'!$A$2:$Q$13,7,FALSE)</x:f>
        <x:v>358</x:v>
      </x:c>
      <x:c r="H1252" s="20" t="n">
        <x:f>VLOOKUP(C1252,'Governorate Master'!$A$2:$Q$13,6,FALSE)</x:f>
        <x:v>0.9636256966852449</x:v>
      </x:c>
      <x:c r="I1252" s="20" t="n">
        <x:f>VLOOKUP(C1252,'Governorate Master'!$A$2:$Q$13,15,FALSE)</x:f>
        <x:v>-0.06808762581409118</x:v>
      </x:c>
      <x:c r="J1252" s="12" t="str">
        <x:v>Location model input - competition/saturation context</x:v>
      </x:c>
      <x:c r="K1252" s="12" t="str">
        <x:v>Business count is from 2018 while population/context indicators are newer; use as a historical proxy, not a current market count.</x:v>
      </x:c>
    </x:row>
    <x:row r="1253">
      <x:c r="A1253" s="12" t="str">
        <x:v>3250</x:v>
      </x:c>
      <x:c r="B1253" s="12" t="str">
        <x:v>Manufacture of medical and dental instruments and supplies</x:v>
      </x:c>
      <x:c r="C1253" s="12" t="str">
        <x:v>مادبا</x:v>
      </x:c>
      <x:c r="D1253" s="14" t="n">
        <x:v>0</x:v>
      </x:c>
      <x:c r="E1253" s="14" t="n">
        <x:f>VLOOKUP(C1253,'Governorate Master'!$A$2:$Q$13,3,FALSE)</x:f>
        <x:v>236200</x:v>
      </x:c>
      <x:c r="F1253" s="66" t="n">
        <x:f>IF(E1253=0,0,D1253/E1253*10000)</x:f>
        <x:v>0</x:v>
      </x:c>
      <x:c r="G1253" s="67" t="n">
        <x:f>VLOOKUP(C1253,'Governorate Master'!$A$2:$Q$13,7,FALSE)</x:f>
        <x:v>251.4</x:v>
      </x:c>
      <x:c r="H1253" s="20" t="n">
        <x:f>VLOOKUP(C1253,'Governorate Master'!$A$2:$Q$13,6,FALSE)</x:f>
        <x:v>0.7823878069432684</x:v>
      </x:c>
      <x:c r="I1253" s="20" t="n">
        <x:f>VLOOKUP(C1253,'Governorate Master'!$A$2:$Q$13,15,FALSE)</x:f>
        <x:v>-0.18823529411764706</x:v>
      </x:c>
      <x:c r="J1253" s="12" t="str">
        <x:v>Location model input - competition/saturation context</x:v>
      </x:c>
      <x:c r="K1253" s="12" t="str">
        <x:v>Business count is from 2018 while population/context indicators are newer; use as a historical proxy, not a current market count.</x:v>
      </x:c>
    </x:row>
    <x:row r="1254">
      <x:c r="A1254" s="12" t="str">
        <x:v>3250</x:v>
      </x:c>
      <x:c r="B1254" s="12" t="str">
        <x:v>Manufacture of medical and dental instruments and supplies</x:v>
      </x:c>
      <x:c r="C1254" s="12" t="str">
        <x:v>إربد</x:v>
      </x:c>
      <x:c r="D1254" s="14" t="n">
        <x:v>25</x:v>
      </x:c>
      <x:c r="E1254" s="14" t="n">
        <x:f>VLOOKUP(C1254,'Governorate Master'!$A$2:$Q$13,3,FALSE)</x:f>
        <x:v>2210500</x:v>
      </x:c>
      <x:c r="F1254" s="66" t="n">
        <x:f>IF(E1254=0,0,D1254/E1254*10000)</x:f>
        <x:v>0.1130965844831486</x:v>
      </x:c>
      <x:c r="G1254" s="67" t="n">
        <x:f>VLOOKUP(C1254,'Governorate Master'!$A$2:$Q$13,7,FALSE)</x:f>
        <x:v>1406.4</x:v>
      </x:c>
      <x:c r="H1254" s="20" t="n">
        <x:f>VLOOKUP(C1254,'Governorate Master'!$A$2:$Q$13,6,FALSE)</x:f>
        <x:v>0.9235014702555983</x:v>
      </x:c>
      <x:c r="I1254" s="20" t="n">
        <x:f>VLOOKUP(C1254,'Governorate Master'!$A$2:$Q$13,15,FALSE)</x:f>
        <x:v>0.07086922474549726</x:v>
      </x:c>
      <x:c r="J1254" s="12" t="str">
        <x:v>Location model input - competition/saturation context</x:v>
      </x:c>
      <x:c r="K1254" s="12" t="str">
        <x:v>Business count is from 2018 while population/context indicators are newer; use as a historical proxy, not a current market count.</x:v>
      </x:c>
    </x:row>
    <x:row r="1255">
      <x:c r="A1255" s="12" t="str">
        <x:v>3250</x:v>
      </x:c>
      <x:c r="B1255" s="12" t="str">
        <x:v>Manufacture of medical and dental instruments and supplies</x:v>
      </x:c>
      <x:c r="C1255" s="12" t="str">
        <x:v>المفرق</x:v>
      </x:c>
      <x:c r="D1255" s="14" t="n">
        <x:v>4</x:v>
      </x:c>
      <x:c r="E1255" s="14" t="n">
        <x:f>VLOOKUP(C1255,'Governorate Master'!$A$2:$Q$13,3,FALSE)</x:f>
        <x:v>686800</x:v>
      </x:c>
      <x:c r="F1255" s="66" t="n">
        <x:f>IF(E1255=0,0,D1255/E1255*10000)</x:f>
        <x:v>0.05824111822947001</x:v>
      </x:c>
      <x:c r="G1255" s="67" t="n">
        <x:f>VLOOKUP(C1255,'Governorate Master'!$A$2:$Q$13,7,FALSE)</x:f>
        <x:v>25.9</x:v>
      </x:c>
      <x:c r="H1255" s="20" t="n">
        <x:f>VLOOKUP(C1255,'Governorate Master'!$A$2:$Q$13,6,FALSE)</x:f>
        <x:v>0.6965637740244612</x:v>
      </x:c>
      <x:c r="I1255" s="20" t="n">
        <x:f>VLOOKUP(C1255,'Governorate Master'!$A$2:$Q$13,15,FALSE)</x:f>
        <x:v>-0.016638935108153077</x:v>
      </x:c>
      <x:c r="J1255" s="12" t="str">
        <x:v>Location model input - competition/saturation context</x:v>
      </x:c>
      <x:c r="K1255" s="12" t="str">
        <x:v>Business count is from 2018 while population/context indicators are newer; use as a historical proxy, not a current market count.</x:v>
      </x:c>
    </x:row>
    <x:row r="1256">
      <x:c r="A1256" s="12" t="str">
        <x:v>3250</x:v>
      </x:c>
      <x:c r="B1256" s="12" t="str">
        <x:v>Manufacture of medical and dental instruments and supplies</x:v>
      </x:c>
      <x:c r="C1256" s="12" t="str">
        <x:v>جرش</x:v>
      </x:c>
      <x:c r="D1256" s="14" t="n">
        <x:v>1</x:v>
      </x:c>
      <x:c r="E1256" s="14" t="n">
        <x:f>VLOOKUP(C1256,'Governorate Master'!$A$2:$Q$13,3,FALSE)</x:f>
        <x:v>296000</x:v>
      </x:c>
      <x:c r="F1256" s="66" t="n">
        <x:f>IF(E1256=0,0,D1256/E1256*10000)</x:f>
        <x:v>0.033783783783783786</x:v>
      </x:c>
      <x:c r="G1256" s="67" t="n">
        <x:f>VLOOKUP(C1256,'Governorate Master'!$A$2:$Q$13,7,FALSE)</x:f>
        <x:v>722.3</x:v>
      </x:c>
      <x:c r="H1256" s="20" t="n">
        <x:f>VLOOKUP(C1256,'Governorate Master'!$A$2:$Q$13,6,FALSE)</x:f>
        <x:v>0.7695945945945946</x:v>
      </x:c>
      <x:c r="I1256" s="20" t="n">
        <x:f>VLOOKUP(C1256,'Governorate Master'!$A$2:$Q$13,15,FALSE)</x:f>
        <x:v>-0.06527415143603134</x:v>
      </x:c>
      <x:c r="J1256" s="12" t="str">
        <x:v>Location model input - competition/saturation context</x:v>
      </x:c>
      <x:c r="K1256" s="12" t="str">
        <x:v>Business count is from 2018 while population/context indicators are newer; use as a historical proxy, not a current market count.</x:v>
      </x:c>
    </x:row>
    <x:row r="1257">
      <x:c r="A1257" s="12" t="str">
        <x:v>3250</x:v>
      </x:c>
      <x:c r="B1257" s="12" t="str">
        <x:v>Manufacture of medical and dental instruments and supplies</x:v>
      </x:c>
      <x:c r="C1257" s="12" t="str">
        <x:v>عجلون</x:v>
      </x:c>
      <x:c r="D1257" s="14" t="n">
        <x:v>2</x:v>
      </x:c>
      <x:c r="E1257" s="14" t="n">
        <x:f>VLOOKUP(C1257,'Governorate Master'!$A$2:$Q$13,3,FALSE)</x:f>
        <x:v>219900</x:v>
      </x:c>
      <x:c r="F1257" s="66" t="n">
        <x:f>IF(E1257=0,0,D1257/E1257*10000)</x:f>
        <x:v>0.09095043201455207</x:v>
      </x:c>
      <x:c r="G1257" s="67" t="n">
        <x:f>VLOOKUP(C1257,'Governorate Master'!$A$2:$Q$13,7,FALSE)</x:f>
        <x:v>524</x:v>
      </x:c>
      <x:c r="H1257" s="20" t="n">
        <x:f>VLOOKUP(C1257,'Governorate Master'!$A$2:$Q$13,6,FALSE)</x:f>
        <x:v>0.8390177353342428</x:v>
      </x:c>
      <x:c r="I1257" s="20" t="n">
        <x:f>VLOOKUP(C1257,'Governorate Master'!$A$2:$Q$13,15,FALSE)</x:f>
        <x:v>0.03614457831325301</x:v>
      </x:c>
      <x:c r="J1257" s="12" t="str">
        <x:v>Location model input - competition/saturation context</x:v>
      </x:c>
      <x:c r="K1257" s="12" t="str">
        <x:v>Business count is from 2018 while population/context indicators are newer; use as a historical proxy, not a current market count.</x:v>
      </x:c>
    </x:row>
    <x:row r="1258">
      <x:c r="A1258" s="12" t="str">
        <x:v>3250</x:v>
      </x:c>
      <x:c r="B1258" s="12" t="str">
        <x:v>Manufacture of medical and dental instruments and supplies</x:v>
      </x:c>
      <x:c r="C1258" s="12" t="str">
        <x:v>الكرك</x:v>
      </x:c>
      <x:c r="D1258" s="14" t="n">
        <x:v>3</x:v>
      </x:c>
      <x:c r="E1258" s="14" t="n">
        <x:f>VLOOKUP(C1258,'Governorate Master'!$A$2:$Q$13,3,FALSE)</x:f>
        <x:v>395400</x:v>
      </x:c>
      <x:c r="F1258" s="66" t="n">
        <x:f>IF(E1258=0,0,D1258/E1258*10000)</x:f>
        <x:v>0.07587253414264036</x:v>
      </x:c>
      <x:c r="G1258" s="67" t="n">
        <x:f>VLOOKUP(C1258,'Governorate Master'!$A$2:$Q$13,7,FALSE)</x:f>
        <x:v>113.1</x:v>
      </x:c>
      <x:c r="H1258" s="20" t="n">
        <x:f>VLOOKUP(C1258,'Governorate Master'!$A$2:$Q$13,6,FALSE)</x:f>
        <x:v>0.5912999494183105</x:v>
      </x:c>
      <x:c r="I1258" s="20" t="n">
        <x:f>VLOOKUP(C1258,'Governorate Master'!$A$2:$Q$13,15,FALSE)</x:f>
        <x:v>0.08710801393728224</x:v>
      </x:c>
      <x:c r="J1258" s="12" t="str">
        <x:v>Location model input - competition/saturation context</x:v>
      </x:c>
      <x:c r="K1258" s="12" t="str">
        <x:v>Business count is from 2018 while population/context indicators are newer; use as a historical proxy, not a current market count.</x:v>
      </x:c>
    </x:row>
    <x:row r="1259">
      <x:c r="A1259" s="12" t="str">
        <x:v>3250</x:v>
      </x:c>
      <x:c r="B1259" s="12" t="str">
        <x:v>Manufacture of medical and dental instruments and supplies</x:v>
      </x:c>
      <x:c r="C1259" s="12" t="str">
        <x:v>الطفيلة</x:v>
      </x:c>
      <x:c r="D1259" s="14" t="n">
        <x:v>0</x:v>
      </x:c>
      <x:c r="E1259" s="14" t="n">
        <x:f>VLOOKUP(C1259,'Governorate Master'!$A$2:$Q$13,3,FALSE)</x:f>
        <x:v>120300</x:v>
      </x:c>
      <x:c r="F1259" s="66" t="n">
        <x:f>IF(E1259=0,0,D1259/E1259*10000)</x:f>
        <x:v>0</x:v>
      </x:c>
      <x:c r="G1259" s="67" t="n">
        <x:f>VLOOKUP(C1259,'Governorate Master'!$A$2:$Q$13,7,FALSE)</x:f>
        <x:v>54.4</x:v>
      </x:c>
      <x:c r="H1259" s="20" t="n">
        <x:f>VLOOKUP(C1259,'Governorate Master'!$A$2:$Q$13,6,FALSE)</x:f>
        <x:v>0.7797173732335827</x:v>
      </x:c>
      <x:c r="I1259" s="20" t="n">
        <x:f>VLOOKUP(C1259,'Governorate Master'!$A$2:$Q$13,15,FALSE)</x:f>
        <x:v>0.18452380952380953</x:v>
      </x:c>
      <x:c r="J1259" s="12" t="str">
        <x:v>Location model input - competition/saturation context</x:v>
      </x:c>
      <x:c r="K1259" s="12" t="str">
        <x:v>Business count is from 2018 while population/context indicators are newer; use as a historical proxy, not a current market count.</x:v>
      </x:c>
    </x:row>
    <x:row r="1260">
      <x:c r="A1260" s="12" t="str">
        <x:v>3250</x:v>
      </x:c>
      <x:c r="B1260" s="12" t="str">
        <x:v>Manufacture of medical and dental instruments and supplies</x:v>
      </x:c>
      <x:c r="C1260" s="12" t="str">
        <x:v>معان</x:v>
      </x:c>
      <x:c r="D1260" s="14" t="n">
        <x:v>0</x:v>
      </x:c>
      <x:c r="E1260" s="14" t="n">
        <x:f>VLOOKUP(C1260,'Governorate Master'!$A$2:$Q$13,3,FALSE)</x:f>
        <x:v>197900</x:v>
      </x:c>
      <x:c r="F1260" s="66" t="n">
        <x:f>IF(E1260=0,0,D1260/E1260*10000)</x:f>
        <x:v>0</x:v>
      </x:c>
      <x:c r="G1260" s="67" t="n">
        <x:f>VLOOKUP(C1260,'Governorate Master'!$A$2:$Q$13,7,FALSE)</x:f>
        <x:v>6</x:v>
      </x:c>
      <x:c r="H1260" s="20" t="n">
        <x:f>VLOOKUP(C1260,'Governorate Master'!$A$2:$Q$13,6,FALSE)</x:f>
        <x:v>0.5406771096513391</x:v>
      </x:c>
      <x:c r="I1260" s="20" t="n">
        <x:f>VLOOKUP(C1260,'Governorate Master'!$A$2:$Q$13,15,FALSE)</x:f>
        <x:v>0.026845637583892617</x:v>
      </x:c>
      <x:c r="J1260" s="12" t="str">
        <x:v>Location model input - competition/saturation context</x:v>
      </x:c>
      <x:c r="K1260" s="12" t="str">
        <x:v>Business count is from 2018 while population/context indicators are newer; use as a historical proxy, not a current market count.</x:v>
      </x:c>
    </x:row>
    <x:row r="1261">
      <x:c r="A1261" s="12" t="str">
        <x:v>3250</x:v>
      </x:c>
      <x:c r="B1261" s="12" t="str">
        <x:v>Manufacture of medical and dental instruments and supplies</x:v>
      </x:c>
      <x:c r="C1261" s="12" t="str">
        <x:v>العقبة</x:v>
      </x:c>
      <x:c r="D1261" s="14" t="n">
        <x:v>1</x:v>
      </x:c>
      <x:c r="E1261" s="14" t="n">
        <x:f>VLOOKUP(C1261,'Governorate Master'!$A$2:$Q$13,3,FALSE)</x:f>
        <x:v>250900</x:v>
      </x:c>
      <x:c r="F1261" s="66" t="n">
        <x:f>IF(E1261=0,0,D1261/E1261*10000)</x:f>
        <x:v>0.03985651654045436</x:v>
      </x:c>
      <x:c r="G1261" s="67" t="n">
        <x:f>VLOOKUP(C1261,'Governorate Master'!$A$2:$Q$13,7,FALSE)</x:f>
        <x:v>36.3</x:v>
      </x:c>
      <x:c r="H1261" s="20" t="n">
        <x:f>VLOOKUP(C1261,'Governorate Master'!$A$2:$Q$13,6,FALSE)</x:f>
        <x:v>0.882024711040255</x:v>
      </x:c>
      <x:c r="I1261" s="20" t="n">
        <x:f>VLOOKUP(C1261,'Governorate Master'!$A$2:$Q$13,15,FALSE)</x:f>
        <x:v>-0.09</x:v>
      </x:c>
      <x:c r="J1261" s="12" t="str">
        <x:v>Location model input - competition/saturation context</x:v>
      </x:c>
      <x:c r="K1261" s="12" t="str">
        <x:v>Business count is from 2018 while population/context indicators are newer; use as a historical proxy, not a current market count.</x:v>
      </x:c>
    </x:row>
    <x:row r="1262">
      <x:c r="A1262" s="12" t="str">
        <x:v>3290</x:v>
      </x:c>
      <x:c r="B1262" s="12" t="str">
        <x:v>Other manufacturing n.e.c.</x:v>
      </x:c>
      <x:c r="C1262" s="12" t="str">
        <x:v>عمان</x:v>
      </x:c>
      <x:c r="D1262" s="14" t="n">
        <x:v>22</x:v>
      </x:c>
      <x:c r="E1262" s="14" t="n">
        <x:f>VLOOKUP(C1262,'Governorate Master'!$A$2:$Q$13,3,FALSE)</x:f>
        <x:v>5004600</x:v>
      </x:c>
      <x:c r="F1262" s="66" t="n">
        <x:f>IF(E1262=0,0,D1262/E1262*10000)</x:f>
        <x:v>0.04395955720736922</x:v>
      </x:c>
      <x:c r="G1262" s="67" t="n">
        <x:f>VLOOKUP(C1262,'Governorate Master'!$A$2:$Q$13,7,FALSE)</x:f>
        <x:v>660.3</x:v>
      </x:c>
      <x:c r="H1262" s="20" t="n">
        <x:f>VLOOKUP(C1262,'Governorate Master'!$A$2:$Q$13,6,FALSE)</x:f>
        <x:v>0.9721656076409703</x:v>
      </x:c>
      <x:c r="I1262" s="20" t="n">
        <x:f>VLOOKUP(C1262,'Governorate Master'!$A$2:$Q$13,15,FALSE)</x:f>
        <x:v>0.06367041198501873</x:v>
      </x:c>
      <x:c r="J1262" s="12" t="str">
        <x:v>Location model input - competition/saturation context</x:v>
      </x:c>
      <x:c r="K1262" s="12" t="str">
        <x:v>Business count is from 2018 while population/context indicators are newer; use as a historical proxy, not a current market count.</x:v>
      </x:c>
    </x:row>
    <x:row r="1263">
      <x:c r="A1263" s="12" t="str">
        <x:v>3290</x:v>
      </x:c>
      <x:c r="B1263" s="12" t="str">
        <x:v>Other manufacturing n.e.c.</x:v>
      </x:c>
      <x:c r="C1263" s="12" t="str">
        <x:v>البلقاء</x:v>
      </x:c>
      <x:c r="D1263" s="14" t="n">
        <x:v>1</x:v>
      </x:c>
      <x:c r="E1263" s="14" t="n">
        <x:f>VLOOKUP(C1263,'Governorate Master'!$A$2:$Q$13,3,FALSE)</x:f>
        <x:v>614000</x:v>
      </x:c>
      <x:c r="F1263" s="66" t="n">
        <x:f>IF(E1263=0,0,D1263/E1263*10000)</x:f>
        <x:v>0.016286644951140065</x:v>
      </x:c>
      <x:c r="G1263" s="67" t="n">
        <x:f>VLOOKUP(C1263,'Governorate Master'!$A$2:$Q$13,7,FALSE)</x:f>
        <x:v>548</x:v>
      </x:c>
      <x:c r="H1263" s="20" t="n">
        <x:f>VLOOKUP(C1263,'Governorate Master'!$A$2:$Q$13,6,FALSE)</x:f>
        <x:v>0.8210097719869707</x:v>
      </x:c>
      <x:c r="I1263" s="20" t="n">
        <x:f>VLOOKUP(C1263,'Governorate Master'!$A$2:$Q$13,15,FALSE)</x:f>
        <x:v>0.10794044665012408</x:v>
      </x:c>
      <x:c r="J1263" s="12" t="str">
        <x:v>Location model input - competition/saturation context</x:v>
      </x:c>
      <x:c r="K1263" s="12" t="str">
        <x:v>Business count is from 2018 while population/context indicators are newer; use as a historical proxy, not a current market count.</x:v>
      </x:c>
    </x:row>
    <x:row r="1264">
      <x:c r="A1264" s="12" t="str">
        <x:v>3290</x:v>
      </x:c>
      <x:c r="B1264" s="12" t="str">
        <x:v>Other manufacturing n.e.c.</x:v>
      </x:c>
      <x:c r="C1264" s="12" t="str">
        <x:v>الزرقاء</x:v>
      </x:c>
      <x:c r="D1264" s="14" t="n">
        <x:v>4</x:v>
      </x:c>
      <x:c r="E1264" s="14" t="n">
        <x:f>VLOOKUP(C1264,'Governorate Master'!$A$2:$Q$13,3,FALSE)</x:f>
        <x:v>1704500</x:v>
      </x:c>
      <x:c r="F1264" s="66" t="n">
        <x:f>IF(E1264=0,0,D1264/E1264*10000)</x:f>
        <x:v>0.023467292461132296</x:v>
      </x:c>
      <x:c r="G1264" s="67" t="n">
        <x:f>VLOOKUP(C1264,'Governorate Master'!$A$2:$Q$13,7,FALSE)</x:f>
        <x:v>358</x:v>
      </x:c>
      <x:c r="H1264" s="20" t="n">
        <x:f>VLOOKUP(C1264,'Governorate Master'!$A$2:$Q$13,6,FALSE)</x:f>
        <x:v>0.9636256966852449</x:v>
      </x:c>
      <x:c r="I1264" s="20" t="n">
        <x:f>VLOOKUP(C1264,'Governorate Master'!$A$2:$Q$13,15,FALSE)</x:f>
        <x:v>-0.06808762581409118</x:v>
      </x:c>
      <x:c r="J1264" s="12" t="str">
        <x:v>Location model input - competition/saturation context</x:v>
      </x:c>
      <x:c r="K1264" s="12" t="str">
        <x:v>Business count is from 2018 while population/context indicators are newer; use as a historical proxy, not a current market count.</x:v>
      </x:c>
    </x:row>
    <x:row r="1265">
      <x:c r="A1265" s="12" t="str">
        <x:v>3290</x:v>
      </x:c>
      <x:c r="B1265" s="12" t="str">
        <x:v>Other manufacturing n.e.c.</x:v>
      </x:c>
      <x:c r="C1265" s="12" t="str">
        <x:v>مادبا</x:v>
      </x:c>
      <x:c r="D1265" s="14" t="n">
        <x:v>1</x:v>
      </x:c>
      <x:c r="E1265" s="14" t="n">
        <x:f>VLOOKUP(C1265,'Governorate Master'!$A$2:$Q$13,3,FALSE)</x:f>
        <x:v>236200</x:v>
      </x:c>
      <x:c r="F1265" s="66" t="n">
        <x:f>IF(E1265=0,0,D1265/E1265*10000)</x:f>
        <x:v>0.04233700254022015</x:v>
      </x:c>
      <x:c r="G1265" s="67" t="n">
        <x:f>VLOOKUP(C1265,'Governorate Master'!$A$2:$Q$13,7,FALSE)</x:f>
        <x:v>251.4</x:v>
      </x:c>
      <x:c r="H1265" s="20" t="n">
        <x:f>VLOOKUP(C1265,'Governorate Master'!$A$2:$Q$13,6,FALSE)</x:f>
        <x:v>0.7823878069432684</x:v>
      </x:c>
      <x:c r="I1265" s="20" t="n">
        <x:f>VLOOKUP(C1265,'Governorate Master'!$A$2:$Q$13,15,FALSE)</x:f>
        <x:v>-0.18823529411764706</x:v>
      </x:c>
      <x:c r="J1265" s="12" t="str">
        <x:v>Location model input - competition/saturation context</x:v>
      </x:c>
      <x:c r="K1265" s="12" t="str">
        <x:v>Business count is from 2018 while population/context indicators are newer; use as a historical proxy, not a current market count.</x:v>
      </x:c>
    </x:row>
    <x:row r="1266">
      <x:c r="A1266" s="12" t="str">
        <x:v>3290</x:v>
      </x:c>
      <x:c r="B1266" s="12" t="str">
        <x:v>Other manufacturing n.e.c.</x:v>
      </x:c>
      <x:c r="C1266" s="12" t="str">
        <x:v>إربد</x:v>
      </x:c>
      <x:c r="D1266" s="14" t="n">
        <x:v>2</x:v>
      </x:c>
      <x:c r="E1266" s="14" t="n">
        <x:f>VLOOKUP(C1266,'Governorate Master'!$A$2:$Q$13,3,FALSE)</x:f>
        <x:v>2210500</x:v>
      </x:c>
      <x:c r="F1266" s="66" t="n">
        <x:f>IF(E1266=0,0,D1266/E1266*10000)</x:f>
        <x:v>0.009047726758651889</x:v>
      </x:c>
      <x:c r="G1266" s="67" t="n">
        <x:f>VLOOKUP(C1266,'Governorate Master'!$A$2:$Q$13,7,FALSE)</x:f>
        <x:v>1406.4</x:v>
      </x:c>
      <x:c r="H1266" s="20" t="n">
        <x:f>VLOOKUP(C1266,'Governorate Master'!$A$2:$Q$13,6,FALSE)</x:f>
        <x:v>0.9235014702555983</x:v>
      </x:c>
      <x:c r="I1266" s="20" t="n">
        <x:f>VLOOKUP(C1266,'Governorate Master'!$A$2:$Q$13,15,FALSE)</x:f>
        <x:v>0.07086922474549726</x:v>
      </x:c>
      <x:c r="J1266" s="12" t="str">
        <x:v>Location model input - competition/saturation context</x:v>
      </x:c>
      <x:c r="K1266" s="12" t="str">
        <x:v>Business count is from 2018 while population/context indicators are newer; use as a historical proxy, not a current market count.</x:v>
      </x:c>
    </x:row>
    <x:row r="1267">
      <x:c r="A1267" s="12" t="str">
        <x:v>3290</x:v>
      </x:c>
      <x:c r="B1267" s="12" t="str">
        <x:v>Other manufacturing n.e.c.</x:v>
      </x:c>
      <x:c r="C1267" s="12" t="str">
        <x:v>المفرق</x:v>
      </x:c>
      <x:c r="D1267" s="14" t="n">
        <x:v>1</x:v>
      </x:c>
      <x:c r="E1267" s="14" t="n">
        <x:f>VLOOKUP(C1267,'Governorate Master'!$A$2:$Q$13,3,FALSE)</x:f>
        <x:v>686800</x:v>
      </x:c>
      <x:c r="F1267" s="66" t="n">
        <x:f>IF(E1267=0,0,D1267/E1267*10000)</x:f>
        <x:v>0.014560279557367502</x:v>
      </x:c>
      <x:c r="G1267" s="67" t="n">
        <x:f>VLOOKUP(C1267,'Governorate Master'!$A$2:$Q$13,7,FALSE)</x:f>
        <x:v>25.9</x:v>
      </x:c>
      <x:c r="H1267" s="20" t="n">
        <x:f>VLOOKUP(C1267,'Governorate Master'!$A$2:$Q$13,6,FALSE)</x:f>
        <x:v>0.6965637740244612</x:v>
      </x:c>
      <x:c r="I1267" s="20" t="n">
        <x:f>VLOOKUP(C1267,'Governorate Master'!$A$2:$Q$13,15,FALSE)</x:f>
        <x:v>-0.016638935108153077</x:v>
      </x:c>
      <x:c r="J1267" s="12" t="str">
        <x:v>Location model input - competition/saturation context</x:v>
      </x:c>
      <x:c r="K1267" s="12" t="str">
        <x:v>Business count is from 2018 while population/context indicators are newer; use as a historical proxy, not a current market count.</x:v>
      </x:c>
    </x:row>
    <x:row r="1268">
      <x:c r="A1268" s="12" t="str">
        <x:v>3290</x:v>
      </x:c>
      <x:c r="B1268" s="12" t="str">
        <x:v>Other manufacturing n.e.c.</x:v>
      </x:c>
      <x:c r="C1268" s="12" t="str">
        <x:v>جرش</x:v>
      </x:c>
      <x:c r="D1268" s="14" t="n">
        <x:v>0</x:v>
      </x:c>
      <x:c r="E1268" s="14" t="n">
        <x:f>VLOOKUP(C1268,'Governorate Master'!$A$2:$Q$13,3,FALSE)</x:f>
        <x:v>296000</x:v>
      </x:c>
      <x:c r="F1268" s="66" t="n">
        <x:f>IF(E1268=0,0,D1268/E1268*10000)</x:f>
        <x:v>0</x:v>
      </x:c>
      <x:c r="G1268" s="67" t="n">
        <x:f>VLOOKUP(C1268,'Governorate Master'!$A$2:$Q$13,7,FALSE)</x:f>
        <x:v>722.3</x:v>
      </x:c>
      <x:c r="H1268" s="20" t="n">
        <x:f>VLOOKUP(C1268,'Governorate Master'!$A$2:$Q$13,6,FALSE)</x:f>
        <x:v>0.7695945945945946</x:v>
      </x:c>
      <x:c r="I1268" s="20" t="n">
        <x:f>VLOOKUP(C1268,'Governorate Master'!$A$2:$Q$13,15,FALSE)</x:f>
        <x:v>-0.06527415143603134</x:v>
      </x:c>
      <x:c r="J1268" s="12" t="str">
        <x:v>Location model input - competition/saturation context</x:v>
      </x:c>
      <x:c r="K1268" s="12" t="str">
        <x:v>Business count is from 2018 while population/context indicators are newer; use as a historical proxy, not a current market count.</x:v>
      </x:c>
    </x:row>
    <x:row r="1269">
      <x:c r="A1269" s="12" t="str">
        <x:v>3290</x:v>
      </x:c>
      <x:c r="B1269" s="12" t="str">
        <x:v>Other manufacturing n.e.c.</x:v>
      </x:c>
      <x:c r="C1269" s="12" t="str">
        <x:v>عجلون</x:v>
      </x:c>
      <x:c r="D1269" s="14" t="n">
        <x:v>0</x:v>
      </x:c>
      <x:c r="E1269" s="14" t="n">
        <x:f>VLOOKUP(C1269,'Governorate Master'!$A$2:$Q$13,3,FALSE)</x:f>
        <x:v>219900</x:v>
      </x:c>
      <x:c r="F1269" s="66" t="n">
        <x:f>IF(E1269=0,0,D1269/E1269*10000)</x:f>
        <x:v>0</x:v>
      </x:c>
      <x:c r="G1269" s="67" t="n">
        <x:f>VLOOKUP(C1269,'Governorate Master'!$A$2:$Q$13,7,FALSE)</x:f>
        <x:v>524</x:v>
      </x:c>
      <x:c r="H1269" s="20" t="n">
        <x:f>VLOOKUP(C1269,'Governorate Master'!$A$2:$Q$13,6,FALSE)</x:f>
        <x:v>0.8390177353342428</x:v>
      </x:c>
      <x:c r="I1269" s="20" t="n">
        <x:f>VLOOKUP(C1269,'Governorate Master'!$A$2:$Q$13,15,FALSE)</x:f>
        <x:v>0.03614457831325301</x:v>
      </x:c>
      <x:c r="J1269" s="12" t="str">
        <x:v>Location model input - competition/saturation context</x:v>
      </x:c>
      <x:c r="K1269" s="12" t="str">
        <x:v>Business count is from 2018 while population/context indicators are newer; use as a historical proxy, not a current market count.</x:v>
      </x:c>
    </x:row>
    <x:row r="1270">
      <x:c r="A1270" s="12" t="str">
        <x:v>3290</x:v>
      </x:c>
      <x:c r="B1270" s="12" t="str">
        <x:v>Other manufacturing n.e.c.</x:v>
      </x:c>
      <x:c r="C1270" s="12" t="str">
        <x:v>الكرك</x:v>
      </x:c>
      <x:c r="D1270" s="14" t="n">
        <x:v>1</x:v>
      </x:c>
      <x:c r="E1270" s="14" t="n">
        <x:f>VLOOKUP(C1270,'Governorate Master'!$A$2:$Q$13,3,FALSE)</x:f>
        <x:v>395400</x:v>
      </x:c>
      <x:c r="F1270" s="66" t="n">
        <x:f>IF(E1270=0,0,D1270/E1270*10000)</x:f>
        <x:v>0.025290844714213452</x:v>
      </x:c>
      <x:c r="G1270" s="67" t="n">
        <x:f>VLOOKUP(C1270,'Governorate Master'!$A$2:$Q$13,7,FALSE)</x:f>
        <x:v>113.1</x:v>
      </x:c>
      <x:c r="H1270" s="20" t="n">
        <x:f>VLOOKUP(C1270,'Governorate Master'!$A$2:$Q$13,6,FALSE)</x:f>
        <x:v>0.5912999494183105</x:v>
      </x:c>
      <x:c r="I1270" s="20" t="n">
        <x:f>VLOOKUP(C1270,'Governorate Master'!$A$2:$Q$13,15,FALSE)</x:f>
        <x:v>0.08710801393728224</x:v>
      </x:c>
      <x:c r="J1270" s="12" t="str">
        <x:v>Location model input - competition/saturation context</x:v>
      </x:c>
      <x:c r="K1270" s="12" t="str">
        <x:v>Business count is from 2018 while population/context indicators are newer; use as a historical proxy, not a current market count.</x:v>
      </x:c>
    </x:row>
    <x:row r="1271">
      <x:c r="A1271" s="12" t="str">
        <x:v>3290</x:v>
      </x:c>
      <x:c r="B1271" s="12" t="str">
        <x:v>Other manufacturing n.e.c.</x:v>
      </x:c>
      <x:c r="C1271" s="12" t="str">
        <x:v>الطفيلة</x:v>
      </x:c>
      <x:c r="D1271" s="14" t="n">
        <x:v>0</x:v>
      </x:c>
      <x:c r="E1271" s="14" t="n">
        <x:f>VLOOKUP(C1271,'Governorate Master'!$A$2:$Q$13,3,FALSE)</x:f>
        <x:v>120300</x:v>
      </x:c>
      <x:c r="F1271" s="66" t="n">
        <x:f>IF(E1271=0,0,D1271/E1271*10000)</x:f>
        <x:v>0</x:v>
      </x:c>
      <x:c r="G1271" s="67" t="n">
        <x:f>VLOOKUP(C1271,'Governorate Master'!$A$2:$Q$13,7,FALSE)</x:f>
        <x:v>54.4</x:v>
      </x:c>
      <x:c r="H1271" s="20" t="n">
        <x:f>VLOOKUP(C1271,'Governorate Master'!$A$2:$Q$13,6,FALSE)</x:f>
        <x:v>0.7797173732335827</x:v>
      </x:c>
      <x:c r="I1271" s="20" t="n">
        <x:f>VLOOKUP(C1271,'Governorate Master'!$A$2:$Q$13,15,FALSE)</x:f>
        <x:v>0.18452380952380953</x:v>
      </x:c>
      <x:c r="J1271" s="12" t="str">
        <x:v>Location model input - competition/saturation context</x:v>
      </x:c>
      <x:c r="K1271" s="12" t="str">
        <x:v>Business count is from 2018 while population/context indicators are newer; use as a historical proxy, not a current market count.</x:v>
      </x:c>
    </x:row>
    <x:row r="1272">
      <x:c r="A1272" s="12" t="str">
        <x:v>3290</x:v>
      </x:c>
      <x:c r="B1272" s="12" t="str">
        <x:v>Other manufacturing n.e.c.</x:v>
      </x:c>
      <x:c r="C1272" s="12" t="str">
        <x:v>معان</x:v>
      </x:c>
      <x:c r="D1272" s="14" t="n">
        <x:v>0</x:v>
      </x:c>
      <x:c r="E1272" s="14" t="n">
        <x:f>VLOOKUP(C1272,'Governorate Master'!$A$2:$Q$13,3,FALSE)</x:f>
        <x:v>197900</x:v>
      </x:c>
      <x:c r="F1272" s="66" t="n">
        <x:f>IF(E1272=0,0,D1272/E1272*10000)</x:f>
        <x:v>0</x:v>
      </x:c>
      <x:c r="G1272" s="67" t="n">
        <x:f>VLOOKUP(C1272,'Governorate Master'!$A$2:$Q$13,7,FALSE)</x:f>
        <x:v>6</x:v>
      </x:c>
      <x:c r="H1272" s="20" t="n">
        <x:f>VLOOKUP(C1272,'Governorate Master'!$A$2:$Q$13,6,FALSE)</x:f>
        <x:v>0.5406771096513391</x:v>
      </x:c>
      <x:c r="I1272" s="20" t="n">
        <x:f>VLOOKUP(C1272,'Governorate Master'!$A$2:$Q$13,15,FALSE)</x:f>
        <x:v>0.026845637583892617</x:v>
      </x:c>
      <x:c r="J1272" s="12" t="str">
        <x:v>Location model input - competition/saturation context</x:v>
      </x:c>
      <x:c r="K1272" s="12" t="str">
        <x:v>Business count is from 2018 while population/context indicators are newer; use as a historical proxy, not a current market count.</x:v>
      </x:c>
    </x:row>
    <x:row r="1273">
      <x:c r="A1273" s="12" t="str">
        <x:v>3290</x:v>
      </x:c>
      <x:c r="B1273" s="12" t="str">
        <x:v>Other manufacturing n.e.c.</x:v>
      </x:c>
      <x:c r="C1273" s="12" t="str">
        <x:v>العقبة</x:v>
      </x:c>
      <x:c r="D1273" s="14" t="n">
        <x:v>1</x:v>
      </x:c>
      <x:c r="E1273" s="14" t="n">
        <x:f>VLOOKUP(C1273,'Governorate Master'!$A$2:$Q$13,3,FALSE)</x:f>
        <x:v>250900</x:v>
      </x:c>
      <x:c r="F1273" s="66" t="n">
        <x:f>IF(E1273=0,0,D1273/E1273*10000)</x:f>
        <x:v>0.03985651654045436</x:v>
      </x:c>
      <x:c r="G1273" s="67" t="n">
        <x:f>VLOOKUP(C1273,'Governorate Master'!$A$2:$Q$13,7,FALSE)</x:f>
        <x:v>36.3</x:v>
      </x:c>
      <x:c r="H1273" s="20" t="n">
        <x:f>VLOOKUP(C1273,'Governorate Master'!$A$2:$Q$13,6,FALSE)</x:f>
        <x:v>0.882024711040255</x:v>
      </x:c>
      <x:c r="I1273" s="20" t="n">
        <x:f>VLOOKUP(C1273,'Governorate Master'!$A$2:$Q$13,15,FALSE)</x:f>
        <x:v>-0.09</x:v>
      </x:c>
      <x:c r="J1273" s="12" t="str">
        <x:v>Location model input - competition/saturation context</x:v>
      </x:c>
      <x:c r="K1273" s="12" t="str">
        <x:v>Business count is from 2018 while population/context indicators are newer; use as a historical proxy, not a current market count.</x:v>
      </x:c>
    </x:row>
    <x:row r="1274">
      <x:c r="A1274" s="12" t="str">
        <x:v>3311</x:v>
      </x:c>
      <x:c r="B1274" s="12" t="str">
        <x:v>Repair of fabricated metal products</x:v>
      </x:c>
      <x:c r="C1274" s="12" t="str">
        <x:v>عمان</x:v>
      </x:c>
      <x:c r="D1274" s="14" t="n">
        <x:v>72</x:v>
      </x:c>
      <x:c r="E1274" s="14" t="n">
        <x:f>VLOOKUP(C1274,'Governorate Master'!$A$2:$Q$13,3,FALSE)</x:f>
        <x:v>5004600</x:v>
      </x:c>
      <x:c r="F1274" s="66" t="n">
        <x:f>IF(E1274=0,0,D1274/E1274*10000)</x:f>
        <x:v>0.143867641769572</x:v>
      </x:c>
      <x:c r="G1274" s="67" t="n">
        <x:f>VLOOKUP(C1274,'Governorate Master'!$A$2:$Q$13,7,FALSE)</x:f>
        <x:v>660.3</x:v>
      </x:c>
      <x:c r="H1274" s="20" t="n">
        <x:f>VLOOKUP(C1274,'Governorate Master'!$A$2:$Q$13,6,FALSE)</x:f>
        <x:v>0.9721656076409703</x:v>
      </x:c>
      <x:c r="I1274" s="20" t="n">
        <x:f>VLOOKUP(C1274,'Governorate Master'!$A$2:$Q$13,15,FALSE)</x:f>
        <x:v>0.06367041198501873</x:v>
      </x:c>
      <x:c r="J1274" s="12" t="str">
        <x:v>Location model input - competition/saturation context</x:v>
      </x:c>
      <x:c r="K1274" s="12" t="str">
        <x:v>Business count is from 2018 while population/context indicators are newer; use as a historical proxy, not a current market count.</x:v>
      </x:c>
    </x:row>
    <x:row r="1275">
      <x:c r="A1275" s="12" t="str">
        <x:v>3311</x:v>
      </x:c>
      <x:c r="B1275" s="12" t="str">
        <x:v>Repair of fabricated metal products</x:v>
      </x:c>
      <x:c r="C1275" s="12" t="str">
        <x:v>البلقاء</x:v>
      </x:c>
      <x:c r="D1275" s="14" t="n">
        <x:v>11</x:v>
      </x:c>
      <x:c r="E1275" s="14" t="n">
        <x:f>VLOOKUP(C1275,'Governorate Master'!$A$2:$Q$13,3,FALSE)</x:f>
        <x:v>614000</x:v>
      </x:c>
      <x:c r="F1275" s="66" t="n">
        <x:f>IF(E1275=0,0,D1275/E1275*10000)</x:f>
        <x:v>0.1791530944625407</x:v>
      </x:c>
      <x:c r="G1275" s="67" t="n">
        <x:f>VLOOKUP(C1275,'Governorate Master'!$A$2:$Q$13,7,FALSE)</x:f>
        <x:v>548</x:v>
      </x:c>
      <x:c r="H1275" s="20" t="n">
        <x:f>VLOOKUP(C1275,'Governorate Master'!$A$2:$Q$13,6,FALSE)</x:f>
        <x:v>0.8210097719869707</x:v>
      </x:c>
      <x:c r="I1275" s="20" t="n">
        <x:f>VLOOKUP(C1275,'Governorate Master'!$A$2:$Q$13,15,FALSE)</x:f>
        <x:v>0.10794044665012408</x:v>
      </x:c>
      <x:c r="J1275" s="12" t="str">
        <x:v>Location model input - competition/saturation context</x:v>
      </x:c>
      <x:c r="K1275" s="12" t="str">
        <x:v>Business count is from 2018 while population/context indicators are newer; use as a historical proxy, not a current market count.</x:v>
      </x:c>
    </x:row>
    <x:row r="1276">
      <x:c r="A1276" s="12" t="str">
        <x:v>3311</x:v>
      </x:c>
      <x:c r="B1276" s="12" t="str">
        <x:v>Repair of fabricated metal products</x:v>
      </x:c>
      <x:c r="C1276" s="12" t="str">
        <x:v>الزرقاء</x:v>
      </x:c>
      <x:c r="D1276" s="14" t="n">
        <x:v>35</x:v>
      </x:c>
      <x:c r="E1276" s="14" t="n">
        <x:f>VLOOKUP(C1276,'Governorate Master'!$A$2:$Q$13,3,FALSE)</x:f>
        <x:v>1704500</x:v>
      </x:c>
      <x:c r="F1276" s="66" t="n">
        <x:f>IF(E1276=0,0,D1276/E1276*10000)</x:f>
        <x:v>0.2053388090349076</x:v>
      </x:c>
      <x:c r="G1276" s="67" t="n">
        <x:f>VLOOKUP(C1276,'Governorate Master'!$A$2:$Q$13,7,FALSE)</x:f>
        <x:v>358</x:v>
      </x:c>
      <x:c r="H1276" s="20" t="n">
        <x:f>VLOOKUP(C1276,'Governorate Master'!$A$2:$Q$13,6,FALSE)</x:f>
        <x:v>0.9636256966852449</x:v>
      </x:c>
      <x:c r="I1276" s="20" t="n">
        <x:f>VLOOKUP(C1276,'Governorate Master'!$A$2:$Q$13,15,FALSE)</x:f>
        <x:v>-0.06808762581409118</x:v>
      </x:c>
      <x:c r="J1276" s="12" t="str">
        <x:v>Location model input - competition/saturation context</x:v>
      </x:c>
      <x:c r="K1276" s="12" t="str">
        <x:v>Business count is from 2018 while population/context indicators are newer; use as a historical proxy, not a current market count.</x:v>
      </x:c>
    </x:row>
    <x:row r="1277">
      <x:c r="A1277" s="12" t="str">
        <x:v>3311</x:v>
      </x:c>
      <x:c r="B1277" s="12" t="str">
        <x:v>Repair of fabricated metal products</x:v>
      </x:c>
      <x:c r="C1277" s="12" t="str">
        <x:v>مادبا</x:v>
      </x:c>
      <x:c r="D1277" s="14" t="n">
        <x:v>0</x:v>
      </x:c>
      <x:c r="E1277" s="14" t="n">
        <x:f>VLOOKUP(C1277,'Governorate Master'!$A$2:$Q$13,3,FALSE)</x:f>
        <x:v>236200</x:v>
      </x:c>
      <x:c r="F1277" s="66" t="n">
        <x:f>IF(E1277=0,0,D1277/E1277*10000)</x:f>
        <x:v>0</x:v>
      </x:c>
      <x:c r="G1277" s="67" t="n">
        <x:f>VLOOKUP(C1277,'Governorate Master'!$A$2:$Q$13,7,FALSE)</x:f>
        <x:v>251.4</x:v>
      </x:c>
      <x:c r="H1277" s="20" t="n">
        <x:f>VLOOKUP(C1277,'Governorate Master'!$A$2:$Q$13,6,FALSE)</x:f>
        <x:v>0.7823878069432684</x:v>
      </x:c>
      <x:c r="I1277" s="20" t="n">
        <x:f>VLOOKUP(C1277,'Governorate Master'!$A$2:$Q$13,15,FALSE)</x:f>
        <x:v>-0.18823529411764706</x:v>
      </x:c>
      <x:c r="J1277" s="12" t="str">
        <x:v>Location model input - competition/saturation context</x:v>
      </x:c>
      <x:c r="K1277" s="12" t="str">
        <x:v>Business count is from 2018 while population/context indicators are newer; use as a historical proxy, not a current market count.</x:v>
      </x:c>
    </x:row>
    <x:row r="1278">
      <x:c r="A1278" s="12" t="str">
        <x:v>3311</x:v>
      </x:c>
      <x:c r="B1278" s="12" t="str">
        <x:v>Repair of fabricated metal products</x:v>
      </x:c>
      <x:c r="C1278" s="12" t="str">
        <x:v>إربد</x:v>
      </x:c>
      <x:c r="D1278" s="14" t="n">
        <x:v>36</x:v>
      </x:c>
      <x:c r="E1278" s="14" t="n">
        <x:f>VLOOKUP(C1278,'Governorate Master'!$A$2:$Q$13,3,FALSE)</x:f>
        <x:v>2210500</x:v>
      </x:c>
      <x:c r="F1278" s="66" t="n">
        <x:f>IF(E1278=0,0,D1278/E1278*10000)</x:f>
        <x:v>0.162859081655734</x:v>
      </x:c>
      <x:c r="G1278" s="67" t="n">
        <x:f>VLOOKUP(C1278,'Governorate Master'!$A$2:$Q$13,7,FALSE)</x:f>
        <x:v>1406.4</x:v>
      </x:c>
      <x:c r="H1278" s="20" t="n">
        <x:f>VLOOKUP(C1278,'Governorate Master'!$A$2:$Q$13,6,FALSE)</x:f>
        <x:v>0.9235014702555983</x:v>
      </x:c>
      <x:c r="I1278" s="20" t="n">
        <x:f>VLOOKUP(C1278,'Governorate Master'!$A$2:$Q$13,15,FALSE)</x:f>
        <x:v>0.07086922474549726</x:v>
      </x:c>
      <x:c r="J1278" s="12" t="str">
        <x:v>Location model input - competition/saturation context</x:v>
      </x:c>
      <x:c r="K1278" s="12" t="str">
        <x:v>Business count is from 2018 while population/context indicators are newer; use as a historical proxy, not a current market count.</x:v>
      </x:c>
    </x:row>
    <x:row r="1279">
      <x:c r="A1279" s="12" t="str">
        <x:v>3311</x:v>
      </x:c>
      <x:c r="B1279" s="12" t="str">
        <x:v>Repair of fabricated metal products</x:v>
      </x:c>
      <x:c r="C1279" s="12" t="str">
        <x:v>المفرق</x:v>
      </x:c>
      <x:c r="D1279" s="14" t="n">
        <x:v>9</x:v>
      </x:c>
      <x:c r="E1279" s="14" t="n">
        <x:f>VLOOKUP(C1279,'Governorate Master'!$A$2:$Q$13,3,FALSE)</x:f>
        <x:v>686800</x:v>
      </x:c>
      <x:c r="F1279" s="66" t="n">
        <x:f>IF(E1279=0,0,D1279/E1279*10000)</x:f>
        <x:v>0.1310425160163075</x:v>
      </x:c>
      <x:c r="G1279" s="67" t="n">
        <x:f>VLOOKUP(C1279,'Governorate Master'!$A$2:$Q$13,7,FALSE)</x:f>
        <x:v>25.9</x:v>
      </x:c>
      <x:c r="H1279" s="20" t="n">
        <x:f>VLOOKUP(C1279,'Governorate Master'!$A$2:$Q$13,6,FALSE)</x:f>
        <x:v>0.6965637740244612</x:v>
      </x:c>
      <x:c r="I1279" s="20" t="n">
        <x:f>VLOOKUP(C1279,'Governorate Master'!$A$2:$Q$13,15,FALSE)</x:f>
        <x:v>-0.016638935108153077</x:v>
      </x:c>
      <x:c r="J1279" s="12" t="str">
        <x:v>Location model input - competition/saturation context</x:v>
      </x:c>
      <x:c r="K1279" s="12" t="str">
        <x:v>Business count is from 2018 while population/context indicators are newer; use as a historical proxy, not a current market count.</x:v>
      </x:c>
    </x:row>
    <x:row r="1280">
      <x:c r="A1280" s="12" t="str">
        <x:v>3311</x:v>
      </x:c>
      <x:c r="B1280" s="12" t="str">
        <x:v>Repair of fabricated metal products</x:v>
      </x:c>
      <x:c r="C1280" s="12" t="str">
        <x:v>جرش</x:v>
      </x:c>
      <x:c r="D1280" s="14" t="n">
        <x:v>10</x:v>
      </x:c>
      <x:c r="E1280" s="14" t="n">
        <x:f>VLOOKUP(C1280,'Governorate Master'!$A$2:$Q$13,3,FALSE)</x:f>
        <x:v>296000</x:v>
      </x:c>
      <x:c r="F1280" s="66" t="n">
        <x:f>IF(E1280=0,0,D1280/E1280*10000)</x:f>
        <x:v>0.33783783783783783</x:v>
      </x:c>
      <x:c r="G1280" s="67" t="n">
        <x:f>VLOOKUP(C1280,'Governorate Master'!$A$2:$Q$13,7,FALSE)</x:f>
        <x:v>722.3</x:v>
      </x:c>
      <x:c r="H1280" s="20" t="n">
        <x:f>VLOOKUP(C1280,'Governorate Master'!$A$2:$Q$13,6,FALSE)</x:f>
        <x:v>0.7695945945945946</x:v>
      </x:c>
      <x:c r="I1280" s="20" t="n">
        <x:f>VLOOKUP(C1280,'Governorate Master'!$A$2:$Q$13,15,FALSE)</x:f>
        <x:v>-0.06527415143603134</x:v>
      </x:c>
      <x:c r="J1280" s="12" t="str">
        <x:v>Location model input - competition/saturation context</x:v>
      </x:c>
      <x:c r="K1280" s="12" t="str">
        <x:v>Business count is from 2018 while population/context indicators are newer; use as a historical proxy, not a current market count.</x:v>
      </x:c>
    </x:row>
    <x:row r="1281">
      <x:c r="A1281" s="12" t="str">
        <x:v>3311</x:v>
      </x:c>
      <x:c r="B1281" s="12" t="str">
        <x:v>Repair of fabricated metal products</x:v>
      </x:c>
      <x:c r="C1281" s="12" t="str">
        <x:v>عجلون</x:v>
      </x:c>
      <x:c r="D1281" s="14" t="n">
        <x:v>3</x:v>
      </x:c>
      <x:c r="E1281" s="14" t="n">
        <x:f>VLOOKUP(C1281,'Governorate Master'!$A$2:$Q$13,3,FALSE)</x:f>
        <x:v>219900</x:v>
      </x:c>
      <x:c r="F1281" s="66" t="n">
        <x:f>IF(E1281=0,0,D1281/E1281*10000)</x:f>
        <x:v>0.1364256480218281</x:v>
      </x:c>
      <x:c r="G1281" s="67" t="n">
        <x:f>VLOOKUP(C1281,'Governorate Master'!$A$2:$Q$13,7,FALSE)</x:f>
        <x:v>524</x:v>
      </x:c>
      <x:c r="H1281" s="20" t="n">
        <x:f>VLOOKUP(C1281,'Governorate Master'!$A$2:$Q$13,6,FALSE)</x:f>
        <x:v>0.8390177353342428</x:v>
      </x:c>
      <x:c r="I1281" s="20" t="n">
        <x:f>VLOOKUP(C1281,'Governorate Master'!$A$2:$Q$13,15,FALSE)</x:f>
        <x:v>0.03614457831325301</x:v>
      </x:c>
      <x:c r="J1281" s="12" t="str">
        <x:v>Location model input - competition/saturation context</x:v>
      </x:c>
      <x:c r="K1281" s="12" t="str">
        <x:v>Business count is from 2018 while population/context indicators are newer; use as a historical proxy, not a current market count.</x:v>
      </x:c>
    </x:row>
    <x:row r="1282">
      <x:c r="A1282" s="12" t="str">
        <x:v>3311</x:v>
      </x:c>
      <x:c r="B1282" s="12" t="str">
        <x:v>Repair of fabricated metal products</x:v>
      </x:c>
      <x:c r="C1282" s="12" t="str">
        <x:v>الكرك</x:v>
      </x:c>
      <x:c r="D1282" s="14" t="n">
        <x:v>3</x:v>
      </x:c>
      <x:c r="E1282" s="14" t="n">
        <x:f>VLOOKUP(C1282,'Governorate Master'!$A$2:$Q$13,3,FALSE)</x:f>
        <x:v>395400</x:v>
      </x:c>
      <x:c r="F1282" s="66" t="n">
        <x:f>IF(E1282=0,0,D1282/E1282*10000)</x:f>
        <x:v>0.07587253414264036</x:v>
      </x:c>
      <x:c r="G1282" s="67" t="n">
        <x:f>VLOOKUP(C1282,'Governorate Master'!$A$2:$Q$13,7,FALSE)</x:f>
        <x:v>113.1</x:v>
      </x:c>
      <x:c r="H1282" s="20" t="n">
        <x:f>VLOOKUP(C1282,'Governorate Master'!$A$2:$Q$13,6,FALSE)</x:f>
        <x:v>0.5912999494183105</x:v>
      </x:c>
      <x:c r="I1282" s="20" t="n">
        <x:f>VLOOKUP(C1282,'Governorate Master'!$A$2:$Q$13,15,FALSE)</x:f>
        <x:v>0.08710801393728224</x:v>
      </x:c>
      <x:c r="J1282" s="12" t="str">
        <x:v>Location model input - competition/saturation context</x:v>
      </x:c>
      <x:c r="K1282" s="12" t="str">
        <x:v>Business count is from 2018 while population/context indicators are newer; use as a historical proxy, not a current market count.</x:v>
      </x:c>
    </x:row>
    <x:row r="1283">
      <x:c r="A1283" s="12" t="str">
        <x:v>3311</x:v>
      </x:c>
      <x:c r="B1283" s="12" t="str">
        <x:v>Repair of fabricated metal products</x:v>
      </x:c>
      <x:c r="C1283" s="12" t="str">
        <x:v>الطفيلة</x:v>
      </x:c>
      <x:c r="D1283" s="14" t="n">
        <x:v>1</x:v>
      </x:c>
      <x:c r="E1283" s="14" t="n">
        <x:f>VLOOKUP(C1283,'Governorate Master'!$A$2:$Q$13,3,FALSE)</x:f>
        <x:v>120300</x:v>
      </x:c>
      <x:c r="F1283" s="66" t="n">
        <x:f>IF(E1283=0,0,D1283/E1283*10000)</x:f>
        <x:v>0.0831255195344971</x:v>
      </x:c>
      <x:c r="G1283" s="67" t="n">
        <x:f>VLOOKUP(C1283,'Governorate Master'!$A$2:$Q$13,7,FALSE)</x:f>
        <x:v>54.4</x:v>
      </x:c>
      <x:c r="H1283" s="20" t="n">
        <x:f>VLOOKUP(C1283,'Governorate Master'!$A$2:$Q$13,6,FALSE)</x:f>
        <x:v>0.7797173732335827</x:v>
      </x:c>
      <x:c r="I1283" s="20" t="n">
        <x:f>VLOOKUP(C1283,'Governorate Master'!$A$2:$Q$13,15,FALSE)</x:f>
        <x:v>0.18452380952380953</x:v>
      </x:c>
      <x:c r="J1283" s="12" t="str">
        <x:v>Location model input - competition/saturation context</x:v>
      </x:c>
      <x:c r="K1283" s="12" t="str">
        <x:v>Business count is from 2018 while population/context indicators are newer; use as a historical proxy, not a current market count.</x:v>
      </x:c>
    </x:row>
    <x:row r="1284">
      <x:c r="A1284" s="12" t="str">
        <x:v>3311</x:v>
      </x:c>
      <x:c r="B1284" s="12" t="str">
        <x:v>Repair of fabricated metal products</x:v>
      </x:c>
      <x:c r="C1284" s="12" t="str">
        <x:v>معان</x:v>
      </x:c>
      <x:c r="D1284" s="14" t="n">
        <x:v>1</x:v>
      </x:c>
      <x:c r="E1284" s="14" t="n">
        <x:f>VLOOKUP(C1284,'Governorate Master'!$A$2:$Q$13,3,FALSE)</x:f>
        <x:v>197900</x:v>
      </x:c>
      <x:c r="F1284" s="66" t="n">
        <x:f>IF(E1284=0,0,D1284/E1284*10000)</x:f>
        <x:v>0.05053057099545225</x:v>
      </x:c>
      <x:c r="G1284" s="67" t="n">
        <x:f>VLOOKUP(C1284,'Governorate Master'!$A$2:$Q$13,7,FALSE)</x:f>
        <x:v>6</x:v>
      </x:c>
      <x:c r="H1284" s="20" t="n">
        <x:f>VLOOKUP(C1284,'Governorate Master'!$A$2:$Q$13,6,FALSE)</x:f>
        <x:v>0.5406771096513391</x:v>
      </x:c>
      <x:c r="I1284" s="20" t="n">
        <x:f>VLOOKUP(C1284,'Governorate Master'!$A$2:$Q$13,15,FALSE)</x:f>
        <x:v>0.026845637583892617</x:v>
      </x:c>
      <x:c r="J1284" s="12" t="str">
        <x:v>Location model input - competition/saturation context</x:v>
      </x:c>
      <x:c r="K1284" s="12" t="str">
        <x:v>Business count is from 2018 while population/context indicators are newer; use as a historical proxy, not a current market count.</x:v>
      </x:c>
    </x:row>
    <x:row r="1285">
      <x:c r="A1285" s="12" t="str">
        <x:v>3311</x:v>
      </x:c>
      <x:c r="B1285" s="12" t="str">
        <x:v>Repair of fabricated metal products</x:v>
      </x:c>
      <x:c r="C1285" s="12" t="str">
        <x:v>العقبة</x:v>
      </x:c>
      <x:c r="D1285" s="14" t="n">
        <x:v>3</x:v>
      </x:c>
      <x:c r="E1285" s="14" t="n">
        <x:f>VLOOKUP(C1285,'Governorate Master'!$A$2:$Q$13,3,FALSE)</x:f>
        <x:v>250900</x:v>
      </x:c>
      <x:c r="F1285" s="66" t="n">
        <x:f>IF(E1285=0,0,D1285/E1285*10000)</x:f>
        <x:v>0.11956954962136308</x:v>
      </x:c>
      <x:c r="G1285" s="67" t="n">
        <x:f>VLOOKUP(C1285,'Governorate Master'!$A$2:$Q$13,7,FALSE)</x:f>
        <x:v>36.3</x:v>
      </x:c>
      <x:c r="H1285" s="20" t="n">
        <x:f>VLOOKUP(C1285,'Governorate Master'!$A$2:$Q$13,6,FALSE)</x:f>
        <x:v>0.882024711040255</x:v>
      </x:c>
      <x:c r="I1285" s="20" t="n">
        <x:f>VLOOKUP(C1285,'Governorate Master'!$A$2:$Q$13,15,FALSE)</x:f>
        <x:v>-0.09</x:v>
      </x:c>
      <x:c r="J1285" s="12" t="str">
        <x:v>Location model input - competition/saturation context</x:v>
      </x:c>
      <x:c r="K1285" s="12" t="str">
        <x:v>Business count is from 2018 while population/context indicators are newer; use as a historical proxy, not a current market count.</x:v>
      </x:c>
    </x:row>
    <x:row r="1286">
      <x:c r="A1286" s="12" t="str">
        <x:v>3312</x:v>
      </x:c>
      <x:c r="B1286" s="12" t="str">
        <x:v>Repair of machinery</x:v>
      </x:c>
      <x:c r="C1286" s="12" t="str">
        <x:v>عمان</x:v>
      </x:c>
      <x:c r="D1286" s="14" t="n">
        <x:v>215</x:v>
      </x:c>
      <x:c r="E1286" s="14" t="n">
        <x:f>VLOOKUP(C1286,'Governorate Master'!$A$2:$Q$13,3,FALSE)</x:f>
        <x:v>5004600</x:v>
      </x:c>
      <x:c r="F1286" s="66" t="n">
        <x:f>IF(E1286=0,0,D1286/E1286*10000)</x:f>
        <x:v>0.4296047636174719</x:v>
      </x:c>
      <x:c r="G1286" s="67" t="n">
        <x:f>VLOOKUP(C1286,'Governorate Master'!$A$2:$Q$13,7,FALSE)</x:f>
        <x:v>660.3</x:v>
      </x:c>
      <x:c r="H1286" s="20" t="n">
        <x:f>VLOOKUP(C1286,'Governorate Master'!$A$2:$Q$13,6,FALSE)</x:f>
        <x:v>0.9721656076409703</x:v>
      </x:c>
      <x:c r="I1286" s="20" t="n">
        <x:f>VLOOKUP(C1286,'Governorate Master'!$A$2:$Q$13,15,FALSE)</x:f>
        <x:v>0.06367041198501873</x:v>
      </x:c>
      <x:c r="J1286" s="12" t="str">
        <x:v>Location model input - competition/saturation context</x:v>
      </x:c>
      <x:c r="K1286" s="12" t="str">
        <x:v>Business count is from 2018 while population/context indicators are newer; use as a historical proxy, not a current market count.</x:v>
      </x:c>
    </x:row>
    <x:row r="1287">
      <x:c r="A1287" s="12" t="str">
        <x:v>3312</x:v>
      </x:c>
      <x:c r="B1287" s="12" t="str">
        <x:v>Repair of machinery</x:v>
      </x:c>
      <x:c r="C1287" s="12" t="str">
        <x:v>البلقاء</x:v>
      </x:c>
      <x:c r="D1287" s="14" t="n">
        <x:v>16</x:v>
      </x:c>
      <x:c r="E1287" s="14" t="n">
        <x:f>VLOOKUP(C1287,'Governorate Master'!$A$2:$Q$13,3,FALSE)</x:f>
        <x:v>614000</x:v>
      </x:c>
      <x:c r="F1287" s="66" t="n">
        <x:f>IF(E1287=0,0,D1287/E1287*10000)</x:f>
        <x:v>0.26058631921824105</x:v>
      </x:c>
      <x:c r="G1287" s="67" t="n">
        <x:f>VLOOKUP(C1287,'Governorate Master'!$A$2:$Q$13,7,FALSE)</x:f>
        <x:v>548</x:v>
      </x:c>
      <x:c r="H1287" s="20" t="n">
        <x:f>VLOOKUP(C1287,'Governorate Master'!$A$2:$Q$13,6,FALSE)</x:f>
        <x:v>0.8210097719869707</x:v>
      </x:c>
      <x:c r="I1287" s="20" t="n">
        <x:f>VLOOKUP(C1287,'Governorate Master'!$A$2:$Q$13,15,FALSE)</x:f>
        <x:v>0.10794044665012408</x:v>
      </x:c>
      <x:c r="J1287" s="12" t="str">
        <x:v>Location model input - competition/saturation context</x:v>
      </x:c>
      <x:c r="K1287" s="12" t="str">
        <x:v>Business count is from 2018 while population/context indicators are newer; use as a historical proxy, not a current market count.</x:v>
      </x:c>
    </x:row>
    <x:row r="1288">
      <x:c r="A1288" s="12" t="str">
        <x:v>3312</x:v>
      </x:c>
      <x:c r="B1288" s="12" t="str">
        <x:v>Repair of machinery</x:v>
      </x:c>
      <x:c r="C1288" s="12" t="str">
        <x:v>الزرقاء</x:v>
      </x:c>
      <x:c r="D1288" s="14" t="n">
        <x:v>40</x:v>
      </x:c>
      <x:c r="E1288" s="14" t="n">
        <x:f>VLOOKUP(C1288,'Governorate Master'!$A$2:$Q$13,3,FALSE)</x:f>
        <x:v>1704500</x:v>
      </x:c>
      <x:c r="F1288" s="66" t="n">
        <x:f>IF(E1288=0,0,D1288/E1288*10000)</x:f>
        <x:v>0.234672924611323</x:v>
      </x:c>
      <x:c r="G1288" s="67" t="n">
        <x:f>VLOOKUP(C1288,'Governorate Master'!$A$2:$Q$13,7,FALSE)</x:f>
        <x:v>358</x:v>
      </x:c>
      <x:c r="H1288" s="20" t="n">
        <x:f>VLOOKUP(C1288,'Governorate Master'!$A$2:$Q$13,6,FALSE)</x:f>
        <x:v>0.9636256966852449</x:v>
      </x:c>
      <x:c r="I1288" s="20" t="n">
        <x:f>VLOOKUP(C1288,'Governorate Master'!$A$2:$Q$13,15,FALSE)</x:f>
        <x:v>-0.06808762581409118</x:v>
      </x:c>
      <x:c r="J1288" s="12" t="str">
        <x:v>Location model input - competition/saturation context</x:v>
      </x:c>
      <x:c r="K1288" s="12" t="str">
        <x:v>Business count is from 2018 while population/context indicators are newer; use as a historical proxy, not a current market count.</x:v>
      </x:c>
    </x:row>
    <x:row r="1289">
      <x:c r="A1289" s="12" t="str">
        <x:v>3312</x:v>
      </x:c>
      <x:c r="B1289" s="12" t="str">
        <x:v>Repair of machinery</x:v>
      </x:c>
      <x:c r="C1289" s="12" t="str">
        <x:v>مادبا</x:v>
      </x:c>
      <x:c r="D1289" s="14" t="n">
        <x:v>1</x:v>
      </x:c>
      <x:c r="E1289" s="14" t="n">
        <x:f>VLOOKUP(C1289,'Governorate Master'!$A$2:$Q$13,3,FALSE)</x:f>
        <x:v>236200</x:v>
      </x:c>
      <x:c r="F1289" s="66" t="n">
        <x:f>IF(E1289=0,0,D1289/E1289*10000)</x:f>
        <x:v>0.04233700254022015</x:v>
      </x:c>
      <x:c r="G1289" s="67" t="n">
        <x:f>VLOOKUP(C1289,'Governorate Master'!$A$2:$Q$13,7,FALSE)</x:f>
        <x:v>251.4</x:v>
      </x:c>
      <x:c r="H1289" s="20" t="n">
        <x:f>VLOOKUP(C1289,'Governorate Master'!$A$2:$Q$13,6,FALSE)</x:f>
        <x:v>0.7823878069432684</x:v>
      </x:c>
      <x:c r="I1289" s="20" t="n">
        <x:f>VLOOKUP(C1289,'Governorate Master'!$A$2:$Q$13,15,FALSE)</x:f>
        <x:v>-0.18823529411764706</x:v>
      </x:c>
      <x:c r="J1289" s="12" t="str">
        <x:v>Location model input - competition/saturation context</x:v>
      </x:c>
      <x:c r="K1289" s="12" t="str">
        <x:v>Business count is from 2018 while population/context indicators are newer; use as a historical proxy, not a current market count.</x:v>
      </x:c>
    </x:row>
    <x:row r="1290">
      <x:c r="A1290" s="12" t="str">
        <x:v>3312</x:v>
      </x:c>
      <x:c r="B1290" s="12" t="str">
        <x:v>Repair of machinery</x:v>
      </x:c>
      <x:c r="C1290" s="12" t="str">
        <x:v>إربد</x:v>
      </x:c>
      <x:c r="D1290" s="14" t="n">
        <x:v>15</x:v>
      </x:c>
      <x:c r="E1290" s="14" t="n">
        <x:f>VLOOKUP(C1290,'Governorate Master'!$A$2:$Q$13,3,FALSE)</x:f>
        <x:v>2210500</x:v>
      </x:c>
      <x:c r="F1290" s="66" t="n">
        <x:f>IF(E1290=0,0,D1290/E1290*10000)</x:f>
        <x:v>0.06785795068988917</x:v>
      </x:c>
      <x:c r="G1290" s="67" t="n">
        <x:f>VLOOKUP(C1290,'Governorate Master'!$A$2:$Q$13,7,FALSE)</x:f>
        <x:v>1406.4</x:v>
      </x:c>
      <x:c r="H1290" s="20" t="n">
        <x:f>VLOOKUP(C1290,'Governorate Master'!$A$2:$Q$13,6,FALSE)</x:f>
        <x:v>0.9235014702555983</x:v>
      </x:c>
      <x:c r="I1290" s="20" t="n">
        <x:f>VLOOKUP(C1290,'Governorate Master'!$A$2:$Q$13,15,FALSE)</x:f>
        <x:v>0.07086922474549726</x:v>
      </x:c>
      <x:c r="J1290" s="12" t="str">
        <x:v>Location model input - competition/saturation context</x:v>
      </x:c>
      <x:c r="K1290" s="12" t="str">
        <x:v>Business count is from 2018 while population/context indicators are newer; use as a historical proxy, not a current market count.</x:v>
      </x:c>
    </x:row>
    <x:row r="1291">
      <x:c r="A1291" s="12" t="str">
        <x:v>3312</x:v>
      </x:c>
      <x:c r="B1291" s="12" t="str">
        <x:v>Repair of machinery</x:v>
      </x:c>
      <x:c r="C1291" s="12" t="str">
        <x:v>المفرق</x:v>
      </x:c>
      <x:c r="D1291" s="14" t="n">
        <x:v>1</x:v>
      </x:c>
      <x:c r="E1291" s="14" t="n">
        <x:f>VLOOKUP(C1291,'Governorate Master'!$A$2:$Q$13,3,FALSE)</x:f>
        <x:v>686800</x:v>
      </x:c>
      <x:c r="F1291" s="66" t="n">
        <x:f>IF(E1291=0,0,D1291/E1291*10000)</x:f>
        <x:v>0.014560279557367502</x:v>
      </x:c>
      <x:c r="G1291" s="67" t="n">
        <x:f>VLOOKUP(C1291,'Governorate Master'!$A$2:$Q$13,7,FALSE)</x:f>
        <x:v>25.9</x:v>
      </x:c>
      <x:c r="H1291" s="20" t="n">
        <x:f>VLOOKUP(C1291,'Governorate Master'!$A$2:$Q$13,6,FALSE)</x:f>
        <x:v>0.6965637740244612</x:v>
      </x:c>
      <x:c r="I1291" s="20" t="n">
        <x:f>VLOOKUP(C1291,'Governorate Master'!$A$2:$Q$13,15,FALSE)</x:f>
        <x:v>-0.016638935108153077</x:v>
      </x:c>
      <x:c r="J1291" s="12" t="str">
        <x:v>Location model input - competition/saturation context</x:v>
      </x:c>
      <x:c r="K1291" s="12" t="str">
        <x:v>Business count is from 2018 while population/context indicators are newer; use as a historical proxy, not a current market count.</x:v>
      </x:c>
    </x:row>
    <x:row r="1292">
      <x:c r="A1292" s="12" t="str">
        <x:v>3312</x:v>
      </x:c>
      <x:c r="B1292" s="12" t="str">
        <x:v>Repair of machinery</x:v>
      </x:c>
      <x:c r="C1292" s="12" t="str">
        <x:v>جرش</x:v>
      </x:c>
      <x:c r="D1292" s="14" t="n">
        <x:v>1</x:v>
      </x:c>
      <x:c r="E1292" s="14" t="n">
        <x:f>VLOOKUP(C1292,'Governorate Master'!$A$2:$Q$13,3,FALSE)</x:f>
        <x:v>296000</x:v>
      </x:c>
      <x:c r="F1292" s="66" t="n">
        <x:f>IF(E1292=0,0,D1292/E1292*10000)</x:f>
        <x:v>0.033783783783783786</x:v>
      </x:c>
      <x:c r="G1292" s="67" t="n">
        <x:f>VLOOKUP(C1292,'Governorate Master'!$A$2:$Q$13,7,FALSE)</x:f>
        <x:v>722.3</x:v>
      </x:c>
      <x:c r="H1292" s="20" t="n">
        <x:f>VLOOKUP(C1292,'Governorate Master'!$A$2:$Q$13,6,FALSE)</x:f>
        <x:v>0.7695945945945946</x:v>
      </x:c>
      <x:c r="I1292" s="20" t="n">
        <x:f>VLOOKUP(C1292,'Governorate Master'!$A$2:$Q$13,15,FALSE)</x:f>
        <x:v>-0.06527415143603134</x:v>
      </x:c>
      <x:c r="J1292" s="12" t="str">
        <x:v>Location model input - competition/saturation context</x:v>
      </x:c>
      <x:c r="K1292" s="12" t="str">
        <x:v>Business count is from 2018 while population/context indicators are newer; use as a historical proxy, not a current market count.</x:v>
      </x:c>
    </x:row>
    <x:row r="1293">
      <x:c r="A1293" s="12" t="str">
        <x:v>3312</x:v>
      </x:c>
      <x:c r="B1293" s="12" t="str">
        <x:v>Repair of machinery</x:v>
      </x:c>
      <x:c r="C1293" s="12" t="str">
        <x:v>عجلون</x:v>
      </x:c>
      <x:c r="D1293" s="14" t="n">
        <x:v>4</x:v>
      </x:c>
      <x:c r="E1293" s="14" t="n">
        <x:f>VLOOKUP(C1293,'Governorate Master'!$A$2:$Q$13,3,FALSE)</x:f>
        <x:v>219900</x:v>
      </x:c>
      <x:c r="F1293" s="66" t="n">
        <x:f>IF(E1293=0,0,D1293/E1293*10000)</x:f>
        <x:v>0.18190086402910413</x:v>
      </x:c>
      <x:c r="G1293" s="67" t="n">
        <x:f>VLOOKUP(C1293,'Governorate Master'!$A$2:$Q$13,7,FALSE)</x:f>
        <x:v>524</x:v>
      </x:c>
      <x:c r="H1293" s="20" t="n">
        <x:f>VLOOKUP(C1293,'Governorate Master'!$A$2:$Q$13,6,FALSE)</x:f>
        <x:v>0.8390177353342428</x:v>
      </x:c>
      <x:c r="I1293" s="20" t="n">
        <x:f>VLOOKUP(C1293,'Governorate Master'!$A$2:$Q$13,15,FALSE)</x:f>
        <x:v>0.03614457831325301</x:v>
      </x:c>
      <x:c r="J1293" s="12" t="str">
        <x:v>Location model input - competition/saturation context</x:v>
      </x:c>
      <x:c r="K1293" s="12" t="str">
        <x:v>Business count is from 2018 while population/context indicators are newer; use as a historical proxy, not a current market count.</x:v>
      </x:c>
    </x:row>
    <x:row r="1294">
      <x:c r="A1294" s="12" t="str">
        <x:v>3312</x:v>
      </x:c>
      <x:c r="B1294" s="12" t="str">
        <x:v>Repair of machinery</x:v>
      </x:c>
      <x:c r="C1294" s="12" t="str">
        <x:v>الكرك</x:v>
      </x:c>
      <x:c r="D1294" s="14" t="n">
        <x:v>5</x:v>
      </x:c>
      <x:c r="E1294" s="14" t="n">
        <x:f>VLOOKUP(C1294,'Governorate Master'!$A$2:$Q$13,3,FALSE)</x:f>
        <x:v>395400</x:v>
      </x:c>
      <x:c r="F1294" s="66" t="n">
        <x:f>IF(E1294=0,0,D1294/E1294*10000)</x:f>
        <x:v>0.12645422357106728</x:v>
      </x:c>
      <x:c r="G1294" s="67" t="n">
        <x:f>VLOOKUP(C1294,'Governorate Master'!$A$2:$Q$13,7,FALSE)</x:f>
        <x:v>113.1</x:v>
      </x:c>
      <x:c r="H1294" s="20" t="n">
        <x:f>VLOOKUP(C1294,'Governorate Master'!$A$2:$Q$13,6,FALSE)</x:f>
        <x:v>0.5912999494183105</x:v>
      </x:c>
      <x:c r="I1294" s="20" t="n">
        <x:f>VLOOKUP(C1294,'Governorate Master'!$A$2:$Q$13,15,FALSE)</x:f>
        <x:v>0.08710801393728224</x:v>
      </x:c>
      <x:c r="J1294" s="12" t="str">
        <x:v>Location model input - competition/saturation context</x:v>
      </x:c>
      <x:c r="K1294" s="12" t="str">
        <x:v>Business count is from 2018 while population/context indicators are newer; use as a historical proxy, not a current market count.</x:v>
      </x:c>
    </x:row>
    <x:row r="1295">
      <x:c r="A1295" s="12" t="str">
        <x:v>3312</x:v>
      </x:c>
      <x:c r="B1295" s="12" t="str">
        <x:v>Repair of machinery</x:v>
      </x:c>
      <x:c r="C1295" s="12" t="str">
        <x:v>الطفيلة</x:v>
      </x:c>
      <x:c r="D1295" s="14" t="n">
        <x:v>1</x:v>
      </x:c>
      <x:c r="E1295" s="14" t="n">
        <x:f>VLOOKUP(C1295,'Governorate Master'!$A$2:$Q$13,3,FALSE)</x:f>
        <x:v>120300</x:v>
      </x:c>
      <x:c r="F1295" s="66" t="n">
        <x:f>IF(E1295=0,0,D1295/E1295*10000)</x:f>
        <x:v>0.0831255195344971</x:v>
      </x:c>
      <x:c r="G1295" s="67" t="n">
        <x:f>VLOOKUP(C1295,'Governorate Master'!$A$2:$Q$13,7,FALSE)</x:f>
        <x:v>54.4</x:v>
      </x:c>
      <x:c r="H1295" s="20" t="n">
        <x:f>VLOOKUP(C1295,'Governorate Master'!$A$2:$Q$13,6,FALSE)</x:f>
        <x:v>0.7797173732335827</x:v>
      </x:c>
      <x:c r="I1295" s="20" t="n">
        <x:f>VLOOKUP(C1295,'Governorate Master'!$A$2:$Q$13,15,FALSE)</x:f>
        <x:v>0.18452380952380953</x:v>
      </x:c>
      <x:c r="J1295" s="12" t="str">
        <x:v>Location model input - competition/saturation context</x:v>
      </x:c>
      <x:c r="K1295" s="12" t="str">
        <x:v>Business count is from 2018 while population/context indicators are newer; use as a historical proxy, not a current market count.</x:v>
      </x:c>
    </x:row>
    <x:row r="1296">
      <x:c r="A1296" s="12" t="str">
        <x:v>3312</x:v>
      </x:c>
      <x:c r="B1296" s="12" t="str">
        <x:v>Repair of machinery</x:v>
      </x:c>
      <x:c r="C1296" s="12" t="str">
        <x:v>معان</x:v>
      </x:c>
      <x:c r="D1296" s="14" t="n">
        <x:v>1</x:v>
      </x:c>
      <x:c r="E1296" s="14" t="n">
        <x:f>VLOOKUP(C1296,'Governorate Master'!$A$2:$Q$13,3,FALSE)</x:f>
        <x:v>197900</x:v>
      </x:c>
      <x:c r="F1296" s="66" t="n">
        <x:f>IF(E1296=0,0,D1296/E1296*10000)</x:f>
        <x:v>0.05053057099545225</x:v>
      </x:c>
      <x:c r="G1296" s="67" t="n">
        <x:f>VLOOKUP(C1296,'Governorate Master'!$A$2:$Q$13,7,FALSE)</x:f>
        <x:v>6</x:v>
      </x:c>
      <x:c r="H1296" s="20" t="n">
        <x:f>VLOOKUP(C1296,'Governorate Master'!$A$2:$Q$13,6,FALSE)</x:f>
        <x:v>0.5406771096513391</x:v>
      </x:c>
      <x:c r="I1296" s="20" t="n">
        <x:f>VLOOKUP(C1296,'Governorate Master'!$A$2:$Q$13,15,FALSE)</x:f>
        <x:v>0.026845637583892617</x:v>
      </x:c>
      <x:c r="J1296" s="12" t="str">
        <x:v>Location model input - competition/saturation context</x:v>
      </x:c>
      <x:c r="K1296" s="12" t="str">
        <x:v>Business count is from 2018 while population/context indicators are newer; use as a historical proxy, not a current market count.</x:v>
      </x:c>
    </x:row>
    <x:row r="1297">
      <x:c r="A1297" s="12" t="str">
        <x:v>3312</x:v>
      </x:c>
      <x:c r="B1297" s="12" t="str">
        <x:v>Repair of machinery</x:v>
      </x:c>
      <x:c r="C1297" s="12" t="str">
        <x:v>العقبة</x:v>
      </x:c>
      <x:c r="D1297" s="14" t="n">
        <x:v>8</x:v>
      </x:c>
      <x:c r="E1297" s="14" t="n">
        <x:f>VLOOKUP(C1297,'Governorate Master'!$A$2:$Q$13,3,FALSE)</x:f>
        <x:v>250900</x:v>
      </x:c>
      <x:c r="F1297" s="66" t="n">
        <x:f>IF(E1297=0,0,D1297/E1297*10000)</x:f>
        <x:v>0.3188521323236349</x:v>
      </x:c>
      <x:c r="G1297" s="67" t="n">
        <x:f>VLOOKUP(C1297,'Governorate Master'!$A$2:$Q$13,7,FALSE)</x:f>
        <x:v>36.3</x:v>
      </x:c>
      <x:c r="H1297" s="20" t="n">
        <x:f>VLOOKUP(C1297,'Governorate Master'!$A$2:$Q$13,6,FALSE)</x:f>
        <x:v>0.882024711040255</x:v>
      </x:c>
      <x:c r="I1297" s="20" t="n">
        <x:f>VLOOKUP(C1297,'Governorate Master'!$A$2:$Q$13,15,FALSE)</x:f>
        <x:v>-0.09</x:v>
      </x:c>
      <x:c r="J1297" s="12" t="str">
        <x:v>Location model input - competition/saturation context</x:v>
      </x:c>
      <x:c r="K1297" s="12" t="str">
        <x:v>Business count is from 2018 while population/context indicators are newer; use as a historical proxy, not a current market count.</x:v>
      </x:c>
    </x:row>
    <x:row r="1298">
      <x:c r="A1298" s="12" t="str">
        <x:v>3313</x:v>
      </x:c>
      <x:c r="B1298" s="12" t="str">
        <x:v>Repair of electronic and optical equipment</x:v>
      </x:c>
      <x:c r="C1298" s="12" t="str">
        <x:v>عمان</x:v>
      </x:c>
      <x:c r="D1298" s="14" t="n">
        <x:v>2</x:v>
      </x:c>
      <x:c r="E1298" s="14" t="n">
        <x:f>VLOOKUP(C1298,'Governorate Master'!$A$2:$Q$13,3,FALSE)</x:f>
        <x:v>5004600</x:v>
      </x:c>
      <x:c r="F1298" s="66" t="n">
        <x:f>IF(E1298=0,0,D1298/E1298*10000)</x:f>
        <x:v>0.003996323382488111</x:v>
      </x:c>
      <x:c r="G1298" s="67" t="n">
        <x:f>VLOOKUP(C1298,'Governorate Master'!$A$2:$Q$13,7,FALSE)</x:f>
        <x:v>660.3</x:v>
      </x:c>
      <x:c r="H1298" s="20" t="n">
        <x:f>VLOOKUP(C1298,'Governorate Master'!$A$2:$Q$13,6,FALSE)</x:f>
        <x:v>0.9721656076409703</x:v>
      </x:c>
      <x:c r="I1298" s="20" t="n">
        <x:f>VLOOKUP(C1298,'Governorate Master'!$A$2:$Q$13,15,FALSE)</x:f>
        <x:v>0.06367041198501873</x:v>
      </x:c>
      <x:c r="J1298" s="12" t="str">
        <x:v>Location model input - competition/saturation context</x:v>
      </x:c>
      <x:c r="K1298" s="12" t="str">
        <x:v>Business count is from 2018 while population/context indicators are newer; use as a historical proxy, not a current market count.</x:v>
      </x:c>
    </x:row>
    <x:row r="1299">
      <x:c r="A1299" s="12" t="str">
        <x:v>3313</x:v>
      </x:c>
      <x:c r="B1299" s="12" t="str">
        <x:v>Repair of electronic and optical equipment</x:v>
      </x:c>
      <x:c r="C1299" s="12" t="str">
        <x:v>البلقاء</x:v>
      </x:c>
      <x:c r="D1299" s="14" t="n">
        <x:v>0</x:v>
      </x:c>
      <x:c r="E1299" s="14" t="n">
        <x:f>VLOOKUP(C1299,'Governorate Master'!$A$2:$Q$13,3,FALSE)</x:f>
        <x:v>614000</x:v>
      </x:c>
      <x:c r="F1299" s="66" t="n">
        <x:f>IF(E1299=0,0,D1299/E1299*10000)</x:f>
        <x:v>0</x:v>
      </x:c>
      <x:c r="G1299" s="67" t="n">
        <x:f>VLOOKUP(C1299,'Governorate Master'!$A$2:$Q$13,7,FALSE)</x:f>
        <x:v>548</x:v>
      </x:c>
      <x:c r="H1299" s="20" t="n">
        <x:f>VLOOKUP(C1299,'Governorate Master'!$A$2:$Q$13,6,FALSE)</x:f>
        <x:v>0.8210097719869707</x:v>
      </x:c>
      <x:c r="I1299" s="20" t="n">
        <x:f>VLOOKUP(C1299,'Governorate Master'!$A$2:$Q$13,15,FALSE)</x:f>
        <x:v>0.10794044665012408</x:v>
      </x:c>
      <x:c r="J1299" s="12" t="str">
        <x:v>Location model input - competition/saturation context</x:v>
      </x:c>
      <x:c r="K1299" s="12" t="str">
        <x:v>Business count is from 2018 while population/context indicators are newer; use as a historical proxy, not a current market count.</x:v>
      </x:c>
    </x:row>
    <x:row r="1300">
      <x:c r="A1300" s="12" t="str">
        <x:v>3313</x:v>
      </x:c>
      <x:c r="B1300" s="12" t="str">
        <x:v>Repair of electronic and optical equipment</x:v>
      </x:c>
      <x:c r="C1300" s="12" t="str">
        <x:v>الزرقاء</x:v>
      </x:c>
      <x:c r="D1300" s="14" t="n">
        <x:v>2</x:v>
      </x:c>
      <x:c r="E1300" s="14" t="n">
        <x:f>VLOOKUP(C1300,'Governorate Master'!$A$2:$Q$13,3,FALSE)</x:f>
        <x:v>1704500</x:v>
      </x:c>
      <x:c r="F1300" s="66" t="n">
        <x:f>IF(E1300=0,0,D1300/E1300*10000)</x:f>
        <x:v>0.011733646230566148</x:v>
      </x:c>
      <x:c r="G1300" s="67" t="n">
        <x:f>VLOOKUP(C1300,'Governorate Master'!$A$2:$Q$13,7,FALSE)</x:f>
        <x:v>358</x:v>
      </x:c>
      <x:c r="H1300" s="20" t="n">
        <x:f>VLOOKUP(C1300,'Governorate Master'!$A$2:$Q$13,6,FALSE)</x:f>
        <x:v>0.9636256966852449</x:v>
      </x:c>
      <x:c r="I1300" s="20" t="n">
        <x:f>VLOOKUP(C1300,'Governorate Master'!$A$2:$Q$13,15,FALSE)</x:f>
        <x:v>-0.06808762581409118</x:v>
      </x:c>
      <x:c r="J1300" s="12" t="str">
        <x:v>Location model input - competition/saturation context</x:v>
      </x:c>
      <x:c r="K1300" s="12" t="str">
        <x:v>Business count is from 2018 while population/context indicators are newer; use as a historical proxy, not a current market count.</x:v>
      </x:c>
    </x:row>
    <x:row r="1301">
      <x:c r="A1301" s="12" t="str">
        <x:v>3313</x:v>
      </x:c>
      <x:c r="B1301" s="12" t="str">
        <x:v>Repair of electronic and optical equipment</x:v>
      </x:c>
      <x:c r="C1301" s="12" t="str">
        <x:v>مادبا</x:v>
      </x:c>
      <x:c r="D1301" s="14" t="n">
        <x:v>0</x:v>
      </x:c>
      <x:c r="E1301" s="14" t="n">
        <x:f>VLOOKUP(C1301,'Governorate Master'!$A$2:$Q$13,3,FALSE)</x:f>
        <x:v>236200</x:v>
      </x:c>
      <x:c r="F1301" s="66" t="n">
        <x:f>IF(E1301=0,0,D1301/E1301*10000)</x:f>
        <x:v>0</x:v>
      </x:c>
      <x:c r="G1301" s="67" t="n">
        <x:f>VLOOKUP(C1301,'Governorate Master'!$A$2:$Q$13,7,FALSE)</x:f>
        <x:v>251.4</x:v>
      </x:c>
      <x:c r="H1301" s="20" t="n">
        <x:f>VLOOKUP(C1301,'Governorate Master'!$A$2:$Q$13,6,FALSE)</x:f>
        <x:v>0.7823878069432684</x:v>
      </x:c>
      <x:c r="I1301" s="20" t="n">
        <x:f>VLOOKUP(C1301,'Governorate Master'!$A$2:$Q$13,15,FALSE)</x:f>
        <x:v>-0.18823529411764706</x:v>
      </x:c>
      <x:c r="J1301" s="12" t="str">
        <x:v>Location model input - competition/saturation context</x:v>
      </x:c>
      <x:c r="K1301" s="12" t="str">
        <x:v>Business count is from 2018 while population/context indicators are newer; use as a historical proxy, not a current market count.</x:v>
      </x:c>
    </x:row>
    <x:row r="1302">
      <x:c r="A1302" s="12" t="str">
        <x:v>3313</x:v>
      </x:c>
      <x:c r="B1302" s="12" t="str">
        <x:v>Repair of electronic and optical equipment</x:v>
      </x:c>
      <x:c r="C1302" s="12" t="str">
        <x:v>إربد</x:v>
      </x:c>
      <x:c r="D1302" s="14" t="n">
        <x:v>0</x:v>
      </x:c>
      <x:c r="E1302" s="14" t="n">
        <x:f>VLOOKUP(C1302,'Governorate Master'!$A$2:$Q$13,3,FALSE)</x:f>
        <x:v>2210500</x:v>
      </x:c>
      <x:c r="F1302" s="66" t="n">
        <x:f>IF(E1302=0,0,D1302/E1302*10000)</x:f>
        <x:v>0</x:v>
      </x:c>
      <x:c r="G1302" s="67" t="n">
        <x:f>VLOOKUP(C1302,'Governorate Master'!$A$2:$Q$13,7,FALSE)</x:f>
        <x:v>1406.4</x:v>
      </x:c>
      <x:c r="H1302" s="20" t="n">
        <x:f>VLOOKUP(C1302,'Governorate Master'!$A$2:$Q$13,6,FALSE)</x:f>
        <x:v>0.9235014702555983</x:v>
      </x:c>
      <x:c r="I1302" s="20" t="n">
        <x:f>VLOOKUP(C1302,'Governorate Master'!$A$2:$Q$13,15,FALSE)</x:f>
        <x:v>0.07086922474549726</x:v>
      </x:c>
      <x:c r="J1302" s="12" t="str">
        <x:v>Location model input - competition/saturation context</x:v>
      </x:c>
      <x:c r="K1302" s="12" t="str">
        <x:v>Business count is from 2018 while population/context indicators are newer; use as a historical proxy, not a current market count.</x:v>
      </x:c>
    </x:row>
    <x:row r="1303">
      <x:c r="A1303" s="12" t="str">
        <x:v>3313</x:v>
      </x:c>
      <x:c r="B1303" s="12" t="str">
        <x:v>Repair of electronic and optical equipment</x:v>
      </x:c>
      <x:c r="C1303" s="12" t="str">
        <x:v>المفرق</x:v>
      </x:c>
      <x:c r="D1303" s="14" t="n">
        <x:v>0</x:v>
      </x:c>
      <x:c r="E1303" s="14" t="n">
        <x:f>VLOOKUP(C1303,'Governorate Master'!$A$2:$Q$13,3,FALSE)</x:f>
        <x:v>686800</x:v>
      </x:c>
      <x:c r="F1303" s="66" t="n">
        <x:f>IF(E1303=0,0,D1303/E1303*10000)</x:f>
        <x:v>0</x:v>
      </x:c>
      <x:c r="G1303" s="67" t="n">
        <x:f>VLOOKUP(C1303,'Governorate Master'!$A$2:$Q$13,7,FALSE)</x:f>
        <x:v>25.9</x:v>
      </x:c>
      <x:c r="H1303" s="20" t="n">
        <x:f>VLOOKUP(C1303,'Governorate Master'!$A$2:$Q$13,6,FALSE)</x:f>
        <x:v>0.6965637740244612</x:v>
      </x:c>
      <x:c r="I1303" s="20" t="n">
        <x:f>VLOOKUP(C1303,'Governorate Master'!$A$2:$Q$13,15,FALSE)</x:f>
        <x:v>-0.016638935108153077</x:v>
      </x:c>
      <x:c r="J1303" s="12" t="str">
        <x:v>Location model input - competition/saturation context</x:v>
      </x:c>
      <x:c r="K1303" s="12" t="str">
        <x:v>Business count is from 2018 while population/context indicators are newer; use as a historical proxy, not a current market count.</x:v>
      </x:c>
    </x:row>
    <x:row r="1304">
      <x:c r="A1304" s="12" t="str">
        <x:v>3313</x:v>
      </x:c>
      <x:c r="B1304" s="12" t="str">
        <x:v>Repair of electronic and optical equipment</x:v>
      </x:c>
      <x:c r="C1304" s="12" t="str">
        <x:v>جرش</x:v>
      </x:c>
      <x:c r="D1304" s="14" t="n">
        <x:v>0</x:v>
      </x:c>
      <x:c r="E1304" s="14" t="n">
        <x:f>VLOOKUP(C1304,'Governorate Master'!$A$2:$Q$13,3,FALSE)</x:f>
        <x:v>296000</x:v>
      </x:c>
      <x:c r="F1304" s="66" t="n">
        <x:f>IF(E1304=0,0,D1304/E1304*10000)</x:f>
        <x:v>0</x:v>
      </x:c>
      <x:c r="G1304" s="67" t="n">
        <x:f>VLOOKUP(C1304,'Governorate Master'!$A$2:$Q$13,7,FALSE)</x:f>
        <x:v>722.3</x:v>
      </x:c>
      <x:c r="H1304" s="20" t="n">
        <x:f>VLOOKUP(C1304,'Governorate Master'!$A$2:$Q$13,6,FALSE)</x:f>
        <x:v>0.7695945945945946</x:v>
      </x:c>
      <x:c r="I1304" s="20" t="n">
        <x:f>VLOOKUP(C1304,'Governorate Master'!$A$2:$Q$13,15,FALSE)</x:f>
        <x:v>-0.06527415143603134</x:v>
      </x:c>
      <x:c r="J1304" s="12" t="str">
        <x:v>Location model input - competition/saturation context</x:v>
      </x:c>
      <x:c r="K1304" s="12" t="str">
        <x:v>Business count is from 2018 while population/context indicators are newer; use as a historical proxy, not a current market count.</x:v>
      </x:c>
    </x:row>
    <x:row r="1305">
      <x:c r="A1305" s="12" t="str">
        <x:v>3313</x:v>
      </x:c>
      <x:c r="B1305" s="12" t="str">
        <x:v>Repair of electronic and optical equipment</x:v>
      </x:c>
      <x:c r="C1305" s="12" t="str">
        <x:v>عجلون</x:v>
      </x:c>
      <x:c r="D1305" s="14" t="n">
        <x:v>0</x:v>
      </x:c>
      <x:c r="E1305" s="14" t="n">
        <x:f>VLOOKUP(C1305,'Governorate Master'!$A$2:$Q$13,3,FALSE)</x:f>
        <x:v>219900</x:v>
      </x:c>
      <x:c r="F1305" s="66" t="n">
        <x:f>IF(E1305=0,0,D1305/E1305*10000)</x:f>
        <x:v>0</x:v>
      </x:c>
      <x:c r="G1305" s="67" t="n">
        <x:f>VLOOKUP(C1305,'Governorate Master'!$A$2:$Q$13,7,FALSE)</x:f>
        <x:v>524</x:v>
      </x:c>
      <x:c r="H1305" s="20" t="n">
        <x:f>VLOOKUP(C1305,'Governorate Master'!$A$2:$Q$13,6,FALSE)</x:f>
        <x:v>0.8390177353342428</x:v>
      </x:c>
      <x:c r="I1305" s="20" t="n">
        <x:f>VLOOKUP(C1305,'Governorate Master'!$A$2:$Q$13,15,FALSE)</x:f>
        <x:v>0.03614457831325301</x:v>
      </x:c>
      <x:c r="J1305" s="12" t="str">
        <x:v>Location model input - competition/saturation context</x:v>
      </x:c>
      <x:c r="K1305" s="12" t="str">
        <x:v>Business count is from 2018 while population/context indicators are newer; use as a historical proxy, not a current market count.</x:v>
      </x:c>
    </x:row>
    <x:row r="1306">
      <x:c r="A1306" s="12" t="str">
        <x:v>3313</x:v>
      </x:c>
      <x:c r="B1306" s="12" t="str">
        <x:v>Repair of electronic and optical equipment</x:v>
      </x:c>
      <x:c r="C1306" s="12" t="str">
        <x:v>الكرك</x:v>
      </x:c>
      <x:c r="D1306" s="14" t="n">
        <x:v>0</x:v>
      </x:c>
      <x:c r="E1306" s="14" t="n">
        <x:f>VLOOKUP(C1306,'Governorate Master'!$A$2:$Q$13,3,FALSE)</x:f>
        <x:v>395400</x:v>
      </x:c>
      <x:c r="F1306" s="66" t="n">
        <x:f>IF(E1306=0,0,D1306/E1306*10000)</x:f>
        <x:v>0</x:v>
      </x:c>
      <x:c r="G1306" s="67" t="n">
        <x:f>VLOOKUP(C1306,'Governorate Master'!$A$2:$Q$13,7,FALSE)</x:f>
        <x:v>113.1</x:v>
      </x:c>
      <x:c r="H1306" s="20" t="n">
        <x:f>VLOOKUP(C1306,'Governorate Master'!$A$2:$Q$13,6,FALSE)</x:f>
        <x:v>0.5912999494183105</x:v>
      </x:c>
      <x:c r="I1306" s="20" t="n">
        <x:f>VLOOKUP(C1306,'Governorate Master'!$A$2:$Q$13,15,FALSE)</x:f>
        <x:v>0.08710801393728224</x:v>
      </x:c>
      <x:c r="J1306" s="12" t="str">
        <x:v>Location model input - competition/saturation context</x:v>
      </x:c>
      <x:c r="K1306" s="12" t="str">
        <x:v>Business count is from 2018 while population/context indicators are newer; use as a historical proxy, not a current market count.</x:v>
      </x:c>
    </x:row>
    <x:row r="1307">
      <x:c r="A1307" s="12" t="str">
        <x:v>3313</x:v>
      </x:c>
      <x:c r="B1307" s="12" t="str">
        <x:v>Repair of electronic and optical equipment</x:v>
      </x:c>
      <x:c r="C1307" s="12" t="str">
        <x:v>الطفيلة</x:v>
      </x:c>
      <x:c r="D1307" s="14" t="n">
        <x:v>0</x:v>
      </x:c>
      <x:c r="E1307" s="14" t="n">
        <x:f>VLOOKUP(C1307,'Governorate Master'!$A$2:$Q$13,3,FALSE)</x:f>
        <x:v>120300</x:v>
      </x:c>
      <x:c r="F1307" s="66" t="n">
        <x:f>IF(E1307=0,0,D1307/E1307*10000)</x:f>
        <x:v>0</x:v>
      </x:c>
      <x:c r="G1307" s="67" t="n">
        <x:f>VLOOKUP(C1307,'Governorate Master'!$A$2:$Q$13,7,FALSE)</x:f>
        <x:v>54.4</x:v>
      </x:c>
      <x:c r="H1307" s="20" t="n">
        <x:f>VLOOKUP(C1307,'Governorate Master'!$A$2:$Q$13,6,FALSE)</x:f>
        <x:v>0.7797173732335827</x:v>
      </x:c>
      <x:c r="I1307" s="20" t="n">
        <x:f>VLOOKUP(C1307,'Governorate Master'!$A$2:$Q$13,15,FALSE)</x:f>
        <x:v>0.18452380952380953</x:v>
      </x:c>
      <x:c r="J1307" s="12" t="str">
        <x:v>Location model input - competition/saturation context</x:v>
      </x:c>
      <x:c r="K1307" s="12" t="str">
        <x:v>Business count is from 2018 while population/context indicators are newer; use as a historical proxy, not a current market count.</x:v>
      </x:c>
    </x:row>
    <x:row r="1308">
      <x:c r="A1308" s="12" t="str">
        <x:v>3313</x:v>
      </x:c>
      <x:c r="B1308" s="12" t="str">
        <x:v>Repair of electronic and optical equipment</x:v>
      </x:c>
      <x:c r="C1308" s="12" t="str">
        <x:v>معان</x:v>
      </x:c>
      <x:c r="D1308" s="14" t="n">
        <x:v>0</x:v>
      </x:c>
      <x:c r="E1308" s="14" t="n">
        <x:f>VLOOKUP(C1308,'Governorate Master'!$A$2:$Q$13,3,FALSE)</x:f>
        <x:v>197900</x:v>
      </x:c>
      <x:c r="F1308" s="66" t="n">
        <x:f>IF(E1308=0,0,D1308/E1308*10000)</x:f>
        <x:v>0</x:v>
      </x:c>
      <x:c r="G1308" s="67" t="n">
        <x:f>VLOOKUP(C1308,'Governorate Master'!$A$2:$Q$13,7,FALSE)</x:f>
        <x:v>6</x:v>
      </x:c>
      <x:c r="H1308" s="20" t="n">
        <x:f>VLOOKUP(C1308,'Governorate Master'!$A$2:$Q$13,6,FALSE)</x:f>
        <x:v>0.5406771096513391</x:v>
      </x:c>
      <x:c r="I1308" s="20" t="n">
        <x:f>VLOOKUP(C1308,'Governorate Master'!$A$2:$Q$13,15,FALSE)</x:f>
        <x:v>0.026845637583892617</x:v>
      </x:c>
      <x:c r="J1308" s="12" t="str">
        <x:v>Location model input - competition/saturation context</x:v>
      </x:c>
      <x:c r="K1308" s="12" t="str">
        <x:v>Business count is from 2018 while population/context indicators are newer; use as a historical proxy, not a current market count.</x:v>
      </x:c>
    </x:row>
    <x:row r="1309">
      <x:c r="A1309" s="12" t="str">
        <x:v>3313</x:v>
      </x:c>
      <x:c r="B1309" s="12" t="str">
        <x:v>Repair of electronic and optical equipment</x:v>
      </x:c>
      <x:c r="C1309" s="12" t="str">
        <x:v>العقبة</x:v>
      </x:c>
      <x:c r="D1309" s="14" t="n">
        <x:v>0</x:v>
      </x:c>
      <x:c r="E1309" s="14" t="n">
        <x:f>VLOOKUP(C1309,'Governorate Master'!$A$2:$Q$13,3,FALSE)</x:f>
        <x:v>250900</x:v>
      </x:c>
      <x:c r="F1309" s="66" t="n">
        <x:f>IF(E1309=0,0,D1309/E1309*10000)</x:f>
        <x:v>0</x:v>
      </x:c>
      <x:c r="G1309" s="67" t="n">
        <x:f>VLOOKUP(C1309,'Governorate Master'!$A$2:$Q$13,7,FALSE)</x:f>
        <x:v>36.3</x:v>
      </x:c>
      <x:c r="H1309" s="20" t="n">
        <x:f>VLOOKUP(C1309,'Governorate Master'!$A$2:$Q$13,6,FALSE)</x:f>
        <x:v>0.882024711040255</x:v>
      </x:c>
      <x:c r="I1309" s="20" t="n">
        <x:f>VLOOKUP(C1309,'Governorate Master'!$A$2:$Q$13,15,FALSE)</x:f>
        <x:v>-0.09</x:v>
      </x:c>
      <x:c r="J1309" s="12" t="str">
        <x:v>Location model input - competition/saturation context</x:v>
      </x:c>
      <x:c r="K1309" s="12" t="str">
        <x:v>Business count is from 2018 while population/context indicators are newer; use as a historical proxy, not a current market count.</x:v>
      </x:c>
    </x:row>
    <x:row r="1310">
      <x:c r="A1310" s="12" t="str">
        <x:v>3314</x:v>
      </x:c>
      <x:c r="B1310" s="12" t="str">
        <x:v>Repair of electrical equipment</x:v>
      </x:c>
      <x:c r="C1310" s="12" t="str">
        <x:v>عمان</x:v>
      </x:c>
      <x:c r="D1310" s="14" t="n">
        <x:v>50</x:v>
      </x:c>
      <x:c r="E1310" s="14" t="n">
        <x:f>VLOOKUP(C1310,'Governorate Master'!$A$2:$Q$13,3,FALSE)</x:f>
        <x:v>5004600</x:v>
      </x:c>
      <x:c r="F1310" s="66" t="n">
        <x:f>IF(E1310=0,0,D1310/E1310*10000)</x:f>
        <x:v>0.09990808456220278</x:v>
      </x:c>
      <x:c r="G1310" s="67" t="n">
        <x:f>VLOOKUP(C1310,'Governorate Master'!$A$2:$Q$13,7,FALSE)</x:f>
        <x:v>660.3</x:v>
      </x:c>
      <x:c r="H1310" s="20" t="n">
        <x:f>VLOOKUP(C1310,'Governorate Master'!$A$2:$Q$13,6,FALSE)</x:f>
        <x:v>0.9721656076409703</x:v>
      </x:c>
      <x:c r="I1310" s="20" t="n">
        <x:f>VLOOKUP(C1310,'Governorate Master'!$A$2:$Q$13,15,FALSE)</x:f>
        <x:v>0.06367041198501873</x:v>
      </x:c>
      <x:c r="J1310" s="12" t="str">
        <x:v>Location model input - competition/saturation context</x:v>
      </x:c>
      <x:c r="K1310" s="12" t="str">
        <x:v>Business count is from 2018 while population/context indicators are newer; use as a historical proxy, not a current market count.</x:v>
      </x:c>
    </x:row>
    <x:row r="1311">
      <x:c r="A1311" s="12" t="str">
        <x:v>3314</x:v>
      </x:c>
      <x:c r="B1311" s="12" t="str">
        <x:v>Repair of electrical equipment</x:v>
      </x:c>
      <x:c r="C1311" s="12" t="str">
        <x:v>البلقاء</x:v>
      </x:c>
      <x:c r="D1311" s="14" t="n">
        <x:v>5</x:v>
      </x:c>
      <x:c r="E1311" s="14" t="n">
        <x:f>VLOOKUP(C1311,'Governorate Master'!$A$2:$Q$13,3,FALSE)</x:f>
        <x:v>614000</x:v>
      </x:c>
      <x:c r="F1311" s="66" t="n">
        <x:f>IF(E1311=0,0,D1311/E1311*10000)</x:f>
        <x:v>0.08143322475570032</x:v>
      </x:c>
      <x:c r="G1311" s="67" t="n">
        <x:f>VLOOKUP(C1311,'Governorate Master'!$A$2:$Q$13,7,FALSE)</x:f>
        <x:v>548</x:v>
      </x:c>
      <x:c r="H1311" s="20" t="n">
        <x:f>VLOOKUP(C1311,'Governorate Master'!$A$2:$Q$13,6,FALSE)</x:f>
        <x:v>0.8210097719869707</x:v>
      </x:c>
      <x:c r="I1311" s="20" t="n">
        <x:f>VLOOKUP(C1311,'Governorate Master'!$A$2:$Q$13,15,FALSE)</x:f>
        <x:v>0.10794044665012408</x:v>
      </x:c>
      <x:c r="J1311" s="12" t="str">
        <x:v>Location model input - competition/saturation context</x:v>
      </x:c>
      <x:c r="K1311" s="12" t="str">
        <x:v>Business count is from 2018 while population/context indicators are newer; use as a historical proxy, not a current market count.</x:v>
      </x:c>
    </x:row>
    <x:row r="1312">
      <x:c r="A1312" s="12" t="str">
        <x:v>3314</x:v>
      </x:c>
      <x:c r="B1312" s="12" t="str">
        <x:v>Repair of electrical equipment</x:v>
      </x:c>
      <x:c r="C1312" s="12" t="str">
        <x:v>الزرقاء</x:v>
      </x:c>
      <x:c r="D1312" s="14" t="n">
        <x:v>7</x:v>
      </x:c>
      <x:c r="E1312" s="14" t="n">
        <x:f>VLOOKUP(C1312,'Governorate Master'!$A$2:$Q$13,3,FALSE)</x:f>
        <x:v>1704500</x:v>
      </x:c>
      <x:c r="F1312" s="66" t="n">
        <x:f>IF(E1312=0,0,D1312/E1312*10000)</x:f>
        <x:v>0.041067761806981525</x:v>
      </x:c>
      <x:c r="G1312" s="67" t="n">
        <x:f>VLOOKUP(C1312,'Governorate Master'!$A$2:$Q$13,7,FALSE)</x:f>
        <x:v>358</x:v>
      </x:c>
      <x:c r="H1312" s="20" t="n">
        <x:f>VLOOKUP(C1312,'Governorate Master'!$A$2:$Q$13,6,FALSE)</x:f>
        <x:v>0.9636256966852449</x:v>
      </x:c>
      <x:c r="I1312" s="20" t="n">
        <x:f>VLOOKUP(C1312,'Governorate Master'!$A$2:$Q$13,15,FALSE)</x:f>
        <x:v>-0.06808762581409118</x:v>
      </x:c>
      <x:c r="J1312" s="12" t="str">
        <x:v>Location model input - competition/saturation context</x:v>
      </x:c>
      <x:c r="K1312" s="12" t="str">
        <x:v>Business count is from 2018 while population/context indicators are newer; use as a historical proxy, not a current market count.</x:v>
      </x:c>
    </x:row>
    <x:row r="1313">
      <x:c r="A1313" s="12" t="str">
        <x:v>3314</x:v>
      </x:c>
      <x:c r="B1313" s="12" t="str">
        <x:v>Repair of electrical equipment</x:v>
      </x:c>
      <x:c r="C1313" s="12" t="str">
        <x:v>مادبا</x:v>
      </x:c>
      <x:c r="D1313" s="14" t="n">
        <x:v>0</x:v>
      </x:c>
      <x:c r="E1313" s="14" t="n">
        <x:f>VLOOKUP(C1313,'Governorate Master'!$A$2:$Q$13,3,FALSE)</x:f>
        <x:v>236200</x:v>
      </x:c>
      <x:c r="F1313" s="66" t="n">
        <x:f>IF(E1313=0,0,D1313/E1313*10000)</x:f>
        <x:v>0</x:v>
      </x:c>
      <x:c r="G1313" s="67" t="n">
        <x:f>VLOOKUP(C1313,'Governorate Master'!$A$2:$Q$13,7,FALSE)</x:f>
        <x:v>251.4</x:v>
      </x:c>
      <x:c r="H1313" s="20" t="n">
        <x:f>VLOOKUP(C1313,'Governorate Master'!$A$2:$Q$13,6,FALSE)</x:f>
        <x:v>0.7823878069432684</x:v>
      </x:c>
      <x:c r="I1313" s="20" t="n">
        <x:f>VLOOKUP(C1313,'Governorate Master'!$A$2:$Q$13,15,FALSE)</x:f>
        <x:v>-0.18823529411764706</x:v>
      </x:c>
      <x:c r="J1313" s="12" t="str">
        <x:v>Location model input - competition/saturation context</x:v>
      </x:c>
      <x:c r="K1313" s="12" t="str">
        <x:v>Business count is from 2018 while population/context indicators are newer; use as a historical proxy, not a current market count.</x:v>
      </x:c>
    </x:row>
    <x:row r="1314">
      <x:c r="A1314" s="12" t="str">
        <x:v>3314</x:v>
      </x:c>
      <x:c r="B1314" s="12" t="str">
        <x:v>Repair of electrical equipment</x:v>
      </x:c>
      <x:c r="C1314" s="12" t="str">
        <x:v>إربد</x:v>
      </x:c>
      <x:c r="D1314" s="14" t="n">
        <x:v>6</x:v>
      </x:c>
      <x:c r="E1314" s="14" t="n">
        <x:f>VLOOKUP(C1314,'Governorate Master'!$A$2:$Q$13,3,FALSE)</x:f>
        <x:v>2210500</x:v>
      </x:c>
      <x:c r="F1314" s="66" t="n">
        <x:f>IF(E1314=0,0,D1314/E1314*10000)</x:f>
        <x:v>0.027143180275955664</x:v>
      </x:c>
      <x:c r="G1314" s="67" t="n">
        <x:f>VLOOKUP(C1314,'Governorate Master'!$A$2:$Q$13,7,FALSE)</x:f>
        <x:v>1406.4</x:v>
      </x:c>
      <x:c r="H1314" s="20" t="n">
        <x:f>VLOOKUP(C1314,'Governorate Master'!$A$2:$Q$13,6,FALSE)</x:f>
        <x:v>0.9235014702555983</x:v>
      </x:c>
      <x:c r="I1314" s="20" t="n">
        <x:f>VLOOKUP(C1314,'Governorate Master'!$A$2:$Q$13,15,FALSE)</x:f>
        <x:v>0.07086922474549726</x:v>
      </x:c>
      <x:c r="J1314" s="12" t="str">
        <x:v>Location model input - competition/saturation context</x:v>
      </x:c>
      <x:c r="K1314" s="12" t="str">
        <x:v>Business count is from 2018 while population/context indicators are newer; use as a historical proxy, not a current market count.</x:v>
      </x:c>
    </x:row>
    <x:row r="1315">
      <x:c r="A1315" s="12" t="str">
        <x:v>3314</x:v>
      </x:c>
      <x:c r="B1315" s="12" t="str">
        <x:v>Repair of electrical equipment</x:v>
      </x:c>
      <x:c r="C1315" s="12" t="str">
        <x:v>المفرق</x:v>
      </x:c>
      <x:c r="D1315" s="14" t="n">
        <x:v>0</x:v>
      </x:c>
      <x:c r="E1315" s="14" t="n">
        <x:f>VLOOKUP(C1315,'Governorate Master'!$A$2:$Q$13,3,FALSE)</x:f>
        <x:v>686800</x:v>
      </x:c>
      <x:c r="F1315" s="66" t="n">
        <x:f>IF(E1315=0,0,D1315/E1315*10000)</x:f>
        <x:v>0</x:v>
      </x:c>
      <x:c r="G1315" s="67" t="n">
        <x:f>VLOOKUP(C1315,'Governorate Master'!$A$2:$Q$13,7,FALSE)</x:f>
        <x:v>25.9</x:v>
      </x:c>
      <x:c r="H1315" s="20" t="n">
        <x:f>VLOOKUP(C1315,'Governorate Master'!$A$2:$Q$13,6,FALSE)</x:f>
        <x:v>0.6965637740244612</x:v>
      </x:c>
      <x:c r="I1315" s="20" t="n">
        <x:f>VLOOKUP(C1315,'Governorate Master'!$A$2:$Q$13,15,FALSE)</x:f>
        <x:v>-0.016638935108153077</x:v>
      </x:c>
      <x:c r="J1315" s="12" t="str">
        <x:v>Location model input - competition/saturation context</x:v>
      </x:c>
      <x:c r="K1315" s="12" t="str">
        <x:v>Business count is from 2018 while population/context indicators are newer; use as a historical proxy, not a current market count.</x:v>
      </x:c>
    </x:row>
    <x:row r="1316">
      <x:c r="A1316" s="12" t="str">
        <x:v>3314</x:v>
      </x:c>
      <x:c r="B1316" s="12" t="str">
        <x:v>Repair of electrical equipment</x:v>
      </x:c>
      <x:c r="C1316" s="12" t="str">
        <x:v>جرش</x:v>
      </x:c>
      <x:c r="D1316" s="14" t="n">
        <x:v>2</x:v>
      </x:c>
      <x:c r="E1316" s="14" t="n">
        <x:f>VLOOKUP(C1316,'Governorate Master'!$A$2:$Q$13,3,FALSE)</x:f>
        <x:v>296000</x:v>
      </x:c>
      <x:c r="F1316" s="66" t="n">
        <x:f>IF(E1316=0,0,D1316/E1316*10000)</x:f>
        <x:v>0.06756756756756757</x:v>
      </x:c>
      <x:c r="G1316" s="67" t="n">
        <x:f>VLOOKUP(C1316,'Governorate Master'!$A$2:$Q$13,7,FALSE)</x:f>
        <x:v>722.3</x:v>
      </x:c>
      <x:c r="H1316" s="20" t="n">
        <x:f>VLOOKUP(C1316,'Governorate Master'!$A$2:$Q$13,6,FALSE)</x:f>
        <x:v>0.7695945945945946</x:v>
      </x:c>
      <x:c r="I1316" s="20" t="n">
        <x:f>VLOOKUP(C1316,'Governorate Master'!$A$2:$Q$13,15,FALSE)</x:f>
        <x:v>-0.06527415143603134</x:v>
      </x:c>
      <x:c r="J1316" s="12" t="str">
        <x:v>Location model input - competition/saturation context</x:v>
      </x:c>
      <x:c r="K1316" s="12" t="str">
        <x:v>Business count is from 2018 while population/context indicators are newer; use as a historical proxy, not a current market count.</x:v>
      </x:c>
    </x:row>
    <x:row r="1317">
      <x:c r="A1317" s="12" t="str">
        <x:v>3314</x:v>
      </x:c>
      <x:c r="B1317" s="12" t="str">
        <x:v>Repair of electrical equipment</x:v>
      </x:c>
      <x:c r="C1317" s="12" t="str">
        <x:v>عجلون</x:v>
      </x:c>
      <x:c r="D1317" s="14" t="n">
        <x:v>0</x:v>
      </x:c>
      <x:c r="E1317" s="14" t="n">
        <x:f>VLOOKUP(C1317,'Governorate Master'!$A$2:$Q$13,3,FALSE)</x:f>
        <x:v>219900</x:v>
      </x:c>
      <x:c r="F1317" s="66" t="n">
        <x:f>IF(E1317=0,0,D1317/E1317*10000)</x:f>
        <x:v>0</x:v>
      </x:c>
      <x:c r="G1317" s="67" t="n">
        <x:f>VLOOKUP(C1317,'Governorate Master'!$A$2:$Q$13,7,FALSE)</x:f>
        <x:v>524</x:v>
      </x:c>
      <x:c r="H1317" s="20" t="n">
        <x:f>VLOOKUP(C1317,'Governorate Master'!$A$2:$Q$13,6,FALSE)</x:f>
        <x:v>0.8390177353342428</x:v>
      </x:c>
      <x:c r="I1317" s="20" t="n">
        <x:f>VLOOKUP(C1317,'Governorate Master'!$A$2:$Q$13,15,FALSE)</x:f>
        <x:v>0.03614457831325301</x:v>
      </x:c>
      <x:c r="J1317" s="12" t="str">
        <x:v>Location model input - competition/saturation context</x:v>
      </x:c>
      <x:c r="K1317" s="12" t="str">
        <x:v>Business count is from 2018 while population/context indicators are newer; use as a historical proxy, not a current market count.</x:v>
      </x:c>
    </x:row>
    <x:row r="1318">
      <x:c r="A1318" s="12" t="str">
        <x:v>3314</x:v>
      </x:c>
      <x:c r="B1318" s="12" t="str">
        <x:v>Repair of electrical equipment</x:v>
      </x:c>
      <x:c r="C1318" s="12" t="str">
        <x:v>الكرك</x:v>
      </x:c>
      <x:c r="D1318" s="14" t="n">
        <x:v>0</x:v>
      </x:c>
      <x:c r="E1318" s="14" t="n">
        <x:f>VLOOKUP(C1318,'Governorate Master'!$A$2:$Q$13,3,FALSE)</x:f>
        <x:v>395400</x:v>
      </x:c>
      <x:c r="F1318" s="66" t="n">
        <x:f>IF(E1318=0,0,D1318/E1318*10000)</x:f>
        <x:v>0</x:v>
      </x:c>
      <x:c r="G1318" s="67" t="n">
        <x:f>VLOOKUP(C1318,'Governorate Master'!$A$2:$Q$13,7,FALSE)</x:f>
        <x:v>113.1</x:v>
      </x:c>
      <x:c r="H1318" s="20" t="n">
        <x:f>VLOOKUP(C1318,'Governorate Master'!$A$2:$Q$13,6,FALSE)</x:f>
        <x:v>0.5912999494183105</x:v>
      </x:c>
      <x:c r="I1318" s="20" t="n">
        <x:f>VLOOKUP(C1318,'Governorate Master'!$A$2:$Q$13,15,FALSE)</x:f>
        <x:v>0.08710801393728224</x:v>
      </x:c>
      <x:c r="J1318" s="12" t="str">
        <x:v>Location model input - competition/saturation context</x:v>
      </x:c>
      <x:c r="K1318" s="12" t="str">
        <x:v>Business count is from 2018 while population/context indicators are newer; use as a historical proxy, not a current market count.</x:v>
      </x:c>
    </x:row>
    <x:row r="1319">
      <x:c r="A1319" s="12" t="str">
        <x:v>3314</x:v>
      </x:c>
      <x:c r="B1319" s="12" t="str">
        <x:v>Repair of electrical equipment</x:v>
      </x:c>
      <x:c r="C1319" s="12" t="str">
        <x:v>الطفيلة</x:v>
      </x:c>
      <x:c r="D1319" s="14" t="n">
        <x:v>0</x:v>
      </x:c>
      <x:c r="E1319" s="14" t="n">
        <x:f>VLOOKUP(C1319,'Governorate Master'!$A$2:$Q$13,3,FALSE)</x:f>
        <x:v>120300</x:v>
      </x:c>
      <x:c r="F1319" s="66" t="n">
        <x:f>IF(E1319=0,0,D1319/E1319*10000)</x:f>
        <x:v>0</x:v>
      </x:c>
      <x:c r="G1319" s="67" t="n">
        <x:f>VLOOKUP(C1319,'Governorate Master'!$A$2:$Q$13,7,FALSE)</x:f>
        <x:v>54.4</x:v>
      </x:c>
      <x:c r="H1319" s="20" t="n">
        <x:f>VLOOKUP(C1319,'Governorate Master'!$A$2:$Q$13,6,FALSE)</x:f>
        <x:v>0.7797173732335827</x:v>
      </x:c>
      <x:c r="I1319" s="20" t="n">
        <x:f>VLOOKUP(C1319,'Governorate Master'!$A$2:$Q$13,15,FALSE)</x:f>
        <x:v>0.18452380952380953</x:v>
      </x:c>
      <x:c r="J1319" s="12" t="str">
        <x:v>Location model input - competition/saturation context</x:v>
      </x:c>
      <x:c r="K1319" s="12" t="str">
        <x:v>Business count is from 2018 while population/context indicators are newer; use as a historical proxy, not a current market count.</x:v>
      </x:c>
    </x:row>
    <x:row r="1320">
      <x:c r="A1320" s="12" t="str">
        <x:v>3314</x:v>
      </x:c>
      <x:c r="B1320" s="12" t="str">
        <x:v>Repair of electrical equipment</x:v>
      </x:c>
      <x:c r="C1320" s="12" t="str">
        <x:v>معان</x:v>
      </x:c>
      <x:c r="D1320" s="14" t="n">
        <x:v>0</x:v>
      </x:c>
      <x:c r="E1320" s="14" t="n">
        <x:f>VLOOKUP(C1320,'Governorate Master'!$A$2:$Q$13,3,FALSE)</x:f>
        <x:v>197900</x:v>
      </x:c>
      <x:c r="F1320" s="66" t="n">
        <x:f>IF(E1320=0,0,D1320/E1320*10000)</x:f>
        <x:v>0</x:v>
      </x:c>
      <x:c r="G1320" s="67" t="n">
        <x:f>VLOOKUP(C1320,'Governorate Master'!$A$2:$Q$13,7,FALSE)</x:f>
        <x:v>6</x:v>
      </x:c>
      <x:c r="H1320" s="20" t="n">
        <x:f>VLOOKUP(C1320,'Governorate Master'!$A$2:$Q$13,6,FALSE)</x:f>
        <x:v>0.5406771096513391</x:v>
      </x:c>
      <x:c r="I1320" s="20" t="n">
        <x:f>VLOOKUP(C1320,'Governorate Master'!$A$2:$Q$13,15,FALSE)</x:f>
        <x:v>0.026845637583892617</x:v>
      </x:c>
      <x:c r="J1320" s="12" t="str">
        <x:v>Location model input - competition/saturation context</x:v>
      </x:c>
      <x:c r="K1320" s="12" t="str">
        <x:v>Business count is from 2018 while population/context indicators are newer; use as a historical proxy, not a current market count.</x:v>
      </x:c>
    </x:row>
    <x:row r="1321">
      <x:c r="A1321" s="12" t="str">
        <x:v>3314</x:v>
      </x:c>
      <x:c r="B1321" s="12" t="str">
        <x:v>Repair of electrical equipment</x:v>
      </x:c>
      <x:c r="C1321" s="12" t="str">
        <x:v>العقبة</x:v>
      </x:c>
      <x:c r="D1321" s="14" t="n">
        <x:v>0</x:v>
      </x:c>
      <x:c r="E1321" s="14" t="n">
        <x:f>VLOOKUP(C1321,'Governorate Master'!$A$2:$Q$13,3,FALSE)</x:f>
        <x:v>250900</x:v>
      </x:c>
      <x:c r="F1321" s="66" t="n">
        <x:f>IF(E1321=0,0,D1321/E1321*10000)</x:f>
        <x:v>0</x:v>
      </x:c>
      <x:c r="G1321" s="67" t="n">
        <x:f>VLOOKUP(C1321,'Governorate Master'!$A$2:$Q$13,7,FALSE)</x:f>
        <x:v>36.3</x:v>
      </x:c>
      <x:c r="H1321" s="20" t="n">
        <x:f>VLOOKUP(C1321,'Governorate Master'!$A$2:$Q$13,6,FALSE)</x:f>
        <x:v>0.882024711040255</x:v>
      </x:c>
      <x:c r="I1321" s="20" t="n">
        <x:f>VLOOKUP(C1321,'Governorate Master'!$A$2:$Q$13,15,FALSE)</x:f>
        <x:v>-0.09</x:v>
      </x:c>
      <x:c r="J1321" s="12" t="str">
        <x:v>Location model input - competition/saturation context</x:v>
      </x:c>
      <x:c r="K1321" s="12" t="str">
        <x:v>Business count is from 2018 while population/context indicators are newer; use as a historical proxy, not a current market count.</x:v>
      </x:c>
    </x:row>
    <x:row r="1322">
      <x:c r="A1322" s="12" t="str">
        <x:v>3315</x:v>
      </x:c>
      <x:c r="B1322" s="12" t="str">
        <x:v>Repair of transport equipment, except motor vehicles</x:v>
      </x:c>
      <x:c r="C1322" s="12" t="str">
        <x:v>عمان</x:v>
      </x:c>
      <x:c r="D1322" s="14" t="n">
        <x:v>4</x:v>
      </x:c>
      <x:c r="E1322" s="14" t="n">
        <x:f>VLOOKUP(C1322,'Governorate Master'!$A$2:$Q$13,3,FALSE)</x:f>
        <x:v>5004600</x:v>
      </x:c>
      <x:c r="F1322" s="66" t="n">
        <x:f>IF(E1322=0,0,D1322/E1322*10000)</x:f>
        <x:v>0.007992646764976222</x:v>
      </x:c>
      <x:c r="G1322" s="67" t="n">
        <x:f>VLOOKUP(C1322,'Governorate Master'!$A$2:$Q$13,7,FALSE)</x:f>
        <x:v>660.3</x:v>
      </x:c>
      <x:c r="H1322" s="20" t="n">
        <x:f>VLOOKUP(C1322,'Governorate Master'!$A$2:$Q$13,6,FALSE)</x:f>
        <x:v>0.9721656076409703</x:v>
      </x:c>
      <x:c r="I1322" s="20" t="n">
        <x:f>VLOOKUP(C1322,'Governorate Master'!$A$2:$Q$13,15,FALSE)</x:f>
        <x:v>0.06367041198501873</x:v>
      </x:c>
      <x:c r="J1322" s="12" t="str">
        <x:v>Location model input - competition/saturation context</x:v>
      </x:c>
      <x:c r="K1322" s="12" t="str">
        <x:v>Business count is from 2018 while population/context indicators are newer; use as a historical proxy, not a current market count.</x:v>
      </x:c>
    </x:row>
    <x:row r="1323">
      <x:c r="A1323" s="12" t="str">
        <x:v>3315</x:v>
      </x:c>
      <x:c r="B1323" s="12" t="str">
        <x:v>Repair of transport equipment, except motor vehicles</x:v>
      </x:c>
      <x:c r="C1323" s="12" t="str">
        <x:v>البلقاء</x:v>
      </x:c>
      <x:c r="D1323" s="14" t="n">
        <x:v>0</x:v>
      </x:c>
      <x:c r="E1323" s="14" t="n">
        <x:f>VLOOKUP(C1323,'Governorate Master'!$A$2:$Q$13,3,FALSE)</x:f>
        <x:v>614000</x:v>
      </x:c>
      <x:c r="F1323" s="66" t="n">
        <x:f>IF(E1323=0,0,D1323/E1323*10000)</x:f>
        <x:v>0</x:v>
      </x:c>
      <x:c r="G1323" s="67" t="n">
        <x:f>VLOOKUP(C1323,'Governorate Master'!$A$2:$Q$13,7,FALSE)</x:f>
        <x:v>548</x:v>
      </x:c>
      <x:c r="H1323" s="20" t="n">
        <x:f>VLOOKUP(C1323,'Governorate Master'!$A$2:$Q$13,6,FALSE)</x:f>
        <x:v>0.8210097719869707</x:v>
      </x:c>
      <x:c r="I1323" s="20" t="n">
        <x:f>VLOOKUP(C1323,'Governorate Master'!$A$2:$Q$13,15,FALSE)</x:f>
        <x:v>0.10794044665012408</x:v>
      </x:c>
      <x:c r="J1323" s="12" t="str">
        <x:v>Location model input - competition/saturation context</x:v>
      </x:c>
      <x:c r="K1323" s="12" t="str">
        <x:v>Business count is from 2018 while population/context indicators are newer; use as a historical proxy, not a current market count.</x:v>
      </x:c>
    </x:row>
    <x:row r="1324">
      <x:c r="A1324" s="12" t="str">
        <x:v>3315</x:v>
      </x:c>
      <x:c r="B1324" s="12" t="str">
        <x:v>Repair of transport equipment, except motor vehicles</x:v>
      </x:c>
      <x:c r="C1324" s="12" t="str">
        <x:v>الزرقاء</x:v>
      </x:c>
      <x:c r="D1324" s="14" t="n">
        <x:v>0</x:v>
      </x:c>
      <x:c r="E1324" s="14" t="n">
        <x:f>VLOOKUP(C1324,'Governorate Master'!$A$2:$Q$13,3,FALSE)</x:f>
        <x:v>1704500</x:v>
      </x:c>
      <x:c r="F1324" s="66" t="n">
        <x:f>IF(E1324=0,0,D1324/E1324*10000)</x:f>
        <x:v>0</x:v>
      </x:c>
      <x:c r="G1324" s="67" t="n">
        <x:f>VLOOKUP(C1324,'Governorate Master'!$A$2:$Q$13,7,FALSE)</x:f>
        <x:v>358</x:v>
      </x:c>
      <x:c r="H1324" s="20" t="n">
        <x:f>VLOOKUP(C1324,'Governorate Master'!$A$2:$Q$13,6,FALSE)</x:f>
        <x:v>0.9636256966852449</x:v>
      </x:c>
      <x:c r="I1324" s="20" t="n">
        <x:f>VLOOKUP(C1324,'Governorate Master'!$A$2:$Q$13,15,FALSE)</x:f>
        <x:v>-0.06808762581409118</x:v>
      </x:c>
      <x:c r="J1324" s="12" t="str">
        <x:v>Location model input - competition/saturation context</x:v>
      </x:c>
      <x:c r="K1324" s="12" t="str">
        <x:v>Business count is from 2018 while population/context indicators are newer; use as a historical proxy, not a current market count.</x:v>
      </x:c>
    </x:row>
    <x:row r="1325">
      <x:c r="A1325" s="12" t="str">
        <x:v>3315</x:v>
      </x:c>
      <x:c r="B1325" s="12" t="str">
        <x:v>Repair of transport equipment, except motor vehicles</x:v>
      </x:c>
      <x:c r="C1325" s="12" t="str">
        <x:v>مادبا</x:v>
      </x:c>
      <x:c r="D1325" s="14" t="n">
        <x:v>0</x:v>
      </x:c>
      <x:c r="E1325" s="14" t="n">
        <x:f>VLOOKUP(C1325,'Governorate Master'!$A$2:$Q$13,3,FALSE)</x:f>
        <x:v>236200</x:v>
      </x:c>
      <x:c r="F1325" s="66" t="n">
        <x:f>IF(E1325=0,0,D1325/E1325*10000)</x:f>
        <x:v>0</x:v>
      </x:c>
      <x:c r="G1325" s="67" t="n">
        <x:f>VLOOKUP(C1325,'Governorate Master'!$A$2:$Q$13,7,FALSE)</x:f>
        <x:v>251.4</x:v>
      </x:c>
      <x:c r="H1325" s="20" t="n">
        <x:f>VLOOKUP(C1325,'Governorate Master'!$A$2:$Q$13,6,FALSE)</x:f>
        <x:v>0.7823878069432684</x:v>
      </x:c>
      <x:c r="I1325" s="20" t="n">
        <x:f>VLOOKUP(C1325,'Governorate Master'!$A$2:$Q$13,15,FALSE)</x:f>
        <x:v>-0.18823529411764706</x:v>
      </x:c>
      <x:c r="J1325" s="12" t="str">
        <x:v>Location model input - competition/saturation context</x:v>
      </x:c>
      <x:c r="K1325" s="12" t="str">
        <x:v>Business count is from 2018 while population/context indicators are newer; use as a historical proxy, not a current market count.</x:v>
      </x:c>
    </x:row>
    <x:row r="1326">
      <x:c r="A1326" s="12" t="str">
        <x:v>3315</x:v>
      </x:c>
      <x:c r="B1326" s="12" t="str">
        <x:v>Repair of transport equipment, except motor vehicles</x:v>
      </x:c>
      <x:c r="C1326" s="12" t="str">
        <x:v>إربد</x:v>
      </x:c>
      <x:c r="D1326" s="14" t="n">
        <x:v>0</x:v>
      </x:c>
      <x:c r="E1326" s="14" t="n">
        <x:f>VLOOKUP(C1326,'Governorate Master'!$A$2:$Q$13,3,FALSE)</x:f>
        <x:v>2210500</x:v>
      </x:c>
      <x:c r="F1326" s="66" t="n">
        <x:f>IF(E1326=0,0,D1326/E1326*10000)</x:f>
        <x:v>0</x:v>
      </x:c>
      <x:c r="G1326" s="67" t="n">
        <x:f>VLOOKUP(C1326,'Governorate Master'!$A$2:$Q$13,7,FALSE)</x:f>
        <x:v>1406.4</x:v>
      </x:c>
      <x:c r="H1326" s="20" t="n">
        <x:f>VLOOKUP(C1326,'Governorate Master'!$A$2:$Q$13,6,FALSE)</x:f>
        <x:v>0.9235014702555983</x:v>
      </x:c>
      <x:c r="I1326" s="20" t="n">
        <x:f>VLOOKUP(C1326,'Governorate Master'!$A$2:$Q$13,15,FALSE)</x:f>
        <x:v>0.07086922474549726</x:v>
      </x:c>
      <x:c r="J1326" s="12" t="str">
        <x:v>Location model input - competition/saturation context</x:v>
      </x:c>
      <x:c r="K1326" s="12" t="str">
        <x:v>Business count is from 2018 while population/context indicators are newer; use as a historical proxy, not a current market count.</x:v>
      </x:c>
    </x:row>
    <x:row r="1327">
      <x:c r="A1327" s="12" t="str">
        <x:v>3315</x:v>
      </x:c>
      <x:c r="B1327" s="12" t="str">
        <x:v>Repair of transport equipment, except motor vehicles</x:v>
      </x:c>
      <x:c r="C1327" s="12" t="str">
        <x:v>المفرق</x:v>
      </x:c>
      <x:c r="D1327" s="14" t="n">
        <x:v>0</x:v>
      </x:c>
      <x:c r="E1327" s="14" t="n">
        <x:f>VLOOKUP(C1327,'Governorate Master'!$A$2:$Q$13,3,FALSE)</x:f>
        <x:v>686800</x:v>
      </x:c>
      <x:c r="F1327" s="66" t="n">
        <x:f>IF(E1327=0,0,D1327/E1327*10000)</x:f>
        <x:v>0</x:v>
      </x:c>
      <x:c r="G1327" s="67" t="n">
        <x:f>VLOOKUP(C1327,'Governorate Master'!$A$2:$Q$13,7,FALSE)</x:f>
        <x:v>25.9</x:v>
      </x:c>
      <x:c r="H1327" s="20" t="n">
        <x:f>VLOOKUP(C1327,'Governorate Master'!$A$2:$Q$13,6,FALSE)</x:f>
        <x:v>0.6965637740244612</x:v>
      </x:c>
      <x:c r="I1327" s="20" t="n">
        <x:f>VLOOKUP(C1327,'Governorate Master'!$A$2:$Q$13,15,FALSE)</x:f>
        <x:v>-0.016638935108153077</x:v>
      </x:c>
      <x:c r="J1327" s="12" t="str">
        <x:v>Location model input - competition/saturation context</x:v>
      </x:c>
      <x:c r="K1327" s="12" t="str">
        <x:v>Business count is from 2018 while population/context indicators are newer; use as a historical proxy, not a current market count.</x:v>
      </x:c>
    </x:row>
    <x:row r="1328">
      <x:c r="A1328" s="12" t="str">
        <x:v>3315</x:v>
      </x:c>
      <x:c r="B1328" s="12" t="str">
        <x:v>Repair of transport equipment, except motor vehicles</x:v>
      </x:c>
      <x:c r="C1328" s="12" t="str">
        <x:v>جرش</x:v>
      </x:c>
      <x:c r="D1328" s="14" t="n">
        <x:v>0</x:v>
      </x:c>
      <x:c r="E1328" s="14" t="n">
        <x:f>VLOOKUP(C1328,'Governorate Master'!$A$2:$Q$13,3,FALSE)</x:f>
        <x:v>296000</x:v>
      </x:c>
      <x:c r="F1328" s="66" t="n">
        <x:f>IF(E1328=0,0,D1328/E1328*10000)</x:f>
        <x:v>0</x:v>
      </x:c>
      <x:c r="G1328" s="67" t="n">
        <x:f>VLOOKUP(C1328,'Governorate Master'!$A$2:$Q$13,7,FALSE)</x:f>
        <x:v>722.3</x:v>
      </x:c>
      <x:c r="H1328" s="20" t="n">
        <x:f>VLOOKUP(C1328,'Governorate Master'!$A$2:$Q$13,6,FALSE)</x:f>
        <x:v>0.7695945945945946</x:v>
      </x:c>
      <x:c r="I1328" s="20" t="n">
        <x:f>VLOOKUP(C1328,'Governorate Master'!$A$2:$Q$13,15,FALSE)</x:f>
        <x:v>-0.06527415143603134</x:v>
      </x:c>
      <x:c r="J1328" s="12" t="str">
        <x:v>Location model input - competition/saturation context</x:v>
      </x:c>
      <x:c r="K1328" s="12" t="str">
        <x:v>Business count is from 2018 while population/context indicators are newer; use as a historical proxy, not a current market count.</x:v>
      </x:c>
    </x:row>
    <x:row r="1329">
      <x:c r="A1329" s="12" t="str">
        <x:v>3315</x:v>
      </x:c>
      <x:c r="B1329" s="12" t="str">
        <x:v>Repair of transport equipment, except motor vehicles</x:v>
      </x:c>
      <x:c r="C1329" s="12" t="str">
        <x:v>عجلون</x:v>
      </x:c>
      <x:c r="D1329" s="14" t="n">
        <x:v>0</x:v>
      </x:c>
      <x:c r="E1329" s="14" t="n">
        <x:f>VLOOKUP(C1329,'Governorate Master'!$A$2:$Q$13,3,FALSE)</x:f>
        <x:v>219900</x:v>
      </x:c>
      <x:c r="F1329" s="66" t="n">
        <x:f>IF(E1329=0,0,D1329/E1329*10000)</x:f>
        <x:v>0</x:v>
      </x:c>
      <x:c r="G1329" s="67" t="n">
        <x:f>VLOOKUP(C1329,'Governorate Master'!$A$2:$Q$13,7,FALSE)</x:f>
        <x:v>524</x:v>
      </x:c>
      <x:c r="H1329" s="20" t="n">
        <x:f>VLOOKUP(C1329,'Governorate Master'!$A$2:$Q$13,6,FALSE)</x:f>
        <x:v>0.8390177353342428</x:v>
      </x:c>
      <x:c r="I1329" s="20" t="n">
        <x:f>VLOOKUP(C1329,'Governorate Master'!$A$2:$Q$13,15,FALSE)</x:f>
        <x:v>0.03614457831325301</x:v>
      </x:c>
      <x:c r="J1329" s="12" t="str">
        <x:v>Location model input - competition/saturation context</x:v>
      </x:c>
      <x:c r="K1329" s="12" t="str">
        <x:v>Business count is from 2018 while population/context indicators are newer; use as a historical proxy, not a current market count.</x:v>
      </x:c>
    </x:row>
    <x:row r="1330">
      <x:c r="A1330" s="12" t="str">
        <x:v>3315</x:v>
      </x:c>
      <x:c r="B1330" s="12" t="str">
        <x:v>Repair of transport equipment, except motor vehicles</x:v>
      </x:c>
      <x:c r="C1330" s="12" t="str">
        <x:v>الكرك</x:v>
      </x:c>
      <x:c r="D1330" s="14" t="n">
        <x:v>0</x:v>
      </x:c>
      <x:c r="E1330" s="14" t="n">
        <x:f>VLOOKUP(C1330,'Governorate Master'!$A$2:$Q$13,3,FALSE)</x:f>
        <x:v>395400</x:v>
      </x:c>
      <x:c r="F1330" s="66" t="n">
        <x:f>IF(E1330=0,0,D1330/E1330*10000)</x:f>
        <x:v>0</x:v>
      </x:c>
      <x:c r="G1330" s="67" t="n">
        <x:f>VLOOKUP(C1330,'Governorate Master'!$A$2:$Q$13,7,FALSE)</x:f>
        <x:v>113.1</x:v>
      </x:c>
      <x:c r="H1330" s="20" t="n">
        <x:f>VLOOKUP(C1330,'Governorate Master'!$A$2:$Q$13,6,FALSE)</x:f>
        <x:v>0.5912999494183105</x:v>
      </x:c>
      <x:c r="I1330" s="20" t="n">
        <x:f>VLOOKUP(C1330,'Governorate Master'!$A$2:$Q$13,15,FALSE)</x:f>
        <x:v>0.08710801393728224</x:v>
      </x:c>
      <x:c r="J1330" s="12" t="str">
        <x:v>Location model input - competition/saturation context</x:v>
      </x:c>
      <x:c r="K1330" s="12" t="str">
        <x:v>Business count is from 2018 while population/context indicators are newer; use as a historical proxy, not a current market count.</x:v>
      </x:c>
    </x:row>
    <x:row r="1331">
      <x:c r="A1331" s="12" t="str">
        <x:v>3315</x:v>
      </x:c>
      <x:c r="B1331" s="12" t="str">
        <x:v>Repair of transport equipment, except motor vehicles</x:v>
      </x:c>
      <x:c r="C1331" s="12" t="str">
        <x:v>الطفيلة</x:v>
      </x:c>
      <x:c r="D1331" s="14" t="n">
        <x:v>0</x:v>
      </x:c>
      <x:c r="E1331" s="14" t="n">
        <x:f>VLOOKUP(C1331,'Governorate Master'!$A$2:$Q$13,3,FALSE)</x:f>
        <x:v>120300</x:v>
      </x:c>
      <x:c r="F1331" s="66" t="n">
        <x:f>IF(E1331=0,0,D1331/E1331*10000)</x:f>
        <x:v>0</x:v>
      </x:c>
      <x:c r="G1331" s="67" t="n">
        <x:f>VLOOKUP(C1331,'Governorate Master'!$A$2:$Q$13,7,FALSE)</x:f>
        <x:v>54.4</x:v>
      </x:c>
      <x:c r="H1331" s="20" t="n">
        <x:f>VLOOKUP(C1331,'Governorate Master'!$A$2:$Q$13,6,FALSE)</x:f>
        <x:v>0.7797173732335827</x:v>
      </x:c>
      <x:c r="I1331" s="20" t="n">
        <x:f>VLOOKUP(C1331,'Governorate Master'!$A$2:$Q$13,15,FALSE)</x:f>
        <x:v>0.18452380952380953</x:v>
      </x:c>
      <x:c r="J1331" s="12" t="str">
        <x:v>Location model input - competition/saturation context</x:v>
      </x:c>
      <x:c r="K1331" s="12" t="str">
        <x:v>Business count is from 2018 while population/context indicators are newer; use as a historical proxy, not a current market count.</x:v>
      </x:c>
    </x:row>
    <x:row r="1332">
      <x:c r="A1332" s="12" t="str">
        <x:v>3315</x:v>
      </x:c>
      <x:c r="B1332" s="12" t="str">
        <x:v>Repair of transport equipment, except motor vehicles</x:v>
      </x:c>
      <x:c r="C1332" s="12" t="str">
        <x:v>معان</x:v>
      </x:c>
      <x:c r="D1332" s="14" t="n">
        <x:v>0</x:v>
      </x:c>
      <x:c r="E1332" s="14" t="n">
        <x:f>VLOOKUP(C1332,'Governorate Master'!$A$2:$Q$13,3,FALSE)</x:f>
        <x:v>197900</x:v>
      </x:c>
      <x:c r="F1332" s="66" t="n">
        <x:f>IF(E1332=0,0,D1332/E1332*10000)</x:f>
        <x:v>0</x:v>
      </x:c>
      <x:c r="G1332" s="67" t="n">
        <x:f>VLOOKUP(C1332,'Governorate Master'!$A$2:$Q$13,7,FALSE)</x:f>
        <x:v>6</x:v>
      </x:c>
      <x:c r="H1332" s="20" t="n">
        <x:f>VLOOKUP(C1332,'Governorate Master'!$A$2:$Q$13,6,FALSE)</x:f>
        <x:v>0.5406771096513391</x:v>
      </x:c>
      <x:c r="I1332" s="20" t="n">
        <x:f>VLOOKUP(C1332,'Governorate Master'!$A$2:$Q$13,15,FALSE)</x:f>
        <x:v>0.026845637583892617</x:v>
      </x:c>
      <x:c r="J1332" s="12" t="str">
        <x:v>Location model input - competition/saturation context</x:v>
      </x:c>
      <x:c r="K1332" s="12" t="str">
        <x:v>Business count is from 2018 while population/context indicators are newer; use as a historical proxy, not a current market count.</x:v>
      </x:c>
    </x:row>
    <x:row r="1333">
      <x:c r="A1333" s="12" t="str">
        <x:v>3315</x:v>
      </x:c>
      <x:c r="B1333" s="12" t="str">
        <x:v>Repair of transport equipment, except motor vehicles</x:v>
      </x:c>
      <x:c r="C1333" s="12" t="str">
        <x:v>العقبة</x:v>
      </x:c>
      <x:c r="D1333" s="14" t="n">
        <x:v>8</x:v>
      </x:c>
      <x:c r="E1333" s="14" t="n">
        <x:f>VLOOKUP(C1333,'Governorate Master'!$A$2:$Q$13,3,FALSE)</x:f>
        <x:v>250900</x:v>
      </x:c>
      <x:c r="F1333" s="66" t="n">
        <x:f>IF(E1333=0,0,D1333/E1333*10000)</x:f>
        <x:v>0.3188521323236349</x:v>
      </x:c>
      <x:c r="G1333" s="67" t="n">
        <x:f>VLOOKUP(C1333,'Governorate Master'!$A$2:$Q$13,7,FALSE)</x:f>
        <x:v>36.3</x:v>
      </x:c>
      <x:c r="H1333" s="20" t="n">
        <x:f>VLOOKUP(C1333,'Governorate Master'!$A$2:$Q$13,6,FALSE)</x:f>
        <x:v>0.882024711040255</x:v>
      </x:c>
      <x:c r="I1333" s="20" t="n">
        <x:f>VLOOKUP(C1333,'Governorate Master'!$A$2:$Q$13,15,FALSE)</x:f>
        <x:v>-0.09</x:v>
      </x:c>
      <x:c r="J1333" s="12" t="str">
        <x:v>Location model input - competition/saturation context</x:v>
      </x:c>
      <x:c r="K1333" s="12" t="str">
        <x:v>Business count is from 2018 while population/context indicators are newer; use as a historical proxy, not a current market count.</x:v>
      </x:c>
    </x:row>
    <x:row r="1334">
      <x:c r="A1334" s="12" t="str">
        <x:v>3319</x:v>
      </x:c>
      <x:c r="B1334" s="12" t="str">
        <x:v>Repair of other equipment</x:v>
      </x:c>
      <x:c r="C1334" s="12" t="str">
        <x:v>عمان</x:v>
      </x:c>
      <x:c r="D1334" s="14" t="n">
        <x:v>8</x:v>
      </x:c>
      <x:c r="E1334" s="14" t="n">
        <x:f>VLOOKUP(C1334,'Governorate Master'!$A$2:$Q$13,3,FALSE)</x:f>
        <x:v>5004600</x:v>
      </x:c>
      <x:c r="F1334" s="66" t="n">
        <x:f>IF(E1334=0,0,D1334/E1334*10000)</x:f>
        <x:v>0.015985293529952444</x:v>
      </x:c>
      <x:c r="G1334" s="67" t="n">
        <x:f>VLOOKUP(C1334,'Governorate Master'!$A$2:$Q$13,7,FALSE)</x:f>
        <x:v>660.3</x:v>
      </x:c>
      <x:c r="H1334" s="20" t="n">
        <x:f>VLOOKUP(C1334,'Governorate Master'!$A$2:$Q$13,6,FALSE)</x:f>
        <x:v>0.9721656076409703</x:v>
      </x:c>
      <x:c r="I1334" s="20" t="n">
        <x:f>VLOOKUP(C1334,'Governorate Master'!$A$2:$Q$13,15,FALSE)</x:f>
        <x:v>0.06367041198501873</x:v>
      </x:c>
      <x:c r="J1334" s="12" t="str">
        <x:v>Location model input - competition/saturation context</x:v>
      </x:c>
      <x:c r="K1334" s="12" t="str">
        <x:v>Business count is from 2018 while population/context indicators are newer; use as a historical proxy, not a current market count.</x:v>
      </x:c>
    </x:row>
    <x:row r="1335">
      <x:c r="A1335" s="12" t="str">
        <x:v>3319</x:v>
      </x:c>
      <x:c r="B1335" s="12" t="str">
        <x:v>Repair of other equipment</x:v>
      </x:c>
      <x:c r="C1335" s="12" t="str">
        <x:v>البلقاء</x:v>
      </x:c>
      <x:c r="D1335" s="14" t="n">
        <x:v>1</x:v>
      </x:c>
      <x:c r="E1335" s="14" t="n">
        <x:f>VLOOKUP(C1335,'Governorate Master'!$A$2:$Q$13,3,FALSE)</x:f>
        <x:v>614000</x:v>
      </x:c>
      <x:c r="F1335" s="66" t="n">
        <x:f>IF(E1335=0,0,D1335/E1335*10000)</x:f>
        <x:v>0.016286644951140065</x:v>
      </x:c>
      <x:c r="G1335" s="67" t="n">
        <x:f>VLOOKUP(C1335,'Governorate Master'!$A$2:$Q$13,7,FALSE)</x:f>
        <x:v>548</x:v>
      </x:c>
      <x:c r="H1335" s="20" t="n">
        <x:f>VLOOKUP(C1335,'Governorate Master'!$A$2:$Q$13,6,FALSE)</x:f>
        <x:v>0.8210097719869707</x:v>
      </x:c>
      <x:c r="I1335" s="20" t="n">
        <x:f>VLOOKUP(C1335,'Governorate Master'!$A$2:$Q$13,15,FALSE)</x:f>
        <x:v>0.10794044665012408</x:v>
      </x:c>
      <x:c r="J1335" s="12" t="str">
        <x:v>Location model input - competition/saturation context</x:v>
      </x:c>
      <x:c r="K1335" s="12" t="str">
        <x:v>Business count is from 2018 while population/context indicators are newer; use as a historical proxy, not a current market count.</x:v>
      </x:c>
    </x:row>
    <x:row r="1336">
      <x:c r="A1336" s="12" t="str">
        <x:v>3319</x:v>
      </x:c>
      <x:c r="B1336" s="12" t="str">
        <x:v>Repair of other equipment</x:v>
      </x:c>
      <x:c r="C1336" s="12" t="str">
        <x:v>الزرقاء</x:v>
      </x:c>
      <x:c r="D1336" s="14" t="n">
        <x:v>0</x:v>
      </x:c>
      <x:c r="E1336" s="14" t="n">
        <x:f>VLOOKUP(C1336,'Governorate Master'!$A$2:$Q$13,3,FALSE)</x:f>
        <x:v>1704500</x:v>
      </x:c>
      <x:c r="F1336" s="66" t="n">
        <x:f>IF(E1336=0,0,D1336/E1336*10000)</x:f>
        <x:v>0</x:v>
      </x:c>
      <x:c r="G1336" s="67" t="n">
        <x:f>VLOOKUP(C1336,'Governorate Master'!$A$2:$Q$13,7,FALSE)</x:f>
        <x:v>358</x:v>
      </x:c>
      <x:c r="H1336" s="20" t="n">
        <x:f>VLOOKUP(C1336,'Governorate Master'!$A$2:$Q$13,6,FALSE)</x:f>
        <x:v>0.9636256966852449</x:v>
      </x:c>
      <x:c r="I1336" s="20" t="n">
        <x:f>VLOOKUP(C1336,'Governorate Master'!$A$2:$Q$13,15,FALSE)</x:f>
        <x:v>-0.06808762581409118</x:v>
      </x:c>
      <x:c r="J1336" s="12" t="str">
        <x:v>Location model input - competition/saturation context</x:v>
      </x:c>
      <x:c r="K1336" s="12" t="str">
        <x:v>Business count is from 2018 while population/context indicators are newer; use as a historical proxy, not a current market count.</x:v>
      </x:c>
    </x:row>
    <x:row r="1337">
      <x:c r="A1337" s="12" t="str">
        <x:v>3319</x:v>
      </x:c>
      <x:c r="B1337" s="12" t="str">
        <x:v>Repair of other equipment</x:v>
      </x:c>
      <x:c r="C1337" s="12" t="str">
        <x:v>مادبا</x:v>
      </x:c>
      <x:c r="D1337" s="14" t="n">
        <x:v>0</x:v>
      </x:c>
      <x:c r="E1337" s="14" t="n">
        <x:f>VLOOKUP(C1337,'Governorate Master'!$A$2:$Q$13,3,FALSE)</x:f>
        <x:v>236200</x:v>
      </x:c>
      <x:c r="F1337" s="66" t="n">
        <x:f>IF(E1337=0,0,D1337/E1337*10000)</x:f>
        <x:v>0</x:v>
      </x:c>
      <x:c r="G1337" s="67" t="n">
        <x:f>VLOOKUP(C1337,'Governorate Master'!$A$2:$Q$13,7,FALSE)</x:f>
        <x:v>251.4</x:v>
      </x:c>
      <x:c r="H1337" s="20" t="n">
        <x:f>VLOOKUP(C1337,'Governorate Master'!$A$2:$Q$13,6,FALSE)</x:f>
        <x:v>0.7823878069432684</x:v>
      </x:c>
      <x:c r="I1337" s="20" t="n">
        <x:f>VLOOKUP(C1337,'Governorate Master'!$A$2:$Q$13,15,FALSE)</x:f>
        <x:v>-0.18823529411764706</x:v>
      </x:c>
      <x:c r="J1337" s="12" t="str">
        <x:v>Location model input - competition/saturation context</x:v>
      </x:c>
      <x:c r="K1337" s="12" t="str">
        <x:v>Business count is from 2018 while population/context indicators are newer; use as a historical proxy, not a current market count.</x:v>
      </x:c>
    </x:row>
    <x:row r="1338">
      <x:c r="A1338" s="12" t="str">
        <x:v>3319</x:v>
      </x:c>
      <x:c r="B1338" s="12" t="str">
        <x:v>Repair of other equipment</x:v>
      </x:c>
      <x:c r="C1338" s="12" t="str">
        <x:v>إربد</x:v>
      </x:c>
      <x:c r="D1338" s="14" t="n">
        <x:v>0</x:v>
      </x:c>
      <x:c r="E1338" s="14" t="n">
        <x:f>VLOOKUP(C1338,'Governorate Master'!$A$2:$Q$13,3,FALSE)</x:f>
        <x:v>2210500</x:v>
      </x:c>
      <x:c r="F1338" s="66" t="n">
        <x:f>IF(E1338=0,0,D1338/E1338*10000)</x:f>
        <x:v>0</x:v>
      </x:c>
      <x:c r="G1338" s="67" t="n">
        <x:f>VLOOKUP(C1338,'Governorate Master'!$A$2:$Q$13,7,FALSE)</x:f>
        <x:v>1406.4</x:v>
      </x:c>
      <x:c r="H1338" s="20" t="n">
        <x:f>VLOOKUP(C1338,'Governorate Master'!$A$2:$Q$13,6,FALSE)</x:f>
        <x:v>0.9235014702555983</x:v>
      </x:c>
      <x:c r="I1338" s="20" t="n">
        <x:f>VLOOKUP(C1338,'Governorate Master'!$A$2:$Q$13,15,FALSE)</x:f>
        <x:v>0.07086922474549726</x:v>
      </x:c>
      <x:c r="J1338" s="12" t="str">
        <x:v>Location model input - competition/saturation context</x:v>
      </x:c>
      <x:c r="K1338" s="12" t="str">
        <x:v>Business count is from 2018 while population/context indicators are newer; use as a historical proxy, not a current market count.</x:v>
      </x:c>
    </x:row>
    <x:row r="1339">
      <x:c r="A1339" s="12" t="str">
        <x:v>3319</x:v>
      </x:c>
      <x:c r="B1339" s="12" t="str">
        <x:v>Repair of other equipment</x:v>
      </x:c>
      <x:c r="C1339" s="12" t="str">
        <x:v>المفرق</x:v>
      </x:c>
      <x:c r="D1339" s="14" t="n">
        <x:v>0</x:v>
      </x:c>
      <x:c r="E1339" s="14" t="n">
        <x:f>VLOOKUP(C1339,'Governorate Master'!$A$2:$Q$13,3,FALSE)</x:f>
        <x:v>686800</x:v>
      </x:c>
      <x:c r="F1339" s="66" t="n">
        <x:f>IF(E1339=0,0,D1339/E1339*10000)</x:f>
        <x:v>0</x:v>
      </x:c>
      <x:c r="G1339" s="67" t="n">
        <x:f>VLOOKUP(C1339,'Governorate Master'!$A$2:$Q$13,7,FALSE)</x:f>
        <x:v>25.9</x:v>
      </x:c>
      <x:c r="H1339" s="20" t="n">
        <x:f>VLOOKUP(C1339,'Governorate Master'!$A$2:$Q$13,6,FALSE)</x:f>
        <x:v>0.6965637740244612</x:v>
      </x:c>
      <x:c r="I1339" s="20" t="n">
        <x:f>VLOOKUP(C1339,'Governorate Master'!$A$2:$Q$13,15,FALSE)</x:f>
        <x:v>-0.016638935108153077</x:v>
      </x:c>
      <x:c r="J1339" s="12" t="str">
        <x:v>Location model input - competition/saturation context</x:v>
      </x:c>
      <x:c r="K1339" s="12" t="str">
        <x:v>Business count is from 2018 while population/context indicators are newer; use as a historical proxy, not a current market count.</x:v>
      </x:c>
    </x:row>
    <x:row r="1340">
      <x:c r="A1340" s="12" t="str">
        <x:v>3319</x:v>
      </x:c>
      <x:c r="B1340" s="12" t="str">
        <x:v>Repair of other equipment</x:v>
      </x:c>
      <x:c r="C1340" s="12" t="str">
        <x:v>جرش</x:v>
      </x:c>
      <x:c r="D1340" s="14" t="n">
        <x:v>0</x:v>
      </x:c>
      <x:c r="E1340" s="14" t="n">
        <x:f>VLOOKUP(C1340,'Governorate Master'!$A$2:$Q$13,3,FALSE)</x:f>
        <x:v>296000</x:v>
      </x:c>
      <x:c r="F1340" s="66" t="n">
        <x:f>IF(E1340=0,0,D1340/E1340*10000)</x:f>
        <x:v>0</x:v>
      </x:c>
      <x:c r="G1340" s="67" t="n">
        <x:f>VLOOKUP(C1340,'Governorate Master'!$A$2:$Q$13,7,FALSE)</x:f>
        <x:v>722.3</x:v>
      </x:c>
      <x:c r="H1340" s="20" t="n">
        <x:f>VLOOKUP(C1340,'Governorate Master'!$A$2:$Q$13,6,FALSE)</x:f>
        <x:v>0.7695945945945946</x:v>
      </x:c>
      <x:c r="I1340" s="20" t="n">
        <x:f>VLOOKUP(C1340,'Governorate Master'!$A$2:$Q$13,15,FALSE)</x:f>
        <x:v>-0.06527415143603134</x:v>
      </x:c>
      <x:c r="J1340" s="12" t="str">
        <x:v>Location model input - competition/saturation context</x:v>
      </x:c>
      <x:c r="K1340" s="12" t="str">
        <x:v>Business count is from 2018 while population/context indicators are newer; use as a historical proxy, not a current market count.</x:v>
      </x:c>
    </x:row>
    <x:row r="1341">
      <x:c r="A1341" s="12" t="str">
        <x:v>3319</x:v>
      </x:c>
      <x:c r="B1341" s="12" t="str">
        <x:v>Repair of other equipment</x:v>
      </x:c>
      <x:c r="C1341" s="12" t="str">
        <x:v>عجلون</x:v>
      </x:c>
      <x:c r="D1341" s="14" t="n">
        <x:v>0</x:v>
      </x:c>
      <x:c r="E1341" s="14" t="n">
        <x:f>VLOOKUP(C1341,'Governorate Master'!$A$2:$Q$13,3,FALSE)</x:f>
        <x:v>219900</x:v>
      </x:c>
      <x:c r="F1341" s="66" t="n">
        <x:f>IF(E1341=0,0,D1341/E1341*10000)</x:f>
        <x:v>0</x:v>
      </x:c>
      <x:c r="G1341" s="67" t="n">
        <x:f>VLOOKUP(C1341,'Governorate Master'!$A$2:$Q$13,7,FALSE)</x:f>
        <x:v>524</x:v>
      </x:c>
      <x:c r="H1341" s="20" t="n">
        <x:f>VLOOKUP(C1341,'Governorate Master'!$A$2:$Q$13,6,FALSE)</x:f>
        <x:v>0.8390177353342428</x:v>
      </x:c>
      <x:c r="I1341" s="20" t="n">
        <x:f>VLOOKUP(C1341,'Governorate Master'!$A$2:$Q$13,15,FALSE)</x:f>
        <x:v>0.03614457831325301</x:v>
      </x:c>
      <x:c r="J1341" s="12" t="str">
        <x:v>Location model input - competition/saturation context</x:v>
      </x:c>
      <x:c r="K1341" s="12" t="str">
        <x:v>Business count is from 2018 while population/context indicators are newer; use as a historical proxy, not a current market count.</x:v>
      </x:c>
    </x:row>
    <x:row r="1342">
      <x:c r="A1342" s="12" t="str">
        <x:v>3319</x:v>
      </x:c>
      <x:c r="B1342" s="12" t="str">
        <x:v>Repair of other equipment</x:v>
      </x:c>
      <x:c r="C1342" s="12" t="str">
        <x:v>الكرك</x:v>
      </x:c>
      <x:c r="D1342" s="14" t="n">
        <x:v>0</x:v>
      </x:c>
      <x:c r="E1342" s="14" t="n">
        <x:f>VLOOKUP(C1342,'Governorate Master'!$A$2:$Q$13,3,FALSE)</x:f>
        <x:v>395400</x:v>
      </x:c>
      <x:c r="F1342" s="66" t="n">
        <x:f>IF(E1342=0,0,D1342/E1342*10000)</x:f>
        <x:v>0</x:v>
      </x:c>
      <x:c r="G1342" s="67" t="n">
        <x:f>VLOOKUP(C1342,'Governorate Master'!$A$2:$Q$13,7,FALSE)</x:f>
        <x:v>113.1</x:v>
      </x:c>
      <x:c r="H1342" s="20" t="n">
        <x:f>VLOOKUP(C1342,'Governorate Master'!$A$2:$Q$13,6,FALSE)</x:f>
        <x:v>0.5912999494183105</x:v>
      </x:c>
      <x:c r="I1342" s="20" t="n">
        <x:f>VLOOKUP(C1342,'Governorate Master'!$A$2:$Q$13,15,FALSE)</x:f>
        <x:v>0.08710801393728224</x:v>
      </x:c>
      <x:c r="J1342" s="12" t="str">
        <x:v>Location model input - competition/saturation context</x:v>
      </x:c>
      <x:c r="K1342" s="12" t="str">
        <x:v>Business count is from 2018 while population/context indicators are newer; use as a historical proxy, not a current market count.</x:v>
      </x:c>
    </x:row>
    <x:row r="1343">
      <x:c r="A1343" s="12" t="str">
        <x:v>3319</x:v>
      </x:c>
      <x:c r="B1343" s="12" t="str">
        <x:v>Repair of other equipment</x:v>
      </x:c>
      <x:c r="C1343" s="12" t="str">
        <x:v>الطفيلة</x:v>
      </x:c>
      <x:c r="D1343" s="14" t="n">
        <x:v>0</x:v>
      </x:c>
      <x:c r="E1343" s="14" t="n">
        <x:f>VLOOKUP(C1343,'Governorate Master'!$A$2:$Q$13,3,FALSE)</x:f>
        <x:v>120300</x:v>
      </x:c>
      <x:c r="F1343" s="66" t="n">
        <x:f>IF(E1343=0,0,D1343/E1343*10000)</x:f>
        <x:v>0</x:v>
      </x:c>
      <x:c r="G1343" s="67" t="n">
        <x:f>VLOOKUP(C1343,'Governorate Master'!$A$2:$Q$13,7,FALSE)</x:f>
        <x:v>54.4</x:v>
      </x:c>
      <x:c r="H1343" s="20" t="n">
        <x:f>VLOOKUP(C1343,'Governorate Master'!$A$2:$Q$13,6,FALSE)</x:f>
        <x:v>0.7797173732335827</x:v>
      </x:c>
      <x:c r="I1343" s="20" t="n">
        <x:f>VLOOKUP(C1343,'Governorate Master'!$A$2:$Q$13,15,FALSE)</x:f>
        <x:v>0.18452380952380953</x:v>
      </x:c>
      <x:c r="J1343" s="12" t="str">
        <x:v>Location model input - competition/saturation context</x:v>
      </x:c>
      <x:c r="K1343" s="12" t="str">
        <x:v>Business count is from 2018 while population/context indicators are newer; use as a historical proxy, not a current market count.</x:v>
      </x:c>
    </x:row>
    <x:row r="1344">
      <x:c r="A1344" s="12" t="str">
        <x:v>3319</x:v>
      </x:c>
      <x:c r="B1344" s="12" t="str">
        <x:v>Repair of other equipment</x:v>
      </x:c>
      <x:c r="C1344" s="12" t="str">
        <x:v>معان</x:v>
      </x:c>
      <x:c r="D1344" s="14" t="n">
        <x:v>0</x:v>
      </x:c>
      <x:c r="E1344" s="14" t="n">
        <x:f>VLOOKUP(C1344,'Governorate Master'!$A$2:$Q$13,3,FALSE)</x:f>
        <x:v>197900</x:v>
      </x:c>
      <x:c r="F1344" s="66" t="n">
        <x:f>IF(E1344=0,0,D1344/E1344*10000)</x:f>
        <x:v>0</x:v>
      </x:c>
      <x:c r="G1344" s="67" t="n">
        <x:f>VLOOKUP(C1344,'Governorate Master'!$A$2:$Q$13,7,FALSE)</x:f>
        <x:v>6</x:v>
      </x:c>
      <x:c r="H1344" s="20" t="n">
        <x:f>VLOOKUP(C1344,'Governorate Master'!$A$2:$Q$13,6,FALSE)</x:f>
        <x:v>0.5406771096513391</x:v>
      </x:c>
      <x:c r="I1344" s="20" t="n">
        <x:f>VLOOKUP(C1344,'Governorate Master'!$A$2:$Q$13,15,FALSE)</x:f>
        <x:v>0.026845637583892617</x:v>
      </x:c>
      <x:c r="J1344" s="12" t="str">
        <x:v>Location model input - competition/saturation context</x:v>
      </x:c>
      <x:c r="K1344" s="12" t="str">
        <x:v>Business count is from 2018 while population/context indicators are newer; use as a historical proxy, not a current market count.</x:v>
      </x:c>
    </x:row>
    <x:row r="1345">
      <x:c r="A1345" s="12" t="str">
        <x:v>3319</x:v>
      </x:c>
      <x:c r="B1345" s="12" t="str">
        <x:v>Repair of other equipment</x:v>
      </x:c>
      <x:c r="C1345" s="12" t="str">
        <x:v>العقبة</x:v>
      </x:c>
      <x:c r="D1345" s="14" t="n">
        <x:v>0</x:v>
      </x:c>
      <x:c r="E1345" s="14" t="n">
        <x:f>VLOOKUP(C1345,'Governorate Master'!$A$2:$Q$13,3,FALSE)</x:f>
        <x:v>250900</x:v>
      </x:c>
      <x:c r="F1345" s="66" t="n">
        <x:f>IF(E1345=0,0,D1345/E1345*10000)</x:f>
        <x:v>0</x:v>
      </x:c>
      <x:c r="G1345" s="67" t="n">
        <x:f>VLOOKUP(C1345,'Governorate Master'!$A$2:$Q$13,7,FALSE)</x:f>
        <x:v>36.3</x:v>
      </x:c>
      <x:c r="H1345" s="20" t="n">
        <x:f>VLOOKUP(C1345,'Governorate Master'!$A$2:$Q$13,6,FALSE)</x:f>
        <x:v>0.882024711040255</x:v>
      </x:c>
      <x:c r="I1345" s="20" t="n">
        <x:f>VLOOKUP(C1345,'Governorate Master'!$A$2:$Q$13,15,FALSE)</x:f>
        <x:v>-0.09</x:v>
      </x:c>
      <x:c r="J1345" s="12" t="str">
        <x:v>Location model input - competition/saturation context</x:v>
      </x:c>
      <x:c r="K1345" s="12" t="str">
        <x:v>Business count is from 2018 while population/context indicators are newer; use as a historical proxy, not a current market count.</x:v>
      </x:c>
    </x:row>
    <x:row r="1346">
      <x:c r="A1346" s="12" t="str">
        <x:v>3320</x:v>
      </x:c>
      <x:c r="B1346" s="12" t="str">
        <x:v>Installation of industrial machinery and equipment</x:v>
      </x:c>
      <x:c r="C1346" s="12" t="str">
        <x:v>عمان</x:v>
      </x:c>
      <x:c r="D1346" s="14" t="n">
        <x:v>5</x:v>
      </x:c>
      <x:c r="E1346" s="14" t="n">
        <x:f>VLOOKUP(C1346,'Governorate Master'!$A$2:$Q$13,3,FALSE)</x:f>
        <x:v>5004600</x:v>
      </x:c>
      <x:c r="F1346" s="66" t="n">
        <x:f>IF(E1346=0,0,D1346/E1346*10000)</x:f>
        <x:v>0.009990808456220277</x:v>
      </x:c>
      <x:c r="G1346" s="67" t="n">
        <x:f>VLOOKUP(C1346,'Governorate Master'!$A$2:$Q$13,7,FALSE)</x:f>
        <x:v>660.3</x:v>
      </x:c>
      <x:c r="H1346" s="20" t="n">
        <x:f>VLOOKUP(C1346,'Governorate Master'!$A$2:$Q$13,6,FALSE)</x:f>
        <x:v>0.9721656076409703</x:v>
      </x:c>
      <x:c r="I1346" s="20" t="n">
        <x:f>VLOOKUP(C1346,'Governorate Master'!$A$2:$Q$13,15,FALSE)</x:f>
        <x:v>0.06367041198501873</x:v>
      </x:c>
      <x:c r="J1346" s="12" t="str">
        <x:v>Location model input - competition/saturation context</x:v>
      </x:c>
      <x:c r="K1346" s="12" t="str">
        <x:v>Business count is from 2018 while population/context indicators are newer; use as a historical proxy, not a current market count.</x:v>
      </x:c>
    </x:row>
    <x:row r="1347">
      <x:c r="A1347" s="12" t="str">
        <x:v>3320</x:v>
      </x:c>
      <x:c r="B1347" s="12" t="str">
        <x:v>Installation of industrial machinery and equipment</x:v>
      </x:c>
      <x:c r="C1347" s="12" t="str">
        <x:v>البلقاء</x:v>
      </x:c>
      <x:c r="D1347" s="14" t="n">
        <x:v>0</x:v>
      </x:c>
      <x:c r="E1347" s="14" t="n">
        <x:f>VLOOKUP(C1347,'Governorate Master'!$A$2:$Q$13,3,FALSE)</x:f>
        <x:v>614000</x:v>
      </x:c>
      <x:c r="F1347" s="66" t="n">
        <x:f>IF(E1347=0,0,D1347/E1347*10000)</x:f>
        <x:v>0</x:v>
      </x:c>
      <x:c r="G1347" s="67" t="n">
        <x:f>VLOOKUP(C1347,'Governorate Master'!$A$2:$Q$13,7,FALSE)</x:f>
        <x:v>548</x:v>
      </x:c>
      <x:c r="H1347" s="20" t="n">
        <x:f>VLOOKUP(C1347,'Governorate Master'!$A$2:$Q$13,6,FALSE)</x:f>
        <x:v>0.8210097719869707</x:v>
      </x:c>
      <x:c r="I1347" s="20" t="n">
        <x:f>VLOOKUP(C1347,'Governorate Master'!$A$2:$Q$13,15,FALSE)</x:f>
        <x:v>0.10794044665012408</x:v>
      </x:c>
      <x:c r="J1347" s="12" t="str">
        <x:v>Location model input - competition/saturation context</x:v>
      </x:c>
      <x:c r="K1347" s="12" t="str">
        <x:v>Business count is from 2018 while population/context indicators are newer; use as a historical proxy, not a current market count.</x:v>
      </x:c>
    </x:row>
    <x:row r="1348">
      <x:c r="A1348" s="12" t="str">
        <x:v>3320</x:v>
      </x:c>
      <x:c r="B1348" s="12" t="str">
        <x:v>Installation of industrial machinery and equipment</x:v>
      </x:c>
      <x:c r="C1348" s="12" t="str">
        <x:v>الزرقاء</x:v>
      </x:c>
      <x:c r="D1348" s="14" t="n">
        <x:v>0</x:v>
      </x:c>
      <x:c r="E1348" s="14" t="n">
        <x:f>VLOOKUP(C1348,'Governorate Master'!$A$2:$Q$13,3,FALSE)</x:f>
        <x:v>1704500</x:v>
      </x:c>
      <x:c r="F1348" s="66" t="n">
        <x:f>IF(E1348=0,0,D1348/E1348*10000)</x:f>
        <x:v>0</x:v>
      </x:c>
      <x:c r="G1348" s="67" t="n">
        <x:f>VLOOKUP(C1348,'Governorate Master'!$A$2:$Q$13,7,FALSE)</x:f>
        <x:v>358</x:v>
      </x:c>
      <x:c r="H1348" s="20" t="n">
        <x:f>VLOOKUP(C1348,'Governorate Master'!$A$2:$Q$13,6,FALSE)</x:f>
        <x:v>0.9636256966852449</x:v>
      </x:c>
      <x:c r="I1348" s="20" t="n">
        <x:f>VLOOKUP(C1348,'Governorate Master'!$A$2:$Q$13,15,FALSE)</x:f>
        <x:v>-0.06808762581409118</x:v>
      </x:c>
      <x:c r="J1348" s="12" t="str">
        <x:v>Location model input - competition/saturation context</x:v>
      </x:c>
      <x:c r="K1348" s="12" t="str">
        <x:v>Business count is from 2018 while population/context indicators are newer; use as a historical proxy, not a current market count.</x:v>
      </x:c>
    </x:row>
    <x:row r="1349">
      <x:c r="A1349" s="12" t="str">
        <x:v>3320</x:v>
      </x:c>
      <x:c r="B1349" s="12" t="str">
        <x:v>Installation of industrial machinery and equipment</x:v>
      </x:c>
      <x:c r="C1349" s="12" t="str">
        <x:v>مادبا</x:v>
      </x:c>
      <x:c r="D1349" s="14" t="n">
        <x:v>0</x:v>
      </x:c>
      <x:c r="E1349" s="14" t="n">
        <x:f>VLOOKUP(C1349,'Governorate Master'!$A$2:$Q$13,3,FALSE)</x:f>
        <x:v>236200</x:v>
      </x:c>
      <x:c r="F1349" s="66" t="n">
        <x:f>IF(E1349=0,0,D1349/E1349*10000)</x:f>
        <x:v>0</x:v>
      </x:c>
      <x:c r="G1349" s="67" t="n">
        <x:f>VLOOKUP(C1349,'Governorate Master'!$A$2:$Q$13,7,FALSE)</x:f>
        <x:v>251.4</x:v>
      </x:c>
      <x:c r="H1349" s="20" t="n">
        <x:f>VLOOKUP(C1349,'Governorate Master'!$A$2:$Q$13,6,FALSE)</x:f>
        <x:v>0.7823878069432684</x:v>
      </x:c>
      <x:c r="I1349" s="20" t="n">
        <x:f>VLOOKUP(C1349,'Governorate Master'!$A$2:$Q$13,15,FALSE)</x:f>
        <x:v>-0.18823529411764706</x:v>
      </x:c>
      <x:c r="J1349" s="12" t="str">
        <x:v>Location model input - competition/saturation context</x:v>
      </x:c>
      <x:c r="K1349" s="12" t="str">
        <x:v>Business count is from 2018 while population/context indicators are newer; use as a historical proxy, not a current market count.</x:v>
      </x:c>
    </x:row>
    <x:row r="1350">
      <x:c r="A1350" s="12" t="str">
        <x:v>3320</x:v>
      </x:c>
      <x:c r="B1350" s="12" t="str">
        <x:v>Installation of industrial machinery and equipment</x:v>
      </x:c>
      <x:c r="C1350" s="12" t="str">
        <x:v>إربد</x:v>
      </x:c>
      <x:c r="D1350" s="14" t="n">
        <x:v>0</x:v>
      </x:c>
      <x:c r="E1350" s="14" t="n">
        <x:f>VLOOKUP(C1350,'Governorate Master'!$A$2:$Q$13,3,FALSE)</x:f>
        <x:v>2210500</x:v>
      </x:c>
      <x:c r="F1350" s="66" t="n">
        <x:f>IF(E1350=0,0,D1350/E1350*10000)</x:f>
        <x:v>0</x:v>
      </x:c>
      <x:c r="G1350" s="67" t="n">
        <x:f>VLOOKUP(C1350,'Governorate Master'!$A$2:$Q$13,7,FALSE)</x:f>
        <x:v>1406.4</x:v>
      </x:c>
      <x:c r="H1350" s="20" t="n">
        <x:f>VLOOKUP(C1350,'Governorate Master'!$A$2:$Q$13,6,FALSE)</x:f>
        <x:v>0.9235014702555983</x:v>
      </x:c>
      <x:c r="I1350" s="20" t="n">
        <x:f>VLOOKUP(C1350,'Governorate Master'!$A$2:$Q$13,15,FALSE)</x:f>
        <x:v>0.07086922474549726</x:v>
      </x:c>
      <x:c r="J1350" s="12" t="str">
        <x:v>Location model input - competition/saturation context</x:v>
      </x:c>
      <x:c r="K1350" s="12" t="str">
        <x:v>Business count is from 2018 while population/context indicators are newer; use as a historical proxy, not a current market count.</x:v>
      </x:c>
    </x:row>
    <x:row r="1351">
      <x:c r="A1351" s="12" t="str">
        <x:v>3320</x:v>
      </x:c>
      <x:c r="B1351" s="12" t="str">
        <x:v>Installation of industrial machinery and equipment</x:v>
      </x:c>
      <x:c r="C1351" s="12" t="str">
        <x:v>المفرق</x:v>
      </x:c>
      <x:c r="D1351" s="14" t="n">
        <x:v>0</x:v>
      </x:c>
      <x:c r="E1351" s="14" t="n">
        <x:f>VLOOKUP(C1351,'Governorate Master'!$A$2:$Q$13,3,FALSE)</x:f>
        <x:v>686800</x:v>
      </x:c>
      <x:c r="F1351" s="66" t="n">
        <x:f>IF(E1351=0,0,D1351/E1351*10000)</x:f>
        <x:v>0</x:v>
      </x:c>
      <x:c r="G1351" s="67" t="n">
        <x:f>VLOOKUP(C1351,'Governorate Master'!$A$2:$Q$13,7,FALSE)</x:f>
        <x:v>25.9</x:v>
      </x:c>
      <x:c r="H1351" s="20" t="n">
        <x:f>VLOOKUP(C1351,'Governorate Master'!$A$2:$Q$13,6,FALSE)</x:f>
        <x:v>0.6965637740244612</x:v>
      </x:c>
      <x:c r="I1351" s="20" t="n">
        <x:f>VLOOKUP(C1351,'Governorate Master'!$A$2:$Q$13,15,FALSE)</x:f>
        <x:v>-0.016638935108153077</x:v>
      </x:c>
      <x:c r="J1351" s="12" t="str">
        <x:v>Location model input - competition/saturation context</x:v>
      </x:c>
      <x:c r="K1351" s="12" t="str">
        <x:v>Business count is from 2018 while population/context indicators are newer; use as a historical proxy, not a current market count.</x:v>
      </x:c>
    </x:row>
    <x:row r="1352">
      <x:c r="A1352" s="12" t="str">
        <x:v>3320</x:v>
      </x:c>
      <x:c r="B1352" s="12" t="str">
        <x:v>Installation of industrial machinery and equipment</x:v>
      </x:c>
      <x:c r="C1352" s="12" t="str">
        <x:v>جرش</x:v>
      </x:c>
      <x:c r="D1352" s="14" t="n">
        <x:v>0</x:v>
      </x:c>
      <x:c r="E1352" s="14" t="n">
        <x:f>VLOOKUP(C1352,'Governorate Master'!$A$2:$Q$13,3,FALSE)</x:f>
        <x:v>296000</x:v>
      </x:c>
      <x:c r="F1352" s="66" t="n">
        <x:f>IF(E1352=0,0,D1352/E1352*10000)</x:f>
        <x:v>0</x:v>
      </x:c>
      <x:c r="G1352" s="67" t="n">
        <x:f>VLOOKUP(C1352,'Governorate Master'!$A$2:$Q$13,7,FALSE)</x:f>
        <x:v>722.3</x:v>
      </x:c>
      <x:c r="H1352" s="20" t="n">
        <x:f>VLOOKUP(C1352,'Governorate Master'!$A$2:$Q$13,6,FALSE)</x:f>
        <x:v>0.7695945945945946</x:v>
      </x:c>
      <x:c r="I1352" s="20" t="n">
        <x:f>VLOOKUP(C1352,'Governorate Master'!$A$2:$Q$13,15,FALSE)</x:f>
        <x:v>-0.06527415143603134</x:v>
      </x:c>
      <x:c r="J1352" s="12" t="str">
        <x:v>Location model input - competition/saturation context</x:v>
      </x:c>
      <x:c r="K1352" s="12" t="str">
        <x:v>Business count is from 2018 while population/context indicators are newer; use as a historical proxy, not a current market count.</x:v>
      </x:c>
    </x:row>
    <x:row r="1353">
      <x:c r="A1353" s="12" t="str">
        <x:v>3320</x:v>
      </x:c>
      <x:c r="B1353" s="12" t="str">
        <x:v>Installation of industrial machinery and equipment</x:v>
      </x:c>
      <x:c r="C1353" s="12" t="str">
        <x:v>عجلون</x:v>
      </x:c>
      <x:c r="D1353" s="14" t="n">
        <x:v>0</x:v>
      </x:c>
      <x:c r="E1353" s="14" t="n">
        <x:f>VLOOKUP(C1353,'Governorate Master'!$A$2:$Q$13,3,FALSE)</x:f>
        <x:v>219900</x:v>
      </x:c>
      <x:c r="F1353" s="66" t="n">
        <x:f>IF(E1353=0,0,D1353/E1353*10000)</x:f>
        <x:v>0</x:v>
      </x:c>
      <x:c r="G1353" s="67" t="n">
        <x:f>VLOOKUP(C1353,'Governorate Master'!$A$2:$Q$13,7,FALSE)</x:f>
        <x:v>524</x:v>
      </x:c>
      <x:c r="H1353" s="20" t="n">
        <x:f>VLOOKUP(C1353,'Governorate Master'!$A$2:$Q$13,6,FALSE)</x:f>
        <x:v>0.8390177353342428</x:v>
      </x:c>
      <x:c r="I1353" s="20" t="n">
        <x:f>VLOOKUP(C1353,'Governorate Master'!$A$2:$Q$13,15,FALSE)</x:f>
        <x:v>0.03614457831325301</x:v>
      </x:c>
      <x:c r="J1353" s="12" t="str">
        <x:v>Location model input - competition/saturation context</x:v>
      </x:c>
      <x:c r="K1353" s="12" t="str">
        <x:v>Business count is from 2018 while population/context indicators are newer; use as a historical proxy, not a current market count.</x:v>
      </x:c>
    </x:row>
    <x:row r="1354">
      <x:c r="A1354" s="12" t="str">
        <x:v>3320</x:v>
      </x:c>
      <x:c r="B1354" s="12" t="str">
        <x:v>Installation of industrial machinery and equipment</x:v>
      </x:c>
      <x:c r="C1354" s="12" t="str">
        <x:v>الكرك</x:v>
      </x:c>
      <x:c r="D1354" s="14" t="n">
        <x:v>0</x:v>
      </x:c>
      <x:c r="E1354" s="14" t="n">
        <x:f>VLOOKUP(C1354,'Governorate Master'!$A$2:$Q$13,3,FALSE)</x:f>
        <x:v>395400</x:v>
      </x:c>
      <x:c r="F1354" s="66" t="n">
        <x:f>IF(E1354=0,0,D1354/E1354*10000)</x:f>
        <x:v>0</x:v>
      </x:c>
      <x:c r="G1354" s="67" t="n">
        <x:f>VLOOKUP(C1354,'Governorate Master'!$A$2:$Q$13,7,FALSE)</x:f>
        <x:v>113.1</x:v>
      </x:c>
      <x:c r="H1354" s="20" t="n">
        <x:f>VLOOKUP(C1354,'Governorate Master'!$A$2:$Q$13,6,FALSE)</x:f>
        <x:v>0.5912999494183105</x:v>
      </x:c>
      <x:c r="I1354" s="20" t="n">
        <x:f>VLOOKUP(C1354,'Governorate Master'!$A$2:$Q$13,15,FALSE)</x:f>
        <x:v>0.08710801393728224</x:v>
      </x:c>
      <x:c r="J1354" s="12" t="str">
        <x:v>Location model input - competition/saturation context</x:v>
      </x:c>
      <x:c r="K1354" s="12" t="str">
        <x:v>Business count is from 2018 while population/context indicators are newer; use as a historical proxy, not a current market count.</x:v>
      </x:c>
    </x:row>
    <x:row r="1355">
      <x:c r="A1355" s="12" t="str">
        <x:v>3320</x:v>
      </x:c>
      <x:c r="B1355" s="12" t="str">
        <x:v>Installation of industrial machinery and equipment</x:v>
      </x:c>
      <x:c r="C1355" s="12" t="str">
        <x:v>الطفيلة</x:v>
      </x:c>
      <x:c r="D1355" s="14" t="n">
        <x:v>0</x:v>
      </x:c>
      <x:c r="E1355" s="14" t="n">
        <x:f>VLOOKUP(C1355,'Governorate Master'!$A$2:$Q$13,3,FALSE)</x:f>
        <x:v>120300</x:v>
      </x:c>
      <x:c r="F1355" s="66" t="n">
        <x:f>IF(E1355=0,0,D1355/E1355*10000)</x:f>
        <x:v>0</x:v>
      </x:c>
      <x:c r="G1355" s="67" t="n">
        <x:f>VLOOKUP(C1355,'Governorate Master'!$A$2:$Q$13,7,FALSE)</x:f>
        <x:v>54.4</x:v>
      </x:c>
      <x:c r="H1355" s="20" t="n">
        <x:f>VLOOKUP(C1355,'Governorate Master'!$A$2:$Q$13,6,FALSE)</x:f>
        <x:v>0.7797173732335827</x:v>
      </x:c>
      <x:c r="I1355" s="20" t="n">
        <x:f>VLOOKUP(C1355,'Governorate Master'!$A$2:$Q$13,15,FALSE)</x:f>
        <x:v>0.18452380952380953</x:v>
      </x:c>
      <x:c r="J1355" s="12" t="str">
        <x:v>Location model input - competition/saturation context</x:v>
      </x:c>
      <x:c r="K1355" s="12" t="str">
        <x:v>Business count is from 2018 while population/context indicators are newer; use as a historical proxy, not a current market count.</x:v>
      </x:c>
    </x:row>
    <x:row r="1356">
      <x:c r="A1356" s="12" t="str">
        <x:v>3320</x:v>
      </x:c>
      <x:c r="B1356" s="12" t="str">
        <x:v>Installation of industrial machinery and equipment</x:v>
      </x:c>
      <x:c r="C1356" s="12" t="str">
        <x:v>معان</x:v>
      </x:c>
      <x:c r="D1356" s="14" t="n">
        <x:v>0</x:v>
      </x:c>
      <x:c r="E1356" s="14" t="n">
        <x:f>VLOOKUP(C1356,'Governorate Master'!$A$2:$Q$13,3,FALSE)</x:f>
        <x:v>197900</x:v>
      </x:c>
      <x:c r="F1356" s="66" t="n">
        <x:f>IF(E1356=0,0,D1356/E1356*10000)</x:f>
        <x:v>0</x:v>
      </x:c>
      <x:c r="G1356" s="67" t="n">
        <x:f>VLOOKUP(C1356,'Governorate Master'!$A$2:$Q$13,7,FALSE)</x:f>
        <x:v>6</x:v>
      </x:c>
      <x:c r="H1356" s="20" t="n">
        <x:f>VLOOKUP(C1356,'Governorate Master'!$A$2:$Q$13,6,FALSE)</x:f>
        <x:v>0.5406771096513391</x:v>
      </x:c>
      <x:c r="I1356" s="20" t="n">
        <x:f>VLOOKUP(C1356,'Governorate Master'!$A$2:$Q$13,15,FALSE)</x:f>
        <x:v>0.026845637583892617</x:v>
      </x:c>
      <x:c r="J1356" s="12" t="str">
        <x:v>Location model input - competition/saturation context</x:v>
      </x:c>
      <x:c r="K1356" s="12" t="str">
        <x:v>Business count is from 2018 while population/context indicators are newer; use as a historical proxy, not a current market count.</x:v>
      </x:c>
    </x:row>
    <x:row r="1357">
      <x:c r="A1357" s="12" t="str">
        <x:v>3320</x:v>
      </x:c>
      <x:c r="B1357" s="12" t="str">
        <x:v>Installation of industrial machinery and equipment</x:v>
      </x:c>
      <x:c r="C1357" s="12" t="str">
        <x:v>العقبة</x:v>
      </x:c>
      <x:c r="D1357" s="14" t="n">
        <x:v>0</x:v>
      </x:c>
      <x:c r="E1357" s="14" t="n">
        <x:f>VLOOKUP(C1357,'Governorate Master'!$A$2:$Q$13,3,FALSE)</x:f>
        <x:v>250900</x:v>
      </x:c>
      <x:c r="F1357" s="66" t="n">
        <x:f>IF(E1357=0,0,D1357/E1357*10000)</x:f>
        <x:v>0</x:v>
      </x:c>
      <x:c r="G1357" s="67" t="n">
        <x:f>VLOOKUP(C1357,'Governorate Master'!$A$2:$Q$13,7,FALSE)</x:f>
        <x:v>36.3</x:v>
      </x:c>
      <x:c r="H1357" s="20" t="n">
        <x:f>VLOOKUP(C1357,'Governorate Master'!$A$2:$Q$13,6,FALSE)</x:f>
        <x:v>0.882024711040255</x:v>
      </x:c>
      <x:c r="I1357" s="20" t="n">
        <x:f>VLOOKUP(C1357,'Governorate Master'!$A$2:$Q$13,15,FALSE)</x:f>
        <x:v>-0.09</x:v>
      </x:c>
      <x:c r="J1357" s="12" t="str">
        <x:v>Location model input - competition/saturation context</x:v>
      </x:c>
      <x:c r="K1357" s="12" t="str">
        <x:v>Business count is from 2018 while population/context indicators are newer; use as a historical proxy, not a current market count.</x:v>
      </x:c>
    </x:row>
    <x:row r="1358">
      <x:c r="A1358" s="12" t="str">
        <x:v>3510</x:v>
      </x:c>
      <x:c r="B1358" s="12" t="str">
        <x:v>Electric power generation, transmission and distribution</x:v>
      </x:c>
      <x:c r="C1358" s="12" t="str">
        <x:v>عمان</x:v>
      </x:c>
      <x:c r="D1358" s="14" t="n">
        <x:v>26</x:v>
      </x:c>
      <x:c r="E1358" s="14" t="n">
        <x:f>VLOOKUP(C1358,'Governorate Master'!$A$2:$Q$13,3,FALSE)</x:f>
        <x:v>5004600</x:v>
      </x:c>
      <x:c r="F1358" s="66" t="n">
        <x:f>IF(E1358=0,0,D1358/E1358*10000)</x:f>
        <x:v>0.05195220397234544</x:v>
      </x:c>
      <x:c r="G1358" s="67" t="n">
        <x:f>VLOOKUP(C1358,'Governorate Master'!$A$2:$Q$13,7,FALSE)</x:f>
        <x:v>660.3</x:v>
      </x:c>
      <x:c r="H1358" s="20" t="n">
        <x:f>VLOOKUP(C1358,'Governorate Master'!$A$2:$Q$13,6,FALSE)</x:f>
        <x:v>0.9721656076409703</x:v>
      </x:c>
      <x:c r="I1358" s="20" t="n">
        <x:f>VLOOKUP(C1358,'Governorate Master'!$A$2:$Q$13,15,FALSE)</x:f>
        <x:v>0.06367041198501873</x:v>
      </x:c>
      <x:c r="J1358" s="12" t="str">
        <x:v>Location model input - competition/saturation context</x:v>
      </x:c>
      <x:c r="K1358" s="12" t="str">
        <x:v>Business count is from 2018 while population/context indicators are newer; use as a historical proxy, not a current market count.</x:v>
      </x:c>
    </x:row>
    <x:row r="1359">
      <x:c r="A1359" s="12" t="str">
        <x:v>3510</x:v>
      </x:c>
      <x:c r="B1359" s="12" t="str">
        <x:v>Electric power generation, transmission and distribution</x:v>
      </x:c>
      <x:c r="C1359" s="12" t="str">
        <x:v>البلقاء</x:v>
      </x:c>
      <x:c r="D1359" s="14" t="n">
        <x:v>0</x:v>
      </x:c>
      <x:c r="E1359" s="14" t="n">
        <x:f>VLOOKUP(C1359,'Governorate Master'!$A$2:$Q$13,3,FALSE)</x:f>
        <x:v>614000</x:v>
      </x:c>
      <x:c r="F1359" s="66" t="n">
        <x:f>IF(E1359=0,0,D1359/E1359*10000)</x:f>
        <x:v>0</x:v>
      </x:c>
      <x:c r="G1359" s="67" t="n">
        <x:f>VLOOKUP(C1359,'Governorate Master'!$A$2:$Q$13,7,FALSE)</x:f>
        <x:v>548</x:v>
      </x:c>
      <x:c r="H1359" s="20" t="n">
        <x:f>VLOOKUP(C1359,'Governorate Master'!$A$2:$Q$13,6,FALSE)</x:f>
        <x:v>0.8210097719869707</x:v>
      </x:c>
      <x:c r="I1359" s="20" t="n">
        <x:f>VLOOKUP(C1359,'Governorate Master'!$A$2:$Q$13,15,FALSE)</x:f>
        <x:v>0.10794044665012408</x:v>
      </x:c>
      <x:c r="J1359" s="12" t="str">
        <x:v>Location model input - competition/saturation context</x:v>
      </x:c>
      <x:c r="K1359" s="12" t="str">
        <x:v>Business count is from 2018 while population/context indicators are newer; use as a historical proxy, not a current market count.</x:v>
      </x:c>
    </x:row>
    <x:row r="1360">
      <x:c r="A1360" s="12" t="str">
        <x:v>3510</x:v>
      </x:c>
      <x:c r="B1360" s="12" t="str">
        <x:v>Electric power generation, transmission and distribution</x:v>
      </x:c>
      <x:c r="C1360" s="12" t="str">
        <x:v>الزرقاء</x:v>
      </x:c>
      <x:c r="D1360" s="14" t="n">
        <x:v>3</x:v>
      </x:c>
      <x:c r="E1360" s="14" t="n">
        <x:f>VLOOKUP(C1360,'Governorate Master'!$A$2:$Q$13,3,FALSE)</x:f>
        <x:v>1704500</x:v>
      </x:c>
      <x:c r="F1360" s="66" t="n">
        <x:f>IF(E1360=0,0,D1360/E1360*10000)</x:f>
        <x:v>0.01760046934584922</x:v>
      </x:c>
      <x:c r="G1360" s="67" t="n">
        <x:f>VLOOKUP(C1360,'Governorate Master'!$A$2:$Q$13,7,FALSE)</x:f>
        <x:v>358</x:v>
      </x:c>
      <x:c r="H1360" s="20" t="n">
        <x:f>VLOOKUP(C1360,'Governorate Master'!$A$2:$Q$13,6,FALSE)</x:f>
        <x:v>0.9636256966852449</x:v>
      </x:c>
      <x:c r="I1360" s="20" t="n">
        <x:f>VLOOKUP(C1360,'Governorate Master'!$A$2:$Q$13,15,FALSE)</x:f>
        <x:v>-0.06808762581409118</x:v>
      </x:c>
      <x:c r="J1360" s="12" t="str">
        <x:v>Location model input - competition/saturation context</x:v>
      </x:c>
      <x:c r="K1360" s="12" t="str">
        <x:v>Business count is from 2018 while population/context indicators are newer; use as a historical proxy, not a current market count.</x:v>
      </x:c>
    </x:row>
    <x:row r="1361">
      <x:c r="A1361" s="12" t="str">
        <x:v>3510</x:v>
      </x:c>
      <x:c r="B1361" s="12" t="str">
        <x:v>Electric power generation, transmission and distribution</x:v>
      </x:c>
      <x:c r="C1361" s="12" t="str">
        <x:v>مادبا</x:v>
      </x:c>
      <x:c r="D1361" s="14" t="n">
        <x:v>0</x:v>
      </x:c>
      <x:c r="E1361" s="14" t="n">
        <x:f>VLOOKUP(C1361,'Governorate Master'!$A$2:$Q$13,3,FALSE)</x:f>
        <x:v>236200</x:v>
      </x:c>
      <x:c r="F1361" s="66" t="n">
        <x:f>IF(E1361=0,0,D1361/E1361*10000)</x:f>
        <x:v>0</x:v>
      </x:c>
      <x:c r="G1361" s="67" t="n">
        <x:f>VLOOKUP(C1361,'Governorate Master'!$A$2:$Q$13,7,FALSE)</x:f>
        <x:v>251.4</x:v>
      </x:c>
      <x:c r="H1361" s="20" t="n">
        <x:f>VLOOKUP(C1361,'Governorate Master'!$A$2:$Q$13,6,FALSE)</x:f>
        <x:v>0.7823878069432684</x:v>
      </x:c>
      <x:c r="I1361" s="20" t="n">
        <x:f>VLOOKUP(C1361,'Governorate Master'!$A$2:$Q$13,15,FALSE)</x:f>
        <x:v>-0.18823529411764706</x:v>
      </x:c>
      <x:c r="J1361" s="12" t="str">
        <x:v>Location model input - competition/saturation context</x:v>
      </x:c>
      <x:c r="K1361" s="12" t="str">
        <x:v>Business count is from 2018 while population/context indicators are newer; use as a historical proxy, not a current market count.</x:v>
      </x:c>
    </x:row>
    <x:row r="1362">
      <x:c r="A1362" s="12" t="str">
        <x:v>3510</x:v>
      </x:c>
      <x:c r="B1362" s="12" t="str">
        <x:v>Electric power generation, transmission and distribution</x:v>
      </x:c>
      <x:c r="C1362" s="12" t="str">
        <x:v>إربد</x:v>
      </x:c>
      <x:c r="D1362" s="14" t="n">
        <x:v>4</x:v>
      </x:c>
      <x:c r="E1362" s="14" t="n">
        <x:f>VLOOKUP(C1362,'Governorate Master'!$A$2:$Q$13,3,FALSE)</x:f>
        <x:v>2210500</x:v>
      </x:c>
      <x:c r="F1362" s="66" t="n">
        <x:f>IF(E1362=0,0,D1362/E1362*10000)</x:f>
        <x:v>0.018095453517303777</x:v>
      </x:c>
      <x:c r="G1362" s="67" t="n">
        <x:f>VLOOKUP(C1362,'Governorate Master'!$A$2:$Q$13,7,FALSE)</x:f>
        <x:v>1406.4</x:v>
      </x:c>
      <x:c r="H1362" s="20" t="n">
        <x:f>VLOOKUP(C1362,'Governorate Master'!$A$2:$Q$13,6,FALSE)</x:f>
        <x:v>0.9235014702555983</x:v>
      </x:c>
      <x:c r="I1362" s="20" t="n">
        <x:f>VLOOKUP(C1362,'Governorate Master'!$A$2:$Q$13,15,FALSE)</x:f>
        <x:v>0.07086922474549726</x:v>
      </x:c>
      <x:c r="J1362" s="12" t="str">
        <x:v>Location model input - competition/saturation context</x:v>
      </x:c>
      <x:c r="K1362" s="12" t="str">
        <x:v>Business count is from 2018 while population/context indicators are newer; use as a historical proxy, not a current market count.</x:v>
      </x:c>
    </x:row>
    <x:row r="1363">
      <x:c r="A1363" s="12" t="str">
        <x:v>3510</x:v>
      </x:c>
      <x:c r="B1363" s="12" t="str">
        <x:v>Electric power generation, transmission and distribution</x:v>
      </x:c>
      <x:c r="C1363" s="12" t="str">
        <x:v>المفرق</x:v>
      </x:c>
      <x:c r="D1363" s="14" t="n">
        <x:v>0</x:v>
      </x:c>
      <x:c r="E1363" s="14" t="n">
        <x:f>VLOOKUP(C1363,'Governorate Master'!$A$2:$Q$13,3,FALSE)</x:f>
        <x:v>686800</x:v>
      </x:c>
      <x:c r="F1363" s="66" t="n">
        <x:f>IF(E1363=0,0,D1363/E1363*10000)</x:f>
        <x:v>0</x:v>
      </x:c>
      <x:c r="G1363" s="67" t="n">
        <x:f>VLOOKUP(C1363,'Governorate Master'!$A$2:$Q$13,7,FALSE)</x:f>
        <x:v>25.9</x:v>
      </x:c>
      <x:c r="H1363" s="20" t="n">
        <x:f>VLOOKUP(C1363,'Governorate Master'!$A$2:$Q$13,6,FALSE)</x:f>
        <x:v>0.6965637740244612</x:v>
      </x:c>
      <x:c r="I1363" s="20" t="n">
        <x:f>VLOOKUP(C1363,'Governorate Master'!$A$2:$Q$13,15,FALSE)</x:f>
        <x:v>-0.016638935108153077</x:v>
      </x:c>
      <x:c r="J1363" s="12" t="str">
        <x:v>Location model input - competition/saturation context</x:v>
      </x:c>
      <x:c r="K1363" s="12" t="str">
        <x:v>Business count is from 2018 while population/context indicators are newer; use as a historical proxy, not a current market count.</x:v>
      </x:c>
    </x:row>
    <x:row r="1364">
      <x:c r="A1364" s="12" t="str">
        <x:v>3510</x:v>
      </x:c>
      <x:c r="B1364" s="12" t="str">
        <x:v>Electric power generation, transmission and distribution</x:v>
      </x:c>
      <x:c r="C1364" s="12" t="str">
        <x:v>جرش</x:v>
      </x:c>
      <x:c r="D1364" s="14" t="n">
        <x:v>0</x:v>
      </x:c>
      <x:c r="E1364" s="14" t="n">
        <x:f>VLOOKUP(C1364,'Governorate Master'!$A$2:$Q$13,3,FALSE)</x:f>
        <x:v>296000</x:v>
      </x:c>
      <x:c r="F1364" s="66" t="n">
        <x:f>IF(E1364=0,0,D1364/E1364*10000)</x:f>
        <x:v>0</x:v>
      </x:c>
      <x:c r="G1364" s="67" t="n">
        <x:f>VLOOKUP(C1364,'Governorate Master'!$A$2:$Q$13,7,FALSE)</x:f>
        <x:v>722.3</x:v>
      </x:c>
      <x:c r="H1364" s="20" t="n">
        <x:f>VLOOKUP(C1364,'Governorate Master'!$A$2:$Q$13,6,FALSE)</x:f>
        <x:v>0.7695945945945946</x:v>
      </x:c>
      <x:c r="I1364" s="20" t="n">
        <x:f>VLOOKUP(C1364,'Governorate Master'!$A$2:$Q$13,15,FALSE)</x:f>
        <x:v>-0.06527415143603134</x:v>
      </x:c>
      <x:c r="J1364" s="12" t="str">
        <x:v>Location model input - competition/saturation context</x:v>
      </x:c>
      <x:c r="K1364" s="12" t="str">
        <x:v>Business count is from 2018 while population/context indicators are newer; use as a historical proxy, not a current market count.</x:v>
      </x:c>
    </x:row>
    <x:row r="1365">
      <x:c r="A1365" s="12" t="str">
        <x:v>3510</x:v>
      </x:c>
      <x:c r="B1365" s="12" t="str">
        <x:v>Electric power generation, transmission and distribution</x:v>
      </x:c>
      <x:c r="C1365" s="12" t="str">
        <x:v>عجلون</x:v>
      </x:c>
      <x:c r="D1365" s="14" t="n">
        <x:v>0</x:v>
      </x:c>
      <x:c r="E1365" s="14" t="n">
        <x:f>VLOOKUP(C1365,'Governorate Master'!$A$2:$Q$13,3,FALSE)</x:f>
        <x:v>219900</x:v>
      </x:c>
      <x:c r="F1365" s="66" t="n">
        <x:f>IF(E1365=0,0,D1365/E1365*10000)</x:f>
        <x:v>0</x:v>
      </x:c>
      <x:c r="G1365" s="67" t="n">
        <x:f>VLOOKUP(C1365,'Governorate Master'!$A$2:$Q$13,7,FALSE)</x:f>
        <x:v>524</x:v>
      </x:c>
      <x:c r="H1365" s="20" t="n">
        <x:f>VLOOKUP(C1365,'Governorate Master'!$A$2:$Q$13,6,FALSE)</x:f>
        <x:v>0.8390177353342428</x:v>
      </x:c>
      <x:c r="I1365" s="20" t="n">
        <x:f>VLOOKUP(C1365,'Governorate Master'!$A$2:$Q$13,15,FALSE)</x:f>
        <x:v>0.03614457831325301</x:v>
      </x:c>
      <x:c r="J1365" s="12" t="str">
        <x:v>Location model input - competition/saturation context</x:v>
      </x:c>
      <x:c r="K1365" s="12" t="str">
        <x:v>Business count is from 2018 while population/context indicators are newer; use as a historical proxy, not a current market count.</x:v>
      </x:c>
    </x:row>
    <x:row r="1366">
      <x:c r="A1366" s="12" t="str">
        <x:v>3510</x:v>
      </x:c>
      <x:c r="B1366" s="12" t="str">
        <x:v>Electric power generation, transmission and distribution</x:v>
      </x:c>
      <x:c r="C1366" s="12" t="str">
        <x:v>الكرك</x:v>
      </x:c>
      <x:c r="D1366" s="14" t="n">
        <x:v>0</x:v>
      </x:c>
      <x:c r="E1366" s="14" t="n">
        <x:f>VLOOKUP(C1366,'Governorate Master'!$A$2:$Q$13,3,FALSE)</x:f>
        <x:v>395400</x:v>
      </x:c>
      <x:c r="F1366" s="66" t="n">
        <x:f>IF(E1366=0,0,D1366/E1366*10000)</x:f>
        <x:v>0</x:v>
      </x:c>
      <x:c r="G1366" s="67" t="n">
        <x:f>VLOOKUP(C1366,'Governorate Master'!$A$2:$Q$13,7,FALSE)</x:f>
        <x:v>113.1</x:v>
      </x:c>
      <x:c r="H1366" s="20" t="n">
        <x:f>VLOOKUP(C1366,'Governorate Master'!$A$2:$Q$13,6,FALSE)</x:f>
        <x:v>0.5912999494183105</x:v>
      </x:c>
      <x:c r="I1366" s="20" t="n">
        <x:f>VLOOKUP(C1366,'Governorate Master'!$A$2:$Q$13,15,FALSE)</x:f>
        <x:v>0.08710801393728224</x:v>
      </x:c>
      <x:c r="J1366" s="12" t="str">
        <x:v>Location model input - competition/saturation context</x:v>
      </x:c>
      <x:c r="K1366" s="12" t="str">
        <x:v>Business count is from 2018 while population/context indicators are newer; use as a historical proxy, not a current market count.</x:v>
      </x:c>
    </x:row>
    <x:row r="1367">
      <x:c r="A1367" s="12" t="str">
        <x:v>3510</x:v>
      </x:c>
      <x:c r="B1367" s="12" t="str">
        <x:v>Electric power generation, transmission and distribution</x:v>
      </x:c>
      <x:c r="C1367" s="12" t="str">
        <x:v>الطفيلة</x:v>
      </x:c>
      <x:c r="D1367" s="14" t="n">
        <x:v>0</x:v>
      </x:c>
      <x:c r="E1367" s="14" t="n">
        <x:f>VLOOKUP(C1367,'Governorate Master'!$A$2:$Q$13,3,FALSE)</x:f>
        <x:v>120300</x:v>
      </x:c>
      <x:c r="F1367" s="66" t="n">
        <x:f>IF(E1367=0,0,D1367/E1367*10000)</x:f>
        <x:v>0</x:v>
      </x:c>
      <x:c r="G1367" s="67" t="n">
        <x:f>VLOOKUP(C1367,'Governorate Master'!$A$2:$Q$13,7,FALSE)</x:f>
        <x:v>54.4</x:v>
      </x:c>
      <x:c r="H1367" s="20" t="n">
        <x:f>VLOOKUP(C1367,'Governorate Master'!$A$2:$Q$13,6,FALSE)</x:f>
        <x:v>0.7797173732335827</x:v>
      </x:c>
      <x:c r="I1367" s="20" t="n">
        <x:f>VLOOKUP(C1367,'Governorate Master'!$A$2:$Q$13,15,FALSE)</x:f>
        <x:v>0.18452380952380953</x:v>
      </x:c>
      <x:c r="J1367" s="12" t="str">
        <x:v>Location model input - competition/saturation context</x:v>
      </x:c>
      <x:c r="K1367" s="12" t="str">
        <x:v>Business count is from 2018 while population/context indicators are newer; use as a historical proxy, not a current market count.</x:v>
      </x:c>
    </x:row>
    <x:row r="1368">
      <x:c r="A1368" s="12" t="str">
        <x:v>3510</x:v>
      </x:c>
      <x:c r="B1368" s="12" t="str">
        <x:v>Electric power generation, transmission and distribution</x:v>
      </x:c>
      <x:c r="C1368" s="12" t="str">
        <x:v>معان</x:v>
      </x:c>
      <x:c r="D1368" s="14" t="n">
        <x:v>1</x:v>
      </x:c>
      <x:c r="E1368" s="14" t="n">
        <x:f>VLOOKUP(C1368,'Governorate Master'!$A$2:$Q$13,3,FALSE)</x:f>
        <x:v>197900</x:v>
      </x:c>
      <x:c r="F1368" s="66" t="n">
        <x:f>IF(E1368=0,0,D1368/E1368*10000)</x:f>
        <x:v>0.05053057099545225</x:v>
      </x:c>
      <x:c r="G1368" s="67" t="n">
        <x:f>VLOOKUP(C1368,'Governorate Master'!$A$2:$Q$13,7,FALSE)</x:f>
        <x:v>6</x:v>
      </x:c>
      <x:c r="H1368" s="20" t="n">
        <x:f>VLOOKUP(C1368,'Governorate Master'!$A$2:$Q$13,6,FALSE)</x:f>
        <x:v>0.5406771096513391</x:v>
      </x:c>
      <x:c r="I1368" s="20" t="n">
        <x:f>VLOOKUP(C1368,'Governorate Master'!$A$2:$Q$13,15,FALSE)</x:f>
        <x:v>0.026845637583892617</x:v>
      </x:c>
      <x:c r="J1368" s="12" t="str">
        <x:v>Location model input - competition/saturation context</x:v>
      </x:c>
      <x:c r="K1368" s="12" t="str">
        <x:v>Business count is from 2018 while population/context indicators are newer; use as a historical proxy, not a current market count.</x:v>
      </x:c>
    </x:row>
    <x:row r="1369">
      <x:c r="A1369" s="12" t="str">
        <x:v>3510</x:v>
      </x:c>
      <x:c r="B1369" s="12" t="str">
        <x:v>Electric power generation, transmission and distribution</x:v>
      </x:c>
      <x:c r="C1369" s="12" t="str">
        <x:v>العقبة</x:v>
      </x:c>
      <x:c r="D1369" s="14" t="n">
        <x:v>0</x:v>
      </x:c>
      <x:c r="E1369" s="14" t="n">
        <x:f>VLOOKUP(C1369,'Governorate Master'!$A$2:$Q$13,3,FALSE)</x:f>
        <x:v>250900</x:v>
      </x:c>
      <x:c r="F1369" s="66" t="n">
        <x:f>IF(E1369=0,0,D1369/E1369*10000)</x:f>
        <x:v>0</x:v>
      </x:c>
      <x:c r="G1369" s="67" t="n">
        <x:f>VLOOKUP(C1369,'Governorate Master'!$A$2:$Q$13,7,FALSE)</x:f>
        <x:v>36.3</x:v>
      </x:c>
      <x:c r="H1369" s="20" t="n">
        <x:f>VLOOKUP(C1369,'Governorate Master'!$A$2:$Q$13,6,FALSE)</x:f>
        <x:v>0.882024711040255</x:v>
      </x:c>
      <x:c r="I1369" s="20" t="n">
        <x:f>VLOOKUP(C1369,'Governorate Master'!$A$2:$Q$13,15,FALSE)</x:f>
        <x:v>-0.09</x:v>
      </x:c>
      <x:c r="J1369" s="12" t="str">
        <x:v>Location model input - competition/saturation context</x:v>
      </x:c>
      <x:c r="K1369" s="12" t="str">
        <x:v>Business count is from 2018 while population/context indicators are newer; use as a historical proxy, not a current market count.</x:v>
      </x:c>
    </x:row>
    <x:row r="1370">
      <x:c r="A1370" s="12" t="str">
        <x:v>3600</x:v>
      </x:c>
      <x:c r="B1370" s="12" t="str">
        <x:v>Water collection, treatment and supply</x:v>
      </x:c>
      <x:c r="C1370" s="12" t="str">
        <x:v>عمان</x:v>
      </x:c>
      <x:c r="D1370" s="14" t="n">
        <x:v>3</x:v>
      </x:c>
      <x:c r="E1370" s="14" t="n">
        <x:f>VLOOKUP(C1370,'Governorate Master'!$A$2:$Q$13,3,FALSE)</x:f>
        <x:v>5004600</x:v>
      </x:c>
      <x:c r="F1370" s="66" t="n">
        <x:f>IF(E1370=0,0,D1370/E1370*10000)</x:f>
        <x:v>0.005994485073732166</x:v>
      </x:c>
      <x:c r="G1370" s="67" t="n">
        <x:f>VLOOKUP(C1370,'Governorate Master'!$A$2:$Q$13,7,FALSE)</x:f>
        <x:v>660.3</x:v>
      </x:c>
      <x:c r="H1370" s="20" t="n">
        <x:f>VLOOKUP(C1370,'Governorate Master'!$A$2:$Q$13,6,FALSE)</x:f>
        <x:v>0.9721656076409703</x:v>
      </x:c>
      <x:c r="I1370" s="20" t="n">
        <x:f>VLOOKUP(C1370,'Governorate Master'!$A$2:$Q$13,15,FALSE)</x:f>
        <x:v>0.06367041198501873</x:v>
      </x:c>
      <x:c r="J1370" s="12" t="str">
        <x:v>Location model input - competition/saturation context</x:v>
      </x:c>
      <x:c r="K1370" s="12" t="str">
        <x:v>Business count is from 2018 while population/context indicators are newer; use as a historical proxy, not a current market count.</x:v>
      </x:c>
    </x:row>
    <x:row r="1371">
      <x:c r="A1371" s="12" t="str">
        <x:v>3600</x:v>
      </x:c>
      <x:c r="B1371" s="12" t="str">
        <x:v>Water collection, treatment and supply</x:v>
      </x:c>
      <x:c r="C1371" s="12" t="str">
        <x:v>البلقاء</x:v>
      </x:c>
      <x:c r="D1371" s="14" t="n">
        <x:v>2</x:v>
      </x:c>
      <x:c r="E1371" s="14" t="n">
        <x:f>VLOOKUP(C1371,'Governorate Master'!$A$2:$Q$13,3,FALSE)</x:f>
        <x:v>614000</x:v>
      </x:c>
      <x:c r="F1371" s="66" t="n">
        <x:f>IF(E1371=0,0,D1371/E1371*10000)</x:f>
        <x:v>0.03257328990228013</x:v>
      </x:c>
      <x:c r="G1371" s="67" t="n">
        <x:f>VLOOKUP(C1371,'Governorate Master'!$A$2:$Q$13,7,FALSE)</x:f>
        <x:v>548</x:v>
      </x:c>
      <x:c r="H1371" s="20" t="n">
        <x:f>VLOOKUP(C1371,'Governorate Master'!$A$2:$Q$13,6,FALSE)</x:f>
        <x:v>0.8210097719869707</x:v>
      </x:c>
      <x:c r="I1371" s="20" t="n">
        <x:f>VLOOKUP(C1371,'Governorate Master'!$A$2:$Q$13,15,FALSE)</x:f>
        <x:v>0.10794044665012408</x:v>
      </x:c>
      <x:c r="J1371" s="12" t="str">
        <x:v>Location model input - competition/saturation context</x:v>
      </x:c>
      <x:c r="K1371" s="12" t="str">
        <x:v>Business count is from 2018 while population/context indicators are newer; use as a historical proxy, not a current market count.</x:v>
      </x:c>
    </x:row>
    <x:row r="1372">
      <x:c r="A1372" s="12" t="str">
        <x:v>3600</x:v>
      </x:c>
      <x:c r="B1372" s="12" t="str">
        <x:v>Water collection, treatment and supply</x:v>
      </x:c>
      <x:c r="C1372" s="12" t="str">
        <x:v>الزرقاء</x:v>
      </x:c>
      <x:c r="D1372" s="14" t="n">
        <x:v>5</x:v>
      </x:c>
      <x:c r="E1372" s="14" t="n">
        <x:f>VLOOKUP(C1372,'Governorate Master'!$A$2:$Q$13,3,FALSE)</x:f>
        <x:v>1704500</x:v>
      </x:c>
      <x:c r="F1372" s="66" t="n">
        <x:f>IF(E1372=0,0,D1372/E1372*10000)</x:f>
        <x:v>0.029334115576415375</x:v>
      </x:c>
      <x:c r="G1372" s="67" t="n">
        <x:f>VLOOKUP(C1372,'Governorate Master'!$A$2:$Q$13,7,FALSE)</x:f>
        <x:v>358</x:v>
      </x:c>
      <x:c r="H1372" s="20" t="n">
        <x:f>VLOOKUP(C1372,'Governorate Master'!$A$2:$Q$13,6,FALSE)</x:f>
        <x:v>0.9636256966852449</x:v>
      </x:c>
      <x:c r="I1372" s="20" t="n">
        <x:f>VLOOKUP(C1372,'Governorate Master'!$A$2:$Q$13,15,FALSE)</x:f>
        <x:v>-0.06808762581409118</x:v>
      </x:c>
      <x:c r="J1372" s="12" t="str">
        <x:v>Location model input - competition/saturation context</x:v>
      </x:c>
      <x:c r="K1372" s="12" t="str">
        <x:v>Business count is from 2018 while population/context indicators are newer; use as a historical proxy, not a current market count.</x:v>
      </x:c>
    </x:row>
    <x:row r="1373">
      <x:c r="A1373" s="12" t="str">
        <x:v>3600</x:v>
      </x:c>
      <x:c r="B1373" s="12" t="str">
        <x:v>Water collection, treatment and supply</x:v>
      </x:c>
      <x:c r="C1373" s="12" t="str">
        <x:v>مادبا</x:v>
      </x:c>
      <x:c r="D1373" s="14" t="n">
        <x:v>2</x:v>
      </x:c>
      <x:c r="E1373" s="14" t="n">
        <x:f>VLOOKUP(C1373,'Governorate Master'!$A$2:$Q$13,3,FALSE)</x:f>
        <x:v>236200</x:v>
      </x:c>
      <x:c r="F1373" s="66" t="n">
        <x:f>IF(E1373=0,0,D1373/E1373*10000)</x:f>
        <x:v>0.0846740050804403</x:v>
      </x:c>
      <x:c r="G1373" s="67" t="n">
        <x:f>VLOOKUP(C1373,'Governorate Master'!$A$2:$Q$13,7,FALSE)</x:f>
        <x:v>251.4</x:v>
      </x:c>
      <x:c r="H1373" s="20" t="n">
        <x:f>VLOOKUP(C1373,'Governorate Master'!$A$2:$Q$13,6,FALSE)</x:f>
        <x:v>0.7823878069432684</x:v>
      </x:c>
      <x:c r="I1373" s="20" t="n">
        <x:f>VLOOKUP(C1373,'Governorate Master'!$A$2:$Q$13,15,FALSE)</x:f>
        <x:v>-0.18823529411764706</x:v>
      </x:c>
      <x:c r="J1373" s="12" t="str">
        <x:v>Location model input - competition/saturation context</x:v>
      </x:c>
      <x:c r="K1373" s="12" t="str">
        <x:v>Business count is from 2018 while population/context indicators are newer; use as a historical proxy, not a current market count.</x:v>
      </x:c>
    </x:row>
    <x:row r="1374">
      <x:c r="A1374" s="12" t="str">
        <x:v>3600</x:v>
      </x:c>
      <x:c r="B1374" s="12" t="str">
        <x:v>Water collection, treatment and supply</x:v>
      </x:c>
      <x:c r="C1374" s="12" t="str">
        <x:v>إربد</x:v>
      </x:c>
      <x:c r="D1374" s="14" t="n">
        <x:v>2</x:v>
      </x:c>
      <x:c r="E1374" s="14" t="n">
        <x:f>VLOOKUP(C1374,'Governorate Master'!$A$2:$Q$13,3,FALSE)</x:f>
        <x:v>2210500</x:v>
      </x:c>
      <x:c r="F1374" s="66" t="n">
        <x:f>IF(E1374=0,0,D1374/E1374*10000)</x:f>
        <x:v>0.009047726758651889</x:v>
      </x:c>
      <x:c r="G1374" s="67" t="n">
        <x:f>VLOOKUP(C1374,'Governorate Master'!$A$2:$Q$13,7,FALSE)</x:f>
        <x:v>1406.4</x:v>
      </x:c>
      <x:c r="H1374" s="20" t="n">
        <x:f>VLOOKUP(C1374,'Governorate Master'!$A$2:$Q$13,6,FALSE)</x:f>
        <x:v>0.9235014702555983</x:v>
      </x:c>
      <x:c r="I1374" s="20" t="n">
        <x:f>VLOOKUP(C1374,'Governorate Master'!$A$2:$Q$13,15,FALSE)</x:f>
        <x:v>0.07086922474549726</x:v>
      </x:c>
      <x:c r="J1374" s="12" t="str">
        <x:v>Location model input - competition/saturation context</x:v>
      </x:c>
      <x:c r="K1374" s="12" t="str">
        <x:v>Business count is from 2018 while population/context indicators are newer; use as a historical proxy, not a current market count.</x:v>
      </x:c>
    </x:row>
    <x:row r="1375">
      <x:c r="A1375" s="12" t="str">
        <x:v>3600</x:v>
      </x:c>
      <x:c r="B1375" s="12" t="str">
        <x:v>Water collection, treatment and supply</x:v>
      </x:c>
      <x:c r="C1375" s="12" t="str">
        <x:v>المفرق</x:v>
      </x:c>
      <x:c r="D1375" s="14" t="n">
        <x:v>1</x:v>
      </x:c>
      <x:c r="E1375" s="14" t="n">
        <x:f>VLOOKUP(C1375,'Governorate Master'!$A$2:$Q$13,3,FALSE)</x:f>
        <x:v>686800</x:v>
      </x:c>
      <x:c r="F1375" s="66" t="n">
        <x:f>IF(E1375=0,0,D1375/E1375*10000)</x:f>
        <x:v>0.014560279557367502</x:v>
      </x:c>
      <x:c r="G1375" s="67" t="n">
        <x:f>VLOOKUP(C1375,'Governorate Master'!$A$2:$Q$13,7,FALSE)</x:f>
        <x:v>25.9</x:v>
      </x:c>
      <x:c r="H1375" s="20" t="n">
        <x:f>VLOOKUP(C1375,'Governorate Master'!$A$2:$Q$13,6,FALSE)</x:f>
        <x:v>0.6965637740244612</x:v>
      </x:c>
      <x:c r="I1375" s="20" t="n">
        <x:f>VLOOKUP(C1375,'Governorate Master'!$A$2:$Q$13,15,FALSE)</x:f>
        <x:v>-0.016638935108153077</x:v>
      </x:c>
      <x:c r="J1375" s="12" t="str">
        <x:v>Location model input - competition/saturation context</x:v>
      </x:c>
      <x:c r="K1375" s="12" t="str">
        <x:v>Business count is from 2018 while population/context indicators are newer; use as a historical proxy, not a current market count.</x:v>
      </x:c>
    </x:row>
    <x:row r="1376">
      <x:c r="A1376" s="12" t="str">
        <x:v>3600</x:v>
      </x:c>
      <x:c r="B1376" s="12" t="str">
        <x:v>Water collection, treatment and supply</x:v>
      </x:c>
      <x:c r="C1376" s="12" t="str">
        <x:v>جرش</x:v>
      </x:c>
      <x:c r="D1376" s="14" t="n">
        <x:v>0</x:v>
      </x:c>
      <x:c r="E1376" s="14" t="n">
        <x:f>VLOOKUP(C1376,'Governorate Master'!$A$2:$Q$13,3,FALSE)</x:f>
        <x:v>296000</x:v>
      </x:c>
      <x:c r="F1376" s="66" t="n">
        <x:f>IF(E1376=0,0,D1376/E1376*10000)</x:f>
        <x:v>0</x:v>
      </x:c>
      <x:c r="G1376" s="67" t="n">
        <x:f>VLOOKUP(C1376,'Governorate Master'!$A$2:$Q$13,7,FALSE)</x:f>
        <x:v>722.3</x:v>
      </x:c>
      <x:c r="H1376" s="20" t="n">
        <x:f>VLOOKUP(C1376,'Governorate Master'!$A$2:$Q$13,6,FALSE)</x:f>
        <x:v>0.7695945945945946</x:v>
      </x:c>
      <x:c r="I1376" s="20" t="n">
        <x:f>VLOOKUP(C1376,'Governorate Master'!$A$2:$Q$13,15,FALSE)</x:f>
        <x:v>-0.06527415143603134</x:v>
      </x:c>
      <x:c r="J1376" s="12" t="str">
        <x:v>Location model input - competition/saturation context</x:v>
      </x:c>
      <x:c r="K1376" s="12" t="str">
        <x:v>Business count is from 2018 while population/context indicators are newer; use as a historical proxy, not a current market count.</x:v>
      </x:c>
    </x:row>
    <x:row r="1377">
      <x:c r="A1377" s="12" t="str">
        <x:v>3600</x:v>
      </x:c>
      <x:c r="B1377" s="12" t="str">
        <x:v>Water collection, treatment and supply</x:v>
      </x:c>
      <x:c r="C1377" s="12" t="str">
        <x:v>عجلون</x:v>
      </x:c>
      <x:c r="D1377" s="14" t="n">
        <x:v>0</x:v>
      </x:c>
      <x:c r="E1377" s="14" t="n">
        <x:f>VLOOKUP(C1377,'Governorate Master'!$A$2:$Q$13,3,FALSE)</x:f>
        <x:v>219900</x:v>
      </x:c>
      <x:c r="F1377" s="66" t="n">
        <x:f>IF(E1377=0,0,D1377/E1377*10000)</x:f>
        <x:v>0</x:v>
      </x:c>
      <x:c r="G1377" s="67" t="n">
        <x:f>VLOOKUP(C1377,'Governorate Master'!$A$2:$Q$13,7,FALSE)</x:f>
        <x:v>524</x:v>
      </x:c>
      <x:c r="H1377" s="20" t="n">
        <x:f>VLOOKUP(C1377,'Governorate Master'!$A$2:$Q$13,6,FALSE)</x:f>
        <x:v>0.8390177353342428</x:v>
      </x:c>
      <x:c r="I1377" s="20" t="n">
        <x:f>VLOOKUP(C1377,'Governorate Master'!$A$2:$Q$13,15,FALSE)</x:f>
        <x:v>0.03614457831325301</x:v>
      </x:c>
      <x:c r="J1377" s="12" t="str">
        <x:v>Location model input - competition/saturation context</x:v>
      </x:c>
      <x:c r="K1377" s="12" t="str">
        <x:v>Business count is from 2018 while population/context indicators are newer; use as a historical proxy, not a current market count.</x:v>
      </x:c>
    </x:row>
    <x:row r="1378">
      <x:c r="A1378" s="12" t="str">
        <x:v>3600</x:v>
      </x:c>
      <x:c r="B1378" s="12" t="str">
        <x:v>Water collection, treatment and supply</x:v>
      </x:c>
      <x:c r="C1378" s="12" t="str">
        <x:v>الكرك</x:v>
      </x:c>
      <x:c r="D1378" s="14" t="n">
        <x:v>0</x:v>
      </x:c>
      <x:c r="E1378" s="14" t="n">
        <x:f>VLOOKUP(C1378,'Governorate Master'!$A$2:$Q$13,3,FALSE)</x:f>
        <x:v>395400</x:v>
      </x:c>
      <x:c r="F1378" s="66" t="n">
        <x:f>IF(E1378=0,0,D1378/E1378*10000)</x:f>
        <x:v>0</x:v>
      </x:c>
      <x:c r="G1378" s="67" t="n">
        <x:f>VLOOKUP(C1378,'Governorate Master'!$A$2:$Q$13,7,FALSE)</x:f>
        <x:v>113.1</x:v>
      </x:c>
      <x:c r="H1378" s="20" t="n">
        <x:f>VLOOKUP(C1378,'Governorate Master'!$A$2:$Q$13,6,FALSE)</x:f>
        <x:v>0.5912999494183105</x:v>
      </x:c>
      <x:c r="I1378" s="20" t="n">
        <x:f>VLOOKUP(C1378,'Governorate Master'!$A$2:$Q$13,15,FALSE)</x:f>
        <x:v>0.08710801393728224</x:v>
      </x:c>
      <x:c r="J1378" s="12" t="str">
        <x:v>Location model input - competition/saturation context</x:v>
      </x:c>
      <x:c r="K1378" s="12" t="str">
        <x:v>Business count is from 2018 while population/context indicators are newer; use as a historical proxy, not a current market count.</x:v>
      </x:c>
    </x:row>
    <x:row r="1379">
      <x:c r="A1379" s="12" t="str">
        <x:v>3600</x:v>
      </x:c>
      <x:c r="B1379" s="12" t="str">
        <x:v>Water collection, treatment and supply</x:v>
      </x:c>
      <x:c r="C1379" s="12" t="str">
        <x:v>الطفيلة</x:v>
      </x:c>
      <x:c r="D1379" s="14" t="n">
        <x:v>0</x:v>
      </x:c>
      <x:c r="E1379" s="14" t="n">
        <x:f>VLOOKUP(C1379,'Governorate Master'!$A$2:$Q$13,3,FALSE)</x:f>
        <x:v>120300</x:v>
      </x:c>
      <x:c r="F1379" s="66" t="n">
        <x:f>IF(E1379=0,0,D1379/E1379*10000)</x:f>
        <x:v>0</x:v>
      </x:c>
      <x:c r="G1379" s="67" t="n">
        <x:f>VLOOKUP(C1379,'Governorate Master'!$A$2:$Q$13,7,FALSE)</x:f>
        <x:v>54.4</x:v>
      </x:c>
      <x:c r="H1379" s="20" t="n">
        <x:f>VLOOKUP(C1379,'Governorate Master'!$A$2:$Q$13,6,FALSE)</x:f>
        <x:v>0.7797173732335827</x:v>
      </x:c>
      <x:c r="I1379" s="20" t="n">
        <x:f>VLOOKUP(C1379,'Governorate Master'!$A$2:$Q$13,15,FALSE)</x:f>
        <x:v>0.18452380952380953</x:v>
      </x:c>
      <x:c r="J1379" s="12" t="str">
        <x:v>Location model input - competition/saturation context</x:v>
      </x:c>
      <x:c r="K1379" s="12" t="str">
        <x:v>Business count is from 2018 while population/context indicators are newer; use as a historical proxy, not a current market count.</x:v>
      </x:c>
    </x:row>
    <x:row r="1380">
      <x:c r="A1380" s="12" t="str">
        <x:v>3600</x:v>
      </x:c>
      <x:c r="B1380" s="12" t="str">
        <x:v>Water collection, treatment and supply</x:v>
      </x:c>
      <x:c r="C1380" s="12" t="str">
        <x:v>معان</x:v>
      </x:c>
      <x:c r="D1380" s="14" t="n">
        <x:v>0</x:v>
      </x:c>
      <x:c r="E1380" s="14" t="n">
        <x:f>VLOOKUP(C1380,'Governorate Master'!$A$2:$Q$13,3,FALSE)</x:f>
        <x:v>197900</x:v>
      </x:c>
      <x:c r="F1380" s="66" t="n">
        <x:f>IF(E1380=0,0,D1380/E1380*10000)</x:f>
        <x:v>0</x:v>
      </x:c>
      <x:c r="G1380" s="67" t="n">
        <x:f>VLOOKUP(C1380,'Governorate Master'!$A$2:$Q$13,7,FALSE)</x:f>
        <x:v>6</x:v>
      </x:c>
      <x:c r="H1380" s="20" t="n">
        <x:f>VLOOKUP(C1380,'Governorate Master'!$A$2:$Q$13,6,FALSE)</x:f>
        <x:v>0.5406771096513391</x:v>
      </x:c>
      <x:c r="I1380" s="20" t="n">
        <x:f>VLOOKUP(C1380,'Governorate Master'!$A$2:$Q$13,15,FALSE)</x:f>
        <x:v>0.026845637583892617</x:v>
      </x:c>
      <x:c r="J1380" s="12" t="str">
        <x:v>Location model input - competition/saturation context</x:v>
      </x:c>
      <x:c r="K1380" s="12" t="str">
        <x:v>Business count is from 2018 while population/context indicators are newer; use as a historical proxy, not a current market count.</x:v>
      </x:c>
    </x:row>
    <x:row r="1381">
      <x:c r="A1381" s="12" t="str">
        <x:v>3600</x:v>
      </x:c>
      <x:c r="B1381" s="12" t="str">
        <x:v>Water collection, treatment and supply</x:v>
      </x:c>
      <x:c r="C1381" s="12" t="str">
        <x:v>العقبة</x:v>
      </x:c>
      <x:c r="D1381" s="14" t="n">
        <x:v>3</x:v>
      </x:c>
      <x:c r="E1381" s="14" t="n">
        <x:f>VLOOKUP(C1381,'Governorate Master'!$A$2:$Q$13,3,FALSE)</x:f>
        <x:v>250900</x:v>
      </x:c>
      <x:c r="F1381" s="66" t="n">
        <x:f>IF(E1381=0,0,D1381/E1381*10000)</x:f>
        <x:v>0.11956954962136308</x:v>
      </x:c>
      <x:c r="G1381" s="67" t="n">
        <x:f>VLOOKUP(C1381,'Governorate Master'!$A$2:$Q$13,7,FALSE)</x:f>
        <x:v>36.3</x:v>
      </x:c>
      <x:c r="H1381" s="20" t="n">
        <x:f>VLOOKUP(C1381,'Governorate Master'!$A$2:$Q$13,6,FALSE)</x:f>
        <x:v>0.882024711040255</x:v>
      </x:c>
      <x:c r="I1381" s="20" t="n">
        <x:f>VLOOKUP(C1381,'Governorate Master'!$A$2:$Q$13,15,FALSE)</x:f>
        <x:v>-0.09</x:v>
      </x:c>
      <x:c r="J1381" s="12" t="str">
        <x:v>Location model input - competition/saturation context</x:v>
      </x:c>
      <x:c r="K1381" s="12" t="str">
        <x:v>Business count is from 2018 while population/context indicators are newer; use as a historical proxy, not a current market count.</x:v>
      </x:c>
    </x:row>
    <x:row r="1382">
      <x:c r="A1382" s="12" t="str">
        <x:v>3811</x:v>
      </x:c>
      <x:c r="B1382" s="12" t="str">
        <x:v>Collection of non-hazardous waste</x:v>
      </x:c>
      <x:c r="C1382" s="12" t="str">
        <x:v>عمان</x:v>
      </x:c>
      <x:c r="D1382" s="14" t="n">
        <x:v>0</x:v>
      </x:c>
      <x:c r="E1382" s="14" t="n">
        <x:f>VLOOKUP(C1382,'Governorate Master'!$A$2:$Q$13,3,FALSE)</x:f>
        <x:v>5004600</x:v>
      </x:c>
      <x:c r="F1382" s="66" t="n">
        <x:f>IF(E1382=0,0,D1382/E1382*10000)</x:f>
        <x:v>0</x:v>
      </x:c>
      <x:c r="G1382" s="67" t="n">
        <x:f>VLOOKUP(C1382,'Governorate Master'!$A$2:$Q$13,7,FALSE)</x:f>
        <x:v>660.3</x:v>
      </x:c>
      <x:c r="H1382" s="20" t="n">
        <x:f>VLOOKUP(C1382,'Governorate Master'!$A$2:$Q$13,6,FALSE)</x:f>
        <x:v>0.9721656076409703</x:v>
      </x:c>
      <x:c r="I1382" s="20" t="n">
        <x:f>VLOOKUP(C1382,'Governorate Master'!$A$2:$Q$13,15,FALSE)</x:f>
        <x:v>0.06367041198501873</x:v>
      </x:c>
      <x:c r="J1382" s="12" t="str">
        <x:v>Location model input - competition/saturation context</x:v>
      </x:c>
      <x:c r="K1382" s="12" t="str">
        <x:v>Business count is from 2018 while population/context indicators are newer; use as a historical proxy, not a current market count.</x:v>
      </x:c>
    </x:row>
    <x:row r="1383">
      <x:c r="A1383" s="12" t="str">
        <x:v>3811</x:v>
      </x:c>
      <x:c r="B1383" s="12" t="str">
        <x:v>Collection of non-hazardous waste</x:v>
      </x:c>
      <x:c r="C1383" s="12" t="str">
        <x:v>البلقاء</x:v>
      </x:c>
      <x:c r="D1383" s="14" t="n">
        <x:v>0</x:v>
      </x:c>
      <x:c r="E1383" s="14" t="n">
        <x:f>VLOOKUP(C1383,'Governorate Master'!$A$2:$Q$13,3,FALSE)</x:f>
        <x:v>614000</x:v>
      </x:c>
      <x:c r="F1383" s="66" t="n">
        <x:f>IF(E1383=0,0,D1383/E1383*10000)</x:f>
        <x:v>0</x:v>
      </x:c>
      <x:c r="G1383" s="67" t="n">
        <x:f>VLOOKUP(C1383,'Governorate Master'!$A$2:$Q$13,7,FALSE)</x:f>
        <x:v>548</x:v>
      </x:c>
      <x:c r="H1383" s="20" t="n">
        <x:f>VLOOKUP(C1383,'Governorate Master'!$A$2:$Q$13,6,FALSE)</x:f>
        <x:v>0.8210097719869707</x:v>
      </x:c>
      <x:c r="I1383" s="20" t="n">
        <x:f>VLOOKUP(C1383,'Governorate Master'!$A$2:$Q$13,15,FALSE)</x:f>
        <x:v>0.10794044665012408</x:v>
      </x:c>
      <x:c r="J1383" s="12" t="str">
        <x:v>Location model input - competition/saturation context</x:v>
      </x:c>
      <x:c r="K1383" s="12" t="str">
        <x:v>Business count is from 2018 while population/context indicators are newer; use as a historical proxy, not a current market count.</x:v>
      </x:c>
    </x:row>
    <x:row r="1384">
      <x:c r="A1384" s="12" t="str">
        <x:v>3811</x:v>
      </x:c>
      <x:c r="B1384" s="12" t="str">
        <x:v>Collection of non-hazardous waste</x:v>
      </x:c>
      <x:c r="C1384" s="12" t="str">
        <x:v>الزرقاء</x:v>
      </x:c>
      <x:c r="D1384" s="14" t="n">
        <x:v>1</x:v>
      </x:c>
      <x:c r="E1384" s="14" t="n">
        <x:f>VLOOKUP(C1384,'Governorate Master'!$A$2:$Q$13,3,FALSE)</x:f>
        <x:v>1704500</x:v>
      </x:c>
      <x:c r="F1384" s="66" t="n">
        <x:f>IF(E1384=0,0,D1384/E1384*10000)</x:f>
        <x:v>0.005866823115283074</x:v>
      </x:c>
      <x:c r="G1384" s="67" t="n">
        <x:f>VLOOKUP(C1384,'Governorate Master'!$A$2:$Q$13,7,FALSE)</x:f>
        <x:v>358</x:v>
      </x:c>
      <x:c r="H1384" s="20" t="n">
        <x:f>VLOOKUP(C1384,'Governorate Master'!$A$2:$Q$13,6,FALSE)</x:f>
        <x:v>0.9636256966852449</x:v>
      </x:c>
      <x:c r="I1384" s="20" t="n">
        <x:f>VLOOKUP(C1384,'Governorate Master'!$A$2:$Q$13,15,FALSE)</x:f>
        <x:v>-0.06808762581409118</x:v>
      </x:c>
      <x:c r="J1384" s="12" t="str">
        <x:v>Location model input - competition/saturation context</x:v>
      </x:c>
      <x:c r="K1384" s="12" t="str">
        <x:v>Business count is from 2018 while population/context indicators are newer; use as a historical proxy, not a current market count.</x:v>
      </x:c>
    </x:row>
    <x:row r="1385">
      <x:c r="A1385" s="12" t="str">
        <x:v>3811</x:v>
      </x:c>
      <x:c r="B1385" s="12" t="str">
        <x:v>Collection of non-hazardous waste</x:v>
      </x:c>
      <x:c r="C1385" s="12" t="str">
        <x:v>مادبا</x:v>
      </x:c>
      <x:c r="D1385" s="14" t="n">
        <x:v>0</x:v>
      </x:c>
      <x:c r="E1385" s="14" t="n">
        <x:f>VLOOKUP(C1385,'Governorate Master'!$A$2:$Q$13,3,FALSE)</x:f>
        <x:v>236200</x:v>
      </x:c>
      <x:c r="F1385" s="66" t="n">
        <x:f>IF(E1385=0,0,D1385/E1385*10000)</x:f>
        <x:v>0</x:v>
      </x:c>
      <x:c r="G1385" s="67" t="n">
        <x:f>VLOOKUP(C1385,'Governorate Master'!$A$2:$Q$13,7,FALSE)</x:f>
        <x:v>251.4</x:v>
      </x:c>
      <x:c r="H1385" s="20" t="n">
        <x:f>VLOOKUP(C1385,'Governorate Master'!$A$2:$Q$13,6,FALSE)</x:f>
        <x:v>0.7823878069432684</x:v>
      </x:c>
      <x:c r="I1385" s="20" t="n">
        <x:f>VLOOKUP(C1385,'Governorate Master'!$A$2:$Q$13,15,FALSE)</x:f>
        <x:v>-0.18823529411764706</x:v>
      </x:c>
      <x:c r="J1385" s="12" t="str">
        <x:v>Location model input - competition/saturation context</x:v>
      </x:c>
      <x:c r="K1385" s="12" t="str">
        <x:v>Business count is from 2018 while population/context indicators are newer; use as a historical proxy, not a current market count.</x:v>
      </x:c>
    </x:row>
    <x:row r="1386">
      <x:c r="A1386" s="12" t="str">
        <x:v>3811</x:v>
      </x:c>
      <x:c r="B1386" s="12" t="str">
        <x:v>Collection of non-hazardous waste</x:v>
      </x:c>
      <x:c r="C1386" s="12" t="str">
        <x:v>إربد</x:v>
      </x:c>
      <x:c r="D1386" s="14" t="n">
        <x:v>0</x:v>
      </x:c>
      <x:c r="E1386" s="14" t="n">
        <x:f>VLOOKUP(C1386,'Governorate Master'!$A$2:$Q$13,3,FALSE)</x:f>
        <x:v>2210500</x:v>
      </x:c>
      <x:c r="F1386" s="66" t="n">
        <x:f>IF(E1386=0,0,D1386/E1386*10000)</x:f>
        <x:v>0</x:v>
      </x:c>
      <x:c r="G1386" s="67" t="n">
        <x:f>VLOOKUP(C1386,'Governorate Master'!$A$2:$Q$13,7,FALSE)</x:f>
        <x:v>1406.4</x:v>
      </x:c>
      <x:c r="H1386" s="20" t="n">
        <x:f>VLOOKUP(C1386,'Governorate Master'!$A$2:$Q$13,6,FALSE)</x:f>
        <x:v>0.9235014702555983</x:v>
      </x:c>
      <x:c r="I1386" s="20" t="n">
        <x:f>VLOOKUP(C1386,'Governorate Master'!$A$2:$Q$13,15,FALSE)</x:f>
        <x:v>0.07086922474549726</x:v>
      </x:c>
      <x:c r="J1386" s="12" t="str">
        <x:v>Location model input - competition/saturation context</x:v>
      </x:c>
      <x:c r="K1386" s="12" t="str">
        <x:v>Business count is from 2018 while population/context indicators are newer; use as a historical proxy, not a current market count.</x:v>
      </x:c>
    </x:row>
    <x:row r="1387">
      <x:c r="A1387" s="12" t="str">
        <x:v>3811</x:v>
      </x:c>
      <x:c r="B1387" s="12" t="str">
        <x:v>Collection of non-hazardous waste</x:v>
      </x:c>
      <x:c r="C1387" s="12" t="str">
        <x:v>المفرق</x:v>
      </x:c>
      <x:c r="D1387" s="14" t="n">
        <x:v>0</x:v>
      </x:c>
      <x:c r="E1387" s="14" t="n">
        <x:f>VLOOKUP(C1387,'Governorate Master'!$A$2:$Q$13,3,FALSE)</x:f>
        <x:v>686800</x:v>
      </x:c>
      <x:c r="F1387" s="66" t="n">
        <x:f>IF(E1387=0,0,D1387/E1387*10000)</x:f>
        <x:v>0</x:v>
      </x:c>
      <x:c r="G1387" s="67" t="n">
        <x:f>VLOOKUP(C1387,'Governorate Master'!$A$2:$Q$13,7,FALSE)</x:f>
        <x:v>25.9</x:v>
      </x:c>
      <x:c r="H1387" s="20" t="n">
        <x:f>VLOOKUP(C1387,'Governorate Master'!$A$2:$Q$13,6,FALSE)</x:f>
        <x:v>0.6965637740244612</x:v>
      </x:c>
      <x:c r="I1387" s="20" t="n">
        <x:f>VLOOKUP(C1387,'Governorate Master'!$A$2:$Q$13,15,FALSE)</x:f>
        <x:v>-0.016638935108153077</x:v>
      </x:c>
      <x:c r="J1387" s="12" t="str">
        <x:v>Location model input - competition/saturation context</x:v>
      </x:c>
      <x:c r="K1387" s="12" t="str">
        <x:v>Business count is from 2018 while population/context indicators are newer; use as a historical proxy, not a current market count.</x:v>
      </x:c>
    </x:row>
    <x:row r="1388">
      <x:c r="A1388" s="12" t="str">
        <x:v>3811</x:v>
      </x:c>
      <x:c r="B1388" s="12" t="str">
        <x:v>Collection of non-hazardous waste</x:v>
      </x:c>
      <x:c r="C1388" s="12" t="str">
        <x:v>جرش</x:v>
      </x:c>
      <x:c r="D1388" s="14" t="n">
        <x:v>0</x:v>
      </x:c>
      <x:c r="E1388" s="14" t="n">
        <x:f>VLOOKUP(C1388,'Governorate Master'!$A$2:$Q$13,3,FALSE)</x:f>
        <x:v>296000</x:v>
      </x:c>
      <x:c r="F1388" s="66" t="n">
        <x:f>IF(E1388=0,0,D1388/E1388*10000)</x:f>
        <x:v>0</x:v>
      </x:c>
      <x:c r="G1388" s="67" t="n">
        <x:f>VLOOKUP(C1388,'Governorate Master'!$A$2:$Q$13,7,FALSE)</x:f>
        <x:v>722.3</x:v>
      </x:c>
      <x:c r="H1388" s="20" t="n">
        <x:f>VLOOKUP(C1388,'Governorate Master'!$A$2:$Q$13,6,FALSE)</x:f>
        <x:v>0.7695945945945946</x:v>
      </x:c>
      <x:c r="I1388" s="20" t="n">
        <x:f>VLOOKUP(C1388,'Governorate Master'!$A$2:$Q$13,15,FALSE)</x:f>
        <x:v>-0.06527415143603134</x:v>
      </x:c>
      <x:c r="J1388" s="12" t="str">
        <x:v>Location model input - competition/saturation context</x:v>
      </x:c>
      <x:c r="K1388" s="12" t="str">
        <x:v>Business count is from 2018 while population/context indicators are newer; use as a historical proxy, not a current market count.</x:v>
      </x:c>
    </x:row>
    <x:row r="1389">
      <x:c r="A1389" s="12" t="str">
        <x:v>3811</x:v>
      </x:c>
      <x:c r="B1389" s="12" t="str">
        <x:v>Collection of non-hazardous waste</x:v>
      </x:c>
      <x:c r="C1389" s="12" t="str">
        <x:v>عجلون</x:v>
      </x:c>
      <x:c r="D1389" s="14" t="n">
        <x:v>0</x:v>
      </x:c>
      <x:c r="E1389" s="14" t="n">
        <x:f>VLOOKUP(C1389,'Governorate Master'!$A$2:$Q$13,3,FALSE)</x:f>
        <x:v>219900</x:v>
      </x:c>
      <x:c r="F1389" s="66" t="n">
        <x:f>IF(E1389=0,0,D1389/E1389*10000)</x:f>
        <x:v>0</x:v>
      </x:c>
      <x:c r="G1389" s="67" t="n">
        <x:f>VLOOKUP(C1389,'Governorate Master'!$A$2:$Q$13,7,FALSE)</x:f>
        <x:v>524</x:v>
      </x:c>
      <x:c r="H1389" s="20" t="n">
        <x:f>VLOOKUP(C1389,'Governorate Master'!$A$2:$Q$13,6,FALSE)</x:f>
        <x:v>0.8390177353342428</x:v>
      </x:c>
      <x:c r="I1389" s="20" t="n">
        <x:f>VLOOKUP(C1389,'Governorate Master'!$A$2:$Q$13,15,FALSE)</x:f>
        <x:v>0.03614457831325301</x:v>
      </x:c>
      <x:c r="J1389" s="12" t="str">
        <x:v>Location model input - competition/saturation context</x:v>
      </x:c>
      <x:c r="K1389" s="12" t="str">
        <x:v>Business count is from 2018 while population/context indicators are newer; use as a historical proxy, not a current market count.</x:v>
      </x:c>
    </x:row>
    <x:row r="1390">
      <x:c r="A1390" s="12" t="str">
        <x:v>3811</x:v>
      </x:c>
      <x:c r="B1390" s="12" t="str">
        <x:v>Collection of non-hazardous waste</x:v>
      </x:c>
      <x:c r="C1390" s="12" t="str">
        <x:v>الكرك</x:v>
      </x:c>
      <x:c r="D1390" s="14" t="n">
        <x:v>0</x:v>
      </x:c>
      <x:c r="E1390" s="14" t="n">
        <x:f>VLOOKUP(C1390,'Governorate Master'!$A$2:$Q$13,3,FALSE)</x:f>
        <x:v>395400</x:v>
      </x:c>
      <x:c r="F1390" s="66" t="n">
        <x:f>IF(E1390=0,0,D1390/E1390*10000)</x:f>
        <x:v>0</x:v>
      </x:c>
      <x:c r="G1390" s="67" t="n">
        <x:f>VLOOKUP(C1390,'Governorate Master'!$A$2:$Q$13,7,FALSE)</x:f>
        <x:v>113.1</x:v>
      </x:c>
      <x:c r="H1390" s="20" t="n">
        <x:f>VLOOKUP(C1390,'Governorate Master'!$A$2:$Q$13,6,FALSE)</x:f>
        <x:v>0.5912999494183105</x:v>
      </x:c>
      <x:c r="I1390" s="20" t="n">
        <x:f>VLOOKUP(C1390,'Governorate Master'!$A$2:$Q$13,15,FALSE)</x:f>
        <x:v>0.08710801393728224</x:v>
      </x:c>
      <x:c r="J1390" s="12" t="str">
        <x:v>Location model input - competition/saturation context</x:v>
      </x:c>
      <x:c r="K1390" s="12" t="str">
        <x:v>Business count is from 2018 while population/context indicators are newer; use as a historical proxy, not a current market count.</x:v>
      </x:c>
    </x:row>
    <x:row r="1391">
      <x:c r="A1391" s="12" t="str">
        <x:v>3811</x:v>
      </x:c>
      <x:c r="B1391" s="12" t="str">
        <x:v>Collection of non-hazardous waste</x:v>
      </x:c>
      <x:c r="C1391" s="12" t="str">
        <x:v>الطفيلة</x:v>
      </x:c>
      <x:c r="D1391" s="14" t="n">
        <x:v>0</x:v>
      </x:c>
      <x:c r="E1391" s="14" t="n">
        <x:f>VLOOKUP(C1391,'Governorate Master'!$A$2:$Q$13,3,FALSE)</x:f>
        <x:v>120300</x:v>
      </x:c>
      <x:c r="F1391" s="66" t="n">
        <x:f>IF(E1391=0,0,D1391/E1391*10000)</x:f>
        <x:v>0</x:v>
      </x:c>
      <x:c r="G1391" s="67" t="n">
        <x:f>VLOOKUP(C1391,'Governorate Master'!$A$2:$Q$13,7,FALSE)</x:f>
        <x:v>54.4</x:v>
      </x:c>
      <x:c r="H1391" s="20" t="n">
        <x:f>VLOOKUP(C1391,'Governorate Master'!$A$2:$Q$13,6,FALSE)</x:f>
        <x:v>0.7797173732335827</x:v>
      </x:c>
      <x:c r="I1391" s="20" t="n">
        <x:f>VLOOKUP(C1391,'Governorate Master'!$A$2:$Q$13,15,FALSE)</x:f>
        <x:v>0.18452380952380953</x:v>
      </x:c>
      <x:c r="J1391" s="12" t="str">
        <x:v>Location model input - competition/saturation context</x:v>
      </x:c>
      <x:c r="K1391" s="12" t="str">
        <x:v>Business count is from 2018 while population/context indicators are newer; use as a historical proxy, not a current market count.</x:v>
      </x:c>
    </x:row>
    <x:row r="1392">
      <x:c r="A1392" s="12" t="str">
        <x:v>3811</x:v>
      </x:c>
      <x:c r="B1392" s="12" t="str">
        <x:v>Collection of non-hazardous waste</x:v>
      </x:c>
      <x:c r="C1392" s="12" t="str">
        <x:v>معان</x:v>
      </x:c>
      <x:c r="D1392" s="14" t="n">
        <x:v>0</x:v>
      </x:c>
      <x:c r="E1392" s="14" t="n">
        <x:f>VLOOKUP(C1392,'Governorate Master'!$A$2:$Q$13,3,FALSE)</x:f>
        <x:v>197900</x:v>
      </x:c>
      <x:c r="F1392" s="66" t="n">
        <x:f>IF(E1392=0,0,D1392/E1392*10000)</x:f>
        <x:v>0</x:v>
      </x:c>
      <x:c r="G1392" s="67" t="n">
        <x:f>VLOOKUP(C1392,'Governorate Master'!$A$2:$Q$13,7,FALSE)</x:f>
        <x:v>6</x:v>
      </x:c>
      <x:c r="H1392" s="20" t="n">
        <x:f>VLOOKUP(C1392,'Governorate Master'!$A$2:$Q$13,6,FALSE)</x:f>
        <x:v>0.5406771096513391</x:v>
      </x:c>
      <x:c r="I1392" s="20" t="n">
        <x:f>VLOOKUP(C1392,'Governorate Master'!$A$2:$Q$13,15,FALSE)</x:f>
        <x:v>0.026845637583892617</x:v>
      </x:c>
      <x:c r="J1392" s="12" t="str">
        <x:v>Location model input - competition/saturation context</x:v>
      </x:c>
      <x:c r="K1392" s="12" t="str">
        <x:v>Business count is from 2018 while population/context indicators are newer; use as a historical proxy, not a current market count.</x:v>
      </x:c>
    </x:row>
    <x:row r="1393">
      <x:c r="A1393" s="12" t="str">
        <x:v>3811</x:v>
      </x:c>
      <x:c r="B1393" s="12" t="str">
        <x:v>Collection of non-hazardous waste</x:v>
      </x:c>
      <x:c r="C1393" s="12" t="str">
        <x:v>العقبة</x:v>
      </x:c>
      <x:c r="D1393" s="14" t="n">
        <x:v>0</x:v>
      </x:c>
      <x:c r="E1393" s="14" t="n">
        <x:f>VLOOKUP(C1393,'Governorate Master'!$A$2:$Q$13,3,FALSE)</x:f>
        <x:v>250900</x:v>
      </x:c>
      <x:c r="F1393" s="66" t="n">
        <x:f>IF(E1393=0,0,D1393/E1393*10000)</x:f>
        <x:v>0</x:v>
      </x:c>
      <x:c r="G1393" s="67" t="n">
        <x:f>VLOOKUP(C1393,'Governorate Master'!$A$2:$Q$13,7,FALSE)</x:f>
        <x:v>36.3</x:v>
      </x:c>
      <x:c r="H1393" s="20" t="n">
        <x:f>VLOOKUP(C1393,'Governorate Master'!$A$2:$Q$13,6,FALSE)</x:f>
        <x:v>0.882024711040255</x:v>
      </x:c>
      <x:c r="I1393" s="20" t="n">
        <x:f>VLOOKUP(C1393,'Governorate Master'!$A$2:$Q$13,15,FALSE)</x:f>
        <x:v>-0.09</x:v>
      </x:c>
      <x:c r="J1393" s="12" t="str">
        <x:v>Location model input - competition/saturation context</x:v>
      </x:c>
      <x:c r="K1393" s="12" t="str">
        <x:v>Business count is from 2018 while population/context indicators are newer; use as a historical proxy, not a current market count.</x:v>
      </x:c>
    </x:row>
    <x:row r="1394">
      <x:c r="A1394" s="12" t="str">
        <x:v>3812</x:v>
      </x:c>
      <x:c r="B1394" s="12" t="str">
        <x:v>Collection of hazardous waste</x:v>
      </x:c>
      <x:c r="C1394" s="12" t="str">
        <x:v>عمان</x:v>
      </x:c>
      <x:c r="D1394" s="14" t="n">
        <x:v>1</x:v>
      </x:c>
      <x:c r="E1394" s="14" t="n">
        <x:f>VLOOKUP(C1394,'Governorate Master'!$A$2:$Q$13,3,FALSE)</x:f>
        <x:v>5004600</x:v>
      </x:c>
      <x:c r="F1394" s="66" t="n">
        <x:f>IF(E1394=0,0,D1394/E1394*10000)</x:f>
        <x:v>0.0019981616912440555</x:v>
      </x:c>
      <x:c r="G1394" s="67" t="n">
        <x:f>VLOOKUP(C1394,'Governorate Master'!$A$2:$Q$13,7,FALSE)</x:f>
        <x:v>660.3</x:v>
      </x:c>
      <x:c r="H1394" s="20" t="n">
        <x:f>VLOOKUP(C1394,'Governorate Master'!$A$2:$Q$13,6,FALSE)</x:f>
        <x:v>0.9721656076409703</x:v>
      </x:c>
      <x:c r="I1394" s="20" t="n">
        <x:f>VLOOKUP(C1394,'Governorate Master'!$A$2:$Q$13,15,FALSE)</x:f>
        <x:v>0.06367041198501873</x:v>
      </x:c>
      <x:c r="J1394" s="12" t="str">
        <x:v>Location model input - competition/saturation context</x:v>
      </x:c>
      <x:c r="K1394" s="12" t="str">
        <x:v>Business count is from 2018 while population/context indicators are newer; use as a historical proxy, not a current market count.</x:v>
      </x:c>
    </x:row>
    <x:row r="1395">
      <x:c r="A1395" s="12" t="str">
        <x:v>3812</x:v>
      </x:c>
      <x:c r="B1395" s="12" t="str">
        <x:v>Collection of hazardous waste</x:v>
      </x:c>
      <x:c r="C1395" s="12" t="str">
        <x:v>البلقاء</x:v>
      </x:c>
      <x:c r="D1395" s="14" t="n">
        <x:v>0</x:v>
      </x:c>
      <x:c r="E1395" s="14" t="n">
        <x:f>VLOOKUP(C1395,'Governorate Master'!$A$2:$Q$13,3,FALSE)</x:f>
        <x:v>614000</x:v>
      </x:c>
      <x:c r="F1395" s="66" t="n">
        <x:f>IF(E1395=0,0,D1395/E1395*10000)</x:f>
        <x:v>0</x:v>
      </x:c>
      <x:c r="G1395" s="67" t="n">
        <x:f>VLOOKUP(C1395,'Governorate Master'!$A$2:$Q$13,7,FALSE)</x:f>
        <x:v>548</x:v>
      </x:c>
      <x:c r="H1395" s="20" t="n">
        <x:f>VLOOKUP(C1395,'Governorate Master'!$A$2:$Q$13,6,FALSE)</x:f>
        <x:v>0.8210097719869707</x:v>
      </x:c>
      <x:c r="I1395" s="20" t="n">
        <x:f>VLOOKUP(C1395,'Governorate Master'!$A$2:$Q$13,15,FALSE)</x:f>
        <x:v>0.10794044665012408</x:v>
      </x:c>
      <x:c r="J1395" s="12" t="str">
        <x:v>Location model input - competition/saturation context</x:v>
      </x:c>
      <x:c r="K1395" s="12" t="str">
        <x:v>Business count is from 2018 while population/context indicators are newer; use as a historical proxy, not a current market count.</x:v>
      </x:c>
    </x:row>
    <x:row r="1396">
      <x:c r="A1396" s="12" t="str">
        <x:v>3812</x:v>
      </x:c>
      <x:c r="B1396" s="12" t="str">
        <x:v>Collection of hazardous waste</x:v>
      </x:c>
      <x:c r="C1396" s="12" t="str">
        <x:v>الزرقاء</x:v>
      </x:c>
      <x:c r="D1396" s="14" t="n">
        <x:v>0</x:v>
      </x:c>
      <x:c r="E1396" s="14" t="n">
        <x:f>VLOOKUP(C1396,'Governorate Master'!$A$2:$Q$13,3,FALSE)</x:f>
        <x:v>1704500</x:v>
      </x:c>
      <x:c r="F1396" s="66" t="n">
        <x:f>IF(E1396=0,0,D1396/E1396*10000)</x:f>
        <x:v>0</x:v>
      </x:c>
      <x:c r="G1396" s="67" t="n">
        <x:f>VLOOKUP(C1396,'Governorate Master'!$A$2:$Q$13,7,FALSE)</x:f>
        <x:v>358</x:v>
      </x:c>
      <x:c r="H1396" s="20" t="n">
        <x:f>VLOOKUP(C1396,'Governorate Master'!$A$2:$Q$13,6,FALSE)</x:f>
        <x:v>0.9636256966852449</x:v>
      </x:c>
      <x:c r="I1396" s="20" t="n">
        <x:f>VLOOKUP(C1396,'Governorate Master'!$A$2:$Q$13,15,FALSE)</x:f>
        <x:v>-0.06808762581409118</x:v>
      </x:c>
      <x:c r="J1396" s="12" t="str">
        <x:v>Location model input - competition/saturation context</x:v>
      </x:c>
      <x:c r="K1396" s="12" t="str">
        <x:v>Business count is from 2018 while population/context indicators are newer; use as a historical proxy, not a current market count.</x:v>
      </x:c>
    </x:row>
    <x:row r="1397">
      <x:c r="A1397" s="12" t="str">
        <x:v>3812</x:v>
      </x:c>
      <x:c r="B1397" s="12" t="str">
        <x:v>Collection of hazardous waste</x:v>
      </x:c>
      <x:c r="C1397" s="12" t="str">
        <x:v>مادبا</x:v>
      </x:c>
      <x:c r="D1397" s="14" t="n">
        <x:v>0</x:v>
      </x:c>
      <x:c r="E1397" s="14" t="n">
        <x:f>VLOOKUP(C1397,'Governorate Master'!$A$2:$Q$13,3,FALSE)</x:f>
        <x:v>236200</x:v>
      </x:c>
      <x:c r="F1397" s="66" t="n">
        <x:f>IF(E1397=0,0,D1397/E1397*10000)</x:f>
        <x:v>0</x:v>
      </x:c>
      <x:c r="G1397" s="67" t="n">
        <x:f>VLOOKUP(C1397,'Governorate Master'!$A$2:$Q$13,7,FALSE)</x:f>
        <x:v>251.4</x:v>
      </x:c>
      <x:c r="H1397" s="20" t="n">
        <x:f>VLOOKUP(C1397,'Governorate Master'!$A$2:$Q$13,6,FALSE)</x:f>
        <x:v>0.7823878069432684</x:v>
      </x:c>
      <x:c r="I1397" s="20" t="n">
        <x:f>VLOOKUP(C1397,'Governorate Master'!$A$2:$Q$13,15,FALSE)</x:f>
        <x:v>-0.18823529411764706</x:v>
      </x:c>
      <x:c r="J1397" s="12" t="str">
        <x:v>Location model input - competition/saturation context</x:v>
      </x:c>
      <x:c r="K1397" s="12" t="str">
        <x:v>Business count is from 2018 while population/context indicators are newer; use as a historical proxy, not a current market count.</x:v>
      </x:c>
    </x:row>
    <x:row r="1398">
      <x:c r="A1398" s="12" t="str">
        <x:v>3812</x:v>
      </x:c>
      <x:c r="B1398" s="12" t="str">
        <x:v>Collection of hazardous waste</x:v>
      </x:c>
      <x:c r="C1398" s="12" t="str">
        <x:v>إربد</x:v>
      </x:c>
      <x:c r="D1398" s="14" t="n">
        <x:v>0</x:v>
      </x:c>
      <x:c r="E1398" s="14" t="n">
        <x:f>VLOOKUP(C1398,'Governorate Master'!$A$2:$Q$13,3,FALSE)</x:f>
        <x:v>2210500</x:v>
      </x:c>
      <x:c r="F1398" s="66" t="n">
        <x:f>IF(E1398=0,0,D1398/E1398*10000)</x:f>
        <x:v>0</x:v>
      </x:c>
      <x:c r="G1398" s="67" t="n">
        <x:f>VLOOKUP(C1398,'Governorate Master'!$A$2:$Q$13,7,FALSE)</x:f>
        <x:v>1406.4</x:v>
      </x:c>
      <x:c r="H1398" s="20" t="n">
        <x:f>VLOOKUP(C1398,'Governorate Master'!$A$2:$Q$13,6,FALSE)</x:f>
        <x:v>0.9235014702555983</x:v>
      </x:c>
      <x:c r="I1398" s="20" t="n">
        <x:f>VLOOKUP(C1398,'Governorate Master'!$A$2:$Q$13,15,FALSE)</x:f>
        <x:v>0.07086922474549726</x:v>
      </x:c>
      <x:c r="J1398" s="12" t="str">
        <x:v>Location model input - competition/saturation context</x:v>
      </x:c>
      <x:c r="K1398" s="12" t="str">
        <x:v>Business count is from 2018 while population/context indicators are newer; use as a historical proxy, not a current market count.</x:v>
      </x:c>
    </x:row>
    <x:row r="1399">
      <x:c r="A1399" s="12" t="str">
        <x:v>3812</x:v>
      </x:c>
      <x:c r="B1399" s="12" t="str">
        <x:v>Collection of hazardous waste</x:v>
      </x:c>
      <x:c r="C1399" s="12" t="str">
        <x:v>المفرق</x:v>
      </x:c>
      <x:c r="D1399" s="14" t="n">
        <x:v>0</x:v>
      </x:c>
      <x:c r="E1399" s="14" t="n">
        <x:f>VLOOKUP(C1399,'Governorate Master'!$A$2:$Q$13,3,FALSE)</x:f>
        <x:v>686800</x:v>
      </x:c>
      <x:c r="F1399" s="66" t="n">
        <x:f>IF(E1399=0,0,D1399/E1399*10000)</x:f>
        <x:v>0</x:v>
      </x:c>
      <x:c r="G1399" s="67" t="n">
        <x:f>VLOOKUP(C1399,'Governorate Master'!$A$2:$Q$13,7,FALSE)</x:f>
        <x:v>25.9</x:v>
      </x:c>
      <x:c r="H1399" s="20" t="n">
        <x:f>VLOOKUP(C1399,'Governorate Master'!$A$2:$Q$13,6,FALSE)</x:f>
        <x:v>0.6965637740244612</x:v>
      </x:c>
      <x:c r="I1399" s="20" t="n">
        <x:f>VLOOKUP(C1399,'Governorate Master'!$A$2:$Q$13,15,FALSE)</x:f>
        <x:v>-0.016638935108153077</x:v>
      </x:c>
      <x:c r="J1399" s="12" t="str">
        <x:v>Location model input - competition/saturation context</x:v>
      </x:c>
      <x:c r="K1399" s="12" t="str">
        <x:v>Business count is from 2018 while population/context indicators are newer; use as a historical proxy, not a current market count.</x:v>
      </x:c>
    </x:row>
    <x:row r="1400">
      <x:c r="A1400" s="12" t="str">
        <x:v>3812</x:v>
      </x:c>
      <x:c r="B1400" s="12" t="str">
        <x:v>Collection of hazardous waste</x:v>
      </x:c>
      <x:c r="C1400" s="12" t="str">
        <x:v>جرش</x:v>
      </x:c>
      <x:c r="D1400" s="14" t="n">
        <x:v>0</x:v>
      </x:c>
      <x:c r="E1400" s="14" t="n">
        <x:f>VLOOKUP(C1400,'Governorate Master'!$A$2:$Q$13,3,FALSE)</x:f>
        <x:v>296000</x:v>
      </x:c>
      <x:c r="F1400" s="66" t="n">
        <x:f>IF(E1400=0,0,D1400/E1400*10000)</x:f>
        <x:v>0</x:v>
      </x:c>
      <x:c r="G1400" s="67" t="n">
        <x:f>VLOOKUP(C1400,'Governorate Master'!$A$2:$Q$13,7,FALSE)</x:f>
        <x:v>722.3</x:v>
      </x:c>
      <x:c r="H1400" s="20" t="n">
        <x:f>VLOOKUP(C1400,'Governorate Master'!$A$2:$Q$13,6,FALSE)</x:f>
        <x:v>0.7695945945945946</x:v>
      </x:c>
      <x:c r="I1400" s="20" t="n">
        <x:f>VLOOKUP(C1400,'Governorate Master'!$A$2:$Q$13,15,FALSE)</x:f>
        <x:v>-0.06527415143603134</x:v>
      </x:c>
      <x:c r="J1400" s="12" t="str">
        <x:v>Location model input - competition/saturation context</x:v>
      </x:c>
      <x:c r="K1400" s="12" t="str">
        <x:v>Business count is from 2018 while population/context indicators are newer; use as a historical proxy, not a current market count.</x:v>
      </x:c>
    </x:row>
    <x:row r="1401">
      <x:c r="A1401" s="12" t="str">
        <x:v>3812</x:v>
      </x:c>
      <x:c r="B1401" s="12" t="str">
        <x:v>Collection of hazardous waste</x:v>
      </x:c>
      <x:c r="C1401" s="12" t="str">
        <x:v>عجلون</x:v>
      </x:c>
      <x:c r="D1401" s="14" t="n">
        <x:v>0</x:v>
      </x:c>
      <x:c r="E1401" s="14" t="n">
        <x:f>VLOOKUP(C1401,'Governorate Master'!$A$2:$Q$13,3,FALSE)</x:f>
        <x:v>219900</x:v>
      </x:c>
      <x:c r="F1401" s="66" t="n">
        <x:f>IF(E1401=0,0,D1401/E1401*10000)</x:f>
        <x:v>0</x:v>
      </x:c>
      <x:c r="G1401" s="67" t="n">
        <x:f>VLOOKUP(C1401,'Governorate Master'!$A$2:$Q$13,7,FALSE)</x:f>
        <x:v>524</x:v>
      </x:c>
      <x:c r="H1401" s="20" t="n">
        <x:f>VLOOKUP(C1401,'Governorate Master'!$A$2:$Q$13,6,FALSE)</x:f>
        <x:v>0.8390177353342428</x:v>
      </x:c>
      <x:c r="I1401" s="20" t="n">
        <x:f>VLOOKUP(C1401,'Governorate Master'!$A$2:$Q$13,15,FALSE)</x:f>
        <x:v>0.03614457831325301</x:v>
      </x:c>
      <x:c r="J1401" s="12" t="str">
        <x:v>Location model input - competition/saturation context</x:v>
      </x:c>
      <x:c r="K1401" s="12" t="str">
        <x:v>Business count is from 2018 while population/context indicators are newer; use as a historical proxy, not a current market count.</x:v>
      </x:c>
    </x:row>
    <x:row r="1402">
      <x:c r="A1402" s="12" t="str">
        <x:v>3812</x:v>
      </x:c>
      <x:c r="B1402" s="12" t="str">
        <x:v>Collection of hazardous waste</x:v>
      </x:c>
      <x:c r="C1402" s="12" t="str">
        <x:v>الكرك</x:v>
      </x:c>
      <x:c r="D1402" s="14" t="n">
        <x:v>0</x:v>
      </x:c>
      <x:c r="E1402" s="14" t="n">
        <x:f>VLOOKUP(C1402,'Governorate Master'!$A$2:$Q$13,3,FALSE)</x:f>
        <x:v>395400</x:v>
      </x:c>
      <x:c r="F1402" s="66" t="n">
        <x:f>IF(E1402=0,0,D1402/E1402*10000)</x:f>
        <x:v>0</x:v>
      </x:c>
      <x:c r="G1402" s="67" t="n">
        <x:f>VLOOKUP(C1402,'Governorate Master'!$A$2:$Q$13,7,FALSE)</x:f>
        <x:v>113.1</x:v>
      </x:c>
      <x:c r="H1402" s="20" t="n">
        <x:f>VLOOKUP(C1402,'Governorate Master'!$A$2:$Q$13,6,FALSE)</x:f>
        <x:v>0.5912999494183105</x:v>
      </x:c>
      <x:c r="I1402" s="20" t="n">
        <x:f>VLOOKUP(C1402,'Governorate Master'!$A$2:$Q$13,15,FALSE)</x:f>
        <x:v>0.08710801393728224</x:v>
      </x:c>
      <x:c r="J1402" s="12" t="str">
        <x:v>Location model input - competition/saturation context</x:v>
      </x:c>
      <x:c r="K1402" s="12" t="str">
        <x:v>Business count is from 2018 while population/context indicators are newer; use as a historical proxy, not a current market count.</x:v>
      </x:c>
    </x:row>
    <x:row r="1403">
      <x:c r="A1403" s="12" t="str">
        <x:v>3812</x:v>
      </x:c>
      <x:c r="B1403" s="12" t="str">
        <x:v>Collection of hazardous waste</x:v>
      </x:c>
      <x:c r="C1403" s="12" t="str">
        <x:v>الطفيلة</x:v>
      </x:c>
      <x:c r="D1403" s="14" t="n">
        <x:v>0</x:v>
      </x:c>
      <x:c r="E1403" s="14" t="n">
        <x:f>VLOOKUP(C1403,'Governorate Master'!$A$2:$Q$13,3,FALSE)</x:f>
        <x:v>120300</x:v>
      </x:c>
      <x:c r="F1403" s="66" t="n">
        <x:f>IF(E1403=0,0,D1403/E1403*10000)</x:f>
        <x:v>0</x:v>
      </x:c>
      <x:c r="G1403" s="67" t="n">
        <x:f>VLOOKUP(C1403,'Governorate Master'!$A$2:$Q$13,7,FALSE)</x:f>
        <x:v>54.4</x:v>
      </x:c>
      <x:c r="H1403" s="20" t="n">
        <x:f>VLOOKUP(C1403,'Governorate Master'!$A$2:$Q$13,6,FALSE)</x:f>
        <x:v>0.7797173732335827</x:v>
      </x:c>
      <x:c r="I1403" s="20" t="n">
        <x:f>VLOOKUP(C1403,'Governorate Master'!$A$2:$Q$13,15,FALSE)</x:f>
        <x:v>0.18452380952380953</x:v>
      </x:c>
      <x:c r="J1403" s="12" t="str">
        <x:v>Location model input - competition/saturation context</x:v>
      </x:c>
      <x:c r="K1403" s="12" t="str">
        <x:v>Business count is from 2018 while population/context indicators are newer; use as a historical proxy, not a current market count.</x:v>
      </x:c>
    </x:row>
    <x:row r="1404">
      <x:c r="A1404" s="12" t="str">
        <x:v>3812</x:v>
      </x:c>
      <x:c r="B1404" s="12" t="str">
        <x:v>Collection of hazardous waste</x:v>
      </x:c>
      <x:c r="C1404" s="12" t="str">
        <x:v>معان</x:v>
      </x:c>
      <x:c r="D1404" s="14" t="n">
        <x:v>0</x:v>
      </x:c>
      <x:c r="E1404" s="14" t="n">
        <x:f>VLOOKUP(C1404,'Governorate Master'!$A$2:$Q$13,3,FALSE)</x:f>
        <x:v>197900</x:v>
      </x:c>
      <x:c r="F1404" s="66" t="n">
        <x:f>IF(E1404=0,0,D1404/E1404*10000)</x:f>
        <x:v>0</x:v>
      </x:c>
      <x:c r="G1404" s="67" t="n">
        <x:f>VLOOKUP(C1404,'Governorate Master'!$A$2:$Q$13,7,FALSE)</x:f>
        <x:v>6</x:v>
      </x:c>
      <x:c r="H1404" s="20" t="n">
        <x:f>VLOOKUP(C1404,'Governorate Master'!$A$2:$Q$13,6,FALSE)</x:f>
        <x:v>0.5406771096513391</x:v>
      </x:c>
      <x:c r="I1404" s="20" t="n">
        <x:f>VLOOKUP(C1404,'Governorate Master'!$A$2:$Q$13,15,FALSE)</x:f>
        <x:v>0.026845637583892617</x:v>
      </x:c>
      <x:c r="J1404" s="12" t="str">
        <x:v>Location model input - competition/saturation context</x:v>
      </x:c>
      <x:c r="K1404" s="12" t="str">
        <x:v>Business count is from 2018 while population/context indicators are newer; use as a historical proxy, not a current market count.</x:v>
      </x:c>
    </x:row>
    <x:row r="1405">
      <x:c r="A1405" s="12" t="str">
        <x:v>3812</x:v>
      </x:c>
      <x:c r="B1405" s="12" t="str">
        <x:v>Collection of hazardous waste</x:v>
      </x:c>
      <x:c r="C1405" s="12" t="str">
        <x:v>العقبة</x:v>
      </x:c>
      <x:c r="D1405" s="14" t="n">
        <x:v>1</x:v>
      </x:c>
      <x:c r="E1405" s="14" t="n">
        <x:f>VLOOKUP(C1405,'Governorate Master'!$A$2:$Q$13,3,FALSE)</x:f>
        <x:v>250900</x:v>
      </x:c>
      <x:c r="F1405" s="66" t="n">
        <x:f>IF(E1405=0,0,D1405/E1405*10000)</x:f>
        <x:v>0.03985651654045436</x:v>
      </x:c>
      <x:c r="G1405" s="67" t="n">
        <x:f>VLOOKUP(C1405,'Governorate Master'!$A$2:$Q$13,7,FALSE)</x:f>
        <x:v>36.3</x:v>
      </x:c>
      <x:c r="H1405" s="20" t="n">
        <x:f>VLOOKUP(C1405,'Governorate Master'!$A$2:$Q$13,6,FALSE)</x:f>
        <x:v>0.882024711040255</x:v>
      </x:c>
      <x:c r="I1405" s="20" t="n">
        <x:f>VLOOKUP(C1405,'Governorate Master'!$A$2:$Q$13,15,FALSE)</x:f>
        <x:v>-0.09</x:v>
      </x:c>
      <x:c r="J1405" s="12" t="str">
        <x:v>Location model input - competition/saturation context</x:v>
      </x:c>
      <x:c r="K1405" s="12" t="str">
        <x:v>Business count is from 2018 while population/context indicators are newer; use as a historical proxy, not a current market count.</x:v>
      </x:c>
    </x:row>
    <x:row r="1406">
      <x:c r="A1406" s="12" t="str">
        <x:v>3830</x:v>
      </x:c>
      <x:c r="B1406" s="12" t="str">
        <x:v>Materials recovery</x:v>
      </x:c>
      <x:c r="C1406" s="12" t="str">
        <x:v>عمان</x:v>
      </x:c>
      <x:c r="D1406" s="14" t="n">
        <x:v>22</x:v>
      </x:c>
      <x:c r="E1406" s="14" t="n">
        <x:f>VLOOKUP(C1406,'Governorate Master'!$A$2:$Q$13,3,FALSE)</x:f>
        <x:v>5004600</x:v>
      </x:c>
      <x:c r="F1406" s="66" t="n">
        <x:f>IF(E1406=0,0,D1406/E1406*10000)</x:f>
        <x:v>0.04395955720736922</x:v>
      </x:c>
      <x:c r="G1406" s="67" t="n">
        <x:f>VLOOKUP(C1406,'Governorate Master'!$A$2:$Q$13,7,FALSE)</x:f>
        <x:v>660.3</x:v>
      </x:c>
      <x:c r="H1406" s="20" t="n">
        <x:f>VLOOKUP(C1406,'Governorate Master'!$A$2:$Q$13,6,FALSE)</x:f>
        <x:v>0.9721656076409703</x:v>
      </x:c>
      <x:c r="I1406" s="20" t="n">
        <x:f>VLOOKUP(C1406,'Governorate Master'!$A$2:$Q$13,15,FALSE)</x:f>
        <x:v>0.06367041198501873</x:v>
      </x:c>
      <x:c r="J1406" s="12" t="str">
        <x:v>Location model input - competition/saturation context</x:v>
      </x:c>
      <x:c r="K1406" s="12" t="str">
        <x:v>Business count is from 2018 while population/context indicators are newer; use as a historical proxy, not a current market count.</x:v>
      </x:c>
    </x:row>
    <x:row r="1407">
      <x:c r="A1407" s="12" t="str">
        <x:v>3830</x:v>
      </x:c>
      <x:c r="B1407" s="12" t="str">
        <x:v>Materials recovery</x:v>
      </x:c>
      <x:c r="C1407" s="12" t="str">
        <x:v>البلقاء</x:v>
      </x:c>
      <x:c r="D1407" s="14" t="n">
        <x:v>0</x:v>
      </x:c>
      <x:c r="E1407" s="14" t="n">
        <x:f>VLOOKUP(C1407,'Governorate Master'!$A$2:$Q$13,3,FALSE)</x:f>
        <x:v>614000</x:v>
      </x:c>
      <x:c r="F1407" s="66" t="n">
        <x:f>IF(E1407=0,0,D1407/E1407*10000)</x:f>
        <x:v>0</x:v>
      </x:c>
      <x:c r="G1407" s="67" t="n">
        <x:f>VLOOKUP(C1407,'Governorate Master'!$A$2:$Q$13,7,FALSE)</x:f>
        <x:v>548</x:v>
      </x:c>
      <x:c r="H1407" s="20" t="n">
        <x:f>VLOOKUP(C1407,'Governorate Master'!$A$2:$Q$13,6,FALSE)</x:f>
        <x:v>0.8210097719869707</x:v>
      </x:c>
      <x:c r="I1407" s="20" t="n">
        <x:f>VLOOKUP(C1407,'Governorate Master'!$A$2:$Q$13,15,FALSE)</x:f>
        <x:v>0.10794044665012408</x:v>
      </x:c>
      <x:c r="J1407" s="12" t="str">
        <x:v>Location model input - competition/saturation context</x:v>
      </x:c>
      <x:c r="K1407" s="12" t="str">
        <x:v>Business count is from 2018 while population/context indicators are newer; use as a historical proxy, not a current market count.</x:v>
      </x:c>
    </x:row>
    <x:row r="1408">
      <x:c r="A1408" s="12" t="str">
        <x:v>3830</x:v>
      </x:c>
      <x:c r="B1408" s="12" t="str">
        <x:v>Materials recovery</x:v>
      </x:c>
      <x:c r="C1408" s="12" t="str">
        <x:v>الزرقاء</x:v>
      </x:c>
      <x:c r="D1408" s="14" t="n">
        <x:v>14</x:v>
      </x:c>
      <x:c r="E1408" s="14" t="n">
        <x:f>VLOOKUP(C1408,'Governorate Master'!$A$2:$Q$13,3,FALSE)</x:f>
        <x:v>1704500</x:v>
      </x:c>
      <x:c r="F1408" s="66" t="n">
        <x:f>IF(E1408=0,0,D1408/E1408*10000)</x:f>
        <x:v>0.08213552361396305</x:v>
      </x:c>
      <x:c r="G1408" s="67" t="n">
        <x:f>VLOOKUP(C1408,'Governorate Master'!$A$2:$Q$13,7,FALSE)</x:f>
        <x:v>358</x:v>
      </x:c>
      <x:c r="H1408" s="20" t="n">
        <x:f>VLOOKUP(C1408,'Governorate Master'!$A$2:$Q$13,6,FALSE)</x:f>
        <x:v>0.9636256966852449</x:v>
      </x:c>
      <x:c r="I1408" s="20" t="n">
        <x:f>VLOOKUP(C1408,'Governorate Master'!$A$2:$Q$13,15,FALSE)</x:f>
        <x:v>-0.06808762581409118</x:v>
      </x:c>
      <x:c r="J1408" s="12" t="str">
        <x:v>Location model input - competition/saturation context</x:v>
      </x:c>
      <x:c r="K1408" s="12" t="str">
        <x:v>Business count is from 2018 while population/context indicators are newer; use as a historical proxy, not a current market count.</x:v>
      </x:c>
    </x:row>
    <x:row r="1409">
      <x:c r="A1409" s="12" t="str">
        <x:v>3830</x:v>
      </x:c>
      <x:c r="B1409" s="12" t="str">
        <x:v>Materials recovery</x:v>
      </x:c>
      <x:c r="C1409" s="12" t="str">
        <x:v>مادبا</x:v>
      </x:c>
      <x:c r="D1409" s="14" t="n">
        <x:v>0</x:v>
      </x:c>
      <x:c r="E1409" s="14" t="n">
        <x:f>VLOOKUP(C1409,'Governorate Master'!$A$2:$Q$13,3,FALSE)</x:f>
        <x:v>236200</x:v>
      </x:c>
      <x:c r="F1409" s="66" t="n">
        <x:f>IF(E1409=0,0,D1409/E1409*10000)</x:f>
        <x:v>0</x:v>
      </x:c>
      <x:c r="G1409" s="67" t="n">
        <x:f>VLOOKUP(C1409,'Governorate Master'!$A$2:$Q$13,7,FALSE)</x:f>
        <x:v>251.4</x:v>
      </x:c>
      <x:c r="H1409" s="20" t="n">
        <x:f>VLOOKUP(C1409,'Governorate Master'!$A$2:$Q$13,6,FALSE)</x:f>
        <x:v>0.7823878069432684</x:v>
      </x:c>
      <x:c r="I1409" s="20" t="n">
        <x:f>VLOOKUP(C1409,'Governorate Master'!$A$2:$Q$13,15,FALSE)</x:f>
        <x:v>-0.18823529411764706</x:v>
      </x:c>
      <x:c r="J1409" s="12" t="str">
        <x:v>Location model input - competition/saturation context</x:v>
      </x:c>
      <x:c r="K1409" s="12" t="str">
        <x:v>Business count is from 2018 while population/context indicators are newer; use as a historical proxy, not a current market count.</x:v>
      </x:c>
    </x:row>
    <x:row r="1410">
      <x:c r="A1410" s="12" t="str">
        <x:v>3830</x:v>
      </x:c>
      <x:c r="B1410" s="12" t="str">
        <x:v>Materials recovery</x:v>
      </x:c>
      <x:c r="C1410" s="12" t="str">
        <x:v>إربد</x:v>
      </x:c>
      <x:c r="D1410" s="14" t="n">
        <x:v>10</x:v>
      </x:c>
      <x:c r="E1410" s="14" t="n">
        <x:f>VLOOKUP(C1410,'Governorate Master'!$A$2:$Q$13,3,FALSE)</x:f>
        <x:v>2210500</x:v>
      </x:c>
      <x:c r="F1410" s="66" t="n">
        <x:f>IF(E1410=0,0,D1410/E1410*10000)</x:f>
        <x:v>0.045238633793259445</x:v>
      </x:c>
      <x:c r="G1410" s="67" t="n">
        <x:f>VLOOKUP(C1410,'Governorate Master'!$A$2:$Q$13,7,FALSE)</x:f>
        <x:v>1406.4</x:v>
      </x:c>
      <x:c r="H1410" s="20" t="n">
        <x:f>VLOOKUP(C1410,'Governorate Master'!$A$2:$Q$13,6,FALSE)</x:f>
        <x:v>0.9235014702555983</x:v>
      </x:c>
      <x:c r="I1410" s="20" t="n">
        <x:f>VLOOKUP(C1410,'Governorate Master'!$A$2:$Q$13,15,FALSE)</x:f>
        <x:v>0.07086922474549726</x:v>
      </x:c>
      <x:c r="J1410" s="12" t="str">
        <x:v>Location model input - competition/saturation context</x:v>
      </x:c>
      <x:c r="K1410" s="12" t="str">
        <x:v>Business count is from 2018 while population/context indicators are newer; use as a historical proxy, not a current market count.</x:v>
      </x:c>
    </x:row>
    <x:row r="1411">
      <x:c r="A1411" s="12" t="str">
        <x:v>3830</x:v>
      </x:c>
      <x:c r="B1411" s="12" t="str">
        <x:v>Materials recovery</x:v>
      </x:c>
      <x:c r="C1411" s="12" t="str">
        <x:v>المفرق</x:v>
      </x:c>
      <x:c r="D1411" s="14" t="n">
        <x:v>0</x:v>
      </x:c>
      <x:c r="E1411" s="14" t="n">
        <x:f>VLOOKUP(C1411,'Governorate Master'!$A$2:$Q$13,3,FALSE)</x:f>
        <x:v>686800</x:v>
      </x:c>
      <x:c r="F1411" s="66" t="n">
        <x:f>IF(E1411=0,0,D1411/E1411*10000)</x:f>
        <x:v>0</x:v>
      </x:c>
      <x:c r="G1411" s="67" t="n">
        <x:f>VLOOKUP(C1411,'Governorate Master'!$A$2:$Q$13,7,FALSE)</x:f>
        <x:v>25.9</x:v>
      </x:c>
      <x:c r="H1411" s="20" t="n">
        <x:f>VLOOKUP(C1411,'Governorate Master'!$A$2:$Q$13,6,FALSE)</x:f>
        <x:v>0.6965637740244612</x:v>
      </x:c>
      <x:c r="I1411" s="20" t="n">
        <x:f>VLOOKUP(C1411,'Governorate Master'!$A$2:$Q$13,15,FALSE)</x:f>
        <x:v>-0.016638935108153077</x:v>
      </x:c>
      <x:c r="J1411" s="12" t="str">
        <x:v>Location model input - competition/saturation context</x:v>
      </x:c>
      <x:c r="K1411" s="12" t="str">
        <x:v>Business count is from 2018 while population/context indicators are newer; use as a historical proxy, not a current market count.</x:v>
      </x:c>
    </x:row>
    <x:row r="1412">
      <x:c r="A1412" s="12" t="str">
        <x:v>3830</x:v>
      </x:c>
      <x:c r="B1412" s="12" t="str">
        <x:v>Materials recovery</x:v>
      </x:c>
      <x:c r="C1412" s="12" t="str">
        <x:v>جرش</x:v>
      </x:c>
      <x:c r="D1412" s="14" t="n">
        <x:v>0</x:v>
      </x:c>
      <x:c r="E1412" s="14" t="n">
        <x:f>VLOOKUP(C1412,'Governorate Master'!$A$2:$Q$13,3,FALSE)</x:f>
        <x:v>296000</x:v>
      </x:c>
      <x:c r="F1412" s="66" t="n">
        <x:f>IF(E1412=0,0,D1412/E1412*10000)</x:f>
        <x:v>0</x:v>
      </x:c>
      <x:c r="G1412" s="67" t="n">
        <x:f>VLOOKUP(C1412,'Governorate Master'!$A$2:$Q$13,7,FALSE)</x:f>
        <x:v>722.3</x:v>
      </x:c>
      <x:c r="H1412" s="20" t="n">
        <x:f>VLOOKUP(C1412,'Governorate Master'!$A$2:$Q$13,6,FALSE)</x:f>
        <x:v>0.7695945945945946</x:v>
      </x:c>
      <x:c r="I1412" s="20" t="n">
        <x:f>VLOOKUP(C1412,'Governorate Master'!$A$2:$Q$13,15,FALSE)</x:f>
        <x:v>-0.06527415143603134</x:v>
      </x:c>
      <x:c r="J1412" s="12" t="str">
        <x:v>Location model input - competition/saturation context</x:v>
      </x:c>
      <x:c r="K1412" s="12" t="str">
        <x:v>Business count is from 2018 while population/context indicators are newer; use as a historical proxy, not a current market count.</x:v>
      </x:c>
    </x:row>
    <x:row r="1413">
      <x:c r="A1413" s="12" t="str">
        <x:v>3830</x:v>
      </x:c>
      <x:c r="B1413" s="12" t="str">
        <x:v>Materials recovery</x:v>
      </x:c>
      <x:c r="C1413" s="12" t="str">
        <x:v>عجلون</x:v>
      </x:c>
      <x:c r="D1413" s="14" t="n">
        <x:v>0</x:v>
      </x:c>
      <x:c r="E1413" s="14" t="n">
        <x:f>VLOOKUP(C1413,'Governorate Master'!$A$2:$Q$13,3,FALSE)</x:f>
        <x:v>219900</x:v>
      </x:c>
      <x:c r="F1413" s="66" t="n">
        <x:f>IF(E1413=0,0,D1413/E1413*10000)</x:f>
        <x:v>0</x:v>
      </x:c>
      <x:c r="G1413" s="67" t="n">
        <x:f>VLOOKUP(C1413,'Governorate Master'!$A$2:$Q$13,7,FALSE)</x:f>
        <x:v>524</x:v>
      </x:c>
      <x:c r="H1413" s="20" t="n">
        <x:f>VLOOKUP(C1413,'Governorate Master'!$A$2:$Q$13,6,FALSE)</x:f>
        <x:v>0.8390177353342428</x:v>
      </x:c>
      <x:c r="I1413" s="20" t="n">
        <x:f>VLOOKUP(C1413,'Governorate Master'!$A$2:$Q$13,15,FALSE)</x:f>
        <x:v>0.03614457831325301</x:v>
      </x:c>
      <x:c r="J1413" s="12" t="str">
        <x:v>Location model input - competition/saturation context</x:v>
      </x:c>
      <x:c r="K1413" s="12" t="str">
        <x:v>Business count is from 2018 while population/context indicators are newer; use as a historical proxy, not a current market count.</x:v>
      </x:c>
    </x:row>
    <x:row r="1414">
      <x:c r="A1414" s="12" t="str">
        <x:v>3830</x:v>
      </x:c>
      <x:c r="B1414" s="12" t="str">
        <x:v>Materials recovery</x:v>
      </x:c>
      <x:c r="C1414" s="12" t="str">
        <x:v>الكرك</x:v>
      </x:c>
      <x:c r="D1414" s="14" t="n">
        <x:v>1</x:v>
      </x:c>
      <x:c r="E1414" s="14" t="n">
        <x:f>VLOOKUP(C1414,'Governorate Master'!$A$2:$Q$13,3,FALSE)</x:f>
        <x:v>395400</x:v>
      </x:c>
      <x:c r="F1414" s="66" t="n">
        <x:f>IF(E1414=0,0,D1414/E1414*10000)</x:f>
        <x:v>0.025290844714213452</x:v>
      </x:c>
      <x:c r="G1414" s="67" t="n">
        <x:f>VLOOKUP(C1414,'Governorate Master'!$A$2:$Q$13,7,FALSE)</x:f>
        <x:v>113.1</x:v>
      </x:c>
      <x:c r="H1414" s="20" t="n">
        <x:f>VLOOKUP(C1414,'Governorate Master'!$A$2:$Q$13,6,FALSE)</x:f>
        <x:v>0.5912999494183105</x:v>
      </x:c>
      <x:c r="I1414" s="20" t="n">
        <x:f>VLOOKUP(C1414,'Governorate Master'!$A$2:$Q$13,15,FALSE)</x:f>
        <x:v>0.08710801393728224</x:v>
      </x:c>
      <x:c r="J1414" s="12" t="str">
        <x:v>Location model input - competition/saturation context</x:v>
      </x:c>
      <x:c r="K1414" s="12" t="str">
        <x:v>Business count is from 2018 while population/context indicators are newer; use as a historical proxy, not a current market count.</x:v>
      </x:c>
    </x:row>
    <x:row r="1415">
      <x:c r="A1415" s="12" t="str">
        <x:v>3830</x:v>
      </x:c>
      <x:c r="B1415" s="12" t="str">
        <x:v>Materials recovery</x:v>
      </x:c>
      <x:c r="C1415" s="12" t="str">
        <x:v>الطفيلة</x:v>
      </x:c>
      <x:c r="D1415" s="14" t="n">
        <x:v>0</x:v>
      </x:c>
      <x:c r="E1415" s="14" t="n">
        <x:f>VLOOKUP(C1415,'Governorate Master'!$A$2:$Q$13,3,FALSE)</x:f>
        <x:v>120300</x:v>
      </x:c>
      <x:c r="F1415" s="66" t="n">
        <x:f>IF(E1415=0,0,D1415/E1415*10000)</x:f>
        <x:v>0</x:v>
      </x:c>
      <x:c r="G1415" s="67" t="n">
        <x:f>VLOOKUP(C1415,'Governorate Master'!$A$2:$Q$13,7,FALSE)</x:f>
        <x:v>54.4</x:v>
      </x:c>
      <x:c r="H1415" s="20" t="n">
        <x:f>VLOOKUP(C1415,'Governorate Master'!$A$2:$Q$13,6,FALSE)</x:f>
        <x:v>0.7797173732335827</x:v>
      </x:c>
      <x:c r="I1415" s="20" t="n">
        <x:f>VLOOKUP(C1415,'Governorate Master'!$A$2:$Q$13,15,FALSE)</x:f>
        <x:v>0.18452380952380953</x:v>
      </x:c>
      <x:c r="J1415" s="12" t="str">
        <x:v>Location model input - competition/saturation context</x:v>
      </x:c>
      <x:c r="K1415" s="12" t="str">
        <x:v>Business count is from 2018 while population/context indicators are newer; use as a historical proxy, not a current market count.</x:v>
      </x:c>
    </x:row>
    <x:row r="1416">
      <x:c r="A1416" s="12" t="str">
        <x:v>3830</x:v>
      </x:c>
      <x:c r="B1416" s="12" t="str">
        <x:v>Materials recovery</x:v>
      </x:c>
      <x:c r="C1416" s="12" t="str">
        <x:v>معان</x:v>
      </x:c>
      <x:c r="D1416" s="14" t="n">
        <x:v>0</x:v>
      </x:c>
      <x:c r="E1416" s="14" t="n">
        <x:f>VLOOKUP(C1416,'Governorate Master'!$A$2:$Q$13,3,FALSE)</x:f>
        <x:v>197900</x:v>
      </x:c>
      <x:c r="F1416" s="66" t="n">
        <x:f>IF(E1416=0,0,D1416/E1416*10000)</x:f>
        <x:v>0</x:v>
      </x:c>
      <x:c r="G1416" s="67" t="n">
        <x:f>VLOOKUP(C1416,'Governorate Master'!$A$2:$Q$13,7,FALSE)</x:f>
        <x:v>6</x:v>
      </x:c>
      <x:c r="H1416" s="20" t="n">
        <x:f>VLOOKUP(C1416,'Governorate Master'!$A$2:$Q$13,6,FALSE)</x:f>
        <x:v>0.5406771096513391</x:v>
      </x:c>
      <x:c r="I1416" s="20" t="n">
        <x:f>VLOOKUP(C1416,'Governorate Master'!$A$2:$Q$13,15,FALSE)</x:f>
        <x:v>0.026845637583892617</x:v>
      </x:c>
      <x:c r="J1416" s="12" t="str">
        <x:v>Location model input - competition/saturation context</x:v>
      </x:c>
      <x:c r="K1416" s="12" t="str">
        <x:v>Business count is from 2018 while population/context indicators are newer; use as a historical proxy, not a current market count.</x:v>
      </x:c>
    </x:row>
    <x:row r="1417">
      <x:c r="A1417" s="12" t="str">
        <x:v>3830</x:v>
      </x:c>
      <x:c r="B1417" s="12" t="str">
        <x:v>Materials recovery</x:v>
      </x:c>
      <x:c r="C1417" s="12" t="str">
        <x:v>العقبة</x:v>
      </x:c>
      <x:c r="D1417" s="14" t="n">
        <x:v>1</x:v>
      </x:c>
      <x:c r="E1417" s="14" t="n">
        <x:f>VLOOKUP(C1417,'Governorate Master'!$A$2:$Q$13,3,FALSE)</x:f>
        <x:v>250900</x:v>
      </x:c>
      <x:c r="F1417" s="66" t="n">
        <x:f>IF(E1417=0,0,D1417/E1417*10000)</x:f>
        <x:v>0.03985651654045436</x:v>
      </x:c>
      <x:c r="G1417" s="67" t="n">
        <x:f>VLOOKUP(C1417,'Governorate Master'!$A$2:$Q$13,7,FALSE)</x:f>
        <x:v>36.3</x:v>
      </x:c>
      <x:c r="H1417" s="20" t="n">
        <x:f>VLOOKUP(C1417,'Governorate Master'!$A$2:$Q$13,6,FALSE)</x:f>
        <x:v>0.882024711040255</x:v>
      </x:c>
      <x:c r="I1417" s="20" t="n">
        <x:f>VLOOKUP(C1417,'Governorate Master'!$A$2:$Q$13,15,FALSE)</x:f>
        <x:v>-0.09</x:v>
      </x:c>
      <x:c r="J1417" s="12" t="str">
        <x:v>Location model input - competition/saturation context</x:v>
      </x:c>
      <x:c r="K1417" s="12" t="str">
        <x:v>Business count is from 2018 while population/context indicators are newer; use as a historical proxy, not a current market count.</x:v>
      </x:c>
    </x:row>
    <x:row r="1418">
      <x:c r="A1418" s="12" t="str">
        <x:v>3900</x:v>
      </x:c>
      <x:c r="B1418" s="12" t="str">
        <x:v>Remediation activities and other waste management services</x:v>
      </x:c>
      <x:c r="C1418" s="12" t="str">
        <x:v>عمان</x:v>
      </x:c>
      <x:c r="D1418" s="14" t="n">
        <x:v>1</x:v>
      </x:c>
      <x:c r="E1418" s="14" t="n">
        <x:f>VLOOKUP(C1418,'Governorate Master'!$A$2:$Q$13,3,FALSE)</x:f>
        <x:v>5004600</x:v>
      </x:c>
      <x:c r="F1418" s="66" t="n">
        <x:f>IF(E1418=0,0,D1418/E1418*10000)</x:f>
        <x:v>0.0019981616912440555</x:v>
      </x:c>
      <x:c r="G1418" s="67" t="n">
        <x:f>VLOOKUP(C1418,'Governorate Master'!$A$2:$Q$13,7,FALSE)</x:f>
        <x:v>660.3</x:v>
      </x:c>
      <x:c r="H1418" s="20" t="n">
        <x:f>VLOOKUP(C1418,'Governorate Master'!$A$2:$Q$13,6,FALSE)</x:f>
        <x:v>0.9721656076409703</x:v>
      </x:c>
      <x:c r="I1418" s="20" t="n">
        <x:f>VLOOKUP(C1418,'Governorate Master'!$A$2:$Q$13,15,FALSE)</x:f>
        <x:v>0.06367041198501873</x:v>
      </x:c>
      <x:c r="J1418" s="12" t="str">
        <x:v>Location model input - competition/saturation context</x:v>
      </x:c>
      <x:c r="K1418" s="12" t="str">
        <x:v>Business count is from 2018 while population/context indicators are newer; use as a historical proxy, not a current market count.</x:v>
      </x:c>
    </x:row>
    <x:row r="1419">
      <x:c r="A1419" s="12" t="str">
        <x:v>3900</x:v>
      </x:c>
      <x:c r="B1419" s="12" t="str">
        <x:v>Remediation activities and other waste management services</x:v>
      </x:c>
      <x:c r="C1419" s="12" t="str">
        <x:v>البلقاء</x:v>
      </x:c>
      <x:c r="D1419" s="14" t="n">
        <x:v>0</x:v>
      </x:c>
      <x:c r="E1419" s="14" t="n">
        <x:f>VLOOKUP(C1419,'Governorate Master'!$A$2:$Q$13,3,FALSE)</x:f>
        <x:v>614000</x:v>
      </x:c>
      <x:c r="F1419" s="66" t="n">
        <x:f>IF(E1419=0,0,D1419/E1419*10000)</x:f>
        <x:v>0</x:v>
      </x:c>
      <x:c r="G1419" s="67" t="n">
        <x:f>VLOOKUP(C1419,'Governorate Master'!$A$2:$Q$13,7,FALSE)</x:f>
        <x:v>548</x:v>
      </x:c>
      <x:c r="H1419" s="20" t="n">
        <x:f>VLOOKUP(C1419,'Governorate Master'!$A$2:$Q$13,6,FALSE)</x:f>
        <x:v>0.8210097719869707</x:v>
      </x:c>
      <x:c r="I1419" s="20" t="n">
        <x:f>VLOOKUP(C1419,'Governorate Master'!$A$2:$Q$13,15,FALSE)</x:f>
        <x:v>0.10794044665012408</x:v>
      </x:c>
      <x:c r="J1419" s="12" t="str">
        <x:v>Location model input - competition/saturation context</x:v>
      </x:c>
      <x:c r="K1419" s="12" t="str">
        <x:v>Business count is from 2018 while population/context indicators are newer; use as a historical proxy, not a current market count.</x:v>
      </x:c>
    </x:row>
    <x:row r="1420">
      <x:c r="A1420" s="12" t="str">
        <x:v>3900</x:v>
      </x:c>
      <x:c r="B1420" s="12" t="str">
        <x:v>Remediation activities and other waste management services</x:v>
      </x:c>
      <x:c r="C1420" s="12" t="str">
        <x:v>الزرقاء</x:v>
      </x:c>
      <x:c r="D1420" s="14" t="n">
        <x:v>0</x:v>
      </x:c>
      <x:c r="E1420" s="14" t="n">
        <x:f>VLOOKUP(C1420,'Governorate Master'!$A$2:$Q$13,3,FALSE)</x:f>
        <x:v>1704500</x:v>
      </x:c>
      <x:c r="F1420" s="66" t="n">
        <x:f>IF(E1420=0,0,D1420/E1420*10000)</x:f>
        <x:v>0</x:v>
      </x:c>
      <x:c r="G1420" s="67" t="n">
        <x:f>VLOOKUP(C1420,'Governorate Master'!$A$2:$Q$13,7,FALSE)</x:f>
        <x:v>358</x:v>
      </x:c>
      <x:c r="H1420" s="20" t="n">
        <x:f>VLOOKUP(C1420,'Governorate Master'!$A$2:$Q$13,6,FALSE)</x:f>
        <x:v>0.9636256966852449</x:v>
      </x:c>
      <x:c r="I1420" s="20" t="n">
        <x:f>VLOOKUP(C1420,'Governorate Master'!$A$2:$Q$13,15,FALSE)</x:f>
        <x:v>-0.06808762581409118</x:v>
      </x:c>
      <x:c r="J1420" s="12" t="str">
        <x:v>Location model input - competition/saturation context</x:v>
      </x:c>
      <x:c r="K1420" s="12" t="str">
        <x:v>Business count is from 2018 while population/context indicators are newer; use as a historical proxy, not a current market count.</x:v>
      </x:c>
    </x:row>
    <x:row r="1421">
      <x:c r="A1421" s="12" t="str">
        <x:v>3900</x:v>
      </x:c>
      <x:c r="B1421" s="12" t="str">
        <x:v>Remediation activities and other waste management services</x:v>
      </x:c>
      <x:c r="C1421" s="12" t="str">
        <x:v>مادبا</x:v>
      </x:c>
      <x:c r="D1421" s="14" t="n">
        <x:v>0</x:v>
      </x:c>
      <x:c r="E1421" s="14" t="n">
        <x:f>VLOOKUP(C1421,'Governorate Master'!$A$2:$Q$13,3,FALSE)</x:f>
        <x:v>236200</x:v>
      </x:c>
      <x:c r="F1421" s="66" t="n">
        <x:f>IF(E1421=0,0,D1421/E1421*10000)</x:f>
        <x:v>0</x:v>
      </x:c>
      <x:c r="G1421" s="67" t="n">
        <x:f>VLOOKUP(C1421,'Governorate Master'!$A$2:$Q$13,7,FALSE)</x:f>
        <x:v>251.4</x:v>
      </x:c>
      <x:c r="H1421" s="20" t="n">
        <x:f>VLOOKUP(C1421,'Governorate Master'!$A$2:$Q$13,6,FALSE)</x:f>
        <x:v>0.7823878069432684</x:v>
      </x:c>
      <x:c r="I1421" s="20" t="n">
        <x:f>VLOOKUP(C1421,'Governorate Master'!$A$2:$Q$13,15,FALSE)</x:f>
        <x:v>-0.18823529411764706</x:v>
      </x:c>
      <x:c r="J1421" s="12" t="str">
        <x:v>Location model input - competition/saturation context</x:v>
      </x:c>
      <x:c r="K1421" s="12" t="str">
        <x:v>Business count is from 2018 while population/context indicators are newer; use as a historical proxy, not a current market count.</x:v>
      </x:c>
    </x:row>
    <x:row r="1422">
      <x:c r="A1422" s="12" t="str">
        <x:v>3900</x:v>
      </x:c>
      <x:c r="B1422" s="12" t="str">
        <x:v>Remediation activities and other waste management services</x:v>
      </x:c>
      <x:c r="C1422" s="12" t="str">
        <x:v>إربد</x:v>
      </x:c>
      <x:c r="D1422" s="14" t="n">
        <x:v>0</x:v>
      </x:c>
      <x:c r="E1422" s="14" t="n">
        <x:f>VLOOKUP(C1422,'Governorate Master'!$A$2:$Q$13,3,FALSE)</x:f>
        <x:v>2210500</x:v>
      </x:c>
      <x:c r="F1422" s="66" t="n">
        <x:f>IF(E1422=0,0,D1422/E1422*10000)</x:f>
        <x:v>0</x:v>
      </x:c>
      <x:c r="G1422" s="67" t="n">
        <x:f>VLOOKUP(C1422,'Governorate Master'!$A$2:$Q$13,7,FALSE)</x:f>
        <x:v>1406.4</x:v>
      </x:c>
      <x:c r="H1422" s="20" t="n">
        <x:f>VLOOKUP(C1422,'Governorate Master'!$A$2:$Q$13,6,FALSE)</x:f>
        <x:v>0.9235014702555983</x:v>
      </x:c>
      <x:c r="I1422" s="20" t="n">
        <x:f>VLOOKUP(C1422,'Governorate Master'!$A$2:$Q$13,15,FALSE)</x:f>
        <x:v>0.07086922474549726</x:v>
      </x:c>
      <x:c r="J1422" s="12" t="str">
        <x:v>Location model input - competition/saturation context</x:v>
      </x:c>
      <x:c r="K1422" s="12" t="str">
        <x:v>Business count is from 2018 while population/context indicators are newer; use as a historical proxy, not a current market count.</x:v>
      </x:c>
    </x:row>
    <x:row r="1423">
      <x:c r="A1423" s="12" t="str">
        <x:v>3900</x:v>
      </x:c>
      <x:c r="B1423" s="12" t="str">
        <x:v>Remediation activities and other waste management services</x:v>
      </x:c>
      <x:c r="C1423" s="12" t="str">
        <x:v>المفرق</x:v>
      </x:c>
      <x:c r="D1423" s="14" t="n">
        <x:v>0</x:v>
      </x:c>
      <x:c r="E1423" s="14" t="n">
        <x:f>VLOOKUP(C1423,'Governorate Master'!$A$2:$Q$13,3,FALSE)</x:f>
        <x:v>686800</x:v>
      </x:c>
      <x:c r="F1423" s="66" t="n">
        <x:f>IF(E1423=0,0,D1423/E1423*10000)</x:f>
        <x:v>0</x:v>
      </x:c>
      <x:c r="G1423" s="67" t="n">
        <x:f>VLOOKUP(C1423,'Governorate Master'!$A$2:$Q$13,7,FALSE)</x:f>
        <x:v>25.9</x:v>
      </x:c>
      <x:c r="H1423" s="20" t="n">
        <x:f>VLOOKUP(C1423,'Governorate Master'!$A$2:$Q$13,6,FALSE)</x:f>
        <x:v>0.6965637740244612</x:v>
      </x:c>
      <x:c r="I1423" s="20" t="n">
        <x:f>VLOOKUP(C1423,'Governorate Master'!$A$2:$Q$13,15,FALSE)</x:f>
        <x:v>-0.016638935108153077</x:v>
      </x:c>
      <x:c r="J1423" s="12" t="str">
        <x:v>Location model input - competition/saturation context</x:v>
      </x:c>
      <x:c r="K1423" s="12" t="str">
        <x:v>Business count is from 2018 while population/context indicators are newer; use as a historical proxy, not a current market count.</x:v>
      </x:c>
    </x:row>
    <x:row r="1424">
      <x:c r="A1424" s="12" t="str">
        <x:v>3900</x:v>
      </x:c>
      <x:c r="B1424" s="12" t="str">
        <x:v>Remediation activities and other waste management services</x:v>
      </x:c>
      <x:c r="C1424" s="12" t="str">
        <x:v>جرش</x:v>
      </x:c>
      <x:c r="D1424" s="14" t="n">
        <x:v>0</x:v>
      </x:c>
      <x:c r="E1424" s="14" t="n">
        <x:f>VLOOKUP(C1424,'Governorate Master'!$A$2:$Q$13,3,FALSE)</x:f>
        <x:v>296000</x:v>
      </x:c>
      <x:c r="F1424" s="66" t="n">
        <x:f>IF(E1424=0,0,D1424/E1424*10000)</x:f>
        <x:v>0</x:v>
      </x:c>
      <x:c r="G1424" s="67" t="n">
        <x:f>VLOOKUP(C1424,'Governorate Master'!$A$2:$Q$13,7,FALSE)</x:f>
        <x:v>722.3</x:v>
      </x:c>
      <x:c r="H1424" s="20" t="n">
        <x:f>VLOOKUP(C1424,'Governorate Master'!$A$2:$Q$13,6,FALSE)</x:f>
        <x:v>0.7695945945945946</x:v>
      </x:c>
      <x:c r="I1424" s="20" t="n">
        <x:f>VLOOKUP(C1424,'Governorate Master'!$A$2:$Q$13,15,FALSE)</x:f>
        <x:v>-0.06527415143603134</x:v>
      </x:c>
      <x:c r="J1424" s="12" t="str">
        <x:v>Location model input - competition/saturation context</x:v>
      </x:c>
      <x:c r="K1424" s="12" t="str">
        <x:v>Business count is from 2018 while population/context indicators are newer; use as a historical proxy, not a current market count.</x:v>
      </x:c>
    </x:row>
    <x:row r="1425">
      <x:c r="A1425" s="12" t="str">
        <x:v>3900</x:v>
      </x:c>
      <x:c r="B1425" s="12" t="str">
        <x:v>Remediation activities and other waste management services</x:v>
      </x:c>
      <x:c r="C1425" s="12" t="str">
        <x:v>عجلون</x:v>
      </x:c>
      <x:c r="D1425" s="14" t="n">
        <x:v>0</x:v>
      </x:c>
      <x:c r="E1425" s="14" t="n">
        <x:f>VLOOKUP(C1425,'Governorate Master'!$A$2:$Q$13,3,FALSE)</x:f>
        <x:v>219900</x:v>
      </x:c>
      <x:c r="F1425" s="66" t="n">
        <x:f>IF(E1425=0,0,D1425/E1425*10000)</x:f>
        <x:v>0</x:v>
      </x:c>
      <x:c r="G1425" s="67" t="n">
        <x:f>VLOOKUP(C1425,'Governorate Master'!$A$2:$Q$13,7,FALSE)</x:f>
        <x:v>524</x:v>
      </x:c>
      <x:c r="H1425" s="20" t="n">
        <x:f>VLOOKUP(C1425,'Governorate Master'!$A$2:$Q$13,6,FALSE)</x:f>
        <x:v>0.8390177353342428</x:v>
      </x:c>
      <x:c r="I1425" s="20" t="n">
        <x:f>VLOOKUP(C1425,'Governorate Master'!$A$2:$Q$13,15,FALSE)</x:f>
        <x:v>0.03614457831325301</x:v>
      </x:c>
      <x:c r="J1425" s="12" t="str">
        <x:v>Location model input - competition/saturation context</x:v>
      </x:c>
      <x:c r="K1425" s="12" t="str">
        <x:v>Business count is from 2018 while population/context indicators are newer; use as a historical proxy, not a current market count.</x:v>
      </x:c>
    </x:row>
    <x:row r="1426">
      <x:c r="A1426" s="12" t="str">
        <x:v>3900</x:v>
      </x:c>
      <x:c r="B1426" s="12" t="str">
        <x:v>Remediation activities and other waste management services</x:v>
      </x:c>
      <x:c r="C1426" s="12" t="str">
        <x:v>الكرك</x:v>
      </x:c>
      <x:c r="D1426" s="14" t="n">
        <x:v>0</x:v>
      </x:c>
      <x:c r="E1426" s="14" t="n">
        <x:f>VLOOKUP(C1426,'Governorate Master'!$A$2:$Q$13,3,FALSE)</x:f>
        <x:v>395400</x:v>
      </x:c>
      <x:c r="F1426" s="66" t="n">
        <x:f>IF(E1426=0,0,D1426/E1426*10000)</x:f>
        <x:v>0</x:v>
      </x:c>
      <x:c r="G1426" s="67" t="n">
        <x:f>VLOOKUP(C1426,'Governorate Master'!$A$2:$Q$13,7,FALSE)</x:f>
        <x:v>113.1</x:v>
      </x:c>
      <x:c r="H1426" s="20" t="n">
        <x:f>VLOOKUP(C1426,'Governorate Master'!$A$2:$Q$13,6,FALSE)</x:f>
        <x:v>0.5912999494183105</x:v>
      </x:c>
      <x:c r="I1426" s="20" t="n">
        <x:f>VLOOKUP(C1426,'Governorate Master'!$A$2:$Q$13,15,FALSE)</x:f>
        <x:v>0.08710801393728224</x:v>
      </x:c>
      <x:c r="J1426" s="12" t="str">
        <x:v>Location model input - competition/saturation context</x:v>
      </x:c>
      <x:c r="K1426" s="12" t="str">
        <x:v>Business count is from 2018 while population/context indicators are newer; use as a historical proxy, not a current market count.</x:v>
      </x:c>
    </x:row>
    <x:row r="1427">
      <x:c r="A1427" s="12" t="str">
        <x:v>3900</x:v>
      </x:c>
      <x:c r="B1427" s="12" t="str">
        <x:v>Remediation activities and other waste management services</x:v>
      </x:c>
      <x:c r="C1427" s="12" t="str">
        <x:v>الطفيلة</x:v>
      </x:c>
      <x:c r="D1427" s="14" t="n">
        <x:v>0</x:v>
      </x:c>
      <x:c r="E1427" s="14" t="n">
        <x:f>VLOOKUP(C1427,'Governorate Master'!$A$2:$Q$13,3,FALSE)</x:f>
        <x:v>120300</x:v>
      </x:c>
      <x:c r="F1427" s="66" t="n">
        <x:f>IF(E1427=0,0,D1427/E1427*10000)</x:f>
        <x:v>0</x:v>
      </x:c>
      <x:c r="G1427" s="67" t="n">
        <x:f>VLOOKUP(C1427,'Governorate Master'!$A$2:$Q$13,7,FALSE)</x:f>
        <x:v>54.4</x:v>
      </x:c>
      <x:c r="H1427" s="20" t="n">
        <x:f>VLOOKUP(C1427,'Governorate Master'!$A$2:$Q$13,6,FALSE)</x:f>
        <x:v>0.7797173732335827</x:v>
      </x:c>
      <x:c r="I1427" s="20" t="n">
        <x:f>VLOOKUP(C1427,'Governorate Master'!$A$2:$Q$13,15,FALSE)</x:f>
        <x:v>0.18452380952380953</x:v>
      </x:c>
      <x:c r="J1427" s="12" t="str">
        <x:v>Location model input - competition/saturation context</x:v>
      </x:c>
      <x:c r="K1427" s="12" t="str">
        <x:v>Business count is from 2018 while population/context indicators are newer; use as a historical proxy, not a current market count.</x:v>
      </x:c>
    </x:row>
    <x:row r="1428">
      <x:c r="A1428" s="12" t="str">
        <x:v>3900</x:v>
      </x:c>
      <x:c r="B1428" s="12" t="str">
        <x:v>Remediation activities and other waste management services</x:v>
      </x:c>
      <x:c r="C1428" s="12" t="str">
        <x:v>معان</x:v>
      </x:c>
      <x:c r="D1428" s="14" t="n">
        <x:v>0</x:v>
      </x:c>
      <x:c r="E1428" s="14" t="n">
        <x:f>VLOOKUP(C1428,'Governorate Master'!$A$2:$Q$13,3,FALSE)</x:f>
        <x:v>197900</x:v>
      </x:c>
      <x:c r="F1428" s="66" t="n">
        <x:f>IF(E1428=0,0,D1428/E1428*10000)</x:f>
        <x:v>0</x:v>
      </x:c>
      <x:c r="G1428" s="67" t="n">
        <x:f>VLOOKUP(C1428,'Governorate Master'!$A$2:$Q$13,7,FALSE)</x:f>
        <x:v>6</x:v>
      </x:c>
      <x:c r="H1428" s="20" t="n">
        <x:f>VLOOKUP(C1428,'Governorate Master'!$A$2:$Q$13,6,FALSE)</x:f>
        <x:v>0.5406771096513391</x:v>
      </x:c>
      <x:c r="I1428" s="20" t="n">
        <x:f>VLOOKUP(C1428,'Governorate Master'!$A$2:$Q$13,15,FALSE)</x:f>
        <x:v>0.026845637583892617</x:v>
      </x:c>
      <x:c r="J1428" s="12" t="str">
        <x:v>Location model input - competition/saturation context</x:v>
      </x:c>
      <x:c r="K1428" s="12" t="str">
        <x:v>Business count is from 2018 while population/context indicators are newer; use as a historical proxy, not a current market count.</x:v>
      </x:c>
    </x:row>
    <x:row r="1429">
      <x:c r="A1429" s="12" t="str">
        <x:v>3900</x:v>
      </x:c>
      <x:c r="B1429" s="12" t="str">
        <x:v>Remediation activities and other waste management services</x:v>
      </x:c>
      <x:c r="C1429" s="12" t="str">
        <x:v>العقبة</x:v>
      </x:c>
      <x:c r="D1429" s="14" t="n">
        <x:v>0</x:v>
      </x:c>
      <x:c r="E1429" s="14" t="n">
        <x:f>VLOOKUP(C1429,'Governorate Master'!$A$2:$Q$13,3,FALSE)</x:f>
        <x:v>250900</x:v>
      </x:c>
      <x:c r="F1429" s="66" t="n">
        <x:f>IF(E1429=0,0,D1429/E1429*10000)</x:f>
        <x:v>0</x:v>
      </x:c>
      <x:c r="G1429" s="67" t="n">
        <x:f>VLOOKUP(C1429,'Governorate Master'!$A$2:$Q$13,7,FALSE)</x:f>
        <x:v>36.3</x:v>
      </x:c>
      <x:c r="H1429" s="20" t="n">
        <x:f>VLOOKUP(C1429,'Governorate Master'!$A$2:$Q$13,6,FALSE)</x:f>
        <x:v>0.882024711040255</x:v>
      </x:c>
      <x:c r="I1429" s="20" t="n">
        <x:f>VLOOKUP(C1429,'Governorate Master'!$A$2:$Q$13,15,FALSE)</x:f>
        <x:v>-0.09</x:v>
      </x:c>
      <x:c r="J1429" s="12" t="str">
        <x:v>Location model input - competition/saturation context</x:v>
      </x:c>
      <x:c r="K1429" s="12" t="str">
        <x:v>Business count is from 2018 while population/context indicators are newer; use as a historical proxy, not a current market count.</x:v>
      </x:c>
    </x:row>
    <x:row r="1430">
      <x:c r="A1430" s="12" t="str">
        <x:v>4100</x:v>
      </x:c>
      <x:c r="B1430" s="12" t="str">
        <x:v>Construction of buildings</x:v>
      </x:c>
      <x:c r="C1430" s="12" t="str">
        <x:v>عمان</x:v>
      </x:c>
      <x:c r="D1430" s="14" t="n">
        <x:v>383</x:v>
      </x:c>
      <x:c r="E1430" s="14" t="n">
        <x:f>VLOOKUP(C1430,'Governorate Master'!$A$2:$Q$13,3,FALSE)</x:f>
        <x:v>5004600</x:v>
      </x:c>
      <x:c r="F1430" s="66" t="n">
        <x:f>IF(E1430=0,0,D1430/E1430*10000)</x:f>
        <x:v>0.7652959277464731</x:v>
      </x:c>
      <x:c r="G1430" s="67" t="n">
        <x:f>VLOOKUP(C1430,'Governorate Master'!$A$2:$Q$13,7,FALSE)</x:f>
        <x:v>660.3</x:v>
      </x:c>
      <x:c r="H1430" s="20" t="n">
        <x:f>VLOOKUP(C1430,'Governorate Master'!$A$2:$Q$13,6,FALSE)</x:f>
        <x:v>0.9721656076409703</x:v>
      </x:c>
      <x:c r="I1430" s="20" t="n">
        <x:f>VLOOKUP(C1430,'Governorate Master'!$A$2:$Q$13,15,FALSE)</x:f>
        <x:v>0.06367041198501873</x:v>
      </x:c>
      <x:c r="J1430" s="12" t="str">
        <x:v>Location model input - competition/saturation context</x:v>
      </x:c>
      <x:c r="K1430" s="12" t="str">
        <x:v>Business count is from 2018 while population/context indicators are newer; use as a historical proxy, not a current market count.</x:v>
      </x:c>
    </x:row>
    <x:row r="1431">
      <x:c r="A1431" s="12" t="str">
        <x:v>4100</x:v>
      </x:c>
      <x:c r="B1431" s="12" t="str">
        <x:v>Construction of buildings</x:v>
      </x:c>
      <x:c r="C1431" s="12" t="str">
        <x:v>البلقاء</x:v>
      </x:c>
      <x:c r="D1431" s="14" t="n">
        <x:v>16</x:v>
      </x:c>
      <x:c r="E1431" s="14" t="n">
        <x:f>VLOOKUP(C1431,'Governorate Master'!$A$2:$Q$13,3,FALSE)</x:f>
        <x:v>614000</x:v>
      </x:c>
      <x:c r="F1431" s="66" t="n">
        <x:f>IF(E1431=0,0,D1431/E1431*10000)</x:f>
        <x:v>0.26058631921824105</x:v>
      </x:c>
      <x:c r="G1431" s="67" t="n">
        <x:f>VLOOKUP(C1431,'Governorate Master'!$A$2:$Q$13,7,FALSE)</x:f>
        <x:v>548</x:v>
      </x:c>
      <x:c r="H1431" s="20" t="n">
        <x:f>VLOOKUP(C1431,'Governorate Master'!$A$2:$Q$13,6,FALSE)</x:f>
        <x:v>0.8210097719869707</x:v>
      </x:c>
      <x:c r="I1431" s="20" t="n">
        <x:f>VLOOKUP(C1431,'Governorate Master'!$A$2:$Q$13,15,FALSE)</x:f>
        <x:v>0.10794044665012408</x:v>
      </x:c>
      <x:c r="J1431" s="12" t="str">
        <x:v>Location model input - competition/saturation context</x:v>
      </x:c>
      <x:c r="K1431" s="12" t="str">
        <x:v>Business count is from 2018 while population/context indicators are newer; use as a historical proxy, not a current market count.</x:v>
      </x:c>
    </x:row>
    <x:row r="1432">
      <x:c r="A1432" s="12" t="str">
        <x:v>4100</x:v>
      </x:c>
      <x:c r="B1432" s="12" t="str">
        <x:v>Construction of buildings</x:v>
      </x:c>
      <x:c r="C1432" s="12" t="str">
        <x:v>الزرقاء</x:v>
      </x:c>
      <x:c r="D1432" s="14" t="n">
        <x:v>12</x:v>
      </x:c>
      <x:c r="E1432" s="14" t="n">
        <x:f>VLOOKUP(C1432,'Governorate Master'!$A$2:$Q$13,3,FALSE)</x:f>
        <x:v>1704500</x:v>
      </x:c>
      <x:c r="F1432" s="66" t="n">
        <x:f>IF(E1432=0,0,D1432/E1432*10000)</x:f>
        <x:v>0.07040187738339689</x:v>
      </x:c>
      <x:c r="G1432" s="67" t="n">
        <x:f>VLOOKUP(C1432,'Governorate Master'!$A$2:$Q$13,7,FALSE)</x:f>
        <x:v>358</x:v>
      </x:c>
      <x:c r="H1432" s="20" t="n">
        <x:f>VLOOKUP(C1432,'Governorate Master'!$A$2:$Q$13,6,FALSE)</x:f>
        <x:v>0.9636256966852449</x:v>
      </x:c>
      <x:c r="I1432" s="20" t="n">
        <x:f>VLOOKUP(C1432,'Governorate Master'!$A$2:$Q$13,15,FALSE)</x:f>
        <x:v>-0.06808762581409118</x:v>
      </x:c>
      <x:c r="J1432" s="12" t="str">
        <x:v>Location model input - competition/saturation context</x:v>
      </x:c>
      <x:c r="K1432" s="12" t="str">
        <x:v>Business count is from 2018 while population/context indicators are newer; use as a historical proxy, not a current market count.</x:v>
      </x:c>
    </x:row>
    <x:row r="1433">
      <x:c r="A1433" s="12" t="str">
        <x:v>4100</x:v>
      </x:c>
      <x:c r="B1433" s="12" t="str">
        <x:v>Construction of buildings</x:v>
      </x:c>
      <x:c r="C1433" s="12" t="str">
        <x:v>مادبا</x:v>
      </x:c>
      <x:c r="D1433" s="14" t="n">
        <x:v>2</x:v>
      </x:c>
      <x:c r="E1433" s="14" t="n">
        <x:f>VLOOKUP(C1433,'Governorate Master'!$A$2:$Q$13,3,FALSE)</x:f>
        <x:v>236200</x:v>
      </x:c>
      <x:c r="F1433" s="66" t="n">
        <x:f>IF(E1433=0,0,D1433/E1433*10000)</x:f>
        <x:v>0.0846740050804403</x:v>
      </x:c>
      <x:c r="G1433" s="67" t="n">
        <x:f>VLOOKUP(C1433,'Governorate Master'!$A$2:$Q$13,7,FALSE)</x:f>
        <x:v>251.4</x:v>
      </x:c>
      <x:c r="H1433" s="20" t="n">
        <x:f>VLOOKUP(C1433,'Governorate Master'!$A$2:$Q$13,6,FALSE)</x:f>
        <x:v>0.7823878069432684</x:v>
      </x:c>
      <x:c r="I1433" s="20" t="n">
        <x:f>VLOOKUP(C1433,'Governorate Master'!$A$2:$Q$13,15,FALSE)</x:f>
        <x:v>-0.18823529411764706</x:v>
      </x:c>
      <x:c r="J1433" s="12" t="str">
        <x:v>Location model input - competition/saturation context</x:v>
      </x:c>
      <x:c r="K1433" s="12" t="str">
        <x:v>Business count is from 2018 while population/context indicators are newer; use as a historical proxy, not a current market count.</x:v>
      </x:c>
    </x:row>
    <x:row r="1434">
      <x:c r="A1434" s="12" t="str">
        <x:v>4100</x:v>
      </x:c>
      <x:c r="B1434" s="12" t="str">
        <x:v>Construction of buildings</x:v>
      </x:c>
      <x:c r="C1434" s="12" t="str">
        <x:v>إربد</x:v>
      </x:c>
      <x:c r="D1434" s="14" t="n">
        <x:v>19</x:v>
      </x:c>
      <x:c r="E1434" s="14" t="n">
        <x:f>VLOOKUP(C1434,'Governorate Master'!$A$2:$Q$13,3,FALSE)</x:f>
        <x:v>2210500</x:v>
      </x:c>
      <x:c r="F1434" s="66" t="n">
        <x:f>IF(E1434=0,0,D1434/E1434*10000)</x:f>
        <x:v>0.08595340420719294</x:v>
      </x:c>
      <x:c r="G1434" s="67" t="n">
        <x:f>VLOOKUP(C1434,'Governorate Master'!$A$2:$Q$13,7,FALSE)</x:f>
        <x:v>1406.4</x:v>
      </x:c>
      <x:c r="H1434" s="20" t="n">
        <x:f>VLOOKUP(C1434,'Governorate Master'!$A$2:$Q$13,6,FALSE)</x:f>
        <x:v>0.9235014702555983</x:v>
      </x:c>
      <x:c r="I1434" s="20" t="n">
        <x:f>VLOOKUP(C1434,'Governorate Master'!$A$2:$Q$13,15,FALSE)</x:f>
        <x:v>0.07086922474549726</x:v>
      </x:c>
      <x:c r="J1434" s="12" t="str">
        <x:v>Location model input - competition/saturation context</x:v>
      </x:c>
      <x:c r="K1434" s="12" t="str">
        <x:v>Business count is from 2018 while population/context indicators are newer; use as a historical proxy, not a current market count.</x:v>
      </x:c>
    </x:row>
    <x:row r="1435">
      <x:c r="A1435" s="12" t="str">
        <x:v>4100</x:v>
      </x:c>
      <x:c r="B1435" s="12" t="str">
        <x:v>Construction of buildings</x:v>
      </x:c>
      <x:c r="C1435" s="12" t="str">
        <x:v>المفرق</x:v>
      </x:c>
      <x:c r="D1435" s="14" t="n">
        <x:v>6</x:v>
      </x:c>
      <x:c r="E1435" s="14" t="n">
        <x:f>VLOOKUP(C1435,'Governorate Master'!$A$2:$Q$13,3,FALSE)</x:f>
        <x:v>686800</x:v>
      </x:c>
      <x:c r="F1435" s="66" t="n">
        <x:f>IF(E1435=0,0,D1435/E1435*10000)</x:f>
        <x:v>0.08736167734420501</x:v>
      </x:c>
      <x:c r="G1435" s="67" t="n">
        <x:f>VLOOKUP(C1435,'Governorate Master'!$A$2:$Q$13,7,FALSE)</x:f>
        <x:v>25.9</x:v>
      </x:c>
      <x:c r="H1435" s="20" t="n">
        <x:f>VLOOKUP(C1435,'Governorate Master'!$A$2:$Q$13,6,FALSE)</x:f>
        <x:v>0.6965637740244612</x:v>
      </x:c>
      <x:c r="I1435" s="20" t="n">
        <x:f>VLOOKUP(C1435,'Governorate Master'!$A$2:$Q$13,15,FALSE)</x:f>
        <x:v>-0.016638935108153077</x:v>
      </x:c>
      <x:c r="J1435" s="12" t="str">
        <x:v>Location model input - competition/saturation context</x:v>
      </x:c>
      <x:c r="K1435" s="12" t="str">
        <x:v>Business count is from 2018 while population/context indicators are newer; use as a historical proxy, not a current market count.</x:v>
      </x:c>
    </x:row>
    <x:row r="1436">
      <x:c r="A1436" s="12" t="str">
        <x:v>4100</x:v>
      </x:c>
      <x:c r="B1436" s="12" t="str">
        <x:v>Construction of buildings</x:v>
      </x:c>
      <x:c r="C1436" s="12" t="str">
        <x:v>جرش</x:v>
      </x:c>
      <x:c r="D1436" s="14" t="n">
        <x:v>0</x:v>
      </x:c>
      <x:c r="E1436" s="14" t="n">
        <x:f>VLOOKUP(C1436,'Governorate Master'!$A$2:$Q$13,3,FALSE)</x:f>
        <x:v>296000</x:v>
      </x:c>
      <x:c r="F1436" s="66" t="n">
        <x:f>IF(E1436=0,0,D1436/E1436*10000)</x:f>
        <x:v>0</x:v>
      </x:c>
      <x:c r="G1436" s="67" t="n">
        <x:f>VLOOKUP(C1436,'Governorate Master'!$A$2:$Q$13,7,FALSE)</x:f>
        <x:v>722.3</x:v>
      </x:c>
      <x:c r="H1436" s="20" t="n">
        <x:f>VLOOKUP(C1436,'Governorate Master'!$A$2:$Q$13,6,FALSE)</x:f>
        <x:v>0.7695945945945946</x:v>
      </x:c>
      <x:c r="I1436" s="20" t="n">
        <x:f>VLOOKUP(C1436,'Governorate Master'!$A$2:$Q$13,15,FALSE)</x:f>
        <x:v>-0.06527415143603134</x:v>
      </x:c>
      <x:c r="J1436" s="12" t="str">
        <x:v>Location model input - competition/saturation context</x:v>
      </x:c>
      <x:c r="K1436" s="12" t="str">
        <x:v>Business count is from 2018 while population/context indicators are newer; use as a historical proxy, not a current market count.</x:v>
      </x:c>
    </x:row>
    <x:row r="1437">
      <x:c r="A1437" s="12" t="str">
        <x:v>4100</x:v>
      </x:c>
      <x:c r="B1437" s="12" t="str">
        <x:v>Construction of buildings</x:v>
      </x:c>
      <x:c r="C1437" s="12" t="str">
        <x:v>عجلون</x:v>
      </x:c>
      <x:c r="D1437" s="14" t="n">
        <x:v>2</x:v>
      </x:c>
      <x:c r="E1437" s="14" t="n">
        <x:f>VLOOKUP(C1437,'Governorate Master'!$A$2:$Q$13,3,FALSE)</x:f>
        <x:v>219900</x:v>
      </x:c>
      <x:c r="F1437" s="66" t="n">
        <x:f>IF(E1437=0,0,D1437/E1437*10000)</x:f>
        <x:v>0.09095043201455207</x:v>
      </x:c>
      <x:c r="G1437" s="67" t="n">
        <x:f>VLOOKUP(C1437,'Governorate Master'!$A$2:$Q$13,7,FALSE)</x:f>
        <x:v>524</x:v>
      </x:c>
      <x:c r="H1437" s="20" t="n">
        <x:f>VLOOKUP(C1437,'Governorate Master'!$A$2:$Q$13,6,FALSE)</x:f>
        <x:v>0.8390177353342428</x:v>
      </x:c>
      <x:c r="I1437" s="20" t="n">
        <x:f>VLOOKUP(C1437,'Governorate Master'!$A$2:$Q$13,15,FALSE)</x:f>
        <x:v>0.03614457831325301</x:v>
      </x:c>
      <x:c r="J1437" s="12" t="str">
        <x:v>Location model input - competition/saturation context</x:v>
      </x:c>
      <x:c r="K1437" s="12" t="str">
        <x:v>Business count is from 2018 while population/context indicators are newer; use as a historical proxy, not a current market count.</x:v>
      </x:c>
    </x:row>
    <x:row r="1438">
      <x:c r="A1438" s="12" t="str">
        <x:v>4100</x:v>
      </x:c>
      <x:c r="B1438" s="12" t="str">
        <x:v>Construction of buildings</x:v>
      </x:c>
      <x:c r="C1438" s="12" t="str">
        <x:v>الكرك</x:v>
      </x:c>
      <x:c r="D1438" s="14" t="n">
        <x:v>8</x:v>
      </x:c>
      <x:c r="E1438" s="14" t="n">
        <x:f>VLOOKUP(C1438,'Governorate Master'!$A$2:$Q$13,3,FALSE)</x:f>
        <x:v>395400</x:v>
      </x:c>
      <x:c r="F1438" s="66" t="n">
        <x:f>IF(E1438=0,0,D1438/E1438*10000)</x:f>
        <x:v>0.20232675771370762</x:v>
      </x:c>
      <x:c r="G1438" s="67" t="n">
        <x:f>VLOOKUP(C1438,'Governorate Master'!$A$2:$Q$13,7,FALSE)</x:f>
        <x:v>113.1</x:v>
      </x:c>
      <x:c r="H1438" s="20" t="n">
        <x:f>VLOOKUP(C1438,'Governorate Master'!$A$2:$Q$13,6,FALSE)</x:f>
        <x:v>0.5912999494183105</x:v>
      </x:c>
      <x:c r="I1438" s="20" t="n">
        <x:f>VLOOKUP(C1438,'Governorate Master'!$A$2:$Q$13,15,FALSE)</x:f>
        <x:v>0.08710801393728224</x:v>
      </x:c>
      <x:c r="J1438" s="12" t="str">
        <x:v>Location model input - competition/saturation context</x:v>
      </x:c>
      <x:c r="K1438" s="12" t="str">
        <x:v>Business count is from 2018 while population/context indicators are newer; use as a historical proxy, not a current market count.</x:v>
      </x:c>
    </x:row>
    <x:row r="1439">
      <x:c r="A1439" s="12" t="str">
        <x:v>4100</x:v>
      </x:c>
      <x:c r="B1439" s="12" t="str">
        <x:v>Construction of buildings</x:v>
      </x:c>
      <x:c r="C1439" s="12" t="str">
        <x:v>الطفيلة</x:v>
      </x:c>
      <x:c r="D1439" s="14" t="n">
        <x:v>1</x:v>
      </x:c>
      <x:c r="E1439" s="14" t="n">
        <x:f>VLOOKUP(C1439,'Governorate Master'!$A$2:$Q$13,3,FALSE)</x:f>
        <x:v>120300</x:v>
      </x:c>
      <x:c r="F1439" s="66" t="n">
        <x:f>IF(E1439=0,0,D1439/E1439*10000)</x:f>
        <x:v>0.0831255195344971</x:v>
      </x:c>
      <x:c r="G1439" s="67" t="n">
        <x:f>VLOOKUP(C1439,'Governorate Master'!$A$2:$Q$13,7,FALSE)</x:f>
        <x:v>54.4</x:v>
      </x:c>
      <x:c r="H1439" s="20" t="n">
        <x:f>VLOOKUP(C1439,'Governorate Master'!$A$2:$Q$13,6,FALSE)</x:f>
        <x:v>0.7797173732335827</x:v>
      </x:c>
      <x:c r="I1439" s="20" t="n">
        <x:f>VLOOKUP(C1439,'Governorate Master'!$A$2:$Q$13,15,FALSE)</x:f>
        <x:v>0.18452380952380953</x:v>
      </x:c>
      <x:c r="J1439" s="12" t="str">
        <x:v>Location model input - competition/saturation context</x:v>
      </x:c>
      <x:c r="K1439" s="12" t="str">
        <x:v>Business count is from 2018 while population/context indicators are newer; use as a historical proxy, not a current market count.</x:v>
      </x:c>
    </x:row>
    <x:row r="1440">
      <x:c r="A1440" s="12" t="str">
        <x:v>4100</x:v>
      </x:c>
      <x:c r="B1440" s="12" t="str">
        <x:v>Construction of buildings</x:v>
      </x:c>
      <x:c r="C1440" s="12" t="str">
        <x:v>معان</x:v>
      </x:c>
      <x:c r="D1440" s="14" t="n">
        <x:v>6</x:v>
      </x:c>
      <x:c r="E1440" s="14" t="n">
        <x:f>VLOOKUP(C1440,'Governorate Master'!$A$2:$Q$13,3,FALSE)</x:f>
        <x:v>197900</x:v>
      </x:c>
      <x:c r="F1440" s="66" t="n">
        <x:f>IF(E1440=0,0,D1440/E1440*10000)</x:f>
        <x:v>0.30318342597271347</x:v>
      </x:c>
      <x:c r="G1440" s="67" t="n">
        <x:f>VLOOKUP(C1440,'Governorate Master'!$A$2:$Q$13,7,FALSE)</x:f>
        <x:v>6</x:v>
      </x:c>
      <x:c r="H1440" s="20" t="n">
        <x:f>VLOOKUP(C1440,'Governorate Master'!$A$2:$Q$13,6,FALSE)</x:f>
        <x:v>0.5406771096513391</x:v>
      </x:c>
      <x:c r="I1440" s="20" t="n">
        <x:f>VLOOKUP(C1440,'Governorate Master'!$A$2:$Q$13,15,FALSE)</x:f>
        <x:v>0.026845637583892617</x:v>
      </x:c>
      <x:c r="J1440" s="12" t="str">
        <x:v>Location model input - competition/saturation context</x:v>
      </x:c>
      <x:c r="K1440" s="12" t="str">
        <x:v>Business count is from 2018 while population/context indicators are newer; use as a historical proxy, not a current market count.</x:v>
      </x:c>
    </x:row>
    <x:row r="1441">
      <x:c r="A1441" s="12" t="str">
        <x:v>4100</x:v>
      </x:c>
      <x:c r="B1441" s="12" t="str">
        <x:v>Construction of buildings</x:v>
      </x:c>
      <x:c r="C1441" s="12" t="str">
        <x:v>العقبة</x:v>
      </x:c>
      <x:c r="D1441" s="14" t="n">
        <x:v>18</x:v>
      </x:c>
      <x:c r="E1441" s="14" t="n">
        <x:f>VLOOKUP(C1441,'Governorate Master'!$A$2:$Q$13,3,FALSE)</x:f>
        <x:v>250900</x:v>
      </x:c>
      <x:c r="F1441" s="66" t="n">
        <x:f>IF(E1441=0,0,D1441/E1441*10000)</x:f>
        <x:v>0.7174172977281786</x:v>
      </x:c>
      <x:c r="G1441" s="67" t="n">
        <x:f>VLOOKUP(C1441,'Governorate Master'!$A$2:$Q$13,7,FALSE)</x:f>
        <x:v>36.3</x:v>
      </x:c>
      <x:c r="H1441" s="20" t="n">
        <x:f>VLOOKUP(C1441,'Governorate Master'!$A$2:$Q$13,6,FALSE)</x:f>
        <x:v>0.882024711040255</x:v>
      </x:c>
      <x:c r="I1441" s="20" t="n">
        <x:f>VLOOKUP(C1441,'Governorate Master'!$A$2:$Q$13,15,FALSE)</x:f>
        <x:v>-0.09</x:v>
      </x:c>
      <x:c r="J1441" s="12" t="str">
        <x:v>Location model input - competition/saturation context</x:v>
      </x:c>
      <x:c r="K1441" s="12" t="str">
        <x:v>Business count is from 2018 while population/context indicators are newer; use as a historical proxy, not a current market count.</x:v>
      </x:c>
    </x:row>
    <x:row r="1442">
      <x:c r="A1442" s="12" t="str">
        <x:v>4210</x:v>
      </x:c>
      <x:c r="B1442" s="12" t="str">
        <x:v>Construction of roads and railways</x:v>
      </x:c>
      <x:c r="C1442" s="12" t="str">
        <x:v>عمان</x:v>
      </x:c>
      <x:c r="D1442" s="14" t="n">
        <x:v>7</x:v>
      </x:c>
      <x:c r="E1442" s="14" t="n">
        <x:f>VLOOKUP(C1442,'Governorate Master'!$A$2:$Q$13,3,FALSE)</x:f>
        <x:v>5004600</x:v>
      </x:c>
      <x:c r="F1442" s="66" t="n">
        <x:f>IF(E1442=0,0,D1442/E1442*10000)</x:f>
        <x:v>0.013987131838708389</x:v>
      </x:c>
      <x:c r="G1442" s="67" t="n">
        <x:f>VLOOKUP(C1442,'Governorate Master'!$A$2:$Q$13,7,FALSE)</x:f>
        <x:v>660.3</x:v>
      </x:c>
      <x:c r="H1442" s="20" t="n">
        <x:f>VLOOKUP(C1442,'Governorate Master'!$A$2:$Q$13,6,FALSE)</x:f>
        <x:v>0.9721656076409703</x:v>
      </x:c>
      <x:c r="I1442" s="20" t="n">
        <x:f>VLOOKUP(C1442,'Governorate Master'!$A$2:$Q$13,15,FALSE)</x:f>
        <x:v>0.06367041198501873</x:v>
      </x:c>
      <x:c r="J1442" s="12" t="str">
        <x:v>Location model input - competition/saturation context</x:v>
      </x:c>
      <x:c r="K1442" s="12" t="str">
        <x:v>Business count is from 2018 while population/context indicators are newer; use as a historical proxy, not a current market count.</x:v>
      </x:c>
    </x:row>
    <x:row r="1443">
      <x:c r="A1443" s="12" t="str">
        <x:v>4210</x:v>
      </x:c>
      <x:c r="B1443" s="12" t="str">
        <x:v>Construction of roads and railways</x:v>
      </x:c>
      <x:c r="C1443" s="12" t="str">
        <x:v>البلقاء</x:v>
      </x:c>
      <x:c r="D1443" s="14" t="n">
        <x:v>2</x:v>
      </x:c>
      <x:c r="E1443" s="14" t="n">
        <x:f>VLOOKUP(C1443,'Governorate Master'!$A$2:$Q$13,3,FALSE)</x:f>
        <x:v>614000</x:v>
      </x:c>
      <x:c r="F1443" s="66" t="n">
        <x:f>IF(E1443=0,0,D1443/E1443*10000)</x:f>
        <x:v>0.03257328990228013</x:v>
      </x:c>
      <x:c r="G1443" s="67" t="n">
        <x:f>VLOOKUP(C1443,'Governorate Master'!$A$2:$Q$13,7,FALSE)</x:f>
        <x:v>548</x:v>
      </x:c>
      <x:c r="H1443" s="20" t="n">
        <x:f>VLOOKUP(C1443,'Governorate Master'!$A$2:$Q$13,6,FALSE)</x:f>
        <x:v>0.8210097719869707</x:v>
      </x:c>
      <x:c r="I1443" s="20" t="n">
        <x:f>VLOOKUP(C1443,'Governorate Master'!$A$2:$Q$13,15,FALSE)</x:f>
        <x:v>0.10794044665012408</x:v>
      </x:c>
      <x:c r="J1443" s="12" t="str">
        <x:v>Location model input - competition/saturation context</x:v>
      </x:c>
      <x:c r="K1443" s="12" t="str">
        <x:v>Business count is from 2018 while population/context indicators are newer; use as a historical proxy, not a current market count.</x:v>
      </x:c>
    </x:row>
    <x:row r="1444">
      <x:c r="A1444" s="12" t="str">
        <x:v>4210</x:v>
      </x:c>
      <x:c r="B1444" s="12" t="str">
        <x:v>Construction of roads and railways</x:v>
      </x:c>
      <x:c r="C1444" s="12" t="str">
        <x:v>الزرقاء</x:v>
      </x:c>
      <x:c r="D1444" s="14" t="n">
        <x:v>0</x:v>
      </x:c>
      <x:c r="E1444" s="14" t="n">
        <x:f>VLOOKUP(C1444,'Governorate Master'!$A$2:$Q$13,3,FALSE)</x:f>
        <x:v>1704500</x:v>
      </x:c>
      <x:c r="F1444" s="66" t="n">
        <x:f>IF(E1444=0,0,D1444/E1444*10000)</x:f>
        <x:v>0</x:v>
      </x:c>
      <x:c r="G1444" s="67" t="n">
        <x:f>VLOOKUP(C1444,'Governorate Master'!$A$2:$Q$13,7,FALSE)</x:f>
        <x:v>358</x:v>
      </x:c>
      <x:c r="H1444" s="20" t="n">
        <x:f>VLOOKUP(C1444,'Governorate Master'!$A$2:$Q$13,6,FALSE)</x:f>
        <x:v>0.9636256966852449</x:v>
      </x:c>
      <x:c r="I1444" s="20" t="n">
        <x:f>VLOOKUP(C1444,'Governorate Master'!$A$2:$Q$13,15,FALSE)</x:f>
        <x:v>-0.06808762581409118</x:v>
      </x:c>
      <x:c r="J1444" s="12" t="str">
        <x:v>Location model input - competition/saturation context</x:v>
      </x:c>
      <x:c r="K1444" s="12" t="str">
        <x:v>Business count is from 2018 while population/context indicators are newer; use as a historical proxy, not a current market count.</x:v>
      </x:c>
    </x:row>
    <x:row r="1445">
      <x:c r="A1445" s="12" t="str">
        <x:v>4210</x:v>
      </x:c>
      <x:c r="B1445" s="12" t="str">
        <x:v>Construction of roads and railways</x:v>
      </x:c>
      <x:c r="C1445" s="12" t="str">
        <x:v>مادبا</x:v>
      </x:c>
      <x:c r="D1445" s="14" t="n">
        <x:v>0</x:v>
      </x:c>
      <x:c r="E1445" s="14" t="n">
        <x:f>VLOOKUP(C1445,'Governorate Master'!$A$2:$Q$13,3,FALSE)</x:f>
        <x:v>236200</x:v>
      </x:c>
      <x:c r="F1445" s="66" t="n">
        <x:f>IF(E1445=0,0,D1445/E1445*10000)</x:f>
        <x:v>0</x:v>
      </x:c>
      <x:c r="G1445" s="67" t="n">
        <x:f>VLOOKUP(C1445,'Governorate Master'!$A$2:$Q$13,7,FALSE)</x:f>
        <x:v>251.4</x:v>
      </x:c>
      <x:c r="H1445" s="20" t="n">
        <x:f>VLOOKUP(C1445,'Governorate Master'!$A$2:$Q$13,6,FALSE)</x:f>
        <x:v>0.7823878069432684</x:v>
      </x:c>
      <x:c r="I1445" s="20" t="n">
        <x:f>VLOOKUP(C1445,'Governorate Master'!$A$2:$Q$13,15,FALSE)</x:f>
        <x:v>-0.18823529411764706</x:v>
      </x:c>
      <x:c r="J1445" s="12" t="str">
        <x:v>Location model input - competition/saturation context</x:v>
      </x:c>
      <x:c r="K1445" s="12" t="str">
        <x:v>Business count is from 2018 while population/context indicators are newer; use as a historical proxy, not a current market count.</x:v>
      </x:c>
    </x:row>
    <x:row r="1446">
      <x:c r="A1446" s="12" t="str">
        <x:v>4210</x:v>
      </x:c>
      <x:c r="B1446" s="12" t="str">
        <x:v>Construction of roads and railways</x:v>
      </x:c>
      <x:c r="C1446" s="12" t="str">
        <x:v>إربد</x:v>
      </x:c>
      <x:c r="D1446" s="14" t="n">
        <x:v>5</x:v>
      </x:c>
      <x:c r="E1446" s="14" t="n">
        <x:f>VLOOKUP(C1446,'Governorate Master'!$A$2:$Q$13,3,FALSE)</x:f>
        <x:v>2210500</x:v>
      </x:c>
      <x:c r="F1446" s="66" t="n">
        <x:f>IF(E1446=0,0,D1446/E1446*10000)</x:f>
        <x:v>0.022619316896629722</x:v>
      </x:c>
      <x:c r="G1446" s="67" t="n">
        <x:f>VLOOKUP(C1446,'Governorate Master'!$A$2:$Q$13,7,FALSE)</x:f>
        <x:v>1406.4</x:v>
      </x:c>
      <x:c r="H1446" s="20" t="n">
        <x:f>VLOOKUP(C1446,'Governorate Master'!$A$2:$Q$13,6,FALSE)</x:f>
        <x:v>0.9235014702555983</x:v>
      </x:c>
      <x:c r="I1446" s="20" t="n">
        <x:f>VLOOKUP(C1446,'Governorate Master'!$A$2:$Q$13,15,FALSE)</x:f>
        <x:v>0.07086922474549726</x:v>
      </x:c>
      <x:c r="J1446" s="12" t="str">
        <x:v>Location model input - competition/saturation context</x:v>
      </x:c>
      <x:c r="K1446" s="12" t="str">
        <x:v>Business count is from 2018 while population/context indicators are newer; use as a historical proxy, not a current market count.</x:v>
      </x:c>
    </x:row>
    <x:row r="1447">
      <x:c r="A1447" s="12" t="str">
        <x:v>4210</x:v>
      </x:c>
      <x:c r="B1447" s="12" t="str">
        <x:v>Construction of roads and railways</x:v>
      </x:c>
      <x:c r="C1447" s="12" t="str">
        <x:v>المفرق</x:v>
      </x:c>
      <x:c r="D1447" s="14" t="n">
        <x:v>0</x:v>
      </x:c>
      <x:c r="E1447" s="14" t="n">
        <x:f>VLOOKUP(C1447,'Governorate Master'!$A$2:$Q$13,3,FALSE)</x:f>
        <x:v>686800</x:v>
      </x:c>
      <x:c r="F1447" s="66" t="n">
        <x:f>IF(E1447=0,0,D1447/E1447*10000)</x:f>
        <x:v>0</x:v>
      </x:c>
      <x:c r="G1447" s="67" t="n">
        <x:f>VLOOKUP(C1447,'Governorate Master'!$A$2:$Q$13,7,FALSE)</x:f>
        <x:v>25.9</x:v>
      </x:c>
      <x:c r="H1447" s="20" t="n">
        <x:f>VLOOKUP(C1447,'Governorate Master'!$A$2:$Q$13,6,FALSE)</x:f>
        <x:v>0.6965637740244612</x:v>
      </x:c>
      <x:c r="I1447" s="20" t="n">
        <x:f>VLOOKUP(C1447,'Governorate Master'!$A$2:$Q$13,15,FALSE)</x:f>
        <x:v>-0.016638935108153077</x:v>
      </x:c>
      <x:c r="J1447" s="12" t="str">
        <x:v>Location model input - competition/saturation context</x:v>
      </x:c>
      <x:c r="K1447" s="12" t="str">
        <x:v>Business count is from 2018 while population/context indicators are newer; use as a historical proxy, not a current market count.</x:v>
      </x:c>
    </x:row>
    <x:row r="1448">
      <x:c r="A1448" s="12" t="str">
        <x:v>4210</x:v>
      </x:c>
      <x:c r="B1448" s="12" t="str">
        <x:v>Construction of roads and railways</x:v>
      </x:c>
      <x:c r="C1448" s="12" t="str">
        <x:v>جرش</x:v>
      </x:c>
      <x:c r="D1448" s="14" t="n">
        <x:v>0</x:v>
      </x:c>
      <x:c r="E1448" s="14" t="n">
        <x:f>VLOOKUP(C1448,'Governorate Master'!$A$2:$Q$13,3,FALSE)</x:f>
        <x:v>296000</x:v>
      </x:c>
      <x:c r="F1448" s="66" t="n">
        <x:f>IF(E1448=0,0,D1448/E1448*10000)</x:f>
        <x:v>0</x:v>
      </x:c>
      <x:c r="G1448" s="67" t="n">
        <x:f>VLOOKUP(C1448,'Governorate Master'!$A$2:$Q$13,7,FALSE)</x:f>
        <x:v>722.3</x:v>
      </x:c>
      <x:c r="H1448" s="20" t="n">
        <x:f>VLOOKUP(C1448,'Governorate Master'!$A$2:$Q$13,6,FALSE)</x:f>
        <x:v>0.7695945945945946</x:v>
      </x:c>
      <x:c r="I1448" s="20" t="n">
        <x:f>VLOOKUP(C1448,'Governorate Master'!$A$2:$Q$13,15,FALSE)</x:f>
        <x:v>-0.06527415143603134</x:v>
      </x:c>
      <x:c r="J1448" s="12" t="str">
        <x:v>Location model input - competition/saturation context</x:v>
      </x:c>
      <x:c r="K1448" s="12" t="str">
        <x:v>Business count is from 2018 while population/context indicators are newer; use as a historical proxy, not a current market count.</x:v>
      </x:c>
    </x:row>
    <x:row r="1449">
      <x:c r="A1449" s="12" t="str">
        <x:v>4210</x:v>
      </x:c>
      <x:c r="B1449" s="12" t="str">
        <x:v>Construction of roads and railways</x:v>
      </x:c>
      <x:c r="C1449" s="12" t="str">
        <x:v>عجلون</x:v>
      </x:c>
      <x:c r="D1449" s="14" t="n">
        <x:v>0</x:v>
      </x:c>
      <x:c r="E1449" s="14" t="n">
        <x:f>VLOOKUP(C1449,'Governorate Master'!$A$2:$Q$13,3,FALSE)</x:f>
        <x:v>219900</x:v>
      </x:c>
      <x:c r="F1449" s="66" t="n">
        <x:f>IF(E1449=0,0,D1449/E1449*10000)</x:f>
        <x:v>0</x:v>
      </x:c>
      <x:c r="G1449" s="67" t="n">
        <x:f>VLOOKUP(C1449,'Governorate Master'!$A$2:$Q$13,7,FALSE)</x:f>
        <x:v>524</x:v>
      </x:c>
      <x:c r="H1449" s="20" t="n">
        <x:f>VLOOKUP(C1449,'Governorate Master'!$A$2:$Q$13,6,FALSE)</x:f>
        <x:v>0.8390177353342428</x:v>
      </x:c>
      <x:c r="I1449" s="20" t="n">
        <x:f>VLOOKUP(C1449,'Governorate Master'!$A$2:$Q$13,15,FALSE)</x:f>
        <x:v>0.03614457831325301</x:v>
      </x:c>
      <x:c r="J1449" s="12" t="str">
        <x:v>Location model input - competition/saturation context</x:v>
      </x:c>
      <x:c r="K1449" s="12" t="str">
        <x:v>Business count is from 2018 while population/context indicators are newer; use as a historical proxy, not a current market count.</x:v>
      </x:c>
    </x:row>
    <x:row r="1450">
      <x:c r="A1450" s="12" t="str">
        <x:v>4210</x:v>
      </x:c>
      <x:c r="B1450" s="12" t="str">
        <x:v>Construction of roads and railways</x:v>
      </x:c>
      <x:c r="C1450" s="12" t="str">
        <x:v>الكرك</x:v>
      </x:c>
      <x:c r="D1450" s="14" t="n">
        <x:v>3</x:v>
      </x:c>
      <x:c r="E1450" s="14" t="n">
        <x:f>VLOOKUP(C1450,'Governorate Master'!$A$2:$Q$13,3,FALSE)</x:f>
        <x:v>395400</x:v>
      </x:c>
      <x:c r="F1450" s="66" t="n">
        <x:f>IF(E1450=0,0,D1450/E1450*10000)</x:f>
        <x:v>0.07587253414264036</x:v>
      </x:c>
      <x:c r="G1450" s="67" t="n">
        <x:f>VLOOKUP(C1450,'Governorate Master'!$A$2:$Q$13,7,FALSE)</x:f>
        <x:v>113.1</x:v>
      </x:c>
      <x:c r="H1450" s="20" t="n">
        <x:f>VLOOKUP(C1450,'Governorate Master'!$A$2:$Q$13,6,FALSE)</x:f>
        <x:v>0.5912999494183105</x:v>
      </x:c>
      <x:c r="I1450" s="20" t="n">
        <x:f>VLOOKUP(C1450,'Governorate Master'!$A$2:$Q$13,15,FALSE)</x:f>
        <x:v>0.08710801393728224</x:v>
      </x:c>
      <x:c r="J1450" s="12" t="str">
        <x:v>Location model input - competition/saturation context</x:v>
      </x:c>
      <x:c r="K1450" s="12" t="str">
        <x:v>Business count is from 2018 while population/context indicators are newer; use as a historical proxy, not a current market count.</x:v>
      </x:c>
    </x:row>
    <x:row r="1451">
      <x:c r="A1451" s="12" t="str">
        <x:v>4210</x:v>
      </x:c>
      <x:c r="B1451" s="12" t="str">
        <x:v>Construction of roads and railways</x:v>
      </x:c>
      <x:c r="C1451" s="12" t="str">
        <x:v>الطفيلة</x:v>
      </x:c>
      <x:c r="D1451" s="14" t="n">
        <x:v>0</x:v>
      </x:c>
      <x:c r="E1451" s="14" t="n">
        <x:f>VLOOKUP(C1451,'Governorate Master'!$A$2:$Q$13,3,FALSE)</x:f>
        <x:v>120300</x:v>
      </x:c>
      <x:c r="F1451" s="66" t="n">
        <x:f>IF(E1451=0,0,D1451/E1451*10000)</x:f>
        <x:v>0</x:v>
      </x:c>
      <x:c r="G1451" s="67" t="n">
        <x:f>VLOOKUP(C1451,'Governorate Master'!$A$2:$Q$13,7,FALSE)</x:f>
        <x:v>54.4</x:v>
      </x:c>
      <x:c r="H1451" s="20" t="n">
        <x:f>VLOOKUP(C1451,'Governorate Master'!$A$2:$Q$13,6,FALSE)</x:f>
        <x:v>0.7797173732335827</x:v>
      </x:c>
      <x:c r="I1451" s="20" t="n">
        <x:f>VLOOKUP(C1451,'Governorate Master'!$A$2:$Q$13,15,FALSE)</x:f>
        <x:v>0.18452380952380953</x:v>
      </x:c>
      <x:c r="J1451" s="12" t="str">
        <x:v>Location model input - competition/saturation context</x:v>
      </x:c>
      <x:c r="K1451" s="12" t="str">
        <x:v>Business count is from 2018 while population/context indicators are newer; use as a historical proxy, not a current market count.</x:v>
      </x:c>
    </x:row>
    <x:row r="1452">
      <x:c r="A1452" s="12" t="str">
        <x:v>4210</x:v>
      </x:c>
      <x:c r="B1452" s="12" t="str">
        <x:v>Construction of roads and railways</x:v>
      </x:c>
      <x:c r="C1452" s="12" t="str">
        <x:v>معان</x:v>
      </x:c>
      <x:c r="D1452" s="14" t="n">
        <x:v>0</x:v>
      </x:c>
      <x:c r="E1452" s="14" t="n">
        <x:f>VLOOKUP(C1452,'Governorate Master'!$A$2:$Q$13,3,FALSE)</x:f>
        <x:v>197900</x:v>
      </x:c>
      <x:c r="F1452" s="66" t="n">
        <x:f>IF(E1452=0,0,D1452/E1452*10000)</x:f>
        <x:v>0</x:v>
      </x:c>
      <x:c r="G1452" s="67" t="n">
        <x:f>VLOOKUP(C1452,'Governorate Master'!$A$2:$Q$13,7,FALSE)</x:f>
        <x:v>6</x:v>
      </x:c>
      <x:c r="H1452" s="20" t="n">
        <x:f>VLOOKUP(C1452,'Governorate Master'!$A$2:$Q$13,6,FALSE)</x:f>
        <x:v>0.5406771096513391</x:v>
      </x:c>
      <x:c r="I1452" s="20" t="n">
        <x:f>VLOOKUP(C1452,'Governorate Master'!$A$2:$Q$13,15,FALSE)</x:f>
        <x:v>0.026845637583892617</x:v>
      </x:c>
      <x:c r="J1452" s="12" t="str">
        <x:v>Location model input - competition/saturation context</x:v>
      </x:c>
      <x:c r="K1452" s="12" t="str">
        <x:v>Business count is from 2018 while population/context indicators are newer; use as a historical proxy, not a current market count.</x:v>
      </x:c>
    </x:row>
    <x:row r="1453">
      <x:c r="A1453" s="12" t="str">
        <x:v>4210</x:v>
      </x:c>
      <x:c r="B1453" s="12" t="str">
        <x:v>Construction of roads and railways</x:v>
      </x:c>
      <x:c r="C1453" s="12" t="str">
        <x:v>العقبة</x:v>
      </x:c>
      <x:c r="D1453" s="14" t="n">
        <x:v>4</x:v>
      </x:c>
      <x:c r="E1453" s="14" t="n">
        <x:f>VLOOKUP(C1453,'Governorate Master'!$A$2:$Q$13,3,FALSE)</x:f>
        <x:v>250900</x:v>
      </x:c>
      <x:c r="F1453" s="66" t="n">
        <x:f>IF(E1453=0,0,D1453/E1453*10000)</x:f>
        <x:v>0.15942606616181745</x:v>
      </x:c>
      <x:c r="G1453" s="67" t="n">
        <x:f>VLOOKUP(C1453,'Governorate Master'!$A$2:$Q$13,7,FALSE)</x:f>
        <x:v>36.3</x:v>
      </x:c>
      <x:c r="H1453" s="20" t="n">
        <x:f>VLOOKUP(C1453,'Governorate Master'!$A$2:$Q$13,6,FALSE)</x:f>
        <x:v>0.882024711040255</x:v>
      </x:c>
      <x:c r="I1453" s="20" t="n">
        <x:f>VLOOKUP(C1453,'Governorate Master'!$A$2:$Q$13,15,FALSE)</x:f>
        <x:v>-0.09</x:v>
      </x:c>
      <x:c r="J1453" s="12" t="str">
        <x:v>Location model input - competition/saturation context</x:v>
      </x:c>
      <x:c r="K1453" s="12" t="str">
        <x:v>Business count is from 2018 while population/context indicators are newer; use as a historical proxy, not a current market count.</x:v>
      </x:c>
    </x:row>
    <x:row r="1454">
      <x:c r="A1454" s="12" t="str">
        <x:v>4220</x:v>
      </x:c>
      <x:c r="B1454" s="12" t="str">
        <x:v>Construction of utility projects</x:v>
      </x:c>
      <x:c r="C1454" s="12" t="str">
        <x:v>عمان</x:v>
      </x:c>
      <x:c r="D1454" s="14" t="n">
        <x:v>21</x:v>
      </x:c>
      <x:c r="E1454" s="14" t="n">
        <x:f>VLOOKUP(C1454,'Governorate Master'!$A$2:$Q$13,3,FALSE)</x:f>
        <x:v>5004600</x:v>
      </x:c>
      <x:c r="F1454" s="66" t="n">
        <x:f>IF(E1454=0,0,D1454/E1454*10000)</x:f>
        <x:v>0.04196139551612516</x:v>
      </x:c>
      <x:c r="G1454" s="67" t="n">
        <x:f>VLOOKUP(C1454,'Governorate Master'!$A$2:$Q$13,7,FALSE)</x:f>
        <x:v>660.3</x:v>
      </x:c>
      <x:c r="H1454" s="20" t="n">
        <x:f>VLOOKUP(C1454,'Governorate Master'!$A$2:$Q$13,6,FALSE)</x:f>
        <x:v>0.9721656076409703</x:v>
      </x:c>
      <x:c r="I1454" s="20" t="n">
        <x:f>VLOOKUP(C1454,'Governorate Master'!$A$2:$Q$13,15,FALSE)</x:f>
        <x:v>0.06367041198501873</x:v>
      </x:c>
      <x:c r="J1454" s="12" t="str">
        <x:v>Location model input - competition/saturation context</x:v>
      </x:c>
      <x:c r="K1454" s="12" t="str">
        <x:v>Business count is from 2018 while population/context indicators are newer; use as a historical proxy, not a current market count.</x:v>
      </x:c>
    </x:row>
    <x:row r="1455">
      <x:c r="A1455" s="12" t="str">
        <x:v>4220</x:v>
      </x:c>
      <x:c r="B1455" s="12" t="str">
        <x:v>Construction of utility projects</x:v>
      </x:c>
      <x:c r="C1455" s="12" t="str">
        <x:v>البلقاء</x:v>
      </x:c>
      <x:c r="D1455" s="14" t="n">
        <x:v>1</x:v>
      </x:c>
      <x:c r="E1455" s="14" t="n">
        <x:f>VLOOKUP(C1455,'Governorate Master'!$A$2:$Q$13,3,FALSE)</x:f>
        <x:v>614000</x:v>
      </x:c>
      <x:c r="F1455" s="66" t="n">
        <x:f>IF(E1455=0,0,D1455/E1455*10000)</x:f>
        <x:v>0.016286644951140065</x:v>
      </x:c>
      <x:c r="G1455" s="67" t="n">
        <x:f>VLOOKUP(C1455,'Governorate Master'!$A$2:$Q$13,7,FALSE)</x:f>
        <x:v>548</x:v>
      </x:c>
      <x:c r="H1455" s="20" t="n">
        <x:f>VLOOKUP(C1455,'Governorate Master'!$A$2:$Q$13,6,FALSE)</x:f>
        <x:v>0.8210097719869707</x:v>
      </x:c>
      <x:c r="I1455" s="20" t="n">
        <x:f>VLOOKUP(C1455,'Governorate Master'!$A$2:$Q$13,15,FALSE)</x:f>
        <x:v>0.10794044665012408</x:v>
      </x:c>
      <x:c r="J1455" s="12" t="str">
        <x:v>Location model input - competition/saturation context</x:v>
      </x:c>
      <x:c r="K1455" s="12" t="str">
        <x:v>Business count is from 2018 while population/context indicators are newer; use as a historical proxy, not a current market count.</x:v>
      </x:c>
    </x:row>
    <x:row r="1456">
      <x:c r="A1456" s="12" t="str">
        <x:v>4220</x:v>
      </x:c>
      <x:c r="B1456" s="12" t="str">
        <x:v>Construction of utility projects</x:v>
      </x:c>
      <x:c r="C1456" s="12" t="str">
        <x:v>الزرقاء</x:v>
      </x:c>
      <x:c r="D1456" s="14" t="n">
        <x:v>1</x:v>
      </x:c>
      <x:c r="E1456" s="14" t="n">
        <x:f>VLOOKUP(C1456,'Governorate Master'!$A$2:$Q$13,3,FALSE)</x:f>
        <x:v>1704500</x:v>
      </x:c>
      <x:c r="F1456" s="66" t="n">
        <x:f>IF(E1456=0,0,D1456/E1456*10000)</x:f>
        <x:v>0.005866823115283074</x:v>
      </x:c>
      <x:c r="G1456" s="67" t="n">
        <x:f>VLOOKUP(C1456,'Governorate Master'!$A$2:$Q$13,7,FALSE)</x:f>
        <x:v>358</x:v>
      </x:c>
      <x:c r="H1456" s="20" t="n">
        <x:f>VLOOKUP(C1456,'Governorate Master'!$A$2:$Q$13,6,FALSE)</x:f>
        <x:v>0.9636256966852449</x:v>
      </x:c>
      <x:c r="I1456" s="20" t="n">
        <x:f>VLOOKUP(C1456,'Governorate Master'!$A$2:$Q$13,15,FALSE)</x:f>
        <x:v>-0.06808762581409118</x:v>
      </x:c>
      <x:c r="J1456" s="12" t="str">
        <x:v>Location model input - competition/saturation context</x:v>
      </x:c>
      <x:c r="K1456" s="12" t="str">
        <x:v>Business count is from 2018 while population/context indicators are newer; use as a historical proxy, not a current market count.</x:v>
      </x:c>
    </x:row>
    <x:row r="1457">
      <x:c r="A1457" s="12" t="str">
        <x:v>4220</x:v>
      </x:c>
      <x:c r="B1457" s="12" t="str">
        <x:v>Construction of utility projects</x:v>
      </x:c>
      <x:c r="C1457" s="12" t="str">
        <x:v>مادبا</x:v>
      </x:c>
      <x:c r="D1457" s="14" t="n">
        <x:v>0</x:v>
      </x:c>
      <x:c r="E1457" s="14" t="n">
        <x:f>VLOOKUP(C1457,'Governorate Master'!$A$2:$Q$13,3,FALSE)</x:f>
        <x:v>236200</x:v>
      </x:c>
      <x:c r="F1457" s="66" t="n">
        <x:f>IF(E1457=0,0,D1457/E1457*10000)</x:f>
        <x:v>0</x:v>
      </x:c>
      <x:c r="G1457" s="67" t="n">
        <x:f>VLOOKUP(C1457,'Governorate Master'!$A$2:$Q$13,7,FALSE)</x:f>
        <x:v>251.4</x:v>
      </x:c>
      <x:c r="H1457" s="20" t="n">
        <x:f>VLOOKUP(C1457,'Governorate Master'!$A$2:$Q$13,6,FALSE)</x:f>
        <x:v>0.7823878069432684</x:v>
      </x:c>
      <x:c r="I1457" s="20" t="n">
        <x:f>VLOOKUP(C1457,'Governorate Master'!$A$2:$Q$13,15,FALSE)</x:f>
        <x:v>-0.18823529411764706</x:v>
      </x:c>
      <x:c r="J1457" s="12" t="str">
        <x:v>Location model input - competition/saturation context</x:v>
      </x:c>
      <x:c r="K1457" s="12" t="str">
        <x:v>Business count is from 2018 while population/context indicators are newer; use as a historical proxy, not a current market count.</x:v>
      </x:c>
    </x:row>
    <x:row r="1458">
      <x:c r="A1458" s="12" t="str">
        <x:v>4220</x:v>
      </x:c>
      <x:c r="B1458" s="12" t="str">
        <x:v>Construction of utility projects</x:v>
      </x:c>
      <x:c r="C1458" s="12" t="str">
        <x:v>إربد</x:v>
      </x:c>
      <x:c r="D1458" s="14" t="n">
        <x:v>0</x:v>
      </x:c>
      <x:c r="E1458" s="14" t="n">
        <x:f>VLOOKUP(C1458,'Governorate Master'!$A$2:$Q$13,3,FALSE)</x:f>
        <x:v>2210500</x:v>
      </x:c>
      <x:c r="F1458" s="66" t="n">
        <x:f>IF(E1458=0,0,D1458/E1458*10000)</x:f>
        <x:v>0</x:v>
      </x:c>
      <x:c r="G1458" s="67" t="n">
        <x:f>VLOOKUP(C1458,'Governorate Master'!$A$2:$Q$13,7,FALSE)</x:f>
        <x:v>1406.4</x:v>
      </x:c>
      <x:c r="H1458" s="20" t="n">
        <x:f>VLOOKUP(C1458,'Governorate Master'!$A$2:$Q$13,6,FALSE)</x:f>
        <x:v>0.9235014702555983</x:v>
      </x:c>
      <x:c r="I1458" s="20" t="n">
        <x:f>VLOOKUP(C1458,'Governorate Master'!$A$2:$Q$13,15,FALSE)</x:f>
        <x:v>0.07086922474549726</x:v>
      </x:c>
      <x:c r="J1458" s="12" t="str">
        <x:v>Location model input - competition/saturation context</x:v>
      </x:c>
      <x:c r="K1458" s="12" t="str">
        <x:v>Business count is from 2018 while population/context indicators are newer; use as a historical proxy, not a current market count.</x:v>
      </x:c>
    </x:row>
    <x:row r="1459">
      <x:c r="A1459" s="12" t="str">
        <x:v>4220</x:v>
      </x:c>
      <x:c r="B1459" s="12" t="str">
        <x:v>Construction of utility projects</x:v>
      </x:c>
      <x:c r="C1459" s="12" t="str">
        <x:v>المفرق</x:v>
      </x:c>
      <x:c r="D1459" s="14" t="n">
        <x:v>1</x:v>
      </x:c>
      <x:c r="E1459" s="14" t="n">
        <x:f>VLOOKUP(C1459,'Governorate Master'!$A$2:$Q$13,3,FALSE)</x:f>
        <x:v>686800</x:v>
      </x:c>
      <x:c r="F1459" s="66" t="n">
        <x:f>IF(E1459=0,0,D1459/E1459*10000)</x:f>
        <x:v>0.014560279557367502</x:v>
      </x:c>
      <x:c r="G1459" s="67" t="n">
        <x:f>VLOOKUP(C1459,'Governorate Master'!$A$2:$Q$13,7,FALSE)</x:f>
        <x:v>25.9</x:v>
      </x:c>
      <x:c r="H1459" s="20" t="n">
        <x:f>VLOOKUP(C1459,'Governorate Master'!$A$2:$Q$13,6,FALSE)</x:f>
        <x:v>0.6965637740244612</x:v>
      </x:c>
      <x:c r="I1459" s="20" t="n">
        <x:f>VLOOKUP(C1459,'Governorate Master'!$A$2:$Q$13,15,FALSE)</x:f>
        <x:v>-0.016638935108153077</x:v>
      </x:c>
      <x:c r="J1459" s="12" t="str">
        <x:v>Location model input - competition/saturation context</x:v>
      </x:c>
      <x:c r="K1459" s="12" t="str">
        <x:v>Business count is from 2018 while population/context indicators are newer; use as a historical proxy, not a current market count.</x:v>
      </x:c>
    </x:row>
    <x:row r="1460">
      <x:c r="A1460" s="12" t="str">
        <x:v>4220</x:v>
      </x:c>
      <x:c r="B1460" s="12" t="str">
        <x:v>Construction of utility projects</x:v>
      </x:c>
      <x:c r="C1460" s="12" t="str">
        <x:v>جرش</x:v>
      </x:c>
      <x:c r="D1460" s="14" t="n">
        <x:v>1</x:v>
      </x:c>
      <x:c r="E1460" s="14" t="n">
        <x:f>VLOOKUP(C1460,'Governorate Master'!$A$2:$Q$13,3,FALSE)</x:f>
        <x:v>296000</x:v>
      </x:c>
      <x:c r="F1460" s="66" t="n">
        <x:f>IF(E1460=0,0,D1460/E1460*10000)</x:f>
        <x:v>0.033783783783783786</x:v>
      </x:c>
      <x:c r="G1460" s="67" t="n">
        <x:f>VLOOKUP(C1460,'Governorate Master'!$A$2:$Q$13,7,FALSE)</x:f>
        <x:v>722.3</x:v>
      </x:c>
      <x:c r="H1460" s="20" t="n">
        <x:f>VLOOKUP(C1460,'Governorate Master'!$A$2:$Q$13,6,FALSE)</x:f>
        <x:v>0.7695945945945946</x:v>
      </x:c>
      <x:c r="I1460" s="20" t="n">
        <x:f>VLOOKUP(C1460,'Governorate Master'!$A$2:$Q$13,15,FALSE)</x:f>
        <x:v>-0.06527415143603134</x:v>
      </x:c>
      <x:c r="J1460" s="12" t="str">
        <x:v>Location model input - competition/saturation context</x:v>
      </x:c>
      <x:c r="K1460" s="12" t="str">
        <x:v>Business count is from 2018 while population/context indicators are newer; use as a historical proxy, not a current market count.</x:v>
      </x:c>
    </x:row>
    <x:row r="1461">
      <x:c r="A1461" s="12" t="str">
        <x:v>4220</x:v>
      </x:c>
      <x:c r="B1461" s="12" t="str">
        <x:v>Construction of utility projects</x:v>
      </x:c>
      <x:c r="C1461" s="12" t="str">
        <x:v>عجلون</x:v>
      </x:c>
      <x:c r="D1461" s="14" t="n">
        <x:v>0</x:v>
      </x:c>
      <x:c r="E1461" s="14" t="n">
        <x:f>VLOOKUP(C1461,'Governorate Master'!$A$2:$Q$13,3,FALSE)</x:f>
        <x:v>219900</x:v>
      </x:c>
      <x:c r="F1461" s="66" t="n">
        <x:f>IF(E1461=0,0,D1461/E1461*10000)</x:f>
        <x:v>0</x:v>
      </x:c>
      <x:c r="G1461" s="67" t="n">
        <x:f>VLOOKUP(C1461,'Governorate Master'!$A$2:$Q$13,7,FALSE)</x:f>
        <x:v>524</x:v>
      </x:c>
      <x:c r="H1461" s="20" t="n">
        <x:f>VLOOKUP(C1461,'Governorate Master'!$A$2:$Q$13,6,FALSE)</x:f>
        <x:v>0.8390177353342428</x:v>
      </x:c>
      <x:c r="I1461" s="20" t="n">
        <x:f>VLOOKUP(C1461,'Governorate Master'!$A$2:$Q$13,15,FALSE)</x:f>
        <x:v>0.03614457831325301</x:v>
      </x:c>
      <x:c r="J1461" s="12" t="str">
        <x:v>Location model input - competition/saturation context</x:v>
      </x:c>
      <x:c r="K1461" s="12" t="str">
        <x:v>Business count is from 2018 while population/context indicators are newer; use as a historical proxy, not a current market count.</x:v>
      </x:c>
    </x:row>
    <x:row r="1462">
      <x:c r="A1462" s="12" t="str">
        <x:v>4220</x:v>
      </x:c>
      <x:c r="B1462" s="12" t="str">
        <x:v>Construction of utility projects</x:v>
      </x:c>
      <x:c r="C1462" s="12" t="str">
        <x:v>الكرك</x:v>
      </x:c>
      <x:c r="D1462" s="14" t="n">
        <x:v>0</x:v>
      </x:c>
      <x:c r="E1462" s="14" t="n">
        <x:f>VLOOKUP(C1462,'Governorate Master'!$A$2:$Q$13,3,FALSE)</x:f>
        <x:v>395400</x:v>
      </x:c>
      <x:c r="F1462" s="66" t="n">
        <x:f>IF(E1462=0,0,D1462/E1462*10000)</x:f>
        <x:v>0</x:v>
      </x:c>
      <x:c r="G1462" s="67" t="n">
        <x:f>VLOOKUP(C1462,'Governorate Master'!$A$2:$Q$13,7,FALSE)</x:f>
        <x:v>113.1</x:v>
      </x:c>
      <x:c r="H1462" s="20" t="n">
        <x:f>VLOOKUP(C1462,'Governorate Master'!$A$2:$Q$13,6,FALSE)</x:f>
        <x:v>0.5912999494183105</x:v>
      </x:c>
      <x:c r="I1462" s="20" t="n">
        <x:f>VLOOKUP(C1462,'Governorate Master'!$A$2:$Q$13,15,FALSE)</x:f>
        <x:v>0.08710801393728224</x:v>
      </x:c>
      <x:c r="J1462" s="12" t="str">
        <x:v>Location model input - competition/saturation context</x:v>
      </x:c>
      <x:c r="K1462" s="12" t="str">
        <x:v>Business count is from 2018 while population/context indicators are newer; use as a historical proxy, not a current market count.</x:v>
      </x:c>
    </x:row>
    <x:row r="1463">
      <x:c r="A1463" s="12" t="str">
        <x:v>4220</x:v>
      </x:c>
      <x:c r="B1463" s="12" t="str">
        <x:v>Construction of utility projects</x:v>
      </x:c>
      <x:c r="C1463" s="12" t="str">
        <x:v>الطفيلة</x:v>
      </x:c>
      <x:c r="D1463" s="14" t="n">
        <x:v>0</x:v>
      </x:c>
      <x:c r="E1463" s="14" t="n">
        <x:f>VLOOKUP(C1463,'Governorate Master'!$A$2:$Q$13,3,FALSE)</x:f>
        <x:v>120300</x:v>
      </x:c>
      <x:c r="F1463" s="66" t="n">
        <x:f>IF(E1463=0,0,D1463/E1463*10000)</x:f>
        <x:v>0</x:v>
      </x:c>
      <x:c r="G1463" s="67" t="n">
        <x:f>VLOOKUP(C1463,'Governorate Master'!$A$2:$Q$13,7,FALSE)</x:f>
        <x:v>54.4</x:v>
      </x:c>
      <x:c r="H1463" s="20" t="n">
        <x:f>VLOOKUP(C1463,'Governorate Master'!$A$2:$Q$13,6,FALSE)</x:f>
        <x:v>0.7797173732335827</x:v>
      </x:c>
      <x:c r="I1463" s="20" t="n">
        <x:f>VLOOKUP(C1463,'Governorate Master'!$A$2:$Q$13,15,FALSE)</x:f>
        <x:v>0.18452380952380953</x:v>
      </x:c>
      <x:c r="J1463" s="12" t="str">
        <x:v>Location model input - competition/saturation context</x:v>
      </x:c>
      <x:c r="K1463" s="12" t="str">
        <x:v>Business count is from 2018 while population/context indicators are newer; use as a historical proxy, not a current market count.</x:v>
      </x:c>
    </x:row>
    <x:row r="1464">
      <x:c r="A1464" s="12" t="str">
        <x:v>4220</x:v>
      </x:c>
      <x:c r="B1464" s="12" t="str">
        <x:v>Construction of utility projects</x:v>
      </x:c>
      <x:c r="C1464" s="12" t="str">
        <x:v>معان</x:v>
      </x:c>
      <x:c r="D1464" s="14" t="n">
        <x:v>0</x:v>
      </x:c>
      <x:c r="E1464" s="14" t="n">
        <x:f>VLOOKUP(C1464,'Governorate Master'!$A$2:$Q$13,3,FALSE)</x:f>
        <x:v>197900</x:v>
      </x:c>
      <x:c r="F1464" s="66" t="n">
        <x:f>IF(E1464=0,0,D1464/E1464*10000)</x:f>
        <x:v>0</x:v>
      </x:c>
      <x:c r="G1464" s="67" t="n">
        <x:f>VLOOKUP(C1464,'Governorate Master'!$A$2:$Q$13,7,FALSE)</x:f>
        <x:v>6</x:v>
      </x:c>
      <x:c r="H1464" s="20" t="n">
        <x:f>VLOOKUP(C1464,'Governorate Master'!$A$2:$Q$13,6,FALSE)</x:f>
        <x:v>0.5406771096513391</x:v>
      </x:c>
      <x:c r="I1464" s="20" t="n">
        <x:f>VLOOKUP(C1464,'Governorate Master'!$A$2:$Q$13,15,FALSE)</x:f>
        <x:v>0.026845637583892617</x:v>
      </x:c>
      <x:c r="J1464" s="12" t="str">
        <x:v>Location model input - competition/saturation context</x:v>
      </x:c>
      <x:c r="K1464" s="12" t="str">
        <x:v>Business count is from 2018 while population/context indicators are newer; use as a historical proxy, not a current market count.</x:v>
      </x:c>
    </x:row>
    <x:row r="1465">
      <x:c r="A1465" s="12" t="str">
        <x:v>4220</x:v>
      </x:c>
      <x:c r="B1465" s="12" t="str">
        <x:v>Construction of utility projects</x:v>
      </x:c>
      <x:c r="C1465" s="12" t="str">
        <x:v>العقبة</x:v>
      </x:c>
      <x:c r="D1465" s="14" t="n">
        <x:v>0</x:v>
      </x:c>
      <x:c r="E1465" s="14" t="n">
        <x:f>VLOOKUP(C1465,'Governorate Master'!$A$2:$Q$13,3,FALSE)</x:f>
        <x:v>250900</x:v>
      </x:c>
      <x:c r="F1465" s="66" t="n">
        <x:f>IF(E1465=0,0,D1465/E1465*10000)</x:f>
        <x:v>0</x:v>
      </x:c>
      <x:c r="G1465" s="67" t="n">
        <x:f>VLOOKUP(C1465,'Governorate Master'!$A$2:$Q$13,7,FALSE)</x:f>
        <x:v>36.3</x:v>
      </x:c>
      <x:c r="H1465" s="20" t="n">
        <x:f>VLOOKUP(C1465,'Governorate Master'!$A$2:$Q$13,6,FALSE)</x:f>
        <x:v>0.882024711040255</x:v>
      </x:c>
      <x:c r="I1465" s="20" t="n">
        <x:f>VLOOKUP(C1465,'Governorate Master'!$A$2:$Q$13,15,FALSE)</x:f>
        <x:v>-0.09</x:v>
      </x:c>
      <x:c r="J1465" s="12" t="str">
        <x:v>Location model input - competition/saturation context</x:v>
      </x:c>
      <x:c r="K1465" s="12" t="str">
        <x:v>Business count is from 2018 while population/context indicators are newer; use as a historical proxy, not a current market count.</x:v>
      </x:c>
    </x:row>
    <x:row r="1466">
      <x:c r="A1466" s="12" t="str">
        <x:v>4290</x:v>
      </x:c>
      <x:c r="B1466" s="12" t="str">
        <x:v>Construction of other civil engineering projects</x:v>
      </x:c>
      <x:c r="C1466" s="12" t="str">
        <x:v>عمان</x:v>
      </x:c>
      <x:c r="D1466" s="14" t="n">
        <x:v>12</x:v>
      </x:c>
      <x:c r="E1466" s="14" t="n">
        <x:f>VLOOKUP(C1466,'Governorate Master'!$A$2:$Q$13,3,FALSE)</x:f>
        <x:v>5004600</x:v>
      </x:c>
      <x:c r="F1466" s="66" t="n">
        <x:f>IF(E1466=0,0,D1466/E1466*10000)</x:f>
        <x:v>0.023977940294928664</x:v>
      </x:c>
      <x:c r="G1466" s="67" t="n">
        <x:f>VLOOKUP(C1466,'Governorate Master'!$A$2:$Q$13,7,FALSE)</x:f>
        <x:v>660.3</x:v>
      </x:c>
      <x:c r="H1466" s="20" t="n">
        <x:f>VLOOKUP(C1466,'Governorate Master'!$A$2:$Q$13,6,FALSE)</x:f>
        <x:v>0.9721656076409703</x:v>
      </x:c>
      <x:c r="I1466" s="20" t="n">
        <x:f>VLOOKUP(C1466,'Governorate Master'!$A$2:$Q$13,15,FALSE)</x:f>
        <x:v>0.06367041198501873</x:v>
      </x:c>
      <x:c r="J1466" s="12" t="str">
        <x:v>Location model input - competition/saturation context</x:v>
      </x:c>
      <x:c r="K1466" s="12" t="str">
        <x:v>Business count is from 2018 while population/context indicators are newer; use as a historical proxy, not a current market count.</x:v>
      </x:c>
    </x:row>
    <x:row r="1467">
      <x:c r="A1467" s="12" t="str">
        <x:v>4290</x:v>
      </x:c>
      <x:c r="B1467" s="12" t="str">
        <x:v>Construction of other civil engineering projects</x:v>
      </x:c>
      <x:c r="C1467" s="12" t="str">
        <x:v>البلقاء</x:v>
      </x:c>
      <x:c r="D1467" s="14" t="n">
        <x:v>0</x:v>
      </x:c>
      <x:c r="E1467" s="14" t="n">
        <x:f>VLOOKUP(C1467,'Governorate Master'!$A$2:$Q$13,3,FALSE)</x:f>
        <x:v>614000</x:v>
      </x:c>
      <x:c r="F1467" s="66" t="n">
        <x:f>IF(E1467=0,0,D1467/E1467*10000)</x:f>
        <x:v>0</x:v>
      </x:c>
      <x:c r="G1467" s="67" t="n">
        <x:f>VLOOKUP(C1467,'Governorate Master'!$A$2:$Q$13,7,FALSE)</x:f>
        <x:v>548</x:v>
      </x:c>
      <x:c r="H1467" s="20" t="n">
        <x:f>VLOOKUP(C1467,'Governorate Master'!$A$2:$Q$13,6,FALSE)</x:f>
        <x:v>0.8210097719869707</x:v>
      </x:c>
      <x:c r="I1467" s="20" t="n">
        <x:f>VLOOKUP(C1467,'Governorate Master'!$A$2:$Q$13,15,FALSE)</x:f>
        <x:v>0.10794044665012408</x:v>
      </x:c>
      <x:c r="J1467" s="12" t="str">
        <x:v>Location model input - competition/saturation context</x:v>
      </x:c>
      <x:c r="K1467" s="12" t="str">
        <x:v>Business count is from 2018 while population/context indicators are newer; use as a historical proxy, not a current market count.</x:v>
      </x:c>
    </x:row>
    <x:row r="1468">
      <x:c r="A1468" s="12" t="str">
        <x:v>4290</x:v>
      </x:c>
      <x:c r="B1468" s="12" t="str">
        <x:v>Construction of other civil engineering projects</x:v>
      </x:c>
      <x:c r="C1468" s="12" t="str">
        <x:v>الزرقاء</x:v>
      </x:c>
      <x:c r="D1468" s="14" t="n">
        <x:v>0</x:v>
      </x:c>
      <x:c r="E1468" s="14" t="n">
        <x:f>VLOOKUP(C1468,'Governorate Master'!$A$2:$Q$13,3,FALSE)</x:f>
        <x:v>1704500</x:v>
      </x:c>
      <x:c r="F1468" s="66" t="n">
        <x:f>IF(E1468=0,0,D1468/E1468*10000)</x:f>
        <x:v>0</x:v>
      </x:c>
      <x:c r="G1468" s="67" t="n">
        <x:f>VLOOKUP(C1468,'Governorate Master'!$A$2:$Q$13,7,FALSE)</x:f>
        <x:v>358</x:v>
      </x:c>
      <x:c r="H1468" s="20" t="n">
        <x:f>VLOOKUP(C1468,'Governorate Master'!$A$2:$Q$13,6,FALSE)</x:f>
        <x:v>0.9636256966852449</x:v>
      </x:c>
      <x:c r="I1468" s="20" t="n">
        <x:f>VLOOKUP(C1468,'Governorate Master'!$A$2:$Q$13,15,FALSE)</x:f>
        <x:v>-0.06808762581409118</x:v>
      </x:c>
      <x:c r="J1468" s="12" t="str">
        <x:v>Location model input - competition/saturation context</x:v>
      </x:c>
      <x:c r="K1468" s="12" t="str">
        <x:v>Business count is from 2018 while population/context indicators are newer; use as a historical proxy, not a current market count.</x:v>
      </x:c>
    </x:row>
    <x:row r="1469">
      <x:c r="A1469" s="12" t="str">
        <x:v>4290</x:v>
      </x:c>
      <x:c r="B1469" s="12" t="str">
        <x:v>Construction of other civil engineering projects</x:v>
      </x:c>
      <x:c r="C1469" s="12" t="str">
        <x:v>مادبا</x:v>
      </x:c>
      <x:c r="D1469" s="14" t="n">
        <x:v>0</x:v>
      </x:c>
      <x:c r="E1469" s="14" t="n">
        <x:f>VLOOKUP(C1469,'Governorate Master'!$A$2:$Q$13,3,FALSE)</x:f>
        <x:v>236200</x:v>
      </x:c>
      <x:c r="F1469" s="66" t="n">
        <x:f>IF(E1469=0,0,D1469/E1469*10000)</x:f>
        <x:v>0</x:v>
      </x:c>
      <x:c r="G1469" s="67" t="n">
        <x:f>VLOOKUP(C1469,'Governorate Master'!$A$2:$Q$13,7,FALSE)</x:f>
        <x:v>251.4</x:v>
      </x:c>
      <x:c r="H1469" s="20" t="n">
        <x:f>VLOOKUP(C1469,'Governorate Master'!$A$2:$Q$13,6,FALSE)</x:f>
        <x:v>0.7823878069432684</x:v>
      </x:c>
      <x:c r="I1469" s="20" t="n">
        <x:f>VLOOKUP(C1469,'Governorate Master'!$A$2:$Q$13,15,FALSE)</x:f>
        <x:v>-0.18823529411764706</x:v>
      </x:c>
      <x:c r="J1469" s="12" t="str">
        <x:v>Location model input - competition/saturation context</x:v>
      </x:c>
      <x:c r="K1469" s="12" t="str">
        <x:v>Business count is from 2018 while population/context indicators are newer; use as a historical proxy, not a current market count.</x:v>
      </x:c>
    </x:row>
    <x:row r="1470">
      <x:c r="A1470" s="12" t="str">
        <x:v>4290</x:v>
      </x:c>
      <x:c r="B1470" s="12" t="str">
        <x:v>Construction of other civil engineering projects</x:v>
      </x:c>
      <x:c r="C1470" s="12" t="str">
        <x:v>إربد</x:v>
      </x:c>
      <x:c r="D1470" s="14" t="n">
        <x:v>3</x:v>
      </x:c>
      <x:c r="E1470" s="14" t="n">
        <x:f>VLOOKUP(C1470,'Governorate Master'!$A$2:$Q$13,3,FALSE)</x:f>
        <x:v>2210500</x:v>
      </x:c>
      <x:c r="F1470" s="66" t="n">
        <x:f>IF(E1470=0,0,D1470/E1470*10000)</x:f>
        <x:v>0.013571590137977832</x:v>
      </x:c>
      <x:c r="G1470" s="67" t="n">
        <x:f>VLOOKUP(C1470,'Governorate Master'!$A$2:$Q$13,7,FALSE)</x:f>
        <x:v>1406.4</x:v>
      </x:c>
      <x:c r="H1470" s="20" t="n">
        <x:f>VLOOKUP(C1470,'Governorate Master'!$A$2:$Q$13,6,FALSE)</x:f>
        <x:v>0.9235014702555983</x:v>
      </x:c>
      <x:c r="I1470" s="20" t="n">
        <x:f>VLOOKUP(C1470,'Governorate Master'!$A$2:$Q$13,15,FALSE)</x:f>
        <x:v>0.07086922474549726</x:v>
      </x:c>
      <x:c r="J1470" s="12" t="str">
        <x:v>Location model input - competition/saturation context</x:v>
      </x:c>
      <x:c r="K1470" s="12" t="str">
        <x:v>Business count is from 2018 while population/context indicators are newer; use as a historical proxy, not a current market count.</x:v>
      </x:c>
    </x:row>
    <x:row r="1471">
      <x:c r="A1471" s="12" t="str">
        <x:v>4290</x:v>
      </x:c>
      <x:c r="B1471" s="12" t="str">
        <x:v>Construction of other civil engineering projects</x:v>
      </x:c>
      <x:c r="C1471" s="12" t="str">
        <x:v>المفرق</x:v>
      </x:c>
      <x:c r="D1471" s="14" t="n">
        <x:v>1</x:v>
      </x:c>
      <x:c r="E1471" s="14" t="n">
        <x:f>VLOOKUP(C1471,'Governorate Master'!$A$2:$Q$13,3,FALSE)</x:f>
        <x:v>686800</x:v>
      </x:c>
      <x:c r="F1471" s="66" t="n">
        <x:f>IF(E1471=0,0,D1471/E1471*10000)</x:f>
        <x:v>0.014560279557367502</x:v>
      </x:c>
      <x:c r="G1471" s="67" t="n">
        <x:f>VLOOKUP(C1471,'Governorate Master'!$A$2:$Q$13,7,FALSE)</x:f>
        <x:v>25.9</x:v>
      </x:c>
      <x:c r="H1471" s="20" t="n">
        <x:f>VLOOKUP(C1471,'Governorate Master'!$A$2:$Q$13,6,FALSE)</x:f>
        <x:v>0.6965637740244612</x:v>
      </x:c>
      <x:c r="I1471" s="20" t="n">
        <x:f>VLOOKUP(C1471,'Governorate Master'!$A$2:$Q$13,15,FALSE)</x:f>
        <x:v>-0.016638935108153077</x:v>
      </x:c>
      <x:c r="J1471" s="12" t="str">
        <x:v>Location model input - competition/saturation context</x:v>
      </x:c>
      <x:c r="K1471" s="12" t="str">
        <x:v>Business count is from 2018 while population/context indicators are newer; use as a historical proxy, not a current market count.</x:v>
      </x:c>
    </x:row>
    <x:row r="1472">
      <x:c r="A1472" s="12" t="str">
        <x:v>4290</x:v>
      </x:c>
      <x:c r="B1472" s="12" t="str">
        <x:v>Construction of other civil engineering projects</x:v>
      </x:c>
      <x:c r="C1472" s="12" t="str">
        <x:v>جرش</x:v>
      </x:c>
      <x:c r="D1472" s="14" t="n">
        <x:v>0</x:v>
      </x:c>
      <x:c r="E1472" s="14" t="n">
        <x:f>VLOOKUP(C1472,'Governorate Master'!$A$2:$Q$13,3,FALSE)</x:f>
        <x:v>296000</x:v>
      </x:c>
      <x:c r="F1472" s="66" t="n">
        <x:f>IF(E1472=0,0,D1472/E1472*10000)</x:f>
        <x:v>0</x:v>
      </x:c>
      <x:c r="G1472" s="67" t="n">
        <x:f>VLOOKUP(C1472,'Governorate Master'!$A$2:$Q$13,7,FALSE)</x:f>
        <x:v>722.3</x:v>
      </x:c>
      <x:c r="H1472" s="20" t="n">
        <x:f>VLOOKUP(C1472,'Governorate Master'!$A$2:$Q$13,6,FALSE)</x:f>
        <x:v>0.7695945945945946</x:v>
      </x:c>
      <x:c r="I1472" s="20" t="n">
        <x:f>VLOOKUP(C1472,'Governorate Master'!$A$2:$Q$13,15,FALSE)</x:f>
        <x:v>-0.06527415143603134</x:v>
      </x:c>
      <x:c r="J1472" s="12" t="str">
        <x:v>Location model input - competition/saturation context</x:v>
      </x:c>
      <x:c r="K1472" s="12" t="str">
        <x:v>Business count is from 2018 while population/context indicators are newer; use as a historical proxy, not a current market count.</x:v>
      </x:c>
    </x:row>
    <x:row r="1473">
      <x:c r="A1473" s="12" t="str">
        <x:v>4290</x:v>
      </x:c>
      <x:c r="B1473" s="12" t="str">
        <x:v>Construction of other civil engineering projects</x:v>
      </x:c>
      <x:c r="C1473" s="12" t="str">
        <x:v>عجلون</x:v>
      </x:c>
      <x:c r="D1473" s="14" t="n">
        <x:v>1</x:v>
      </x:c>
      <x:c r="E1473" s="14" t="n">
        <x:f>VLOOKUP(C1473,'Governorate Master'!$A$2:$Q$13,3,FALSE)</x:f>
        <x:v>219900</x:v>
      </x:c>
      <x:c r="F1473" s="66" t="n">
        <x:f>IF(E1473=0,0,D1473/E1473*10000)</x:f>
        <x:v>0.04547521600727603</x:v>
      </x:c>
      <x:c r="G1473" s="67" t="n">
        <x:f>VLOOKUP(C1473,'Governorate Master'!$A$2:$Q$13,7,FALSE)</x:f>
        <x:v>524</x:v>
      </x:c>
      <x:c r="H1473" s="20" t="n">
        <x:f>VLOOKUP(C1473,'Governorate Master'!$A$2:$Q$13,6,FALSE)</x:f>
        <x:v>0.8390177353342428</x:v>
      </x:c>
      <x:c r="I1473" s="20" t="n">
        <x:f>VLOOKUP(C1473,'Governorate Master'!$A$2:$Q$13,15,FALSE)</x:f>
        <x:v>0.03614457831325301</x:v>
      </x:c>
      <x:c r="J1473" s="12" t="str">
        <x:v>Location model input - competition/saturation context</x:v>
      </x:c>
      <x:c r="K1473" s="12" t="str">
        <x:v>Business count is from 2018 while population/context indicators are newer; use as a historical proxy, not a current market count.</x:v>
      </x:c>
    </x:row>
    <x:row r="1474">
      <x:c r="A1474" s="12" t="str">
        <x:v>4290</x:v>
      </x:c>
      <x:c r="B1474" s="12" t="str">
        <x:v>Construction of other civil engineering projects</x:v>
      </x:c>
      <x:c r="C1474" s="12" t="str">
        <x:v>الكرك</x:v>
      </x:c>
      <x:c r="D1474" s="14" t="n">
        <x:v>1</x:v>
      </x:c>
      <x:c r="E1474" s="14" t="n">
        <x:f>VLOOKUP(C1474,'Governorate Master'!$A$2:$Q$13,3,FALSE)</x:f>
        <x:v>395400</x:v>
      </x:c>
      <x:c r="F1474" s="66" t="n">
        <x:f>IF(E1474=0,0,D1474/E1474*10000)</x:f>
        <x:v>0.025290844714213452</x:v>
      </x:c>
      <x:c r="G1474" s="67" t="n">
        <x:f>VLOOKUP(C1474,'Governorate Master'!$A$2:$Q$13,7,FALSE)</x:f>
        <x:v>113.1</x:v>
      </x:c>
      <x:c r="H1474" s="20" t="n">
        <x:f>VLOOKUP(C1474,'Governorate Master'!$A$2:$Q$13,6,FALSE)</x:f>
        <x:v>0.5912999494183105</x:v>
      </x:c>
      <x:c r="I1474" s="20" t="n">
        <x:f>VLOOKUP(C1474,'Governorate Master'!$A$2:$Q$13,15,FALSE)</x:f>
        <x:v>0.08710801393728224</x:v>
      </x:c>
      <x:c r="J1474" s="12" t="str">
        <x:v>Location model input - competition/saturation context</x:v>
      </x:c>
      <x:c r="K1474" s="12" t="str">
        <x:v>Business count is from 2018 while population/context indicators are newer; use as a historical proxy, not a current market count.</x:v>
      </x:c>
    </x:row>
    <x:row r="1475">
      <x:c r="A1475" s="12" t="str">
        <x:v>4290</x:v>
      </x:c>
      <x:c r="B1475" s="12" t="str">
        <x:v>Construction of other civil engineering projects</x:v>
      </x:c>
      <x:c r="C1475" s="12" t="str">
        <x:v>الطفيلة</x:v>
      </x:c>
      <x:c r="D1475" s="14" t="n">
        <x:v>0</x:v>
      </x:c>
      <x:c r="E1475" s="14" t="n">
        <x:f>VLOOKUP(C1475,'Governorate Master'!$A$2:$Q$13,3,FALSE)</x:f>
        <x:v>120300</x:v>
      </x:c>
      <x:c r="F1475" s="66" t="n">
        <x:f>IF(E1475=0,0,D1475/E1475*10000)</x:f>
        <x:v>0</x:v>
      </x:c>
      <x:c r="G1475" s="67" t="n">
        <x:f>VLOOKUP(C1475,'Governorate Master'!$A$2:$Q$13,7,FALSE)</x:f>
        <x:v>54.4</x:v>
      </x:c>
      <x:c r="H1475" s="20" t="n">
        <x:f>VLOOKUP(C1475,'Governorate Master'!$A$2:$Q$13,6,FALSE)</x:f>
        <x:v>0.7797173732335827</x:v>
      </x:c>
      <x:c r="I1475" s="20" t="n">
        <x:f>VLOOKUP(C1475,'Governorate Master'!$A$2:$Q$13,15,FALSE)</x:f>
        <x:v>0.18452380952380953</x:v>
      </x:c>
      <x:c r="J1475" s="12" t="str">
        <x:v>Location model input - competition/saturation context</x:v>
      </x:c>
      <x:c r="K1475" s="12" t="str">
        <x:v>Business count is from 2018 while population/context indicators are newer; use as a historical proxy, not a current market count.</x:v>
      </x:c>
    </x:row>
    <x:row r="1476">
      <x:c r="A1476" s="12" t="str">
        <x:v>4290</x:v>
      </x:c>
      <x:c r="B1476" s="12" t="str">
        <x:v>Construction of other civil engineering projects</x:v>
      </x:c>
      <x:c r="C1476" s="12" t="str">
        <x:v>معان</x:v>
      </x:c>
      <x:c r="D1476" s="14" t="n">
        <x:v>0</x:v>
      </x:c>
      <x:c r="E1476" s="14" t="n">
        <x:f>VLOOKUP(C1476,'Governorate Master'!$A$2:$Q$13,3,FALSE)</x:f>
        <x:v>197900</x:v>
      </x:c>
      <x:c r="F1476" s="66" t="n">
        <x:f>IF(E1476=0,0,D1476/E1476*10000)</x:f>
        <x:v>0</x:v>
      </x:c>
      <x:c r="G1476" s="67" t="n">
        <x:f>VLOOKUP(C1476,'Governorate Master'!$A$2:$Q$13,7,FALSE)</x:f>
        <x:v>6</x:v>
      </x:c>
      <x:c r="H1476" s="20" t="n">
        <x:f>VLOOKUP(C1476,'Governorate Master'!$A$2:$Q$13,6,FALSE)</x:f>
        <x:v>0.5406771096513391</x:v>
      </x:c>
      <x:c r="I1476" s="20" t="n">
        <x:f>VLOOKUP(C1476,'Governorate Master'!$A$2:$Q$13,15,FALSE)</x:f>
        <x:v>0.026845637583892617</x:v>
      </x:c>
      <x:c r="J1476" s="12" t="str">
        <x:v>Location model input - competition/saturation context</x:v>
      </x:c>
      <x:c r="K1476" s="12" t="str">
        <x:v>Business count is from 2018 while population/context indicators are newer; use as a historical proxy, not a current market count.</x:v>
      </x:c>
    </x:row>
    <x:row r="1477">
      <x:c r="A1477" s="12" t="str">
        <x:v>4290</x:v>
      </x:c>
      <x:c r="B1477" s="12" t="str">
        <x:v>Construction of other civil engineering projects</x:v>
      </x:c>
      <x:c r="C1477" s="12" t="str">
        <x:v>العقبة</x:v>
      </x:c>
      <x:c r="D1477" s="14" t="n">
        <x:v>0</x:v>
      </x:c>
      <x:c r="E1477" s="14" t="n">
        <x:f>VLOOKUP(C1477,'Governorate Master'!$A$2:$Q$13,3,FALSE)</x:f>
        <x:v>250900</x:v>
      </x:c>
      <x:c r="F1477" s="66" t="n">
        <x:f>IF(E1477=0,0,D1477/E1477*10000)</x:f>
        <x:v>0</x:v>
      </x:c>
      <x:c r="G1477" s="67" t="n">
        <x:f>VLOOKUP(C1477,'Governorate Master'!$A$2:$Q$13,7,FALSE)</x:f>
        <x:v>36.3</x:v>
      </x:c>
      <x:c r="H1477" s="20" t="n">
        <x:f>VLOOKUP(C1477,'Governorate Master'!$A$2:$Q$13,6,FALSE)</x:f>
        <x:v>0.882024711040255</x:v>
      </x:c>
      <x:c r="I1477" s="20" t="n">
        <x:f>VLOOKUP(C1477,'Governorate Master'!$A$2:$Q$13,15,FALSE)</x:f>
        <x:v>-0.09</x:v>
      </x:c>
      <x:c r="J1477" s="12" t="str">
        <x:v>Location model input - competition/saturation context</x:v>
      </x:c>
      <x:c r="K1477" s="12" t="str">
        <x:v>Business count is from 2018 while population/context indicators are newer; use as a historical proxy, not a current market count.</x:v>
      </x:c>
    </x:row>
    <x:row r="1478">
      <x:c r="A1478" s="12" t="str">
        <x:v>4312</x:v>
      </x:c>
      <x:c r="B1478" s="12" t="str">
        <x:v>Site preparation</x:v>
      </x:c>
      <x:c r="C1478" s="12" t="str">
        <x:v>عمان</x:v>
      </x:c>
      <x:c r="D1478" s="14" t="n">
        <x:v>1</x:v>
      </x:c>
      <x:c r="E1478" s="14" t="n">
        <x:f>VLOOKUP(C1478,'Governorate Master'!$A$2:$Q$13,3,FALSE)</x:f>
        <x:v>5004600</x:v>
      </x:c>
      <x:c r="F1478" s="66" t="n">
        <x:f>IF(E1478=0,0,D1478/E1478*10000)</x:f>
        <x:v>0.0019981616912440555</x:v>
      </x:c>
      <x:c r="G1478" s="67" t="n">
        <x:f>VLOOKUP(C1478,'Governorate Master'!$A$2:$Q$13,7,FALSE)</x:f>
        <x:v>660.3</x:v>
      </x:c>
      <x:c r="H1478" s="20" t="n">
        <x:f>VLOOKUP(C1478,'Governorate Master'!$A$2:$Q$13,6,FALSE)</x:f>
        <x:v>0.9721656076409703</x:v>
      </x:c>
      <x:c r="I1478" s="20" t="n">
        <x:f>VLOOKUP(C1478,'Governorate Master'!$A$2:$Q$13,15,FALSE)</x:f>
        <x:v>0.06367041198501873</x:v>
      </x:c>
      <x:c r="J1478" s="12" t="str">
        <x:v>Location model input - competition/saturation context</x:v>
      </x:c>
      <x:c r="K1478" s="12" t="str">
        <x:v>Business count is from 2018 while population/context indicators are newer; use as a historical proxy, not a current market count.</x:v>
      </x:c>
    </x:row>
    <x:row r="1479">
      <x:c r="A1479" s="12" t="str">
        <x:v>4312</x:v>
      </x:c>
      <x:c r="B1479" s="12" t="str">
        <x:v>Site preparation</x:v>
      </x:c>
      <x:c r="C1479" s="12" t="str">
        <x:v>البلقاء</x:v>
      </x:c>
      <x:c r="D1479" s="14" t="n">
        <x:v>1</x:v>
      </x:c>
      <x:c r="E1479" s="14" t="n">
        <x:f>VLOOKUP(C1479,'Governorate Master'!$A$2:$Q$13,3,FALSE)</x:f>
        <x:v>614000</x:v>
      </x:c>
      <x:c r="F1479" s="66" t="n">
        <x:f>IF(E1479=0,0,D1479/E1479*10000)</x:f>
        <x:v>0.016286644951140065</x:v>
      </x:c>
      <x:c r="G1479" s="67" t="n">
        <x:f>VLOOKUP(C1479,'Governorate Master'!$A$2:$Q$13,7,FALSE)</x:f>
        <x:v>548</x:v>
      </x:c>
      <x:c r="H1479" s="20" t="n">
        <x:f>VLOOKUP(C1479,'Governorate Master'!$A$2:$Q$13,6,FALSE)</x:f>
        <x:v>0.8210097719869707</x:v>
      </x:c>
      <x:c r="I1479" s="20" t="n">
        <x:f>VLOOKUP(C1479,'Governorate Master'!$A$2:$Q$13,15,FALSE)</x:f>
        <x:v>0.10794044665012408</x:v>
      </x:c>
      <x:c r="J1479" s="12" t="str">
        <x:v>Location model input - competition/saturation context</x:v>
      </x:c>
      <x:c r="K1479" s="12" t="str">
        <x:v>Business count is from 2018 while population/context indicators are newer; use as a historical proxy, not a current market count.</x:v>
      </x:c>
    </x:row>
    <x:row r="1480">
      <x:c r="A1480" s="12" t="str">
        <x:v>4312</x:v>
      </x:c>
      <x:c r="B1480" s="12" t="str">
        <x:v>Site preparation</x:v>
      </x:c>
      <x:c r="C1480" s="12" t="str">
        <x:v>الزرقاء</x:v>
      </x:c>
      <x:c r="D1480" s="14" t="n">
        <x:v>0</x:v>
      </x:c>
      <x:c r="E1480" s="14" t="n">
        <x:f>VLOOKUP(C1480,'Governorate Master'!$A$2:$Q$13,3,FALSE)</x:f>
        <x:v>1704500</x:v>
      </x:c>
      <x:c r="F1480" s="66" t="n">
        <x:f>IF(E1480=0,0,D1480/E1480*10000)</x:f>
        <x:v>0</x:v>
      </x:c>
      <x:c r="G1480" s="67" t="n">
        <x:f>VLOOKUP(C1480,'Governorate Master'!$A$2:$Q$13,7,FALSE)</x:f>
        <x:v>358</x:v>
      </x:c>
      <x:c r="H1480" s="20" t="n">
        <x:f>VLOOKUP(C1480,'Governorate Master'!$A$2:$Q$13,6,FALSE)</x:f>
        <x:v>0.9636256966852449</x:v>
      </x:c>
      <x:c r="I1480" s="20" t="n">
        <x:f>VLOOKUP(C1480,'Governorate Master'!$A$2:$Q$13,15,FALSE)</x:f>
        <x:v>-0.06808762581409118</x:v>
      </x:c>
      <x:c r="J1480" s="12" t="str">
        <x:v>Location model input - competition/saturation context</x:v>
      </x:c>
      <x:c r="K1480" s="12" t="str">
        <x:v>Business count is from 2018 while population/context indicators are newer; use as a historical proxy, not a current market count.</x:v>
      </x:c>
    </x:row>
    <x:row r="1481">
      <x:c r="A1481" s="12" t="str">
        <x:v>4312</x:v>
      </x:c>
      <x:c r="B1481" s="12" t="str">
        <x:v>Site preparation</x:v>
      </x:c>
      <x:c r="C1481" s="12" t="str">
        <x:v>مادبا</x:v>
      </x:c>
      <x:c r="D1481" s="14" t="n">
        <x:v>0</x:v>
      </x:c>
      <x:c r="E1481" s="14" t="n">
        <x:f>VLOOKUP(C1481,'Governorate Master'!$A$2:$Q$13,3,FALSE)</x:f>
        <x:v>236200</x:v>
      </x:c>
      <x:c r="F1481" s="66" t="n">
        <x:f>IF(E1481=0,0,D1481/E1481*10000)</x:f>
        <x:v>0</x:v>
      </x:c>
      <x:c r="G1481" s="67" t="n">
        <x:f>VLOOKUP(C1481,'Governorate Master'!$A$2:$Q$13,7,FALSE)</x:f>
        <x:v>251.4</x:v>
      </x:c>
      <x:c r="H1481" s="20" t="n">
        <x:f>VLOOKUP(C1481,'Governorate Master'!$A$2:$Q$13,6,FALSE)</x:f>
        <x:v>0.7823878069432684</x:v>
      </x:c>
      <x:c r="I1481" s="20" t="n">
        <x:f>VLOOKUP(C1481,'Governorate Master'!$A$2:$Q$13,15,FALSE)</x:f>
        <x:v>-0.18823529411764706</x:v>
      </x:c>
      <x:c r="J1481" s="12" t="str">
        <x:v>Location model input - competition/saturation context</x:v>
      </x:c>
      <x:c r="K1481" s="12" t="str">
        <x:v>Business count is from 2018 while population/context indicators are newer; use as a historical proxy, not a current market count.</x:v>
      </x:c>
    </x:row>
    <x:row r="1482">
      <x:c r="A1482" s="12" t="str">
        <x:v>4312</x:v>
      </x:c>
      <x:c r="B1482" s="12" t="str">
        <x:v>Site preparation</x:v>
      </x:c>
      <x:c r="C1482" s="12" t="str">
        <x:v>إربد</x:v>
      </x:c>
      <x:c r="D1482" s="14" t="n">
        <x:v>1</x:v>
      </x:c>
      <x:c r="E1482" s="14" t="n">
        <x:f>VLOOKUP(C1482,'Governorate Master'!$A$2:$Q$13,3,FALSE)</x:f>
        <x:v>2210500</x:v>
      </x:c>
      <x:c r="F1482" s="66" t="n">
        <x:f>IF(E1482=0,0,D1482/E1482*10000)</x:f>
        <x:v>0.004523863379325944</x:v>
      </x:c>
      <x:c r="G1482" s="67" t="n">
        <x:f>VLOOKUP(C1482,'Governorate Master'!$A$2:$Q$13,7,FALSE)</x:f>
        <x:v>1406.4</x:v>
      </x:c>
      <x:c r="H1482" s="20" t="n">
        <x:f>VLOOKUP(C1482,'Governorate Master'!$A$2:$Q$13,6,FALSE)</x:f>
        <x:v>0.9235014702555983</x:v>
      </x:c>
      <x:c r="I1482" s="20" t="n">
        <x:f>VLOOKUP(C1482,'Governorate Master'!$A$2:$Q$13,15,FALSE)</x:f>
        <x:v>0.07086922474549726</x:v>
      </x:c>
      <x:c r="J1482" s="12" t="str">
        <x:v>Location model input - competition/saturation context</x:v>
      </x:c>
      <x:c r="K1482" s="12" t="str">
        <x:v>Business count is from 2018 while population/context indicators are newer; use as a historical proxy, not a current market count.</x:v>
      </x:c>
    </x:row>
    <x:row r="1483">
      <x:c r="A1483" s="12" t="str">
        <x:v>4312</x:v>
      </x:c>
      <x:c r="B1483" s="12" t="str">
        <x:v>Site preparation</x:v>
      </x:c>
      <x:c r="C1483" s="12" t="str">
        <x:v>المفرق</x:v>
      </x:c>
      <x:c r="D1483" s="14" t="n">
        <x:v>0</x:v>
      </x:c>
      <x:c r="E1483" s="14" t="n">
        <x:f>VLOOKUP(C1483,'Governorate Master'!$A$2:$Q$13,3,FALSE)</x:f>
        <x:v>686800</x:v>
      </x:c>
      <x:c r="F1483" s="66" t="n">
        <x:f>IF(E1483=0,0,D1483/E1483*10000)</x:f>
        <x:v>0</x:v>
      </x:c>
      <x:c r="G1483" s="67" t="n">
        <x:f>VLOOKUP(C1483,'Governorate Master'!$A$2:$Q$13,7,FALSE)</x:f>
        <x:v>25.9</x:v>
      </x:c>
      <x:c r="H1483" s="20" t="n">
        <x:f>VLOOKUP(C1483,'Governorate Master'!$A$2:$Q$13,6,FALSE)</x:f>
        <x:v>0.6965637740244612</x:v>
      </x:c>
      <x:c r="I1483" s="20" t="n">
        <x:f>VLOOKUP(C1483,'Governorate Master'!$A$2:$Q$13,15,FALSE)</x:f>
        <x:v>-0.016638935108153077</x:v>
      </x:c>
      <x:c r="J1483" s="12" t="str">
        <x:v>Location model input - competition/saturation context</x:v>
      </x:c>
      <x:c r="K1483" s="12" t="str">
        <x:v>Business count is from 2018 while population/context indicators are newer; use as a historical proxy, not a current market count.</x:v>
      </x:c>
    </x:row>
    <x:row r="1484">
      <x:c r="A1484" s="12" t="str">
        <x:v>4312</x:v>
      </x:c>
      <x:c r="B1484" s="12" t="str">
        <x:v>Site preparation</x:v>
      </x:c>
      <x:c r="C1484" s="12" t="str">
        <x:v>جرش</x:v>
      </x:c>
      <x:c r="D1484" s="14" t="n">
        <x:v>0</x:v>
      </x:c>
      <x:c r="E1484" s="14" t="n">
        <x:f>VLOOKUP(C1484,'Governorate Master'!$A$2:$Q$13,3,FALSE)</x:f>
        <x:v>296000</x:v>
      </x:c>
      <x:c r="F1484" s="66" t="n">
        <x:f>IF(E1484=0,0,D1484/E1484*10000)</x:f>
        <x:v>0</x:v>
      </x:c>
      <x:c r="G1484" s="67" t="n">
        <x:f>VLOOKUP(C1484,'Governorate Master'!$A$2:$Q$13,7,FALSE)</x:f>
        <x:v>722.3</x:v>
      </x:c>
      <x:c r="H1484" s="20" t="n">
        <x:f>VLOOKUP(C1484,'Governorate Master'!$A$2:$Q$13,6,FALSE)</x:f>
        <x:v>0.7695945945945946</x:v>
      </x:c>
      <x:c r="I1484" s="20" t="n">
        <x:f>VLOOKUP(C1484,'Governorate Master'!$A$2:$Q$13,15,FALSE)</x:f>
        <x:v>-0.06527415143603134</x:v>
      </x:c>
      <x:c r="J1484" s="12" t="str">
        <x:v>Location model input - competition/saturation context</x:v>
      </x:c>
      <x:c r="K1484" s="12" t="str">
        <x:v>Business count is from 2018 while population/context indicators are newer; use as a historical proxy, not a current market count.</x:v>
      </x:c>
    </x:row>
    <x:row r="1485">
      <x:c r="A1485" s="12" t="str">
        <x:v>4312</x:v>
      </x:c>
      <x:c r="B1485" s="12" t="str">
        <x:v>Site preparation</x:v>
      </x:c>
      <x:c r="C1485" s="12" t="str">
        <x:v>عجلون</x:v>
      </x:c>
      <x:c r="D1485" s="14" t="n">
        <x:v>0</x:v>
      </x:c>
      <x:c r="E1485" s="14" t="n">
        <x:f>VLOOKUP(C1485,'Governorate Master'!$A$2:$Q$13,3,FALSE)</x:f>
        <x:v>219900</x:v>
      </x:c>
      <x:c r="F1485" s="66" t="n">
        <x:f>IF(E1485=0,0,D1485/E1485*10000)</x:f>
        <x:v>0</x:v>
      </x:c>
      <x:c r="G1485" s="67" t="n">
        <x:f>VLOOKUP(C1485,'Governorate Master'!$A$2:$Q$13,7,FALSE)</x:f>
        <x:v>524</x:v>
      </x:c>
      <x:c r="H1485" s="20" t="n">
        <x:f>VLOOKUP(C1485,'Governorate Master'!$A$2:$Q$13,6,FALSE)</x:f>
        <x:v>0.8390177353342428</x:v>
      </x:c>
      <x:c r="I1485" s="20" t="n">
        <x:f>VLOOKUP(C1485,'Governorate Master'!$A$2:$Q$13,15,FALSE)</x:f>
        <x:v>0.03614457831325301</x:v>
      </x:c>
      <x:c r="J1485" s="12" t="str">
        <x:v>Location model input - competition/saturation context</x:v>
      </x:c>
      <x:c r="K1485" s="12" t="str">
        <x:v>Business count is from 2018 while population/context indicators are newer; use as a historical proxy, not a current market count.</x:v>
      </x:c>
    </x:row>
    <x:row r="1486">
      <x:c r="A1486" s="12" t="str">
        <x:v>4312</x:v>
      </x:c>
      <x:c r="B1486" s="12" t="str">
        <x:v>Site preparation</x:v>
      </x:c>
      <x:c r="C1486" s="12" t="str">
        <x:v>الكرك</x:v>
      </x:c>
      <x:c r="D1486" s="14" t="n">
        <x:v>0</x:v>
      </x:c>
      <x:c r="E1486" s="14" t="n">
        <x:f>VLOOKUP(C1486,'Governorate Master'!$A$2:$Q$13,3,FALSE)</x:f>
        <x:v>395400</x:v>
      </x:c>
      <x:c r="F1486" s="66" t="n">
        <x:f>IF(E1486=0,0,D1486/E1486*10000)</x:f>
        <x:v>0</x:v>
      </x:c>
      <x:c r="G1486" s="67" t="n">
        <x:f>VLOOKUP(C1486,'Governorate Master'!$A$2:$Q$13,7,FALSE)</x:f>
        <x:v>113.1</x:v>
      </x:c>
      <x:c r="H1486" s="20" t="n">
        <x:f>VLOOKUP(C1486,'Governorate Master'!$A$2:$Q$13,6,FALSE)</x:f>
        <x:v>0.5912999494183105</x:v>
      </x:c>
      <x:c r="I1486" s="20" t="n">
        <x:f>VLOOKUP(C1486,'Governorate Master'!$A$2:$Q$13,15,FALSE)</x:f>
        <x:v>0.08710801393728224</x:v>
      </x:c>
      <x:c r="J1486" s="12" t="str">
        <x:v>Location model input - competition/saturation context</x:v>
      </x:c>
      <x:c r="K1486" s="12" t="str">
        <x:v>Business count is from 2018 while population/context indicators are newer; use as a historical proxy, not a current market count.</x:v>
      </x:c>
    </x:row>
    <x:row r="1487">
      <x:c r="A1487" s="12" t="str">
        <x:v>4312</x:v>
      </x:c>
      <x:c r="B1487" s="12" t="str">
        <x:v>Site preparation</x:v>
      </x:c>
      <x:c r="C1487" s="12" t="str">
        <x:v>الطفيلة</x:v>
      </x:c>
      <x:c r="D1487" s="14" t="n">
        <x:v>0</x:v>
      </x:c>
      <x:c r="E1487" s="14" t="n">
        <x:f>VLOOKUP(C1487,'Governorate Master'!$A$2:$Q$13,3,FALSE)</x:f>
        <x:v>120300</x:v>
      </x:c>
      <x:c r="F1487" s="66" t="n">
        <x:f>IF(E1487=0,0,D1487/E1487*10000)</x:f>
        <x:v>0</x:v>
      </x:c>
      <x:c r="G1487" s="67" t="n">
        <x:f>VLOOKUP(C1487,'Governorate Master'!$A$2:$Q$13,7,FALSE)</x:f>
        <x:v>54.4</x:v>
      </x:c>
      <x:c r="H1487" s="20" t="n">
        <x:f>VLOOKUP(C1487,'Governorate Master'!$A$2:$Q$13,6,FALSE)</x:f>
        <x:v>0.7797173732335827</x:v>
      </x:c>
      <x:c r="I1487" s="20" t="n">
        <x:f>VLOOKUP(C1487,'Governorate Master'!$A$2:$Q$13,15,FALSE)</x:f>
        <x:v>0.18452380952380953</x:v>
      </x:c>
      <x:c r="J1487" s="12" t="str">
        <x:v>Location model input - competition/saturation context</x:v>
      </x:c>
      <x:c r="K1487" s="12" t="str">
        <x:v>Business count is from 2018 while population/context indicators are newer; use as a historical proxy, not a current market count.</x:v>
      </x:c>
    </x:row>
    <x:row r="1488">
      <x:c r="A1488" s="12" t="str">
        <x:v>4312</x:v>
      </x:c>
      <x:c r="B1488" s="12" t="str">
        <x:v>Site preparation</x:v>
      </x:c>
      <x:c r="C1488" s="12" t="str">
        <x:v>معان</x:v>
      </x:c>
      <x:c r="D1488" s="14" t="n">
        <x:v>0</x:v>
      </x:c>
      <x:c r="E1488" s="14" t="n">
        <x:f>VLOOKUP(C1488,'Governorate Master'!$A$2:$Q$13,3,FALSE)</x:f>
        <x:v>197900</x:v>
      </x:c>
      <x:c r="F1488" s="66" t="n">
        <x:f>IF(E1488=0,0,D1488/E1488*10000)</x:f>
        <x:v>0</x:v>
      </x:c>
      <x:c r="G1488" s="67" t="n">
        <x:f>VLOOKUP(C1488,'Governorate Master'!$A$2:$Q$13,7,FALSE)</x:f>
        <x:v>6</x:v>
      </x:c>
      <x:c r="H1488" s="20" t="n">
        <x:f>VLOOKUP(C1488,'Governorate Master'!$A$2:$Q$13,6,FALSE)</x:f>
        <x:v>0.5406771096513391</x:v>
      </x:c>
      <x:c r="I1488" s="20" t="n">
        <x:f>VLOOKUP(C1488,'Governorate Master'!$A$2:$Q$13,15,FALSE)</x:f>
        <x:v>0.026845637583892617</x:v>
      </x:c>
      <x:c r="J1488" s="12" t="str">
        <x:v>Location model input - competition/saturation context</x:v>
      </x:c>
      <x:c r="K1488" s="12" t="str">
        <x:v>Business count is from 2018 while population/context indicators are newer; use as a historical proxy, not a current market count.</x:v>
      </x:c>
    </x:row>
    <x:row r="1489">
      <x:c r="A1489" s="12" t="str">
        <x:v>4312</x:v>
      </x:c>
      <x:c r="B1489" s="12" t="str">
        <x:v>Site preparation</x:v>
      </x:c>
      <x:c r="C1489" s="12" t="str">
        <x:v>العقبة</x:v>
      </x:c>
      <x:c r="D1489" s="14" t="n">
        <x:v>0</x:v>
      </x:c>
      <x:c r="E1489" s="14" t="n">
        <x:f>VLOOKUP(C1489,'Governorate Master'!$A$2:$Q$13,3,FALSE)</x:f>
        <x:v>250900</x:v>
      </x:c>
      <x:c r="F1489" s="66" t="n">
        <x:f>IF(E1489=0,0,D1489/E1489*10000)</x:f>
        <x:v>0</x:v>
      </x:c>
      <x:c r="G1489" s="67" t="n">
        <x:f>VLOOKUP(C1489,'Governorate Master'!$A$2:$Q$13,7,FALSE)</x:f>
        <x:v>36.3</x:v>
      </x:c>
      <x:c r="H1489" s="20" t="n">
        <x:f>VLOOKUP(C1489,'Governorate Master'!$A$2:$Q$13,6,FALSE)</x:f>
        <x:v>0.882024711040255</x:v>
      </x:c>
      <x:c r="I1489" s="20" t="n">
        <x:f>VLOOKUP(C1489,'Governorate Master'!$A$2:$Q$13,15,FALSE)</x:f>
        <x:v>-0.09</x:v>
      </x:c>
      <x:c r="J1489" s="12" t="str">
        <x:v>Location model input - competition/saturation context</x:v>
      </x:c>
      <x:c r="K1489" s="12" t="str">
        <x:v>Business count is from 2018 while population/context indicators are newer; use as a historical proxy, not a current market count.</x:v>
      </x:c>
    </x:row>
    <x:row r="1490">
      <x:c r="A1490" s="12" t="str">
        <x:v>4321</x:v>
      </x:c>
      <x:c r="B1490" s="12" t="str">
        <x:v>Electrical installation</x:v>
      </x:c>
      <x:c r="C1490" s="12" t="str">
        <x:v>عمان</x:v>
      </x:c>
      <x:c r="D1490" s="14" t="n">
        <x:v>61</x:v>
      </x:c>
      <x:c r="E1490" s="14" t="n">
        <x:f>VLOOKUP(C1490,'Governorate Master'!$A$2:$Q$13,3,FALSE)</x:f>
        <x:v>5004600</x:v>
      </x:c>
      <x:c r="F1490" s="66" t="n">
        <x:f>IF(E1490=0,0,D1490/E1490*10000)</x:f>
        <x:v>0.12188786316588737</x:v>
      </x:c>
      <x:c r="G1490" s="67" t="n">
        <x:f>VLOOKUP(C1490,'Governorate Master'!$A$2:$Q$13,7,FALSE)</x:f>
        <x:v>660.3</x:v>
      </x:c>
      <x:c r="H1490" s="20" t="n">
        <x:f>VLOOKUP(C1490,'Governorate Master'!$A$2:$Q$13,6,FALSE)</x:f>
        <x:v>0.9721656076409703</x:v>
      </x:c>
      <x:c r="I1490" s="20" t="n">
        <x:f>VLOOKUP(C1490,'Governorate Master'!$A$2:$Q$13,15,FALSE)</x:f>
        <x:v>0.06367041198501873</x:v>
      </x:c>
      <x:c r="J1490" s="12" t="str">
        <x:v>Location model input - competition/saturation context</x:v>
      </x:c>
      <x:c r="K1490" s="12" t="str">
        <x:v>Business count is from 2018 while population/context indicators are newer; use as a historical proxy, not a current market count.</x:v>
      </x:c>
    </x:row>
    <x:row r="1491">
      <x:c r="A1491" s="12" t="str">
        <x:v>4321</x:v>
      </x:c>
      <x:c r="B1491" s="12" t="str">
        <x:v>Electrical installation</x:v>
      </x:c>
      <x:c r="C1491" s="12" t="str">
        <x:v>البلقاء</x:v>
      </x:c>
      <x:c r="D1491" s="14" t="n">
        <x:v>2</x:v>
      </x:c>
      <x:c r="E1491" s="14" t="n">
        <x:f>VLOOKUP(C1491,'Governorate Master'!$A$2:$Q$13,3,FALSE)</x:f>
        <x:v>614000</x:v>
      </x:c>
      <x:c r="F1491" s="66" t="n">
        <x:f>IF(E1491=0,0,D1491/E1491*10000)</x:f>
        <x:v>0.03257328990228013</x:v>
      </x:c>
      <x:c r="G1491" s="67" t="n">
        <x:f>VLOOKUP(C1491,'Governorate Master'!$A$2:$Q$13,7,FALSE)</x:f>
        <x:v>548</x:v>
      </x:c>
      <x:c r="H1491" s="20" t="n">
        <x:f>VLOOKUP(C1491,'Governorate Master'!$A$2:$Q$13,6,FALSE)</x:f>
        <x:v>0.8210097719869707</x:v>
      </x:c>
      <x:c r="I1491" s="20" t="n">
        <x:f>VLOOKUP(C1491,'Governorate Master'!$A$2:$Q$13,15,FALSE)</x:f>
        <x:v>0.10794044665012408</x:v>
      </x:c>
      <x:c r="J1491" s="12" t="str">
        <x:v>Location model input - competition/saturation context</x:v>
      </x:c>
      <x:c r="K1491" s="12" t="str">
        <x:v>Business count is from 2018 while population/context indicators are newer; use as a historical proxy, not a current market count.</x:v>
      </x:c>
    </x:row>
    <x:row r="1492">
      <x:c r="A1492" s="12" t="str">
        <x:v>4321</x:v>
      </x:c>
      <x:c r="B1492" s="12" t="str">
        <x:v>Electrical installation</x:v>
      </x:c>
      <x:c r="C1492" s="12" t="str">
        <x:v>الزرقاء</x:v>
      </x:c>
      <x:c r="D1492" s="14" t="n">
        <x:v>10</x:v>
      </x:c>
      <x:c r="E1492" s="14" t="n">
        <x:f>VLOOKUP(C1492,'Governorate Master'!$A$2:$Q$13,3,FALSE)</x:f>
        <x:v>1704500</x:v>
      </x:c>
      <x:c r="F1492" s="66" t="n">
        <x:f>IF(E1492=0,0,D1492/E1492*10000)</x:f>
        <x:v>0.05866823115283075</x:v>
      </x:c>
      <x:c r="G1492" s="67" t="n">
        <x:f>VLOOKUP(C1492,'Governorate Master'!$A$2:$Q$13,7,FALSE)</x:f>
        <x:v>358</x:v>
      </x:c>
      <x:c r="H1492" s="20" t="n">
        <x:f>VLOOKUP(C1492,'Governorate Master'!$A$2:$Q$13,6,FALSE)</x:f>
        <x:v>0.9636256966852449</x:v>
      </x:c>
      <x:c r="I1492" s="20" t="n">
        <x:f>VLOOKUP(C1492,'Governorate Master'!$A$2:$Q$13,15,FALSE)</x:f>
        <x:v>-0.06808762581409118</x:v>
      </x:c>
      <x:c r="J1492" s="12" t="str">
        <x:v>Location model input - competition/saturation context</x:v>
      </x:c>
      <x:c r="K1492" s="12" t="str">
        <x:v>Business count is from 2018 while population/context indicators are newer; use as a historical proxy, not a current market count.</x:v>
      </x:c>
    </x:row>
    <x:row r="1493">
      <x:c r="A1493" s="12" t="str">
        <x:v>4321</x:v>
      </x:c>
      <x:c r="B1493" s="12" t="str">
        <x:v>Electrical installation</x:v>
      </x:c>
      <x:c r="C1493" s="12" t="str">
        <x:v>مادبا</x:v>
      </x:c>
      <x:c r="D1493" s="14" t="n">
        <x:v>0</x:v>
      </x:c>
      <x:c r="E1493" s="14" t="n">
        <x:f>VLOOKUP(C1493,'Governorate Master'!$A$2:$Q$13,3,FALSE)</x:f>
        <x:v>236200</x:v>
      </x:c>
      <x:c r="F1493" s="66" t="n">
        <x:f>IF(E1493=0,0,D1493/E1493*10000)</x:f>
        <x:v>0</x:v>
      </x:c>
      <x:c r="G1493" s="67" t="n">
        <x:f>VLOOKUP(C1493,'Governorate Master'!$A$2:$Q$13,7,FALSE)</x:f>
        <x:v>251.4</x:v>
      </x:c>
      <x:c r="H1493" s="20" t="n">
        <x:f>VLOOKUP(C1493,'Governorate Master'!$A$2:$Q$13,6,FALSE)</x:f>
        <x:v>0.7823878069432684</x:v>
      </x:c>
      <x:c r="I1493" s="20" t="n">
        <x:f>VLOOKUP(C1493,'Governorate Master'!$A$2:$Q$13,15,FALSE)</x:f>
        <x:v>-0.18823529411764706</x:v>
      </x:c>
      <x:c r="J1493" s="12" t="str">
        <x:v>Location model input - competition/saturation context</x:v>
      </x:c>
      <x:c r="K1493" s="12" t="str">
        <x:v>Business count is from 2018 while population/context indicators are newer; use as a historical proxy, not a current market count.</x:v>
      </x:c>
    </x:row>
    <x:row r="1494">
      <x:c r="A1494" s="12" t="str">
        <x:v>4321</x:v>
      </x:c>
      <x:c r="B1494" s="12" t="str">
        <x:v>Electrical installation</x:v>
      </x:c>
      <x:c r="C1494" s="12" t="str">
        <x:v>إربد</x:v>
      </x:c>
      <x:c r="D1494" s="14" t="n">
        <x:v>7</x:v>
      </x:c>
      <x:c r="E1494" s="14" t="n">
        <x:f>VLOOKUP(C1494,'Governorate Master'!$A$2:$Q$13,3,FALSE)</x:f>
        <x:v>2210500</x:v>
      </x:c>
      <x:c r="F1494" s="66" t="n">
        <x:f>IF(E1494=0,0,D1494/E1494*10000)</x:f>
        <x:v>0.03166704365528161</x:v>
      </x:c>
      <x:c r="G1494" s="67" t="n">
        <x:f>VLOOKUP(C1494,'Governorate Master'!$A$2:$Q$13,7,FALSE)</x:f>
        <x:v>1406.4</x:v>
      </x:c>
      <x:c r="H1494" s="20" t="n">
        <x:f>VLOOKUP(C1494,'Governorate Master'!$A$2:$Q$13,6,FALSE)</x:f>
        <x:v>0.9235014702555983</x:v>
      </x:c>
      <x:c r="I1494" s="20" t="n">
        <x:f>VLOOKUP(C1494,'Governorate Master'!$A$2:$Q$13,15,FALSE)</x:f>
        <x:v>0.07086922474549726</x:v>
      </x:c>
      <x:c r="J1494" s="12" t="str">
        <x:v>Location model input - competition/saturation context</x:v>
      </x:c>
      <x:c r="K1494" s="12" t="str">
        <x:v>Business count is from 2018 while population/context indicators are newer; use as a historical proxy, not a current market count.</x:v>
      </x:c>
    </x:row>
    <x:row r="1495">
      <x:c r="A1495" s="12" t="str">
        <x:v>4321</x:v>
      </x:c>
      <x:c r="B1495" s="12" t="str">
        <x:v>Electrical installation</x:v>
      </x:c>
      <x:c r="C1495" s="12" t="str">
        <x:v>المفرق</x:v>
      </x:c>
      <x:c r="D1495" s="14" t="n">
        <x:v>2</x:v>
      </x:c>
      <x:c r="E1495" s="14" t="n">
        <x:f>VLOOKUP(C1495,'Governorate Master'!$A$2:$Q$13,3,FALSE)</x:f>
        <x:v>686800</x:v>
      </x:c>
      <x:c r="F1495" s="66" t="n">
        <x:f>IF(E1495=0,0,D1495/E1495*10000)</x:f>
        <x:v>0.029120559114735003</x:v>
      </x:c>
      <x:c r="G1495" s="67" t="n">
        <x:f>VLOOKUP(C1495,'Governorate Master'!$A$2:$Q$13,7,FALSE)</x:f>
        <x:v>25.9</x:v>
      </x:c>
      <x:c r="H1495" s="20" t="n">
        <x:f>VLOOKUP(C1495,'Governorate Master'!$A$2:$Q$13,6,FALSE)</x:f>
        <x:v>0.6965637740244612</x:v>
      </x:c>
      <x:c r="I1495" s="20" t="n">
        <x:f>VLOOKUP(C1495,'Governorate Master'!$A$2:$Q$13,15,FALSE)</x:f>
        <x:v>-0.016638935108153077</x:v>
      </x:c>
      <x:c r="J1495" s="12" t="str">
        <x:v>Location model input - competition/saturation context</x:v>
      </x:c>
      <x:c r="K1495" s="12" t="str">
        <x:v>Business count is from 2018 while population/context indicators are newer; use as a historical proxy, not a current market count.</x:v>
      </x:c>
    </x:row>
    <x:row r="1496">
      <x:c r="A1496" s="12" t="str">
        <x:v>4321</x:v>
      </x:c>
      <x:c r="B1496" s="12" t="str">
        <x:v>Electrical installation</x:v>
      </x:c>
      <x:c r="C1496" s="12" t="str">
        <x:v>جرش</x:v>
      </x:c>
      <x:c r="D1496" s="14" t="n">
        <x:v>0</x:v>
      </x:c>
      <x:c r="E1496" s="14" t="n">
        <x:f>VLOOKUP(C1496,'Governorate Master'!$A$2:$Q$13,3,FALSE)</x:f>
        <x:v>296000</x:v>
      </x:c>
      <x:c r="F1496" s="66" t="n">
        <x:f>IF(E1496=0,0,D1496/E1496*10000)</x:f>
        <x:v>0</x:v>
      </x:c>
      <x:c r="G1496" s="67" t="n">
        <x:f>VLOOKUP(C1496,'Governorate Master'!$A$2:$Q$13,7,FALSE)</x:f>
        <x:v>722.3</x:v>
      </x:c>
      <x:c r="H1496" s="20" t="n">
        <x:f>VLOOKUP(C1496,'Governorate Master'!$A$2:$Q$13,6,FALSE)</x:f>
        <x:v>0.7695945945945946</x:v>
      </x:c>
      <x:c r="I1496" s="20" t="n">
        <x:f>VLOOKUP(C1496,'Governorate Master'!$A$2:$Q$13,15,FALSE)</x:f>
        <x:v>-0.06527415143603134</x:v>
      </x:c>
      <x:c r="J1496" s="12" t="str">
        <x:v>Location model input - competition/saturation context</x:v>
      </x:c>
      <x:c r="K1496" s="12" t="str">
        <x:v>Business count is from 2018 while population/context indicators are newer; use as a historical proxy, not a current market count.</x:v>
      </x:c>
    </x:row>
    <x:row r="1497">
      <x:c r="A1497" s="12" t="str">
        <x:v>4321</x:v>
      </x:c>
      <x:c r="B1497" s="12" t="str">
        <x:v>Electrical installation</x:v>
      </x:c>
      <x:c r="C1497" s="12" t="str">
        <x:v>عجلون</x:v>
      </x:c>
      <x:c r="D1497" s="14" t="n">
        <x:v>1</x:v>
      </x:c>
      <x:c r="E1497" s="14" t="n">
        <x:f>VLOOKUP(C1497,'Governorate Master'!$A$2:$Q$13,3,FALSE)</x:f>
        <x:v>219900</x:v>
      </x:c>
      <x:c r="F1497" s="66" t="n">
        <x:f>IF(E1497=0,0,D1497/E1497*10000)</x:f>
        <x:v>0.04547521600727603</x:v>
      </x:c>
      <x:c r="G1497" s="67" t="n">
        <x:f>VLOOKUP(C1497,'Governorate Master'!$A$2:$Q$13,7,FALSE)</x:f>
        <x:v>524</x:v>
      </x:c>
      <x:c r="H1497" s="20" t="n">
        <x:f>VLOOKUP(C1497,'Governorate Master'!$A$2:$Q$13,6,FALSE)</x:f>
        <x:v>0.8390177353342428</x:v>
      </x:c>
      <x:c r="I1497" s="20" t="n">
        <x:f>VLOOKUP(C1497,'Governorate Master'!$A$2:$Q$13,15,FALSE)</x:f>
        <x:v>0.03614457831325301</x:v>
      </x:c>
      <x:c r="J1497" s="12" t="str">
        <x:v>Location model input - competition/saturation context</x:v>
      </x:c>
      <x:c r="K1497" s="12" t="str">
        <x:v>Business count is from 2018 while population/context indicators are newer; use as a historical proxy, not a current market count.</x:v>
      </x:c>
    </x:row>
    <x:row r="1498">
      <x:c r="A1498" s="12" t="str">
        <x:v>4321</x:v>
      </x:c>
      <x:c r="B1498" s="12" t="str">
        <x:v>Electrical installation</x:v>
      </x:c>
      <x:c r="C1498" s="12" t="str">
        <x:v>الكرك</x:v>
      </x:c>
      <x:c r="D1498" s="14" t="n">
        <x:v>2</x:v>
      </x:c>
      <x:c r="E1498" s="14" t="n">
        <x:f>VLOOKUP(C1498,'Governorate Master'!$A$2:$Q$13,3,FALSE)</x:f>
        <x:v>395400</x:v>
      </x:c>
      <x:c r="F1498" s="66" t="n">
        <x:f>IF(E1498=0,0,D1498/E1498*10000)</x:f>
        <x:v>0.050581689428426904</x:v>
      </x:c>
      <x:c r="G1498" s="67" t="n">
        <x:f>VLOOKUP(C1498,'Governorate Master'!$A$2:$Q$13,7,FALSE)</x:f>
        <x:v>113.1</x:v>
      </x:c>
      <x:c r="H1498" s="20" t="n">
        <x:f>VLOOKUP(C1498,'Governorate Master'!$A$2:$Q$13,6,FALSE)</x:f>
        <x:v>0.5912999494183105</x:v>
      </x:c>
      <x:c r="I1498" s="20" t="n">
        <x:f>VLOOKUP(C1498,'Governorate Master'!$A$2:$Q$13,15,FALSE)</x:f>
        <x:v>0.08710801393728224</x:v>
      </x:c>
      <x:c r="J1498" s="12" t="str">
        <x:v>Location model input - competition/saturation context</x:v>
      </x:c>
      <x:c r="K1498" s="12" t="str">
        <x:v>Business count is from 2018 while population/context indicators are newer; use as a historical proxy, not a current market count.</x:v>
      </x:c>
    </x:row>
    <x:row r="1499">
      <x:c r="A1499" s="12" t="str">
        <x:v>4321</x:v>
      </x:c>
      <x:c r="B1499" s="12" t="str">
        <x:v>Electrical installation</x:v>
      </x:c>
      <x:c r="C1499" s="12" t="str">
        <x:v>الطفيلة</x:v>
      </x:c>
      <x:c r="D1499" s="14" t="n">
        <x:v>1</x:v>
      </x:c>
      <x:c r="E1499" s="14" t="n">
        <x:f>VLOOKUP(C1499,'Governorate Master'!$A$2:$Q$13,3,FALSE)</x:f>
        <x:v>120300</x:v>
      </x:c>
      <x:c r="F1499" s="66" t="n">
        <x:f>IF(E1499=0,0,D1499/E1499*10000)</x:f>
        <x:v>0.0831255195344971</x:v>
      </x:c>
      <x:c r="G1499" s="67" t="n">
        <x:f>VLOOKUP(C1499,'Governorate Master'!$A$2:$Q$13,7,FALSE)</x:f>
        <x:v>54.4</x:v>
      </x:c>
      <x:c r="H1499" s="20" t="n">
        <x:f>VLOOKUP(C1499,'Governorate Master'!$A$2:$Q$13,6,FALSE)</x:f>
        <x:v>0.7797173732335827</x:v>
      </x:c>
      <x:c r="I1499" s="20" t="n">
        <x:f>VLOOKUP(C1499,'Governorate Master'!$A$2:$Q$13,15,FALSE)</x:f>
        <x:v>0.18452380952380953</x:v>
      </x:c>
      <x:c r="J1499" s="12" t="str">
        <x:v>Location model input - competition/saturation context</x:v>
      </x:c>
      <x:c r="K1499" s="12" t="str">
        <x:v>Business count is from 2018 while population/context indicators are newer; use as a historical proxy, not a current market count.</x:v>
      </x:c>
    </x:row>
    <x:row r="1500">
      <x:c r="A1500" s="12" t="str">
        <x:v>4321</x:v>
      </x:c>
      <x:c r="B1500" s="12" t="str">
        <x:v>Electrical installation</x:v>
      </x:c>
      <x:c r="C1500" s="12" t="str">
        <x:v>معان</x:v>
      </x:c>
      <x:c r="D1500" s="14" t="n">
        <x:v>0</x:v>
      </x:c>
      <x:c r="E1500" s="14" t="n">
        <x:f>VLOOKUP(C1500,'Governorate Master'!$A$2:$Q$13,3,FALSE)</x:f>
        <x:v>197900</x:v>
      </x:c>
      <x:c r="F1500" s="66" t="n">
        <x:f>IF(E1500=0,0,D1500/E1500*10000)</x:f>
        <x:v>0</x:v>
      </x:c>
      <x:c r="G1500" s="67" t="n">
        <x:f>VLOOKUP(C1500,'Governorate Master'!$A$2:$Q$13,7,FALSE)</x:f>
        <x:v>6</x:v>
      </x:c>
      <x:c r="H1500" s="20" t="n">
        <x:f>VLOOKUP(C1500,'Governorate Master'!$A$2:$Q$13,6,FALSE)</x:f>
        <x:v>0.5406771096513391</x:v>
      </x:c>
      <x:c r="I1500" s="20" t="n">
        <x:f>VLOOKUP(C1500,'Governorate Master'!$A$2:$Q$13,15,FALSE)</x:f>
        <x:v>0.026845637583892617</x:v>
      </x:c>
      <x:c r="J1500" s="12" t="str">
        <x:v>Location model input - competition/saturation context</x:v>
      </x:c>
      <x:c r="K1500" s="12" t="str">
        <x:v>Business count is from 2018 while population/context indicators are newer; use as a historical proxy, not a current market count.</x:v>
      </x:c>
    </x:row>
    <x:row r="1501">
      <x:c r="A1501" s="12" t="str">
        <x:v>4321</x:v>
      </x:c>
      <x:c r="B1501" s="12" t="str">
        <x:v>Electrical installation</x:v>
      </x:c>
      <x:c r="C1501" s="12" t="str">
        <x:v>العقبة</x:v>
      </x:c>
      <x:c r="D1501" s="14" t="n">
        <x:v>0</x:v>
      </x:c>
      <x:c r="E1501" s="14" t="n">
        <x:f>VLOOKUP(C1501,'Governorate Master'!$A$2:$Q$13,3,FALSE)</x:f>
        <x:v>250900</x:v>
      </x:c>
      <x:c r="F1501" s="66" t="n">
        <x:f>IF(E1501=0,0,D1501/E1501*10000)</x:f>
        <x:v>0</x:v>
      </x:c>
      <x:c r="G1501" s="67" t="n">
        <x:f>VLOOKUP(C1501,'Governorate Master'!$A$2:$Q$13,7,FALSE)</x:f>
        <x:v>36.3</x:v>
      </x:c>
      <x:c r="H1501" s="20" t="n">
        <x:f>VLOOKUP(C1501,'Governorate Master'!$A$2:$Q$13,6,FALSE)</x:f>
        <x:v>0.882024711040255</x:v>
      </x:c>
      <x:c r="I1501" s="20" t="n">
        <x:f>VLOOKUP(C1501,'Governorate Master'!$A$2:$Q$13,15,FALSE)</x:f>
        <x:v>-0.09</x:v>
      </x:c>
      <x:c r="J1501" s="12" t="str">
        <x:v>Location model input - competition/saturation context</x:v>
      </x:c>
      <x:c r="K1501" s="12" t="str">
        <x:v>Business count is from 2018 while population/context indicators are newer; use as a historical proxy, not a current market count.</x:v>
      </x:c>
    </x:row>
    <x:row r="1502">
      <x:c r="A1502" s="12" t="str">
        <x:v>4322</x:v>
      </x:c>
      <x:c r="B1502" s="12" t="str">
        <x:v>Plumbing, heat and air-conditioning installation</x:v>
      </x:c>
      <x:c r="C1502" s="12" t="str">
        <x:v>عمان</x:v>
      </x:c>
      <x:c r="D1502" s="14" t="n">
        <x:v>131</x:v>
      </x:c>
      <x:c r="E1502" s="14" t="n">
        <x:f>VLOOKUP(C1502,'Governorate Master'!$A$2:$Q$13,3,FALSE)</x:f>
        <x:v>5004600</x:v>
      </x:c>
      <x:c r="F1502" s="66" t="n">
        <x:f>IF(E1502=0,0,D1502/E1502*10000)</x:f>
        <x:v>0.26175918155297123</x:v>
      </x:c>
      <x:c r="G1502" s="67" t="n">
        <x:f>VLOOKUP(C1502,'Governorate Master'!$A$2:$Q$13,7,FALSE)</x:f>
        <x:v>660.3</x:v>
      </x:c>
      <x:c r="H1502" s="20" t="n">
        <x:f>VLOOKUP(C1502,'Governorate Master'!$A$2:$Q$13,6,FALSE)</x:f>
        <x:v>0.9721656076409703</x:v>
      </x:c>
      <x:c r="I1502" s="20" t="n">
        <x:f>VLOOKUP(C1502,'Governorate Master'!$A$2:$Q$13,15,FALSE)</x:f>
        <x:v>0.06367041198501873</x:v>
      </x:c>
      <x:c r="J1502" s="12" t="str">
        <x:v>Location model input - competition/saturation context</x:v>
      </x:c>
      <x:c r="K1502" s="12" t="str">
        <x:v>Business count is from 2018 while population/context indicators are newer; use as a historical proxy, not a current market count.</x:v>
      </x:c>
    </x:row>
    <x:row r="1503">
      <x:c r="A1503" s="12" t="str">
        <x:v>4322</x:v>
      </x:c>
      <x:c r="B1503" s="12" t="str">
        <x:v>Plumbing, heat and air-conditioning installation</x:v>
      </x:c>
      <x:c r="C1503" s="12" t="str">
        <x:v>البلقاء</x:v>
      </x:c>
      <x:c r="D1503" s="14" t="n">
        <x:v>15</x:v>
      </x:c>
      <x:c r="E1503" s="14" t="n">
        <x:f>VLOOKUP(C1503,'Governorate Master'!$A$2:$Q$13,3,FALSE)</x:f>
        <x:v>614000</x:v>
      </x:c>
      <x:c r="F1503" s="66" t="n">
        <x:f>IF(E1503=0,0,D1503/E1503*10000)</x:f>
        <x:v>0.24429967426710097</x:v>
      </x:c>
      <x:c r="G1503" s="67" t="n">
        <x:f>VLOOKUP(C1503,'Governorate Master'!$A$2:$Q$13,7,FALSE)</x:f>
        <x:v>548</x:v>
      </x:c>
      <x:c r="H1503" s="20" t="n">
        <x:f>VLOOKUP(C1503,'Governorate Master'!$A$2:$Q$13,6,FALSE)</x:f>
        <x:v>0.8210097719869707</x:v>
      </x:c>
      <x:c r="I1503" s="20" t="n">
        <x:f>VLOOKUP(C1503,'Governorate Master'!$A$2:$Q$13,15,FALSE)</x:f>
        <x:v>0.10794044665012408</x:v>
      </x:c>
      <x:c r="J1503" s="12" t="str">
        <x:v>Location model input - competition/saturation context</x:v>
      </x:c>
      <x:c r="K1503" s="12" t="str">
        <x:v>Business count is from 2018 while population/context indicators are newer; use as a historical proxy, not a current market count.</x:v>
      </x:c>
    </x:row>
    <x:row r="1504">
      <x:c r="A1504" s="12" t="str">
        <x:v>4322</x:v>
      </x:c>
      <x:c r="B1504" s="12" t="str">
        <x:v>Plumbing, heat and air-conditioning installation</x:v>
      </x:c>
      <x:c r="C1504" s="12" t="str">
        <x:v>الزرقاء</x:v>
      </x:c>
      <x:c r="D1504" s="14" t="n">
        <x:v>64</x:v>
      </x:c>
      <x:c r="E1504" s="14" t="n">
        <x:f>VLOOKUP(C1504,'Governorate Master'!$A$2:$Q$13,3,FALSE)</x:f>
        <x:v>1704500</x:v>
      </x:c>
      <x:c r="F1504" s="66" t="n">
        <x:f>IF(E1504=0,0,D1504/E1504*10000)</x:f>
        <x:v>0.37547667937811674</x:v>
      </x:c>
      <x:c r="G1504" s="67" t="n">
        <x:f>VLOOKUP(C1504,'Governorate Master'!$A$2:$Q$13,7,FALSE)</x:f>
        <x:v>358</x:v>
      </x:c>
      <x:c r="H1504" s="20" t="n">
        <x:f>VLOOKUP(C1504,'Governorate Master'!$A$2:$Q$13,6,FALSE)</x:f>
        <x:v>0.9636256966852449</x:v>
      </x:c>
      <x:c r="I1504" s="20" t="n">
        <x:f>VLOOKUP(C1504,'Governorate Master'!$A$2:$Q$13,15,FALSE)</x:f>
        <x:v>-0.06808762581409118</x:v>
      </x:c>
      <x:c r="J1504" s="12" t="str">
        <x:v>Location model input - competition/saturation context</x:v>
      </x:c>
      <x:c r="K1504" s="12" t="str">
        <x:v>Business count is from 2018 while population/context indicators are newer; use as a historical proxy, not a current market count.</x:v>
      </x:c>
    </x:row>
    <x:row r="1505">
      <x:c r="A1505" s="12" t="str">
        <x:v>4322</x:v>
      </x:c>
      <x:c r="B1505" s="12" t="str">
        <x:v>Plumbing, heat and air-conditioning installation</x:v>
      </x:c>
      <x:c r="C1505" s="12" t="str">
        <x:v>مادبا</x:v>
      </x:c>
      <x:c r="D1505" s="14" t="n">
        <x:v>3</x:v>
      </x:c>
      <x:c r="E1505" s="14" t="n">
        <x:f>VLOOKUP(C1505,'Governorate Master'!$A$2:$Q$13,3,FALSE)</x:f>
        <x:v>236200</x:v>
      </x:c>
      <x:c r="F1505" s="66" t="n">
        <x:f>IF(E1505=0,0,D1505/E1505*10000)</x:f>
        <x:v>0.12701100762066045</x:v>
      </x:c>
      <x:c r="G1505" s="67" t="n">
        <x:f>VLOOKUP(C1505,'Governorate Master'!$A$2:$Q$13,7,FALSE)</x:f>
        <x:v>251.4</x:v>
      </x:c>
      <x:c r="H1505" s="20" t="n">
        <x:f>VLOOKUP(C1505,'Governorate Master'!$A$2:$Q$13,6,FALSE)</x:f>
        <x:v>0.7823878069432684</x:v>
      </x:c>
      <x:c r="I1505" s="20" t="n">
        <x:f>VLOOKUP(C1505,'Governorate Master'!$A$2:$Q$13,15,FALSE)</x:f>
        <x:v>-0.18823529411764706</x:v>
      </x:c>
      <x:c r="J1505" s="12" t="str">
        <x:v>Location model input - competition/saturation context</x:v>
      </x:c>
      <x:c r="K1505" s="12" t="str">
        <x:v>Business count is from 2018 while population/context indicators are newer; use as a historical proxy, not a current market count.</x:v>
      </x:c>
    </x:row>
    <x:row r="1506">
      <x:c r="A1506" s="12" t="str">
        <x:v>4322</x:v>
      </x:c>
      <x:c r="B1506" s="12" t="str">
        <x:v>Plumbing, heat and air-conditioning installation</x:v>
      </x:c>
      <x:c r="C1506" s="12" t="str">
        <x:v>إربد</x:v>
      </x:c>
      <x:c r="D1506" s="14" t="n">
        <x:v>27</x:v>
      </x:c>
      <x:c r="E1506" s="14" t="n">
        <x:f>VLOOKUP(C1506,'Governorate Master'!$A$2:$Q$13,3,FALSE)</x:f>
        <x:v>2210500</x:v>
      </x:c>
      <x:c r="F1506" s="66" t="n">
        <x:f>IF(E1506=0,0,D1506/E1506*10000)</x:f>
        <x:v>0.1221443112418005</x:v>
      </x:c>
      <x:c r="G1506" s="67" t="n">
        <x:f>VLOOKUP(C1506,'Governorate Master'!$A$2:$Q$13,7,FALSE)</x:f>
        <x:v>1406.4</x:v>
      </x:c>
      <x:c r="H1506" s="20" t="n">
        <x:f>VLOOKUP(C1506,'Governorate Master'!$A$2:$Q$13,6,FALSE)</x:f>
        <x:v>0.9235014702555983</x:v>
      </x:c>
      <x:c r="I1506" s="20" t="n">
        <x:f>VLOOKUP(C1506,'Governorate Master'!$A$2:$Q$13,15,FALSE)</x:f>
        <x:v>0.07086922474549726</x:v>
      </x:c>
      <x:c r="J1506" s="12" t="str">
        <x:v>Location model input - competition/saturation context</x:v>
      </x:c>
      <x:c r="K1506" s="12" t="str">
        <x:v>Business count is from 2018 while population/context indicators are newer; use as a historical proxy, not a current market count.</x:v>
      </x:c>
    </x:row>
    <x:row r="1507">
      <x:c r="A1507" s="12" t="str">
        <x:v>4322</x:v>
      </x:c>
      <x:c r="B1507" s="12" t="str">
        <x:v>Plumbing, heat and air-conditioning installation</x:v>
      </x:c>
      <x:c r="C1507" s="12" t="str">
        <x:v>المفرق</x:v>
      </x:c>
      <x:c r="D1507" s="14" t="n">
        <x:v>2</x:v>
      </x:c>
      <x:c r="E1507" s="14" t="n">
        <x:f>VLOOKUP(C1507,'Governorate Master'!$A$2:$Q$13,3,FALSE)</x:f>
        <x:v>686800</x:v>
      </x:c>
      <x:c r="F1507" s="66" t="n">
        <x:f>IF(E1507=0,0,D1507/E1507*10000)</x:f>
        <x:v>0.029120559114735003</x:v>
      </x:c>
      <x:c r="G1507" s="67" t="n">
        <x:f>VLOOKUP(C1507,'Governorate Master'!$A$2:$Q$13,7,FALSE)</x:f>
        <x:v>25.9</x:v>
      </x:c>
      <x:c r="H1507" s="20" t="n">
        <x:f>VLOOKUP(C1507,'Governorate Master'!$A$2:$Q$13,6,FALSE)</x:f>
        <x:v>0.6965637740244612</x:v>
      </x:c>
      <x:c r="I1507" s="20" t="n">
        <x:f>VLOOKUP(C1507,'Governorate Master'!$A$2:$Q$13,15,FALSE)</x:f>
        <x:v>-0.016638935108153077</x:v>
      </x:c>
      <x:c r="J1507" s="12" t="str">
        <x:v>Location model input - competition/saturation context</x:v>
      </x:c>
      <x:c r="K1507" s="12" t="str">
        <x:v>Business count is from 2018 while population/context indicators are newer; use as a historical proxy, not a current market count.</x:v>
      </x:c>
    </x:row>
    <x:row r="1508">
      <x:c r="A1508" s="12" t="str">
        <x:v>4322</x:v>
      </x:c>
      <x:c r="B1508" s="12" t="str">
        <x:v>Plumbing, heat and air-conditioning installation</x:v>
      </x:c>
      <x:c r="C1508" s="12" t="str">
        <x:v>جرش</x:v>
      </x:c>
      <x:c r="D1508" s="14" t="n">
        <x:v>1</x:v>
      </x:c>
      <x:c r="E1508" s="14" t="n">
        <x:f>VLOOKUP(C1508,'Governorate Master'!$A$2:$Q$13,3,FALSE)</x:f>
        <x:v>296000</x:v>
      </x:c>
      <x:c r="F1508" s="66" t="n">
        <x:f>IF(E1508=0,0,D1508/E1508*10000)</x:f>
        <x:v>0.033783783783783786</x:v>
      </x:c>
      <x:c r="G1508" s="67" t="n">
        <x:f>VLOOKUP(C1508,'Governorate Master'!$A$2:$Q$13,7,FALSE)</x:f>
        <x:v>722.3</x:v>
      </x:c>
      <x:c r="H1508" s="20" t="n">
        <x:f>VLOOKUP(C1508,'Governorate Master'!$A$2:$Q$13,6,FALSE)</x:f>
        <x:v>0.7695945945945946</x:v>
      </x:c>
      <x:c r="I1508" s="20" t="n">
        <x:f>VLOOKUP(C1508,'Governorate Master'!$A$2:$Q$13,15,FALSE)</x:f>
        <x:v>-0.06527415143603134</x:v>
      </x:c>
      <x:c r="J1508" s="12" t="str">
        <x:v>Location model input - competition/saturation context</x:v>
      </x:c>
      <x:c r="K1508" s="12" t="str">
        <x:v>Business count is from 2018 while population/context indicators are newer; use as a historical proxy, not a current market count.</x:v>
      </x:c>
    </x:row>
    <x:row r="1509">
      <x:c r="A1509" s="12" t="str">
        <x:v>4322</x:v>
      </x:c>
      <x:c r="B1509" s="12" t="str">
        <x:v>Plumbing, heat and air-conditioning installation</x:v>
      </x:c>
      <x:c r="C1509" s="12" t="str">
        <x:v>عجلون</x:v>
      </x:c>
      <x:c r="D1509" s="14" t="n">
        <x:v>1</x:v>
      </x:c>
      <x:c r="E1509" s="14" t="n">
        <x:f>VLOOKUP(C1509,'Governorate Master'!$A$2:$Q$13,3,FALSE)</x:f>
        <x:v>219900</x:v>
      </x:c>
      <x:c r="F1509" s="66" t="n">
        <x:f>IF(E1509=0,0,D1509/E1509*10000)</x:f>
        <x:v>0.04547521600727603</x:v>
      </x:c>
      <x:c r="G1509" s="67" t="n">
        <x:f>VLOOKUP(C1509,'Governorate Master'!$A$2:$Q$13,7,FALSE)</x:f>
        <x:v>524</x:v>
      </x:c>
      <x:c r="H1509" s="20" t="n">
        <x:f>VLOOKUP(C1509,'Governorate Master'!$A$2:$Q$13,6,FALSE)</x:f>
        <x:v>0.8390177353342428</x:v>
      </x:c>
      <x:c r="I1509" s="20" t="n">
        <x:f>VLOOKUP(C1509,'Governorate Master'!$A$2:$Q$13,15,FALSE)</x:f>
        <x:v>0.03614457831325301</x:v>
      </x:c>
      <x:c r="J1509" s="12" t="str">
        <x:v>Location model input - competition/saturation context</x:v>
      </x:c>
      <x:c r="K1509" s="12" t="str">
        <x:v>Business count is from 2018 while population/context indicators are newer; use as a historical proxy, not a current market count.</x:v>
      </x:c>
    </x:row>
    <x:row r="1510">
      <x:c r="A1510" s="12" t="str">
        <x:v>4322</x:v>
      </x:c>
      <x:c r="B1510" s="12" t="str">
        <x:v>Plumbing, heat and air-conditioning installation</x:v>
      </x:c>
      <x:c r="C1510" s="12" t="str">
        <x:v>الكرك</x:v>
      </x:c>
      <x:c r="D1510" s="14" t="n">
        <x:v>4</x:v>
      </x:c>
      <x:c r="E1510" s="14" t="n">
        <x:f>VLOOKUP(C1510,'Governorate Master'!$A$2:$Q$13,3,FALSE)</x:f>
        <x:v>395400</x:v>
      </x:c>
      <x:c r="F1510" s="66" t="n">
        <x:f>IF(E1510=0,0,D1510/E1510*10000)</x:f>
        <x:v>0.10116337885685381</x:v>
      </x:c>
      <x:c r="G1510" s="67" t="n">
        <x:f>VLOOKUP(C1510,'Governorate Master'!$A$2:$Q$13,7,FALSE)</x:f>
        <x:v>113.1</x:v>
      </x:c>
      <x:c r="H1510" s="20" t="n">
        <x:f>VLOOKUP(C1510,'Governorate Master'!$A$2:$Q$13,6,FALSE)</x:f>
        <x:v>0.5912999494183105</x:v>
      </x:c>
      <x:c r="I1510" s="20" t="n">
        <x:f>VLOOKUP(C1510,'Governorate Master'!$A$2:$Q$13,15,FALSE)</x:f>
        <x:v>0.08710801393728224</x:v>
      </x:c>
      <x:c r="J1510" s="12" t="str">
        <x:v>Location model input - competition/saturation context</x:v>
      </x:c>
      <x:c r="K1510" s="12" t="str">
        <x:v>Business count is from 2018 while population/context indicators are newer; use as a historical proxy, not a current market count.</x:v>
      </x:c>
    </x:row>
    <x:row r="1511">
      <x:c r="A1511" s="12" t="str">
        <x:v>4322</x:v>
      </x:c>
      <x:c r="B1511" s="12" t="str">
        <x:v>Plumbing, heat and air-conditioning installation</x:v>
      </x:c>
      <x:c r="C1511" s="12" t="str">
        <x:v>الطفيلة</x:v>
      </x:c>
      <x:c r="D1511" s="14" t="n">
        <x:v>0</x:v>
      </x:c>
      <x:c r="E1511" s="14" t="n">
        <x:f>VLOOKUP(C1511,'Governorate Master'!$A$2:$Q$13,3,FALSE)</x:f>
        <x:v>120300</x:v>
      </x:c>
      <x:c r="F1511" s="66" t="n">
        <x:f>IF(E1511=0,0,D1511/E1511*10000)</x:f>
        <x:v>0</x:v>
      </x:c>
      <x:c r="G1511" s="67" t="n">
        <x:f>VLOOKUP(C1511,'Governorate Master'!$A$2:$Q$13,7,FALSE)</x:f>
        <x:v>54.4</x:v>
      </x:c>
      <x:c r="H1511" s="20" t="n">
        <x:f>VLOOKUP(C1511,'Governorate Master'!$A$2:$Q$13,6,FALSE)</x:f>
        <x:v>0.7797173732335827</x:v>
      </x:c>
      <x:c r="I1511" s="20" t="n">
        <x:f>VLOOKUP(C1511,'Governorate Master'!$A$2:$Q$13,15,FALSE)</x:f>
        <x:v>0.18452380952380953</x:v>
      </x:c>
      <x:c r="J1511" s="12" t="str">
        <x:v>Location model input - competition/saturation context</x:v>
      </x:c>
      <x:c r="K1511" s="12" t="str">
        <x:v>Business count is from 2018 while population/context indicators are newer; use as a historical proxy, not a current market count.</x:v>
      </x:c>
    </x:row>
    <x:row r="1512">
      <x:c r="A1512" s="12" t="str">
        <x:v>4322</x:v>
      </x:c>
      <x:c r="B1512" s="12" t="str">
        <x:v>Plumbing, heat and air-conditioning installation</x:v>
      </x:c>
      <x:c r="C1512" s="12" t="str">
        <x:v>معان</x:v>
      </x:c>
      <x:c r="D1512" s="14" t="n">
        <x:v>2</x:v>
      </x:c>
      <x:c r="E1512" s="14" t="n">
        <x:f>VLOOKUP(C1512,'Governorate Master'!$A$2:$Q$13,3,FALSE)</x:f>
        <x:v>197900</x:v>
      </x:c>
      <x:c r="F1512" s="66" t="n">
        <x:f>IF(E1512=0,0,D1512/E1512*10000)</x:f>
        <x:v>0.1010611419909045</x:v>
      </x:c>
      <x:c r="G1512" s="67" t="n">
        <x:f>VLOOKUP(C1512,'Governorate Master'!$A$2:$Q$13,7,FALSE)</x:f>
        <x:v>6</x:v>
      </x:c>
      <x:c r="H1512" s="20" t="n">
        <x:f>VLOOKUP(C1512,'Governorate Master'!$A$2:$Q$13,6,FALSE)</x:f>
        <x:v>0.5406771096513391</x:v>
      </x:c>
      <x:c r="I1512" s="20" t="n">
        <x:f>VLOOKUP(C1512,'Governorate Master'!$A$2:$Q$13,15,FALSE)</x:f>
        <x:v>0.026845637583892617</x:v>
      </x:c>
      <x:c r="J1512" s="12" t="str">
        <x:v>Location model input - competition/saturation context</x:v>
      </x:c>
      <x:c r="K1512" s="12" t="str">
        <x:v>Business count is from 2018 while population/context indicators are newer; use as a historical proxy, not a current market count.</x:v>
      </x:c>
    </x:row>
    <x:row r="1513">
      <x:c r="A1513" s="12" t="str">
        <x:v>4322</x:v>
      </x:c>
      <x:c r="B1513" s="12" t="str">
        <x:v>Plumbing, heat and air-conditioning installation</x:v>
      </x:c>
      <x:c r="C1513" s="12" t="str">
        <x:v>العقبة</x:v>
      </x:c>
      <x:c r="D1513" s="14" t="n">
        <x:v>12</x:v>
      </x:c>
      <x:c r="E1513" s="14" t="n">
        <x:f>VLOOKUP(C1513,'Governorate Master'!$A$2:$Q$13,3,FALSE)</x:f>
        <x:v>250900</x:v>
      </x:c>
      <x:c r="F1513" s="66" t="n">
        <x:f>IF(E1513=0,0,D1513/E1513*10000)</x:f>
        <x:v>0.47827819848545233</x:v>
      </x:c>
      <x:c r="G1513" s="67" t="n">
        <x:f>VLOOKUP(C1513,'Governorate Master'!$A$2:$Q$13,7,FALSE)</x:f>
        <x:v>36.3</x:v>
      </x:c>
      <x:c r="H1513" s="20" t="n">
        <x:f>VLOOKUP(C1513,'Governorate Master'!$A$2:$Q$13,6,FALSE)</x:f>
        <x:v>0.882024711040255</x:v>
      </x:c>
      <x:c r="I1513" s="20" t="n">
        <x:f>VLOOKUP(C1513,'Governorate Master'!$A$2:$Q$13,15,FALSE)</x:f>
        <x:v>-0.09</x:v>
      </x:c>
      <x:c r="J1513" s="12" t="str">
        <x:v>Location model input - competition/saturation context</x:v>
      </x:c>
      <x:c r="K1513" s="12" t="str">
        <x:v>Business count is from 2018 while population/context indicators are newer; use as a historical proxy, not a current market count.</x:v>
      </x:c>
    </x:row>
    <x:row r="1514">
      <x:c r="A1514" s="12" t="str">
        <x:v>4329</x:v>
      </x:c>
      <x:c r="B1514" s="12" t="str">
        <x:v>Other construction installation</x:v>
      </x:c>
      <x:c r="C1514" s="12" t="str">
        <x:v>عمان</x:v>
      </x:c>
      <x:c r="D1514" s="14" t="n">
        <x:v>15</x:v>
      </x:c>
      <x:c r="E1514" s="14" t="n">
        <x:f>VLOOKUP(C1514,'Governorate Master'!$A$2:$Q$13,3,FALSE)</x:f>
        <x:v>5004600</x:v>
      </x:c>
      <x:c r="F1514" s="66" t="n">
        <x:f>IF(E1514=0,0,D1514/E1514*10000)</x:f>
        <x:v>0.02997242536866083</x:v>
      </x:c>
      <x:c r="G1514" s="67" t="n">
        <x:f>VLOOKUP(C1514,'Governorate Master'!$A$2:$Q$13,7,FALSE)</x:f>
        <x:v>660.3</x:v>
      </x:c>
      <x:c r="H1514" s="20" t="n">
        <x:f>VLOOKUP(C1514,'Governorate Master'!$A$2:$Q$13,6,FALSE)</x:f>
        <x:v>0.9721656076409703</x:v>
      </x:c>
      <x:c r="I1514" s="20" t="n">
        <x:f>VLOOKUP(C1514,'Governorate Master'!$A$2:$Q$13,15,FALSE)</x:f>
        <x:v>0.06367041198501873</x:v>
      </x:c>
      <x:c r="J1514" s="12" t="str">
        <x:v>Location model input - competition/saturation context</x:v>
      </x:c>
      <x:c r="K1514" s="12" t="str">
        <x:v>Business count is from 2018 while population/context indicators are newer; use as a historical proxy, not a current market count.</x:v>
      </x:c>
    </x:row>
    <x:row r="1515">
      <x:c r="A1515" s="12" t="str">
        <x:v>4329</x:v>
      </x:c>
      <x:c r="B1515" s="12" t="str">
        <x:v>Other construction installation</x:v>
      </x:c>
      <x:c r="C1515" s="12" t="str">
        <x:v>البلقاء</x:v>
      </x:c>
      <x:c r="D1515" s="14" t="n">
        <x:v>0</x:v>
      </x:c>
      <x:c r="E1515" s="14" t="n">
        <x:f>VLOOKUP(C1515,'Governorate Master'!$A$2:$Q$13,3,FALSE)</x:f>
        <x:v>614000</x:v>
      </x:c>
      <x:c r="F1515" s="66" t="n">
        <x:f>IF(E1515=0,0,D1515/E1515*10000)</x:f>
        <x:v>0</x:v>
      </x:c>
      <x:c r="G1515" s="67" t="n">
        <x:f>VLOOKUP(C1515,'Governorate Master'!$A$2:$Q$13,7,FALSE)</x:f>
        <x:v>548</x:v>
      </x:c>
      <x:c r="H1515" s="20" t="n">
        <x:f>VLOOKUP(C1515,'Governorate Master'!$A$2:$Q$13,6,FALSE)</x:f>
        <x:v>0.8210097719869707</x:v>
      </x:c>
      <x:c r="I1515" s="20" t="n">
        <x:f>VLOOKUP(C1515,'Governorate Master'!$A$2:$Q$13,15,FALSE)</x:f>
        <x:v>0.10794044665012408</x:v>
      </x:c>
      <x:c r="J1515" s="12" t="str">
        <x:v>Location model input - competition/saturation context</x:v>
      </x:c>
      <x:c r="K1515" s="12" t="str">
        <x:v>Business count is from 2018 while population/context indicators are newer; use as a historical proxy, not a current market count.</x:v>
      </x:c>
    </x:row>
    <x:row r="1516">
      <x:c r="A1516" s="12" t="str">
        <x:v>4329</x:v>
      </x:c>
      <x:c r="B1516" s="12" t="str">
        <x:v>Other construction installation</x:v>
      </x:c>
      <x:c r="C1516" s="12" t="str">
        <x:v>الزرقاء</x:v>
      </x:c>
      <x:c r="D1516" s="14" t="n">
        <x:v>2</x:v>
      </x:c>
      <x:c r="E1516" s="14" t="n">
        <x:f>VLOOKUP(C1516,'Governorate Master'!$A$2:$Q$13,3,FALSE)</x:f>
        <x:v>1704500</x:v>
      </x:c>
      <x:c r="F1516" s="66" t="n">
        <x:f>IF(E1516=0,0,D1516/E1516*10000)</x:f>
        <x:v>0.011733646230566148</x:v>
      </x:c>
      <x:c r="G1516" s="67" t="n">
        <x:f>VLOOKUP(C1516,'Governorate Master'!$A$2:$Q$13,7,FALSE)</x:f>
        <x:v>358</x:v>
      </x:c>
      <x:c r="H1516" s="20" t="n">
        <x:f>VLOOKUP(C1516,'Governorate Master'!$A$2:$Q$13,6,FALSE)</x:f>
        <x:v>0.9636256966852449</x:v>
      </x:c>
      <x:c r="I1516" s="20" t="n">
        <x:f>VLOOKUP(C1516,'Governorate Master'!$A$2:$Q$13,15,FALSE)</x:f>
        <x:v>-0.06808762581409118</x:v>
      </x:c>
      <x:c r="J1516" s="12" t="str">
        <x:v>Location model input - competition/saturation context</x:v>
      </x:c>
      <x:c r="K1516" s="12" t="str">
        <x:v>Business count is from 2018 while population/context indicators are newer; use as a historical proxy, not a current market count.</x:v>
      </x:c>
    </x:row>
    <x:row r="1517">
      <x:c r="A1517" s="12" t="str">
        <x:v>4329</x:v>
      </x:c>
      <x:c r="B1517" s="12" t="str">
        <x:v>Other construction installation</x:v>
      </x:c>
      <x:c r="C1517" s="12" t="str">
        <x:v>مادبا</x:v>
      </x:c>
      <x:c r="D1517" s="14" t="n">
        <x:v>0</x:v>
      </x:c>
      <x:c r="E1517" s="14" t="n">
        <x:f>VLOOKUP(C1517,'Governorate Master'!$A$2:$Q$13,3,FALSE)</x:f>
        <x:v>236200</x:v>
      </x:c>
      <x:c r="F1517" s="66" t="n">
        <x:f>IF(E1517=0,0,D1517/E1517*10000)</x:f>
        <x:v>0</x:v>
      </x:c>
      <x:c r="G1517" s="67" t="n">
        <x:f>VLOOKUP(C1517,'Governorate Master'!$A$2:$Q$13,7,FALSE)</x:f>
        <x:v>251.4</x:v>
      </x:c>
      <x:c r="H1517" s="20" t="n">
        <x:f>VLOOKUP(C1517,'Governorate Master'!$A$2:$Q$13,6,FALSE)</x:f>
        <x:v>0.7823878069432684</x:v>
      </x:c>
      <x:c r="I1517" s="20" t="n">
        <x:f>VLOOKUP(C1517,'Governorate Master'!$A$2:$Q$13,15,FALSE)</x:f>
        <x:v>-0.18823529411764706</x:v>
      </x:c>
      <x:c r="J1517" s="12" t="str">
        <x:v>Location model input - competition/saturation context</x:v>
      </x:c>
      <x:c r="K1517" s="12" t="str">
        <x:v>Business count is from 2018 while population/context indicators are newer; use as a historical proxy, not a current market count.</x:v>
      </x:c>
    </x:row>
    <x:row r="1518">
      <x:c r="A1518" s="12" t="str">
        <x:v>4329</x:v>
      </x:c>
      <x:c r="B1518" s="12" t="str">
        <x:v>Other construction installation</x:v>
      </x:c>
      <x:c r="C1518" s="12" t="str">
        <x:v>إربد</x:v>
      </x:c>
      <x:c r="D1518" s="14" t="n">
        <x:v>0</x:v>
      </x:c>
      <x:c r="E1518" s="14" t="n">
        <x:f>VLOOKUP(C1518,'Governorate Master'!$A$2:$Q$13,3,FALSE)</x:f>
        <x:v>2210500</x:v>
      </x:c>
      <x:c r="F1518" s="66" t="n">
        <x:f>IF(E1518=0,0,D1518/E1518*10000)</x:f>
        <x:v>0</x:v>
      </x:c>
      <x:c r="G1518" s="67" t="n">
        <x:f>VLOOKUP(C1518,'Governorate Master'!$A$2:$Q$13,7,FALSE)</x:f>
        <x:v>1406.4</x:v>
      </x:c>
      <x:c r="H1518" s="20" t="n">
        <x:f>VLOOKUP(C1518,'Governorate Master'!$A$2:$Q$13,6,FALSE)</x:f>
        <x:v>0.9235014702555983</x:v>
      </x:c>
      <x:c r="I1518" s="20" t="n">
        <x:f>VLOOKUP(C1518,'Governorate Master'!$A$2:$Q$13,15,FALSE)</x:f>
        <x:v>0.07086922474549726</x:v>
      </x:c>
      <x:c r="J1518" s="12" t="str">
        <x:v>Location model input - competition/saturation context</x:v>
      </x:c>
      <x:c r="K1518" s="12" t="str">
        <x:v>Business count is from 2018 while population/context indicators are newer; use as a historical proxy, not a current market count.</x:v>
      </x:c>
    </x:row>
    <x:row r="1519">
      <x:c r="A1519" s="12" t="str">
        <x:v>4329</x:v>
      </x:c>
      <x:c r="B1519" s="12" t="str">
        <x:v>Other construction installation</x:v>
      </x:c>
      <x:c r="C1519" s="12" t="str">
        <x:v>المفرق</x:v>
      </x:c>
      <x:c r="D1519" s="14" t="n">
        <x:v>0</x:v>
      </x:c>
      <x:c r="E1519" s="14" t="n">
        <x:f>VLOOKUP(C1519,'Governorate Master'!$A$2:$Q$13,3,FALSE)</x:f>
        <x:v>686800</x:v>
      </x:c>
      <x:c r="F1519" s="66" t="n">
        <x:f>IF(E1519=0,0,D1519/E1519*10000)</x:f>
        <x:v>0</x:v>
      </x:c>
      <x:c r="G1519" s="67" t="n">
        <x:f>VLOOKUP(C1519,'Governorate Master'!$A$2:$Q$13,7,FALSE)</x:f>
        <x:v>25.9</x:v>
      </x:c>
      <x:c r="H1519" s="20" t="n">
        <x:f>VLOOKUP(C1519,'Governorate Master'!$A$2:$Q$13,6,FALSE)</x:f>
        <x:v>0.6965637740244612</x:v>
      </x:c>
      <x:c r="I1519" s="20" t="n">
        <x:f>VLOOKUP(C1519,'Governorate Master'!$A$2:$Q$13,15,FALSE)</x:f>
        <x:v>-0.016638935108153077</x:v>
      </x:c>
      <x:c r="J1519" s="12" t="str">
        <x:v>Location model input - competition/saturation context</x:v>
      </x:c>
      <x:c r="K1519" s="12" t="str">
        <x:v>Business count is from 2018 while population/context indicators are newer; use as a historical proxy, not a current market count.</x:v>
      </x:c>
    </x:row>
    <x:row r="1520">
      <x:c r="A1520" s="12" t="str">
        <x:v>4329</x:v>
      </x:c>
      <x:c r="B1520" s="12" t="str">
        <x:v>Other construction installation</x:v>
      </x:c>
      <x:c r="C1520" s="12" t="str">
        <x:v>جرش</x:v>
      </x:c>
      <x:c r="D1520" s="14" t="n">
        <x:v>0</x:v>
      </x:c>
      <x:c r="E1520" s="14" t="n">
        <x:f>VLOOKUP(C1520,'Governorate Master'!$A$2:$Q$13,3,FALSE)</x:f>
        <x:v>296000</x:v>
      </x:c>
      <x:c r="F1520" s="66" t="n">
        <x:f>IF(E1520=0,0,D1520/E1520*10000)</x:f>
        <x:v>0</x:v>
      </x:c>
      <x:c r="G1520" s="67" t="n">
        <x:f>VLOOKUP(C1520,'Governorate Master'!$A$2:$Q$13,7,FALSE)</x:f>
        <x:v>722.3</x:v>
      </x:c>
      <x:c r="H1520" s="20" t="n">
        <x:f>VLOOKUP(C1520,'Governorate Master'!$A$2:$Q$13,6,FALSE)</x:f>
        <x:v>0.7695945945945946</x:v>
      </x:c>
      <x:c r="I1520" s="20" t="n">
        <x:f>VLOOKUP(C1520,'Governorate Master'!$A$2:$Q$13,15,FALSE)</x:f>
        <x:v>-0.06527415143603134</x:v>
      </x:c>
      <x:c r="J1520" s="12" t="str">
        <x:v>Location model input - competition/saturation context</x:v>
      </x:c>
      <x:c r="K1520" s="12" t="str">
        <x:v>Business count is from 2018 while population/context indicators are newer; use as a historical proxy, not a current market count.</x:v>
      </x:c>
    </x:row>
    <x:row r="1521">
      <x:c r="A1521" s="12" t="str">
        <x:v>4329</x:v>
      </x:c>
      <x:c r="B1521" s="12" t="str">
        <x:v>Other construction installation</x:v>
      </x:c>
      <x:c r="C1521" s="12" t="str">
        <x:v>عجلون</x:v>
      </x:c>
      <x:c r="D1521" s="14" t="n">
        <x:v>0</x:v>
      </x:c>
      <x:c r="E1521" s="14" t="n">
        <x:f>VLOOKUP(C1521,'Governorate Master'!$A$2:$Q$13,3,FALSE)</x:f>
        <x:v>219900</x:v>
      </x:c>
      <x:c r="F1521" s="66" t="n">
        <x:f>IF(E1521=0,0,D1521/E1521*10000)</x:f>
        <x:v>0</x:v>
      </x:c>
      <x:c r="G1521" s="67" t="n">
        <x:f>VLOOKUP(C1521,'Governorate Master'!$A$2:$Q$13,7,FALSE)</x:f>
        <x:v>524</x:v>
      </x:c>
      <x:c r="H1521" s="20" t="n">
        <x:f>VLOOKUP(C1521,'Governorate Master'!$A$2:$Q$13,6,FALSE)</x:f>
        <x:v>0.8390177353342428</x:v>
      </x:c>
      <x:c r="I1521" s="20" t="n">
        <x:f>VLOOKUP(C1521,'Governorate Master'!$A$2:$Q$13,15,FALSE)</x:f>
        <x:v>0.03614457831325301</x:v>
      </x:c>
      <x:c r="J1521" s="12" t="str">
        <x:v>Location model input - competition/saturation context</x:v>
      </x:c>
      <x:c r="K1521" s="12" t="str">
        <x:v>Business count is from 2018 while population/context indicators are newer; use as a historical proxy, not a current market count.</x:v>
      </x:c>
    </x:row>
    <x:row r="1522">
      <x:c r="A1522" s="12" t="str">
        <x:v>4329</x:v>
      </x:c>
      <x:c r="B1522" s="12" t="str">
        <x:v>Other construction installation</x:v>
      </x:c>
      <x:c r="C1522" s="12" t="str">
        <x:v>الكرك</x:v>
      </x:c>
      <x:c r="D1522" s="14" t="n">
        <x:v>1</x:v>
      </x:c>
      <x:c r="E1522" s="14" t="n">
        <x:f>VLOOKUP(C1522,'Governorate Master'!$A$2:$Q$13,3,FALSE)</x:f>
        <x:v>395400</x:v>
      </x:c>
      <x:c r="F1522" s="66" t="n">
        <x:f>IF(E1522=0,0,D1522/E1522*10000)</x:f>
        <x:v>0.025290844714213452</x:v>
      </x:c>
      <x:c r="G1522" s="67" t="n">
        <x:f>VLOOKUP(C1522,'Governorate Master'!$A$2:$Q$13,7,FALSE)</x:f>
        <x:v>113.1</x:v>
      </x:c>
      <x:c r="H1522" s="20" t="n">
        <x:f>VLOOKUP(C1522,'Governorate Master'!$A$2:$Q$13,6,FALSE)</x:f>
        <x:v>0.5912999494183105</x:v>
      </x:c>
      <x:c r="I1522" s="20" t="n">
        <x:f>VLOOKUP(C1522,'Governorate Master'!$A$2:$Q$13,15,FALSE)</x:f>
        <x:v>0.08710801393728224</x:v>
      </x:c>
      <x:c r="J1522" s="12" t="str">
        <x:v>Location model input - competition/saturation context</x:v>
      </x:c>
      <x:c r="K1522" s="12" t="str">
        <x:v>Business count is from 2018 while population/context indicators are newer; use as a historical proxy, not a current market count.</x:v>
      </x:c>
    </x:row>
    <x:row r="1523">
      <x:c r="A1523" s="12" t="str">
        <x:v>4329</x:v>
      </x:c>
      <x:c r="B1523" s="12" t="str">
        <x:v>Other construction installation</x:v>
      </x:c>
      <x:c r="C1523" s="12" t="str">
        <x:v>الطفيلة</x:v>
      </x:c>
      <x:c r="D1523" s="14" t="n">
        <x:v>0</x:v>
      </x:c>
      <x:c r="E1523" s="14" t="n">
        <x:f>VLOOKUP(C1523,'Governorate Master'!$A$2:$Q$13,3,FALSE)</x:f>
        <x:v>120300</x:v>
      </x:c>
      <x:c r="F1523" s="66" t="n">
        <x:f>IF(E1523=0,0,D1523/E1523*10000)</x:f>
        <x:v>0</x:v>
      </x:c>
      <x:c r="G1523" s="67" t="n">
        <x:f>VLOOKUP(C1523,'Governorate Master'!$A$2:$Q$13,7,FALSE)</x:f>
        <x:v>54.4</x:v>
      </x:c>
      <x:c r="H1523" s="20" t="n">
        <x:f>VLOOKUP(C1523,'Governorate Master'!$A$2:$Q$13,6,FALSE)</x:f>
        <x:v>0.7797173732335827</x:v>
      </x:c>
      <x:c r="I1523" s="20" t="n">
        <x:f>VLOOKUP(C1523,'Governorate Master'!$A$2:$Q$13,15,FALSE)</x:f>
        <x:v>0.18452380952380953</x:v>
      </x:c>
      <x:c r="J1523" s="12" t="str">
        <x:v>Location model input - competition/saturation context</x:v>
      </x:c>
      <x:c r="K1523" s="12" t="str">
        <x:v>Business count is from 2018 while population/context indicators are newer; use as a historical proxy, not a current market count.</x:v>
      </x:c>
    </x:row>
    <x:row r="1524">
      <x:c r="A1524" s="12" t="str">
        <x:v>4329</x:v>
      </x:c>
      <x:c r="B1524" s="12" t="str">
        <x:v>Other construction installation</x:v>
      </x:c>
      <x:c r="C1524" s="12" t="str">
        <x:v>معان</x:v>
      </x:c>
      <x:c r="D1524" s="14" t="n">
        <x:v>0</x:v>
      </x:c>
      <x:c r="E1524" s="14" t="n">
        <x:f>VLOOKUP(C1524,'Governorate Master'!$A$2:$Q$13,3,FALSE)</x:f>
        <x:v>197900</x:v>
      </x:c>
      <x:c r="F1524" s="66" t="n">
        <x:f>IF(E1524=0,0,D1524/E1524*10000)</x:f>
        <x:v>0</x:v>
      </x:c>
      <x:c r="G1524" s="67" t="n">
        <x:f>VLOOKUP(C1524,'Governorate Master'!$A$2:$Q$13,7,FALSE)</x:f>
        <x:v>6</x:v>
      </x:c>
      <x:c r="H1524" s="20" t="n">
        <x:f>VLOOKUP(C1524,'Governorate Master'!$A$2:$Q$13,6,FALSE)</x:f>
        <x:v>0.5406771096513391</x:v>
      </x:c>
      <x:c r="I1524" s="20" t="n">
        <x:f>VLOOKUP(C1524,'Governorate Master'!$A$2:$Q$13,15,FALSE)</x:f>
        <x:v>0.026845637583892617</x:v>
      </x:c>
      <x:c r="J1524" s="12" t="str">
        <x:v>Location model input - competition/saturation context</x:v>
      </x:c>
      <x:c r="K1524" s="12" t="str">
        <x:v>Business count is from 2018 while population/context indicators are newer; use as a historical proxy, not a current market count.</x:v>
      </x:c>
    </x:row>
    <x:row r="1525">
      <x:c r="A1525" s="12" t="str">
        <x:v>4329</x:v>
      </x:c>
      <x:c r="B1525" s="12" t="str">
        <x:v>Other construction installation</x:v>
      </x:c>
      <x:c r="C1525" s="12" t="str">
        <x:v>العقبة</x:v>
      </x:c>
      <x:c r="D1525" s="14" t="n">
        <x:v>0</x:v>
      </x:c>
      <x:c r="E1525" s="14" t="n">
        <x:f>VLOOKUP(C1525,'Governorate Master'!$A$2:$Q$13,3,FALSE)</x:f>
        <x:v>250900</x:v>
      </x:c>
      <x:c r="F1525" s="66" t="n">
        <x:f>IF(E1525=0,0,D1525/E1525*10000)</x:f>
        <x:v>0</x:v>
      </x:c>
      <x:c r="G1525" s="67" t="n">
        <x:f>VLOOKUP(C1525,'Governorate Master'!$A$2:$Q$13,7,FALSE)</x:f>
        <x:v>36.3</x:v>
      </x:c>
      <x:c r="H1525" s="20" t="n">
        <x:f>VLOOKUP(C1525,'Governorate Master'!$A$2:$Q$13,6,FALSE)</x:f>
        <x:v>0.882024711040255</x:v>
      </x:c>
      <x:c r="I1525" s="20" t="n">
        <x:f>VLOOKUP(C1525,'Governorate Master'!$A$2:$Q$13,15,FALSE)</x:f>
        <x:v>-0.09</x:v>
      </x:c>
      <x:c r="J1525" s="12" t="str">
        <x:v>Location model input - competition/saturation context</x:v>
      </x:c>
      <x:c r="K1525" s="12" t="str">
        <x:v>Business count is from 2018 while population/context indicators are newer; use as a historical proxy, not a current market count.</x:v>
      </x:c>
    </x:row>
    <x:row r="1526">
      <x:c r="A1526" s="12" t="str">
        <x:v>4330</x:v>
      </x:c>
      <x:c r="B1526" s="12" t="str">
        <x:v>Building completion and finishing</x:v>
      </x:c>
      <x:c r="C1526" s="12" t="str">
        <x:v>عمان</x:v>
      </x:c>
      <x:c r="D1526" s="14" t="n">
        <x:v>64</x:v>
      </x:c>
      <x:c r="E1526" s="14" t="n">
        <x:f>VLOOKUP(C1526,'Governorate Master'!$A$2:$Q$13,3,FALSE)</x:f>
        <x:v>5004600</x:v>
      </x:c>
      <x:c r="F1526" s="66" t="n">
        <x:f>IF(E1526=0,0,D1526/E1526*10000)</x:f>
        <x:v>0.12788234823961955</x:v>
      </x:c>
      <x:c r="G1526" s="67" t="n">
        <x:f>VLOOKUP(C1526,'Governorate Master'!$A$2:$Q$13,7,FALSE)</x:f>
        <x:v>660.3</x:v>
      </x:c>
      <x:c r="H1526" s="20" t="n">
        <x:f>VLOOKUP(C1526,'Governorate Master'!$A$2:$Q$13,6,FALSE)</x:f>
        <x:v>0.9721656076409703</x:v>
      </x:c>
      <x:c r="I1526" s="20" t="n">
        <x:f>VLOOKUP(C1526,'Governorate Master'!$A$2:$Q$13,15,FALSE)</x:f>
        <x:v>0.06367041198501873</x:v>
      </x:c>
      <x:c r="J1526" s="12" t="str">
        <x:v>Location model input - competition/saturation context</x:v>
      </x:c>
      <x:c r="K1526" s="12" t="str">
        <x:v>Business count is from 2018 while population/context indicators are newer; use as a historical proxy, not a current market count.</x:v>
      </x:c>
    </x:row>
    <x:row r="1527">
      <x:c r="A1527" s="12" t="str">
        <x:v>4330</x:v>
      </x:c>
      <x:c r="B1527" s="12" t="str">
        <x:v>Building completion and finishing</x:v>
      </x:c>
      <x:c r="C1527" s="12" t="str">
        <x:v>البلقاء</x:v>
      </x:c>
      <x:c r="D1527" s="14" t="n">
        <x:v>9</x:v>
      </x:c>
      <x:c r="E1527" s="14" t="n">
        <x:f>VLOOKUP(C1527,'Governorate Master'!$A$2:$Q$13,3,FALSE)</x:f>
        <x:v>614000</x:v>
      </x:c>
      <x:c r="F1527" s="66" t="n">
        <x:f>IF(E1527=0,0,D1527/E1527*10000)</x:f>
        <x:v>0.1465798045602606</x:v>
      </x:c>
      <x:c r="G1527" s="67" t="n">
        <x:f>VLOOKUP(C1527,'Governorate Master'!$A$2:$Q$13,7,FALSE)</x:f>
        <x:v>548</x:v>
      </x:c>
      <x:c r="H1527" s="20" t="n">
        <x:f>VLOOKUP(C1527,'Governorate Master'!$A$2:$Q$13,6,FALSE)</x:f>
        <x:v>0.8210097719869707</x:v>
      </x:c>
      <x:c r="I1527" s="20" t="n">
        <x:f>VLOOKUP(C1527,'Governorate Master'!$A$2:$Q$13,15,FALSE)</x:f>
        <x:v>0.10794044665012408</x:v>
      </x:c>
      <x:c r="J1527" s="12" t="str">
        <x:v>Location model input - competition/saturation context</x:v>
      </x:c>
      <x:c r="K1527" s="12" t="str">
        <x:v>Business count is from 2018 while population/context indicators are newer; use as a historical proxy, not a current market count.</x:v>
      </x:c>
    </x:row>
    <x:row r="1528">
      <x:c r="A1528" s="12" t="str">
        <x:v>4330</x:v>
      </x:c>
      <x:c r="B1528" s="12" t="str">
        <x:v>Building completion and finishing</x:v>
      </x:c>
      <x:c r="C1528" s="12" t="str">
        <x:v>الزرقاء</x:v>
      </x:c>
      <x:c r="D1528" s="14" t="n">
        <x:v>27</x:v>
      </x:c>
      <x:c r="E1528" s="14" t="n">
        <x:f>VLOOKUP(C1528,'Governorate Master'!$A$2:$Q$13,3,FALSE)</x:f>
        <x:v>1704500</x:v>
      </x:c>
      <x:c r="F1528" s="66" t="n">
        <x:f>IF(E1528=0,0,D1528/E1528*10000)</x:f>
        <x:v>0.158404224112643</x:v>
      </x:c>
      <x:c r="G1528" s="67" t="n">
        <x:f>VLOOKUP(C1528,'Governorate Master'!$A$2:$Q$13,7,FALSE)</x:f>
        <x:v>358</x:v>
      </x:c>
      <x:c r="H1528" s="20" t="n">
        <x:f>VLOOKUP(C1528,'Governorate Master'!$A$2:$Q$13,6,FALSE)</x:f>
        <x:v>0.9636256966852449</x:v>
      </x:c>
      <x:c r="I1528" s="20" t="n">
        <x:f>VLOOKUP(C1528,'Governorate Master'!$A$2:$Q$13,15,FALSE)</x:f>
        <x:v>-0.06808762581409118</x:v>
      </x:c>
      <x:c r="J1528" s="12" t="str">
        <x:v>Location model input - competition/saturation context</x:v>
      </x:c>
      <x:c r="K1528" s="12" t="str">
        <x:v>Business count is from 2018 while population/context indicators are newer; use as a historical proxy, not a current market count.</x:v>
      </x:c>
    </x:row>
    <x:row r="1529">
      <x:c r="A1529" s="12" t="str">
        <x:v>4330</x:v>
      </x:c>
      <x:c r="B1529" s="12" t="str">
        <x:v>Building completion and finishing</x:v>
      </x:c>
      <x:c r="C1529" s="12" t="str">
        <x:v>مادبا</x:v>
      </x:c>
      <x:c r="D1529" s="14" t="n">
        <x:v>3</x:v>
      </x:c>
      <x:c r="E1529" s="14" t="n">
        <x:f>VLOOKUP(C1529,'Governorate Master'!$A$2:$Q$13,3,FALSE)</x:f>
        <x:v>236200</x:v>
      </x:c>
      <x:c r="F1529" s="66" t="n">
        <x:f>IF(E1529=0,0,D1529/E1529*10000)</x:f>
        <x:v>0.12701100762066045</x:v>
      </x:c>
      <x:c r="G1529" s="67" t="n">
        <x:f>VLOOKUP(C1529,'Governorate Master'!$A$2:$Q$13,7,FALSE)</x:f>
        <x:v>251.4</x:v>
      </x:c>
      <x:c r="H1529" s="20" t="n">
        <x:f>VLOOKUP(C1529,'Governorate Master'!$A$2:$Q$13,6,FALSE)</x:f>
        <x:v>0.7823878069432684</x:v>
      </x:c>
      <x:c r="I1529" s="20" t="n">
        <x:f>VLOOKUP(C1529,'Governorate Master'!$A$2:$Q$13,15,FALSE)</x:f>
        <x:v>-0.18823529411764706</x:v>
      </x:c>
      <x:c r="J1529" s="12" t="str">
        <x:v>Location model input - competition/saturation context</x:v>
      </x:c>
      <x:c r="K1529" s="12" t="str">
        <x:v>Business count is from 2018 while population/context indicators are newer; use as a historical proxy, not a current market count.</x:v>
      </x:c>
    </x:row>
    <x:row r="1530">
      <x:c r="A1530" s="12" t="str">
        <x:v>4330</x:v>
      </x:c>
      <x:c r="B1530" s="12" t="str">
        <x:v>Building completion and finishing</x:v>
      </x:c>
      <x:c r="C1530" s="12" t="str">
        <x:v>إربد</x:v>
      </x:c>
      <x:c r="D1530" s="14" t="n">
        <x:v>24</x:v>
      </x:c>
      <x:c r="E1530" s="14" t="n">
        <x:f>VLOOKUP(C1530,'Governorate Master'!$A$2:$Q$13,3,FALSE)</x:f>
        <x:v>2210500</x:v>
      </x:c>
      <x:c r="F1530" s="66" t="n">
        <x:f>IF(E1530=0,0,D1530/E1530*10000)</x:f>
        <x:v>0.10857272110382266</x:v>
      </x:c>
      <x:c r="G1530" s="67" t="n">
        <x:f>VLOOKUP(C1530,'Governorate Master'!$A$2:$Q$13,7,FALSE)</x:f>
        <x:v>1406.4</x:v>
      </x:c>
      <x:c r="H1530" s="20" t="n">
        <x:f>VLOOKUP(C1530,'Governorate Master'!$A$2:$Q$13,6,FALSE)</x:f>
        <x:v>0.9235014702555983</x:v>
      </x:c>
      <x:c r="I1530" s="20" t="n">
        <x:f>VLOOKUP(C1530,'Governorate Master'!$A$2:$Q$13,15,FALSE)</x:f>
        <x:v>0.07086922474549726</x:v>
      </x:c>
      <x:c r="J1530" s="12" t="str">
        <x:v>Location model input - competition/saturation context</x:v>
      </x:c>
      <x:c r="K1530" s="12" t="str">
        <x:v>Business count is from 2018 while population/context indicators are newer; use as a historical proxy, not a current market count.</x:v>
      </x:c>
    </x:row>
    <x:row r="1531">
      <x:c r="A1531" s="12" t="str">
        <x:v>4330</x:v>
      </x:c>
      <x:c r="B1531" s="12" t="str">
        <x:v>Building completion and finishing</x:v>
      </x:c>
      <x:c r="C1531" s="12" t="str">
        <x:v>المفرق</x:v>
      </x:c>
      <x:c r="D1531" s="14" t="n">
        <x:v>2</x:v>
      </x:c>
      <x:c r="E1531" s="14" t="n">
        <x:f>VLOOKUP(C1531,'Governorate Master'!$A$2:$Q$13,3,FALSE)</x:f>
        <x:v>686800</x:v>
      </x:c>
      <x:c r="F1531" s="66" t="n">
        <x:f>IF(E1531=0,0,D1531/E1531*10000)</x:f>
        <x:v>0.029120559114735003</x:v>
      </x:c>
      <x:c r="G1531" s="67" t="n">
        <x:f>VLOOKUP(C1531,'Governorate Master'!$A$2:$Q$13,7,FALSE)</x:f>
        <x:v>25.9</x:v>
      </x:c>
      <x:c r="H1531" s="20" t="n">
        <x:f>VLOOKUP(C1531,'Governorate Master'!$A$2:$Q$13,6,FALSE)</x:f>
        <x:v>0.6965637740244612</x:v>
      </x:c>
      <x:c r="I1531" s="20" t="n">
        <x:f>VLOOKUP(C1531,'Governorate Master'!$A$2:$Q$13,15,FALSE)</x:f>
        <x:v>-0.016638935108153077</x:v>
      </x:c>
      <x:c r="J1531" s="12" t="str">
        <x:v>Location model input - competition/saturation context</x:v>
      </x:c>
      <x:c r="K1531" s="12" t="str">
        <x:v>Business count is from 2018 while population/context indicators are newer; use as a historical proxy, not a current market count.</x:v>
      </x:c>
    </x:row>
    <x:row r="1532">
      <x:c r="A1532" s="12" t="str">
        <x:v>4330</x:v>
      </x:c>
      <x:c r="B1532" s="12" t="str">
        <x:v>Building completion and finishing</x:v>
      </x:c>
      <x:c r="C1532" s="12" t="str">
        <x:v>جرش</x:v>
      </x:c>
      <x:c r="D1532" s="14" t="n">
        <x:v>1</x:v>
      </x:c>
      <x:c r="E1532" s="14" t="n">
        <x:f>VLOOKUP(C1532,'Governorate Master'!$A$2:$Q$13,3,FALSE)</x:f>
        <x:v>296000</x:v>
      </x:c>
      <x:c r="F1532" s="66" t="n">
        <x:f>IF(E1532=0,0,D1532/E1532*10000)</x:f>
        <x:v>0.033783783783783786</x:v>
      </x:c>
      <x:c r="G1532" s="67" t="n">
        <x:f>VLOOKUP(C1532,'Governorate Master'!$A$2:$Q$13,7,FALSE)</x:f>
        <x:v>722.3</x:v>
      </x:c>
      <x:c r="H1532" s="20" t="n">
        <x:f>VLOOKUP(C1532,'Governorate Master'!$A$2:$Q$13,6,FALSE)</x:f>
        <x:v>0.7695945945945946</x:v>
      </x:c>
      <x:c r="I1532" s="20" t="n">
        <x:f>VLOOKUP(C1532,'Governorate Master'!$A$2:$Q$13,15,FALSE)</x:f>
        <x:v>-0.06527415143603134</x:v>
      </x:c>
      <x:c r="J1532" s="12" t="str">
        <x:v>Location model input - competition/saturation context</x:v>
      </x:c>
      <x:c r="K1532" s="12" t="str">
        <x:v>Business count is from 2018 while population/context indicators are newer; use as a historical proxy, not a current market count.</x:v>
      </x:c>
    </x:row>
    <x:row r="1533">
      <x:c r="A1533" s="12" t="str">
        <x:v>4330</x:v>
      </x:c>
      <x:c r="B1533" s="12" t="str">
        <x:v>Building completion and finishing</x:v>
      </x:c>
      <x:c r="C1533" s="12" t="str">
        <x:v>عجلون</x:v>
      </x:c>
      <x:c r="D1533" s="14" t="n">
        <x:v>0</x:v>
      </x:c>
      <x:c r="E1533" s="14" t="n">
        <x:f>VLOOKUP(C1533,'Governorate Master'!$A$2:$Q$13,3,FALSE)</x:f>
        <x:v>219900</x:v>
      </x:c>
      <x:c r="F1533" s="66" t="n">
        <x:f>IF(E1533=0,0,D1533/E1533*10000)</x:f>
        <x:v>0</x:v>
      </x:c>
      <x:c r="G1533" s="67" t="n">
        <x:f>VLOOKUP(C1533,'Governorate Master'!$A$2:$Q$13,7,FALSE)</x:f>
        <x:v>524</x:v>
      </x:c>
      <x:c r="H1533" s="20" t="n">
        <x:f>VLOOKUP(C1533,'Governorate Master'!$A$2:$Q$13,6,FALSE)</x:f>
        <x:v>0.8390177353342428</x:v>
      </x:c>
      <x:c r="I1533" s="20" t="n">
        <x:f>VLOOKUP(C1533,'Governorate Master'!$A$2:$Q$13,15,FALSE)</x:f>
        <x:v>0.03614457831325301</x:v>
      </x:c>
      <x:c r="J1533" s="12" t="str">
        <x:v>Location model input - competition/saturation context</x:v>
      </x:c>
      <x:c r="K1533" s="12" t="str">
        <x:v>Business count is from 2018 while population/context indicators are newer; use as a historical proxy, not a current market count.</x:v>
      </x:c>
    </x:row>
    <x:row r="1534">
      <x:c r="A1534" s="12" t="str">
        <x:v>4330</x:v>
      </x:c>
      <x:c r="B1534" s="12" t="str">
        <x:v>Building completion and finishing</x:v>
      </x:c>
      <x:c r="C1534" s="12" t="str">
        <x:v>الكرك</x:v>
      </x:c>
      <x:c r="D1534" s="14" t="n">
        <x:v>4</x:v>
      </x:c>
      <x:c r="E1534" s="14" t="n">
        <x:f>VLOOKUP(C1534,'Governorate Master'!$A$2:$Q$13,3,FALSE)</x:f>
        <x:v>395400</x:v>
      </x:c>
      <x:c r="F1534" s="66" t="n">
        <x:f>IF(E1534=0,0,D1534/E1534*10000)</x:f>
        <x:v>0.10116337885685381</x:v>
      </x:c>
      <x:c r="G1534" s="67" t="n">
        <x:f>VLOOKUP(C1534,'Governorate Master'!$A$2:$Q$13,7,FALSE)</x:f>
        <x:v>113.1</x:v>
      </x:c>
      <x:c r="H1534" s="20" t="n">
        <x:f>VLOOKUP(C1534,'Governorate Master'!$A$2:$Q$13,6,FALSE)</x:f>
        <x:v>0.5912999494183105</x:v>
      </x:c>
      <x:c r="I1534" s="20" t="n">
        <x:f>VLOOKUP(C1534,'Governorate Master'!$A$2:$Q$13,15,FALSE)</x:f>
        <x:v>0.08710801393728224</x:v>
      </x:c>
      <x:c r="J1534" s="12" t="str">
        <x:v>Location model input - competition/saturation context</x:v>
      </x:c>
      <x:c r="K1534" s="12" t="str">
        <x:v>Business count is from 2018 while population/context indicators are newer; use as a historical proxy, not a current market count.</x:v>
      </x:c>
    </x:row>
    <x:row r="1535">
      <x:c r="A1535" s="12" t="str">
        <x:v>4330</x:v>
      </x:c>
      <x:c r="B1535" s="12" t="str">
        <x:v>Building completion and finishing</x:v>
      </x:c>
      <x:c r="C1535" s="12" t="str">
        <x:v>الطفيلة</x:v>
      </x:c>
      <x:c r="D1535" s="14" t="n">
        <x:v>0</x:v>
      </x:c>
      <x:c r="E1535" s="14" t="n">
        <x:f>VLOOKUP(C1535,'Governorate Master'!$A$2:$Q$13,3,FALSE)</x:f>
        <x:v>120300</x:v>
      </x:c>
      <x:c r="F1535" s="66" t="n">
        <x:f>IF(E1535=0,0,D1535/E1535*10000)</x:f>
        <x:v>0</x:v>
      </x:c>
      <x:c r="G1535" s="67" t="n">
        <x:f>VLOOKUP(C1535,'Governorate Master'!$A$2:$Q$13,7,FALSE)</x:f>
        <x:v>54.4</x:v>
      </x:c>
      <x:c r="H1535" s="20" t="n">
        <x:f>VLOOKUP(C1535,'Governorate Master'!$A$2:$Q$13,6,FALSE)</x:f>
        <x:v>0.7797173732335827</x:v>
      </x:c>
      <x:c r="I1535" s="20" t="n">
        <x:f>VLOOKUP(C1535,'Governorate Master'!$A$2:$Q$13,15,FALSE)</x:f>
        <x:v>0.18452380952380953</x:v>
      </x:c>
      <x:c r="J1535" s="12" t="str">
        <x:v>Location model input - competition/saturation context</x:v>
      </x:c>
      <x:c r="K1535" s="12" t="str">
        <x:v>Business count is from 2018 while population/context indicators are newer; use as a historical proxy, not a current market count.</x:v>
      </x:c>
    </x:row>
    <x:row r="1536">
      <x:c r="A1536" s="12" t="str">
        <x:v>4330</x:v>
      </x:c>
      <x:c r="B1536" s="12" t="str">
        <x:v>Building completion and finishing</x:v>
      </x:c>
      <x:c r="C1536" s="12" t="str">
        <x:v>معان</x:v>
      </x:c>
      <x:c r="D1536" s="14" t="n">
        <x:v>2</x:v>
      </x:c>
      <x:c r="E1536" s="14" t="n">
        <x:f>VLOOKUP(C1536,'Governorate Master'!$A$2:$Q$13,3,FALSE)</x:f>
        <x:v>197900</x:v>
      </x:c>
      <x:c r="F1536" s="66" t="n">
        <x:f>IF(E1536=0,0,D1536/E1536*10000)</x:f>
        <x:v>0.1010611419909045</x:v>
      </x:c>
      <x:c r="G1536" s="67" t="n">
        <x:f>VLOOKUP(C1536,'Governorate Master'!$A$2:$Q$13,7,FALSE)</x:f>
        <x:v>6</x:v>
      </x:c>
      <x:c r="H1536" s="20" t="n">
        <x:f>VLOOKUP(C1536,'Governorate Master'!$A$2:$Q$13,6,FALSE)</x:f>
        <x:v>0.5406771096513391</x:v>
      </x:c>
      <x:c r="I1536" s="20" t="n">
        <x:f>VLOOKUP(C1536,'Governorate Master'!$A$2:$Q$13,15,FALSE)</x:f>
        <x:v>0.026845637583892617</x:v>
      </x:c>
      <x:c r="J1536" s="12" t="str">
        <x:v>Location model input - competition/saturation context</x:v>
      </x:c>
      <x:c r="K1536" s="12" t="str">
        <x:v>Business count is from 2018 while population/context indicators are newer; use as a historical proxy, not a current market count.</x:v>
      </x:c>
    </x:row>
    <x:row r="1537">
      <x:c r="A1537" s="12" t="str">
        <x:v>4330</x:v>
      </x:c>
      <x:c r="B1537" s="12" t="str">
        <x:v>Building completion and finishing</x:v>
      </x:c>
      <x:c r="C1537" s="12" t="str">
        <x:v>العقبة</x:v>
      </x:c>
      <x:c r="D1537" s="14" t="n">
        <x:v>3</x:v>
      </x:c>
      <x:c r="E1537" s="14" t="n">
        <x:f>VLOOKUP(C1537,'Governorate Master'!$A$2:$Q$13,3,FALSE)</x:f>
        <x:v>250900</x:v>
      </x:c>
      <x:c r="F1537" s="66" t="n">
        <x:f>IF(E1537=0,0,D1537/E1537*10000)</x:f>
        <x:v>0.11956954962136308</x:v>
      </x:c>
      <x:c r="G1537" s="67" t="n">
        <x:f>VLOOKUP(C1537,'Governorate Master'!$A$2:$Q$13,7,FALSE)</x:f>
        <x:v>36.3</x:v>
      </x:c>
      <x:c r="H1537" s="20" t="n">
        <x:f>VLOOKUP(C1537,'Governorate Master'!$A$2:$Q$13,6,FALSE)</x:f>
        <x:v>0.882024711040255</x:v>
      </x:c>
      <x:c r="I1537" s="20" t="n">
        <x:f>VLOOKUP(C1537,'Governorate Master'!$A$2:$Q$13,15,FALSE)</x:f>
        <x:v>-0.09</x:v>
      </x:c>
      <x:c r="J1537" s="12" t="str">
        <x:v>Location model input - competition/saturation context</x:v>
      </x:c>
      <x:c r="K1537" s="12" t="str">
        <x:v>Business count is from 2018 while population/context indicators are newer; use as a historical proxy, not a current market count.</x:v>
      </x:c>
    </x:row>
    <x:row r="1538">
      <x:c r="A1538" s="12" t="str">
        <x:v>4390</x:v>
      </x:c>
      <x:c r="B1538" s="12" t="str">
        <x:v>Other specialized construction activities</x:v>
      </x:c>
      <x:c r="C1538" s="12" t="str">
        <x:v>عمان</x:v>
      </x:c>
      <x:c r="D1538" s="14" t="n">
        <x:v>7</x:v>
      </x:c>
      <x:c r="E1538" s="14" t="n">
        <x:f>VLOOKUP(C1538,'Governorate Master'!$A$2:$Q$13,3,FALSE)</x:f>
        <x:v>5004600</x:v>
      </x:c>
      <x:c r="F1538" s="66" t="n">
        <x:f>IF(E1538=0,0,D1538/E1538*10000)</x:f>
        <x:v>0.013987131838708389</x:v>
      </x:c>
      <x:c r="G1538" s="67" t="n">
        <x:f>VLOOKUP(C1538,'Governorate Master'!$A$2:$Q$13,7,FALSE)</x:f>
        <x:v>660.3</x:v>
      </x:c>
      <x:c r="H1538" s="20" t="n">
        <x:f>VLOOKUP(C1538,'Governorate Master'!$A$2:$Q$13,6,FALSE)</x:f>
        <x:v>0.9721656076409703</x:v>
      </x:c>
      <x:c r="I1538" s="20" t="n">
        <x:f>VLOOKUP(C1538,'Governorate Master'!$A$2:$Q$13,15,FALSE)</x:f>
        <x:v>0.06367041198501873</x:v>
      </x:c>
      <x:c r="J1538" s="12" t="str">
        <x:v>Location model input - competition/saturation context</x:v>
      </x:c>
      <x:c r="K1538" s="12" t="str">
        <x:v>Business count is from 2018 while population/context indicators are newer; use as a historical proxy, not a current market count.</x:v>
      </x:c>
    </x:row>
    <x:row r="1539">
      <x:c r="A1539" s="12" t="str">
        <x:v>4390</x:v>
      </x:c>
      <x:c r="B1539" s="12" t="str">
        <x:v>Other specialized construction activities</x:v>
      </x:c>
      <x:c r="C1539" s="12" t="str">
        <x:v>البلقاء</x:v>
      </x:c>
      <x:c r="D1539" s="14" t="n">
        <x:v>4</x:v>
      </x:c>
      <x:c r="E1539" s="14" t="n">
        <x:f>VLOOKUP(C1539,'Governorate Master'!$A$2:$Q$13,3,FALSE)</x:f>
        <x:v>614000</x:v>
      </x:c>
      <x:c r="F1539" s="66" t="n">
        <x:f>IF(E1539=0,0,D1539/E1539*10000)</x:f>
        <x:v>0.06514657980456026</x:v>
      </x:c>
      <x:c r="G1539" s="67" t="n">
        <x:f>VLOOKUP(C1539,'Governorate Master'!$A$2:$Q$13,7,FALSE)</x:f>
        <x:v>548</x:v>
      </x:c>
      <x:c r="H1539" s="20" t="n">
        <x:f>VLOOKUP(C1539,'Governorate Master'!$A$2:$Q$13,6,FALSE)</x:f>
        <x:v>0.8210097719869707</x:v>
      </x:c>
      <x:c r="I1539" s="20" t="n">
        <x:f>VLOOKUP(C1539,'Governorate Master'!$A$2:$Q$13,15,FALSE)</x:f>
        <x:v>0.10794044665012408</x:v>
      </x:c>
      <x:c r="J1539" s="12" t="str">
        <x:v>Location model input - competition/saturation context</x:v>
      </x:c>
      <x:c r="K1539" s="12" t="str">
        <x:v>Business count is from 2018 while population/context indicators are newer; use as a historical proxy, not a current market count.</x:v>
      </x:c>
    </x:row>
    <x:row r="1540">
      <x:c r="A1540" s="12" t="str">
        <x:v>4390</x:v>
      </x:c>
      <x:c r="B1540" s="12" t="str">
        <x:v>Other specialized construction activities</x:v>
      </x:c>
      <x:c r="C1540" s="12" t="str">
        <x:v>الزرقاء</x:v>
      </x:c>
      <x:c r="D1540" s="14" t="n">
        <x:v>3</x:v>
      </x:c>
      <x:c r="E1540" s="14" t="n">
        <x:f>VLOOKUP(C1540,'Governorate Master'!$A$2:$Q$13,3,FALSE)</x:f>
        <x:v>1704500</x:v>
      </x:c>
      <x:c r="F1540" s="66" t="n">
        <x:f>IF(E1540=0,0,D1540/E1540*10000)</x:f>
        <x:v>0.01760046934584922</x:v>
      </x:c>
      <x:c r="G1540" s="67" t="n">
        <x:f>VLOOKUP(C1540,'Governorate Master'!$A$2:$Q$13,7,FALSE)</x:f>
        <x:v>358</x:v>
      </x:c>
      <x:c r="H1540" s="20" t="n">
        <x:f>VLOOKUP(C1540,'Governorate Master'!$A$2:$Q$13,6,FALSE)</x:f>
        <x:v>0.9636256966852449</x:v>
      </x:c>
      <x:c r="I1540" s="20" t="n">
        <x:f>VLOOKUP(C1540,'Governorate Master'!$A$2:$Q$13,15,FALSE)</x:f>
        <x:v>-0.06808762581409118</x:v>
      </x:c>
      <x:c r="J1540" s="12" t="str">
        <x:v>Location model input - competition/saturation context</x:v>
      </x:c>
      <x:c r="K1540" s="12" t="str">
        <x:v>Business count is from 2018 while population/context indicators are newer; use as a historical proxy, not a current market count.</x:v>
      </x:c>
    </x:row>
    <x:row r="1541">
      <x:c r="A1541" s="12" t="str">
        <x:v>4390</x:v>
      </x:c>
      <x:c r="B1541" s="12" t="str">
        <x:v>Other specialized construction activities</x:v>
      </x:c>
      <x:c r="C1541" s="12" t="str">
        <x:v>مادبا</x:v>
      </x:c>
      <x:c r="D1541" s="14" t="n">
        <x:v>0</x:v>
      </x:c>
      <x:c r="E1541" s="14" t="n">
        <x:f>VLOOKUP(C1541,'Governorate Master'!$A$2:$Q$13,3,FALSE)</x:f>
        <x:v>236200</x:v>
      </x:c>
      <x:c r="F1541" s="66" t="n">
        <x:f>IF(E1541=0,0,D1541/E1541*10000)</x:f>
        <x:v>0</x:v>
      </x:c>
      <x:c r="G1541" s="67" t="n">
        <x:f>VLOOKUP(C1541,'Governorate Master'!$A$2:$Q$13,7,FALSE)</x:f>
        <x:v>251.4</x:v>
      </x:c>
      <x:c r="H1541" s="20" t="n">
        <x:f>VLOOKUP(C1541,'Governorate Master'!$A$2:$Q$13,6,FALSE)</x:f>
        <x:v>0.7823878069432684</x:v>
      </x:c>
      <x:c r="I1541" s="20" t="n">
        <x:f>VLOOKUP(C1541,'Governorate Master'!$A$2:$Q$13,15,FALSE)</x:f>
        <x:v>-0.18823529411764706</x:v>
      </x:c>
      <x:c r="J1541" s="12" t="str">
        <x:v>Location model input - competition/saturation context</x:v>
      </x:c>
      <x:c r="K1541" s="12" t="str">
        <x:v>Business count is from 2018 while population/context indicators are newer; use as a historical proxy, not a current market count.</x:v>
      </x:c>
    </x:row>
    <x:row r="1542">
      <x:c r="A1542" s="12" t="str">
        <x:v>4390</x:v>
      </x:c>
      <x:c r="B1542" s="12" t="str">
        <x:v>Other specialized construction activities</x:v>
      </x:c>
      <x:c r="C1542" s="12" t="str">
        <x:v>إربد</x:v>
      </x:c>
      <x:c r="D1542" s="14" t="n">
        <x:v>3</x:v>
      </x:c>
      <x:c r="E1542" s="14" t="n">
        <x:f>VLOOKUP(C1542,'Governorate Master'!$A$2:$Q$13,3,FALSE)</x:f>
        <x:v>2210500</x:v>
      </x:c>
      <x:c r="F1542" s="66" t="n">
        <x:f>IF(E1542=0,0,D1542/E1542*10000)</x:f>
        <x:v>0.013571590137977832</x:v>
      </x:c>
      <x:c r="G1542" s="67" t="n">
        <x:f>VLOOKUP(C1542,'Governorate Master'!$A$2:$Q$13,7,FALSE)</x:f>
        <x:v>1406.4</x:v>
      </x:c>
      <x:c r="H1542" s="20" t="n">
        <x:f>VLOOKUP(C1542,'Governorate Master'!$A$2:$Q$13,6,FALSE)</x:f>
        <x:v>0.9235014702555983</x:v>
      </x:c>
      <x:c r="I1542" s="20" t="n">
        <x:f>VLOOKUP(C1542,'Governorate Master'!$A$2:$Q$13,15,FALSE)</x:f>
        <x:v>0.07086922474549726</x:v>
      </x:c>
      <x:c r="J1542" s="12" t="str">
        <x:v>Location model input - competition/saturation context</x:v>
      </x:c>
      <x:c r="K1542" s="12" t="str">
        <x:v>Business count is from 2018 while population/context indicators are newer; use as a historical proxy, not a current market count.</x:v>
      </x:c>
    </x:row>
    <x:row r="1543">
      <x:c r="A1543" s="12" t="str">
        <x:v>4390</x:v>
      </x:c>
      <x:c r="B1543" s="12" t="str">
        <x:v>Other specialized construction activities</x:v>
      </x:c>
      <x:c r="C1543" s="12" t="str">
        <x:v>المفرق</x:v>
      </x:c>
      <x:c r="D1543" s="14" t="n">
        <x:v>0</x:v>
      </x:c>
      <x:c r="E1543" s="14" t="n">
        <x:f>VLOOKUP(C1543,'Governorate Master'!$A$2:$Q$13,3,FALSE)</x:f>
        <x:v>686800</x:v>
      </x:c>
      <x:c r="F1543" s="66" t="n">
        <x:f>IF(E1543=0,0,D1543/E1543*10000)</x:f>
        <x:v>0</x:v>
      </x:c>
      <x:c r="G1543" s="67" t="n">
        <x:f>VLOOKUP(C1543,'Governorate Master'!$A$2:$Q$13,7,FALSE)</x:f>
        <x:v>25.9</x:v>
      </x:c>
      <x:c r="H1543" s="20" t="n">
        <x:f>VLOOKUP(C1543,'Governorate Master'!$A$2:$Q$13,6,FALSE)</x:f>
        <x:v>0.6965637740244612</x:v>
      </x:c>
      <x:c r="I1543" s="20" t="n">
        <x:f>VLOOKUP(C1543,'Governorate Master'!$A$2:$Q$13,15,FALSE)</x:f>
        <x:v>-0.016638935108153077</x:v>
      </x:c>
      <x:c r="J1543" s="12" t="str">
        <x:v>Location model input - competition/saturation context</x:v>
      </x:c>
      <x:c r="K1543" s="12" t="str">
        <x:v>Business count is from 2018 while population/context indicators are newer; use as a historical proxy, not a current market count.</x:v>
      </x:c>
    </x:row>
    <x:row r="1544">
      <x:c r="A1544" s="12" t="str">
        <x:v>4390</x:v>
      </x:c>
      <x:c r="B1544" s="12" t="str">
        <x:v>Other specialized construction activities</x:v>
      </x:c>
      <x:c r="C1544" s="12" t="str">
        <x:v>جرش</x:v>
      </x:c>
      <x:c r="D1544" s="14" t="n">
        <x:v>0</x:v>
      </x:c>
      <x:c r="E1544" s="14" t="n">
        <x:f>VLOOKUP(C1544,'Governorate Master'!$A$2:$Q$13,3,FALSE)</x:f>
        <x:v>296000</x:v>
      </x:c>
      <x:c r="F1544" s="66" t="n">
        <x:f>IF(E1544=0,0,D1544/E1544*10000)</x:f>
        <x:v>0</x:v>
      </x:c>
      <x:c r="G1544" s="67" t="n">
        <x:f>VLOOKUP(C1544,'Governorate Master'!$A$2:$Q$13,7,FALSE)</x:f>
        <x:v>722.3</x:v>
      </x:c>
      <x:c r="H1544" s="20" t="n">
        <x:f>VLOOKUP(C1544,'Governorate Master'!$A$2:$Q$13,6,FALSE)</x:f>
        <x:v>0.7695945945945946</x:v>
      </x:c>
      <x:c r="I1544" s="20" t="n">
        <x:f>VLOOKUP(C1544,'Governorate Master'!$A$2:$Q$13,15,FALSE)</x:f>
        <x:v>-0.06527415143603134</x:v>
      </x:c>
      <x:c r="J1544" s="12" t="str">
        <x:v>Location model input - competition/saturation context</x:v>
      </x:c>
      <x:c r="K1544" s="12" t="str">
        <x:v>Business count is from 2018 while population/context indicators are newer; use as a historical proxy, not a current market count.</x:v>
      </x:c>
    </x:row>
    <x:row r="1545">
      <x:c r="A1545" s="12" t="str">
        <x:v>4390</x:v>
      </x:c>
      <x:c r="B1545" s="12" t="str">
        <x:v>Other specialized construction activities</x:v>
      </x:c>
      <x:c r="C1545" s="12" t="str">
        <x:v>عجلون</x:v>
      </x:c>
      <x:c r="D1545" s="14" t="n">
        <x:v>0</x:v>
      </x:c>
      <x:c r="E1545" s="14" t="n">
        <x:f>VLOOKUP(C1545,'Governorate Master'!$A$2:$Q$13,3,FALSE)</x:f>
        <x:v>219900</x:v>
      </x:c>
      <x:c r="F1545" s="66" t="n">
        <x:f>IF(E1545=0,0,D1545/E1545*10000)</x:f>
        <x:v>0</x:v>
      </x:c>
      <x:c r="G1545" s="67" t="n">
        <x:f>VLOOKUP(C1545,'Governorate Master'!$A$2:$Q$13,7,FALSE)</x:f>
        <x:v>524</x:v>
      </x:c>
      <x:c r="H1545" s="20" t="n">
        <x:f>VLOOKUP(C1545,'Governorate Master'!$A$2:$Q$13,6,FALSE)</x:f>
        <x:v>0.8390177353342428</x:v>
      </x:c>
      <x:c r="I1545" s="20" t="n">
        <x:f>VLOOKUP(C1545,'Governorate Master'!$A$2:$Q$13,15,FALSE)</x:f>
        <x:v>0.03614457831325301</x:v>
      </x:c>
      <x:c r="J1545" s="12" t="str">
        <x:v>Location model input - competition/saturation context</x:v>
      </x:c>
      <x:c r="K1545" s="12" t="str">
        <x:v>Business count is from 2018 while population/context indicators are newer; use as a historical proxy, not a current market count.</x:v>
      </x:c>
    </x:row>
    <x:row r="1546">
      <x:c r="A1546" s="12" t="str">
        <x:v>4390</x:v>
      </x:c>
      <x:c r="B1546" s="12" t="str">
        <x:v>Other specialized construction activities</x:v>
      </x:c>
      <x:c r="C1546" s="12" t="str">
        <x:v>الكرك</x:v>
      </x:c>
      <x:c r="D1546" s="14" t="n">
        <x:v>1</x:v>
      </x:c>
      <x:c r="E1546" s="14" t="n">
        <x:f>VLOOKUP(C1546,'Governorate Master'!$A$2:$Q$13,3,FALSE)</x:f>
        <x:v>395400</x:v>
      </x:c>
      <x:c r="F1546" s="66" t="n">
        <x:f>IF(E1546=0,0,D1546/E1546*10000)</x:f>
        <x:v>0.025290844714213452</x:v>
      </x:c>
      <x:c r="G1546" s="67" t="n">
        <x:f>VLOOKUP(C1546,'Governorate Master'!$A$2:$Q$13,7,FALSE)</x:f>
        <x:v>113.1</x:v>
      </x:c>
      <x:c r="H1546" s="20" t="n">
        <x:f>VLOOKUP(C1546,'Governorate Master'!$A$2:$Q$13,6,FALSE)</x:f>
        <x:v>0.5912999494183105</x:v>
      </x:c>
      <x:c r="I1546" s="20" t="n">
        <x:f>VLOOKUP(C1546,'Governorate Master'!$A$2:$Q$13,15,FALSE)</x:f>
        <x:v>0.08710801393728224</x:v>
      </x:c>
      <x:c r="J1546" s="12" t="str">
        <x:v>Location model input - competition/saturation context</x:v>
      </x:c>
      <x:c r="K1546" s="12" t="str">
        <x:v>Business count is from 2018 while population/context indicators are newer; use as a historical proxy, not a current market count.</x:v>
      </x:c>
    </x:row>
    <x:row r="1547">
      <x:c r="A1547" s="12" t="str">
        <x:v>4390</x:v>
      </x:c>
      <x:c r="B1547" s="12" t="str">
        <x:v>Other specialized construction activities</x:v>
      </x:c>
      <x:c r="C1547" s="12" t="str">
        <x:v>الطفيلة</x:v>
      </x:c>
      <x:c r="D1547" s="14" t="n">
        <x:v>1</x:v>
      </x:c>
      <x:c r="E1547" s="14" t="n">
        <x:f>VLOOKUP(C1547,'Governorate Master'!$A$2:$Q$13,3,FALSE)</x:f>
        <x:v>120300</x:v>
      </x:c>
      <x:c r="F1547" s="66" t="n">
        <x:f>IF(E1547=0,0,D1547/E1547*10000)</x:f>
        <x:v>0.0831255195344971</x:v>
      </x:c>
      <x:c r="G1547" s="67" t="n">
        <x:f>VLOOKUP(C1547,'Governorate Master'!$A$2:$Q$13,7,FALSE)</x:f>
        <x:v>54.4</x:v>
      </x:c>
      <x:c r="H1547" s="20" t="n">
        <x:f>VLOOKUP(C1547,'Governorate Master'!$A$2:$Q$13,6,FALSE)</x:f>
        <x:v>0.7797173732335827</x:v>
      </x:c>
      <x:c r="I1547" s="20" t="n">
        <x:f>VLOOKUP(C1547,'Governorate Master'!$A$2:$Q$13,15,FALSE)</x:f>
        <x:v>0.18452380952380953</x:v>
      </x:c>
      <x:c r="J1547" s="12" t="str">
        <x:v>Location model input - competition/saturation context</x:v>
      </x:c>
      <x:c r="K1547" s="12" t="str">
        <x:v>Business count is from 2018 while population/context indicators are newer; use as a historical proxy, not a current market count.</x:v>
      </x:c>
    </x:row>
    <x:row r="1548">
      <x:c r="A1548" s="12" t="str">
        <x:v>4390</x:v>
      </x:c>
      <x:c r="B1548" s="12" t="str">
        <x:v>Other specialized construction activities</x:v>
      </x:c>
      <x:c r="C1548" s="12" t="str">
        <x:v>معان</x:v>
      </x:c>
      <x:c r="D1548" s="14" t="n">
        <x:v>0</x:v>
      </x:c>
      <x:c r="E1548" s="14" t="n">
        <x:f>VLOOKUP(C1548,'Governorate Master'!$A$2:$Q$13,3,FALSE)</x:f>
        <x:v>197900</x:v>
      </x:c>
      <x:c r="F1548" s="66" t="n">
        <x:f>IF(E1548=0,0,D1548/E1548*10000)</x:f>
        <x:v>0</x:v>
      </x:c>
      <x:c r="G1548" s="67" t="n">
        <x:f>VLOOKUP(C1548,'Governorate Master'!$A$2:$Q$13,7,FALSE)</x:f>
        <x:v>6</x:v>
      </x:c>
      <x:c r="H1548" s="20" t="n">
        <x:f>VLOOKUP(C1548,'Governorate Master'!$A$2:$Q$13,6,FALSE)</x:f>
        <x:v>0.5406771096513391</x:v>
      </x:c>
      <x:c r="I1548" s="20" t="n">
        <x:f>VLOOKUP(C1548,'Governorate Master'!$A$2:$Q$13,15,FALSE)</x:f>
        <x:v>0.026845637583892617</x:v>
      </x:c>
      <x:c r="J1548" s="12" t="str">
        <x:v>Location model input - competition/saturation context</x:v>
      </x:c>
      <x:c r="K1548" s="12" t="str">
        <x:v>Business count is from 2018 while population/context indicators are newer; use as a historical proxy, not a current market count.</x:v>
      </x:c>
    </x:row>
    <x:row r="1549">
      <x:c r="A1549" s="12" t="str">
        <x:v>4390</x:v>
      </x:c>
      <x:c r="B1549" s="12" t="str">
        <x:v>Other specialized construction activities</x:v>
      </x:c>
      <x:c r="C1549" s="12" t="str">
        <x:v>العقبة</x:v>
      </x:c>
      <x:c r="D1549" s="14" t="n">
        <x:v>0</x:v>
      </x:c>
      <x:c r="E1549" s="14" t="n">
        <x:f>VLOOKUP(C1549,'Governorate Master'!$A$2:$Q$13,3,FALSE)</x:f>
        <x:v>250900</x:v>
      </x:c>
      <x:c r="F1549" s="66" t="n">
        <x:f>IF(E1549=0,0,D1549/E1549*10000)</x:f>
        <x:v>0</x:v>
      </x:c>
      <x:c r="G1549" s="67" t="n">
        <x:f>VLOOKUP(C1549,'Governorate Master'!$A$2:$Q$13,7,FALSE)</x:f>
        <x:v>36.3</x:v>
      </x:c>
      <x:c r="H1549" s="20" t="n">
        <x:f>VLOOKUP(C1549,'Governorate Master'!$A$2:$Q$13,6,FALSE)</x:f>
        <x:v>0.882024711040255</x:v>
      </x:c>
      <x:c r="I1549" s="20" t="n">
        <x:f>VLOOKUP(C1549,'Governorate Master'!$A$2:$Q$13,15,FALSE)</x:f>
        <x:v>-0.09</x:v>
      </x:c>
      <x:c r="J1549" s="12" t="str">
        <x:v>Location model input - competition/saturation context</x:v>
      </x:c>
      <x:c r="K1549" s="12" t="str">
        <x:v>Business count is from 2018 while population/context indicators are newer; use as a historical proxy, not a current market count.</x:v>
      </x:c>
    </x:row>
    <x:row r="1550">
      <x:c r="A1550" s="12" t="str">
        <x:v>4510</x:v>
      </x:c>
      <x:c r="B1550" s="12" t="str">
        <x:v>Sale of motor vehicles</x:v>
      </x:c>
      <x:c r="C1550" s="12" t="str">
        <x:v>عمان</x:v>
      </x:c>
      <x:c r="D1550" s="14" t="n">
        <x:v>450</x:v>
      </x:c>
      <x:c r="E1550" s="14" t="n">
        <x:f>VLOOKUP(C1550,'Governorate Master'!$A$2:$Q$13,3,FALSE)</x:f>
        <x:v>5004600</x:v>
      </x:c>
      <x:c r="F1550" s="66" t="n">
        <x:f>IF(E1550=0,0,D1550/E1550*10000)</x:f>
        <x:v>0.8991727610598249</x:v>
      </x:c>
      <x:c r="G1550" s="67" t="n">
        <x:f>VLOOKUP(C1550,'Governorate Master'!$A$2:$Q$13,7,FALSE)</x:f>
        <x:v>660.3</x:v>
      </x:c>
      <x:c r="H1550" s="20" t="n">
        <x:f>VLOOKUP(C1550,'Governorate Master'!$A$2:$Q$13,6,FALSE)</x:f>
        <x:v>0.9721656076409703</x:v>
      </x:c>
      <x:c r="I1550" s="20" t="n">
        <x:f>VLOOKUP(C1550,'Governorate Master'!$A$2:$Q$13,15,FALSE)</x:f>
        <x:v>0.06367041198501873</x:v>
      </x:c>
      <x:c r="J1550" s="12" t="str">
        <x:v>Location model input - competition/saturation context</x:v>
      </x:c>
      <x:c r="K1550" s="12" t="str">
        <x:v>Business count is from 2018 while population/context indicators are newer; use as a historical proxy, not a current market count.</x:v>
      </x:c>
    </x:row>
    <x:row r="1551">
      <x:c r="A1551" s="12" t="str">
        <x:v>4510</x:v>
      </x:c>
      <x:c r="B1551" s="12" t="str">
        <x:v>Sale of motor vehicles</x:v>
      </x:c>
      <x:c r="C1551" s="12" t="str">
        <x:v>البلقاء</x:v>
      </x:c>
      <x:c r="D1551" s="14" t="n">
        <x:v>30</x:v>
      </x:c>
      <x:c r="E1551" s="14" t="n">
        <x:f>VLOOKUP(C1551,'Governorate Master'!$A$2:$Q$13,3,FALSE)</x:f>
        <x:v>614000</x:v>
      </x:c>
      <x:c r="F1551" s="66" t="n">
        <x:f>IF(E1551=0,0,D1551/E1551*10000)</x:f>
        <x:v>0.48859934853420195</x:v>
      </x:c>
      <x:c r="G1551" s="67" t="n">
        <x:f>VLOOKUP(C1551,'Governorate Master'!$A$2:$Q$13,7,FALSE)</x:f>
        <x:v>548</x:v>
      </x:c>
      <x:c r="H1551" s="20" t="n">
        <x:f>VLOOKUP(C1551,'Governorate Master'!$A$2:$Q$13,6,FALSE)</x:f>
        <x:v>0.8210097719869707</x:v>
      </x:c>
      <x:c r="I1551" s="20" t="n">
        <x:f>VLOOKUP(C1551,'Governorate Master'!$A$2:$Q$13,15,FALSE)</x:f>
        <x:v>0.10794044665012408</x:v>
      </x:c>
      <x:c r="J1551" s="12" t="str">
        <x:v>Location model input - competition/saturation context</x:v>
      </x:c>
      <x:c r="K1551" s="12" t="str">
        <x:v>Business count is from 2018 while population/context indicators are newer; use as a historical proxy, not a current market count.</x:v>
      </x:c>
    </x:row>
    <x:row r="1552">
      <x:c r="A1552" s="12" t="str">
        <x:v>4510</x:v>
      </x:c>
      <x:c r="B1552" s="12" t="str">
        <x:v>Sale of motor vehicles</x:v>
      </x:c>
      <x:c r="C1552" s="12" t="str">
        <x:v>الزرقاء</x:v>
      </x:c>
      <x:c r="D1552" s="14" t="n">
        <x:v>656</x:v>
      </x:c>
      <x:c r="E1552" s="14" t="n">
        <x:f>VLOOKUP(C1552,'Governorate Master'!$A$2:$Q$13,3,FALSE)</x:f>
        <x:v>1704500</x:v>
      </x:c>
      <x:c r="F1552" s="66" t="n">
        <x:f>IF(E1552=0,0,D1552/E1552*10000)</x:f>
        <x:v>3.848635963625697</x:v>
      </x:c>
      <x:c r="G1552" s="67" t="n">
        <x:f>VLOOKUP(C1552,'Governorate Master'!$A$2:$Q$13,7,FALSE)</x:f>
        <x:v>358</x:v>
      </x:c>
      <x:c r="H1552" s="20" t="n">
        <x:f>VLOOKUP(C1552,'Governorate Master'!$A$2:$Q$13,6,FALSE)</x:f>
        <x:v>0.9636256966852449</x:v>
      </x:c>
      <x:c r="I1552" s="20" t="n">
        <x:f>VLOOKUP(C1552,'Governorate Master'!$A$2:$Q$13,15,FALSE)</x:f>
        <x:v>-0.06808762581409118</x:v>
      </x:c>
      <x:c r="J1552" s="12" t="str">
        <x:v>Location model input - competition/saturation context</x:v>
      </x:c>
      <x:c r="K1552" s="12" t="str">
        <x:v>Business count is from 2018 while population/context indicators are newer; use as a historical proxy, not a current market count.</x:v>
      </x:c>
    </x:row>
    <x:row r="1553">
      <x:c r="A1553" s="12" t="str">
        <x:v>4510</x:v>
      </x:c>
      <x:c r="B1553" s="12" t="str">
        <x:v>Sale of motor vehicles</x:v>
      </x:c>
      <x:c r="C1553" s="12" t="str">
        <x:v>مادبا</x:v>
      </x:c>
      <x:c r="D1553" s="14" t="n">
        <x:v>1</x:v>
      </x:c>
      <x:c r="E1553" s="14" t="n">
        <x:f>VLOOKUP(C1553,'Governorate Master'!$A$2:$Q$13,3,FALSE)</x:f>
        <x:v>236200</x:v>
      </x:c>
      <x:c r="F1553" s="66" t="n">
        <x:f>IF(E1553=0,0,D1553/E1553*10000)</x:f>
        <x:v>0.04233700254022015</x:v>
      </x:c>
      <x:c r="G1553" s="67" t="n">
        <x:f>VLOOKUP(C1553,'Governorate Master'!$A$2:$Q$13,7,FALSE)</x:f>
        <x:v>251.4</x:v>
      </x:c>
      <x:c r="H1553" s="20" t="n">
        <x:f>VLOOKUP(C1553,'Governorate Master'!$A$2:$Q$13,6,FALSE)</x:f>
        <x:v>0.7823878069432684</x:v>
      </x:c>
      <x:c r="I1553" s="20" t="n">
        <x:f>VLOOKUP(C1553,'Governorate Master'!$A$2:$Q$13,15,FALSE)</x:f>
        <x:v>-0.18823529411764706</x:v>
      </x:c>
      <x:c r="J1553" s="12" t="str">
        <x:v>Location model input - competition/saturation context</x:v>
      </x:c>
      <x:c r="K1553" s="12" t="str">
        <x:v>Business count is from 2018 while population/context indicators are newer; use as a historical proxy, not a current market count.</x:v>
      </x:c>
    </x:row>
    <x:row r="1554">
      <x:c r="A1554" s="12" t="str">
        <x:v>4510</x:v>
      </x:c>
      <x:c r="B1554" s="12" t="str">
        <x:v>Sale of motor vehicles</x:v>
      </x:c>
      <x:c r="C1554" s="12" t="str">
        <x:v>إربد</x:v>
      </x:c>
      <x:c r="D1554" s="14" t="n">
        <x:v>138</x:v>
      </x:c>
      <x:c r="E1554" s="14" t="n">
        <x:f>VLOOKUP(C1554,'Governorate Master'!$A$2:$Q$13,3,FALSE)</x:f>
        <x:v>2210500</x:v>
      </x:c>
      <x:c r="F1554" s="66" t="n">
        <x:f>IF(E1554=0,0,D1554/E1554*10000)</x:f>
        <x:v>0.6242931463469804</x:v>
      </x:c>
      <x:c r="G1554" s="67" t="n">
        <x:f>VLOOKUP(C1554,'Governorate Master'!$A$2:$Q$13,7,FALSE)</x:f>
        <x:v>1406.4</x:v>
      </x:c>
      <x:c r="H1554" s="20" t="n">
        <x:f>VLOOKUP(C1554,'Governorate Master'!$A$2:$Q$13,6,FALSE)</x:f>
        <x:v>0.9235014702555983</x:v>
      </x:c>
      <x:c r="I1554" s="20" t="n">
        <x:f>VLOOKUP(C1554,'Governorate Master'!$A$2:$Q$13,15,FALSE)</x:f>
        <x:v>0.07086922474549726</x:v>
      </x:c>
      <x:c r="J1554" s="12" t="str">
        <x:v>Location model input - competition/saturation context</x:v>
      </x:c>
      <x:c r="K1554" s="12" t="str">
        <x:v>Business count is from 2018 while population/context indicators are newer; use as a historical proxy, not a current market count.</x:v>
      </x:c>
    </x:row>
    <x:row r="1555">
      <x:c r="A1555" s="12" t="str">
        <x:v>4510</x:v>
      </x:c>
      <x:c r="B1555" s="12" t="str">
        <x:v>Sale of motor vehicles</x:v>
      </x:c>
      <x:c r="C1555" s="12" t="str">
        <x:v>المفرق</x:v>
      </x:c>
      <x:c r="D1555" s="14" t="n">
        <x:v>33</x:v>
      </x:c>
      <x:c r="E1555" s="14" t="n">
        <x:f>VLOOKUP(C1555,'Governorate Master'!$A$2:$Q$13,3,FALSE)</x:f>
        <x:v>686800</x:v>
      </x:c>
      <x:c r="F1555" s="66" t="n">
        <x:f>IF(E1555=0,0,D1555/E1555*10000)</x:f>
        <x:v>0.48048922539312755</x:v>
      </x:c>
      <x:c r="G1555" s="67" t="n">
        <x:f>VLOOKUP(C1555,'Governorate Master'!$A$2:$Q$13,7,FALSE)</x:f>
        <x:v>25.9</x:v>
      </x:c>
      <x:c r="H1555" s="20" t="n">
        <x:f>VLOOKUP(C1555,'Governorate Master'!$A$2:$Q$13,6,FALSE)</x:f>
        <x:v>0.6965637740244612</x:v>
      </x:c>
      <x:c r="I1555" s="20" t="n">
        <x:f>VLOOKUP(C1555,'Governorate Master'!$A$2:$Q$13,15,FALSE)</x:f>
        <x:v>-0.016638935108153077</x:v>
      </x:c>
      <x:c r="J1555" s="12" t="str">
        <x:v>Location model input - competition/saturation context</x:v>
      </x:c>
      <x:c r="K1555" s="12" t="str">
        <x:v>Business count is from 2018 while population/context indicators are newer; use as a historical proxy, not a current market count.</x:v>
      </x:c>
    </x:row>
    <x:row r="1556">
      <x:c r="A1556" s="12" t="str">
        <x:v>4510</x:v>
      </x:c>
      <x:c r="B1556" s="12" t="str">
        <x:v>Sale of motor vehicles</x:v>
      </x:c>
      <x:c r="C1556" s="12" t="str">
        <x:v>جرش</x:v>
      </x:c>
      <x:c r="D1556" s="14" t="n">
        <x:v>29</x:v>
      </x:c>
      <x:c r="E1556" s="14" t="n">
        <x:f>VLOOKUP(C1556,'Governorate Master'!$A$2:$Q$13,3,FALSE)</x:f>
        <x:v>296000</x:v>
      </x:c>
      <x:c r="F1556" s="66" t="n">
        <x:f>IF(E1556=0,0,D1556/E1556*10000)</x:f>
        <x:v>0.9797297297297297</x:v>
      </x:c>
      <x:c r="G1556" s="67" t="n">
        <x:f>VLOOKUP(C1556,'Governorate Master'!$A$2:$Q$13,7,FALSE)</x:f>
        <x:v>722.3</x:v>
      </x:c>
      <x:c r="H1556" s="20" t="n">
        <x:f>VLOOKUP(C1556,'Governorate Master'!$A$2:$Q$13,6,FALSE)</x:f>
        <x:v>0.7695945945945946</x:v>
      </x:c>
      <x:c r="I1556" s="20" t="n">
        <x:f>VLOOKUP(C1556,'Governorate Master'!$A$2:$Q$13,15,FALSE)</x:f>
        <x:v>-0.06527415143603134</x:v>
      </x:c>
      <x:c r="J1556" s="12" t="str">
        <x:v>Location model input - competition/saturation context</x:v>
      </x:c>
      <x:c r="K1556" s="12" t="str">
        <x:v>Business count is from 2018 while population/context indicators are newer; use as a historical proxy, not a current market count.</x:v>
      </x:c>
    </x:row>
    <x:row r="1557">
      <x:c r="A1557" s="12" t="str">
        <x:v>4510</x:v>
      </x:c>
      <x:c r="B1557" s="12" t="str">
        <x:v>Sale of motor vehicles</x:v>
      </x:c>
      <x:c r="C1557" s="12" t="str">
        <x:v>عجلون</x:v>
      </x:c>
      <x:c r="D1557" s="14" t="n">
        <x:v>13</x:v>
      </x:c>
      <x:c r="E1557" s="14" t="n">
        <x:f>VLOOKUP(C1557,'Governorate Master'!$A$2:$Q$13,3,FALSE)</x:f>
        <x:v>219900</x:v>
      </x:c>
      <x:c r="F1557" s="66" t="n">
        <x:f>IF(E1557=0,0,D1557/E1557*10000)</x:f>
        <x:v>0.5911778080945884</x:v>
      </x:c>
      <x:c r="G1557" s="67" t="n">
        <x:f>VLOOKUP(C1557,'Governorate Master'!$A$2:$Q$13,7,FALSE)</x:f>
        <x:v>524</x:v>
      </x:c>
      <x:c r="H1557" s="20" t="n">
        <x:f>VLOOKUP(C1557,'Governorate Master'!$A$2:$Q$13,6,FALSE)</x:f>
        <x:v>0.8390177353342428</x:v>
      </x:c>
      <x:c r="I1557" s="20" t="n">
        <x:f>VLOOKUP(C1557,'Governorate Master'!$A$2:$Q$13,15,FALSE)</x:f>
        <x:v>0.03614457831325301</x:v>
      </x:c>
      <x:c r="J1557" s="12" t="str">
        <x:v>Location model input - competition/saturation context</x:v>
      </x:c>
      <x:c r="K1557" s="12" t="str">
        <x:v>Business count is from 2018 while population/context indicators are newer; use as a historical proxy, not a current market count.</x:v>
      </x:c>
    </x:row>
    <x:row r="1558">
      <x:c r="A1558" s="12" t="str">
        <x:v>4510</x:v>
      </x:c>
      <x:c r="B1558" s="12" t="str">
        <x:v>Sale of motor vehicles</x:v>
      </x:c>
      <x:c r="C1558" s="12" t="str">
        <x:v>الكرك</x:v>
      </x:c>
      <x:c r="D1558" s="14" t="n">
        <x:v>23</x:v>
      </x:c>
      <x:c r="E1558" s="14" t="n">
        <x:f>VLOOKUP(C1558,'Governorate Master'!$A$2:$Q$13,3,FALSE)</x:f>
        <x:v>395400</x:v>
      </x:c>
      <x:c r="F1558" s="66" t="n">
        <x:f>IF(E1558=0,0,D1558/E1558*10000)</x:f>
        <x:v>0.5816894284269095</x:v>
      </x:c>
      <x:c r="G1558" s="67" t="n">
        <x:f>VLOOKUP(C1558,'Governorate Master'!$A$2:$Q$13,7,FALSE)</x:f>
        <x:v>113.1</x:v>
      </x:c>
      <x:c r="H1558" s="20" t="n">
        <x:f>VLOOKUP(C1558,'Governorate Master'!$A$2:$Q$13,6,FALSE)</x:f>
        <x:v>0.5912999494183105</x:v>
      </x:c>
      <x:c r="I1558" s="20" t="n">
        <x:f>VLOOKUP(C1558,'Governorate Master'!$A$2:$Q$13,15,FALSE)</x:f>
        <x:v>0.08710801393728224</x:v>
      </x:c>
      <x:c r="J1558" s="12" t="str">
        <x:v>Location model input - competition/saturation context</x:v>
      </x:c>
      <x:c r="K1558" s="12" t="str">
        <x:v>Business count is from 2018 while population/context indicators are newer; use as a historical proxy, not a current market count.</x:v>
      </x:c>
    </x:row>
    <x:row r="1559">
      <x:c r="A1559" s="12" t="str">
        <x:v>4510</x:v>
      </x:c>
      <x:c r="B1559" s="12" t="str">
        <x:v>Sale of motor vehicles</x:v>
      </x:c>
      <x:c r="C1559" s="12" t="str">
        <x:v>الطفيلة</x:v>
      </x:c>
      <x:c r="D1559" s="14" t="n">
        <x:v>2</x:v>
      </x:c>
      <x:c r="E1559" s="14" t="n">
        <x:f>VLOOKUP(C1559,'Governorate Master'!$A$2:$Q$13,3,FALSE)</x:f>
        <x:v>120300</x:v>
      </x:c>
      <x:c r="F1559" s="66" t="n">
        <x:f>IF(E1559=0,0,D1559/E1559*10000)</x:f>
        <x:v>0.1662510390689942</x:v>
      </x:c>
      <x:c r="G1559" s="67" t="n">
        <x:f>VLOOKUP(C1559,'Governorate Master'!$A$2:$Q$13,7,FALSE)</x:f>
        <x:v>54.4</x:v>
      </x:c>
      <x:c r="H1559" s="20" t="n">
        <x:f>VLOOKUP(C1559,'Governorate Master'!$A$2:$Q$13,6,FALSE)</x:f>
        <x:v>0.7797173732335827</x:v>
      </x:c>
      <x:c r="I1559" s="20" t="n">
        <x:f>VLOOKUP(C1559,'Governorate Master'!$A$2:$Q$13,15,FALSE)</x:f>
        <x:v>0.18452380952380953</x:v>
      </x:c>
      <x:c r="J1559" s="12" t="str">
        <x:v>Location model input - competition/saturation context</x:v>
      </x:c>
      <x:c r="K1559" s="12" t="str">
        <x:v>Business count is from 2018 while population/context indicators are newer; use as a historical proxy, not a current market count.</x:v>
      </x:c>
    </x:row>
    <x:row r="1560">
      <x:c r="A1560" s="12" t="str">
        <x:v>4510</x:v>
      </x:c>
      <x:c r="B1560" s="12" t="str">
        <x:v>Sale of motor vehicles</x:v>
      </x:c>
      <x:c r="C1560" s="12" t="str">
        <x:v>معان</x:v>
      </x:c>
      <x:c r="D1560" s="14" t="n">
        <x:v>2</x:v>
      </x:c>
      <x:c r="E1560" s="14" t="n">
        <x:f>VLOOKUP(C1560,'Governorate Master'!$A$2:$Q$13,3,FALSE)</x:f>
        <x:v>197900</x:v>
      </x:c>
      <x:c r="F1560" s="66" t="n">
        <x:f>IF(E1560=0,0,D1560/E1560*10000)</x:f>
        <x:v>0.1010611419909045</x:v>
      </x:c>
      <x:c r="G1560" s="67" t="n">
        <x:f>VLOOKUP(C1560,'Governorate Master'!$A$2:$Q$13,7,FALSE)</x:f>
        <x:v>6</x:v>
      </x:c>
      <x:c r="H1560" s="20" t="n">
        <x:f>VLOOKUP(C1560,'Governorate Master'!$A$2:$Q$13,6,FALSE)</x:f>
        <x:v>0.5406771096513391</x:v>
      </x:c>
      <x:c r="I1560" s="20" t="n">
        <x:f>VLOOKUP(C1560,'Governorate Master'!$A$2:$Q$13,15,FALSE)</x:f>
        <x:v>0.026845637583892617</x:v>
      </x:c>
      <x:c r="J1560" s="12" t="str">
        <x:v>Location model input - competition/saturation context</x:v>
      </x:c>
      <x:c r="K1560" s="12" t="str">
        <x:v>Business count is from 2018 while population/context indicators are newer; use as a historical proxy, not a current market count.</x:v>
      </x:c>
    </x:row>
    <x:row r="1561">
      <x:c r="A1561" s="12" t="str">
        <x:v>4510</x:v>
      </x:c>
      <x:c r="B1561" s="12" t="str">
        <x:v>Sale of motor vehicles</x:v>
      </x:c>
      <x:c r="C1561" s="12" t="str">
        <x:v>العقبة</x:v>
      </x:c>
      <x:c r="D1561" s="14" t="n">
        <x:v>5</x:v>
      </x:c>
      <x:c r="E1561" s="14" t="n">
        <x:f>VLOOKUP(C1561,'Governorate Master'!$A$2:$Q$13,3,FALSE)</x:f>
        <x:v>250900</x:v>
      </x:c>
      <x:c r="F1561" s="66" t="n">
        <x:f>IF(E1561=0,0,D1561/E1561*10000)</x:f>
        <x:v>0.1992825827022718</x:v>
      </x:c>
      <x:c r="G1561" s="67" t="n">
        <x:f>VLOOKUP(C1561,'Governorate Master'!$A$2:$Q$13,7,FALSE)</x:f>
        <x:v>36.3</x:v>
      </x:c>
      <x:c r="H1561" s="20" t="n">
        <x:f>VLOOKUP(C1561,'Governorate Master'!$A$2:$Q$13,6,FALSE)</x:f>
        <x:v>0.882024711040255</x:v>
      </x:c>
      <x:c r="I1561" s="20" t="n">
        <x:f>VLOOKUP(C1561,'Governorate Master'!$A$2:$Q$13,15,FALSE)</x:f>
        <x:v>-0.09</x:v>
      </x:c>
      <x:c r="J1561" s="12" t="str">
        <x:v>Location model input - competition/saturation context</x:v>
      </x:c>
      <x:c r="K1561" s="12" t="str">
        <x:v>Business count is from 2018 while population/context indicators are newer; use as a historical proxy, not a current market count.</x:v>
      </x:c>
    </x:row>
    <x:row r="1562">
      <x:c r="A1562" s="12" t="str">
        <x:v>4520</x:v>
      </x:c>
      <x:c r="B1562" s="12" t="str">
        <x:v>Maintenance and repair of motor vehicles</x:v>
      </x:c>
      <x:c r="C1562" s="12" t="str">
        <x:v>عمان</x:v>
      </x:c>
      <x:c r="D1562" s="14" t="n">
        <x:v>5404</x:v>
      </x:c>
      <x:c r="E1562" s="14" t="n">
        <x:f>VLOOKUP(C1562,'Governorate Master'!$A$2:$Q$13,3,FALSE)</x:f>
        <x:v>5004600</x:v>
      </x:c>
      <x:c r="F1562" s="66" t="n">
        <x:f>IF(E1562=0,0,D1562/E1562*10000)</x:f>
        <x:v>10.798065779482876</x:v>
      </x:c>
      <x:c r="G1562" s="67" t="n">
        <x:f>VLOOKUP(C1562,'Governorate Master'!$A$2:$Q$13,7,FALSE)</x:f>
        <x:v>660.3</x:v>
      </x:c>
      <x:c r="H1562" s="20" t="n">
        <x:f>VLOOKUP(C1562,'Governorate Master'!$A$2:$Q$13,6,FALSE)</x:f>
        <x:v>0.9721656076409703</x:v>
      </x:c>
      <x:c r="I1562" s="20" t="n">
        <x:f>VLOOKUP(C1562,'Governorate Master'!$A$2:$Q$13,15,FALSE)</x:f>
        <x:v>0.06367041198501873</x:v>
      </x:c>
      <x:c r="J1562" s="12" t="str">
        <x:v>Location model input - competition/saturation context</x:v>
      </x:c>
      <x:c r="K1562" s="12" t="str">
        <x:v>Business count is from 2018 while population/context indicators are newer; use as a historical proxy, not a current market count.</x:v>
      </x:c>
    </x:row>
    <x:row r="1563">
      <x:c r="A1563" s="12" t="str">
        <x:v>4520</x:v>
      </x:c>
      <x:c r="B1563" s="12" t="str">
        <x:v>Maintenance and repair of motor vehicles</x:v>
      </x:c>
      <x:c r="C1563" s="12" t="str">
        <x:v>البلقاء</x:v>
      </x:c>
      <x:c r="D1563" s="14" t="n">
        <x:v>819</x:v>
      </x:c>
      <x:c r="E1563" s="14" t="n">
        <x:f>VLOOKUP(C1563,'Governorate Master'!$A$2:$Q$13,3,FALSE)</x:f>
        <x:v>614000</x:v>
      </x:c>
      <x:c r="F1563" s="66" t="n">
        <x:f>IF(E1563=0,0,D1563/E1563*10000)</x:f>
        <x:v>13.338762214983714</x:v>
      </x:c>
      <x:c r="G1563" s="67" t="n">
        <x:f>VLOOKUP(C1563,'Governorate Master'!$A$2:$Q$13,7,FALSE)</x:f>
        <x:v>548</x:v>
      </x:c>
      <x:c r="H1563" s="20" t="n">
        <x:f>VLOOKUP(C1563,'Governorate Master'!$A$2:$Q$13,6,FALSE)</x:f>
        <x:v>0.8210097719869707</x:v>
      </x:c>
      <x:c r="I1563" s="20" t="n">
        <x:f>VLOOKUP(C1563,'Governorate Master'!$A$2:$Q$13,15,FALSE)</x:f>
        <x:v>0.10794044665012408</x:v>
      </x:c>
      <x:c r="J1563" s="12" t="str">
        <x:v>Location model input - competition/saturation context</x:v>
      </x:c>
      <x:c r="K1563" s="12" t="str">
        <x:v>Business count is from 2018 while population/context indicators are newer; use as a historical proxy, not a current market count.</x:v>
      </x:c>
    </x:row>
    <x:row r="1564">
      <x:c r="A1564" s="12" t="str">
        <x:v>4520</x:v>
      </x:c>
      <x:c r="B1564" s="12" t="str">
        <x:v>Maintenance and repair of motor vehicles</x:v>
      </x:c>
      <x:c r="C1564" s="12" t="str">
        <x:v>الزرقاء</x:v>
      </x:c>
      <x:c r="D1564" s="14" t="n">
        <x:v>1733</x:v>
      </x:c>
      <x:c r="E1564" s="14" t="n">
        <x:f>VLOOKUP(C1564,'Governorate Master'!$A$2:$Q$13,3,FALSE)</x:f>
        <x:v>1704500</x:v>
      </x:c>
      <x:c r="F1564" s="66" t="n">
        <x:f>IF(E1564=0,0,D1564/E1564*10000)</x:f>
        <x:v>10.167204458785568</x:v>
      </x:c>
      <x:c r="G1564" s="67" t="n">
        <x:f>VLOOKUP(C1564,'Governorate Master'!$A$2:$Q$13,7,FALSE)</x:f>
        <x:v>358</x:v>
      </x:c>
      <x:c r="H1564" s="20" t="n">
        <x:f>VLOOKUP(C1564,'Governorate Master'!$A$2:$Q$13,6,FALSE)</x:f>
        <x:v>0.9636256966852449</x:v>
      </x:c>
      <x:c r="I1564" s="20" t="n">
        <x:f>VLOOKUP(C1564,'Governorate Master'!$A$2:$Q$13,15,FALSE)</x:f>
        <x:v>-0.06808762581409118</x:v>
      </x:c>
      <x:c r="J1564" s="12" t="str">
        <x:v>Location model input - competition/saturation context</x:v>
      </x:c>
      <x:c r="K1564" s="12" t="str">
        <x:v>Business count is from 2018 while population/context indicators are newer; use as a historical proxy, not a current market count.</x:v>
      </x:c>
    </x:row>
    <x:row r="1565">
      <x:c r="A1565" s="12" t="str">
        <x:v>4520</x:v>
      </x:c>
      <x:c r="B1565" s="12" t="str">
        <x:v>Maintenance and repair of motor vehicles</x:v>
      </x:c>
      <x:c r="C1565" s="12" t="str">
        <x:v>مادبا</x:v>
      </x:c>
      <x:c r="D1565" s="14" t="n">
        <x:v>165</x:v>
      </x:c>
      <x:c r="E1565" s="14" t="n">
        <x:f>VLOOKUP(C1565,'Governorate Master'!$A$2:$Q$13,3,FALSE)</x:f>
        <x:v>236200</x:v>
      </x:c>
      <x:c r="F1565" s="66" t="n">
        <x:f>IF(E1565=0,0,D1565/E1565*10000)</x:f>
        <x:v>6.985605419136325</x:v>
      </x:c>
      <x:c r="G1565" s="67" t="n">
        <x:f>VLOOKUP(C1565,'Governorate Master'!$A$2:$Q$13,7,FALSE)</x:f>
        <x:v>251.4</x:v>
      </x:c>
      <x:c r="H1565" s="20" t="n">
        <x:f>VLOOKUP(C1565,'Governorate Master'!$A$2:$Q$13,6,FALSE)</x:f>
        <x:v>0.7823878069432684</x:v>
      </x:c>
      <x:c r="I1565" s="20" t="n">
        <x:f>VLOOKUP(C1565,'Governorate Master'!$A$2:$Q$13,15,FALSE)</x:f>
        <x:v>-0.18823529411764706</x:v>
      </x:c>
      <x:c r="J1565" s="12" t="str">
        <x:v>Location model input - competition/saturation context</x:v>
      </x:c>
      <x:c r="K1565" s="12" t="str">
        <x:v>Business count is from 2018 while population/context indicators are newer; use as a historical proxy, not a current market count.</x:v>
      </x:c>
    </x:row>
    <x:row r="1566">
      <x:c r="A1566" s="12" t="str">
        <x:v>4520</x:v>
      </x:c>
      <x:c r="B1566" s="12" t="str">
        <x:v>Maintenance and repair of motor vehicles</x:v>
      </x:c>
      <x:c r="C1566" s="12" t="str">
        <x:v>إربد</x:v>
      </x:c>
      <x:c r="D1566" s="14" t="n">
        <x:v>1800</x:v>
      </x:c>
      <x:c r="E1566" s="14" t="n">
        <x:f>VLOOKUP(C1566,'Governorate Master'!$A$2:$Q$13,3,FALSE)</x:f>
        <x:v>2210500</x:v>
      </x:c>
      <x:c r="F1566" s="66" t="n">
        <x:f>IF(E1566=0,0,D1566/E1566*10000)</x:f>
        <x:v>8.1429540827867</x:v>
      </x:c>
      <x:c r="G1566" s="67" t="n">
        <x:f>VLOOKUP(C1566,'Governorate Master'!$A$2:$Q$13,7,FALSE)</x:f>
        <x:v>1406.4</x:v>
      </x:c>
      <x:c r="H1566" s="20" t="n">
        <x:f>VLOOKUP(C1566,'Governorate Master'!$A$2:$Q$13,6,FALSE)</x:f>
        <x:v>0.9235014702555983</x:v>
      </x:c>
      <x:c r="I1566" s="20" t="n">
        <x:f>VLOOKUP(C1566,'Governorate Master'!$A$2:$Q$13,15,FALSE)</x:f>
        <x:v>0.07086922474549726</x:v>
      </x:c>
      <x:c r="J1566" s="12" t="str">
        <x:v>Location model input - competition/saturation context</x:v>
      </x:c>
      <x:c r="K1566" s="12" t="str">
        <x:v>Business count is from 2018 while population/context indicators are newer; use as a historical proxy, not a current market count.</x:v>
      </x:c>
    </x:row>
    <x:row r="1567">
      <x:c r="A1567" s="12" t="str">
        <x:v>4520</x:v>
      </x:c>
      <x:c r="B1567" s="12" t="str">
        <x:v>Maintenance and repair of motor vehicles</x:v>
      </x:c>
      <x:c r="C1567" s="12" t="str">
        <x:v>المفرق</x:v>
      </x:c>
      <x:c r="D1567" s="14" t="n">
        <x:v>307</x:v>
      </x:c>
      <x:c r="E1567" s="14" t="n">
        <x:f>VLOOKUP(C1567,'Governorate Master'!$A$2:$Q$13,3,FALSE)</x:f>
        <x:v>686800</x:v>
      </x:c>
      <x:c r="F1567" s="66" t="n">
        <x:f>IF(E1567=0,0,D1567/E1567*10000)</x:f>
        <x:v>4.470005824111823</x:v>
      </x:c>
      <x:c r="G1567" s="67" t="n">
        <x:f>VLOOKUP(C1567,'Governorate Master'!$A$2:$Q$13,7,FALSE)</x:f>
        <x:v>25.9</x:v>
      </x:c>
      <x:c r="H1567" s="20" t="n">
        <x:f>VLOOKUP(C1567,'Governorate Master'!$A$2:$Q$13,6,FALSE)</x:f>
        <x:v>0.6965637740244612</x:v>
      </x:c>
      <x:c r="I1567" s="20" t="n">
        <x:f>VLOOKUP(C1567,'Governorate Master'!$A$2:$Q$13,15,FALSE)</x:f>
        <x:v>-0.016638935108153077</x:v>
      </x:c>
      <x:c r="J1567" s="12" t="str">
        <x:v>Location model input - competition/saturation context</x:v>
      </x:c>
      <x:c r="K1567" s="12" t="str">
        <x:v>Business count is from 2018 while population/context indicators are newer; use as a historical proxy, not a current market count.</x:v>
      </x:c>
    </x:row>
    <x:row r="1568">
      <x:c r="A1568" s="12" t="str">
        <x:v>4520</x:v>
      </x:c>
      <x:c r="B1568" s="12" t="str">
        <x:v>Maintenance and repair of motor vehicles</x:v>
      </x:c>
      <x:c r="C1568" s="12" t="str">
        <x:v>جرش</x:v>
      </x:c>
      <x:c r="D1568" s="14" t="n">
        <x:v>261</x:v>
      </x:c>
      <x:c r="E1568" s="14" t="n">
        <x:f>VLOOKUP(C1568,'Governorate Master'!$A$2:$Q$13,3,FALSE)</x:f>
        <x:v>296000</x:v>
      </x:c>
      <x:c r="F1568" s="66" t="n">
        <x:f>IF(E1568=0,0,D1568/E1568*10000)</x:f>
        <x:v>8.817567567567568</x:v>
      </x:c>
      <x:c r="G1568" s="67" t="n">
        <x:f>VLOOKUP(C1568,'Governorate Master'!$A$2:$Q$13,7,FALSE)</x:f>
        <x:v>722.3</x:v>
      </x:c>
      <x:c r="H1568" s="20" t="n">
        <x:f>VLOOKUP(C1568,'Governorate Master'!$A$2:$Q$13,6,FALSE)</x:f>
        <x:v>0.7695945945945946</x:v>
      </x:c>
      <x:c r="I1568" s="20" t="n">
        <x:f>VLOOKUP(C1568,'Governorate Master'!$A$2:$Q$13,15,FALSE)</x:f>
        <x:v>-0.06527415143603134</x:v>
      </x:c>
      <x:c r="J1568" s="12" t="str">
        <x:v>Location model input - competition/saturation context</x:v>
      </x:c>
      <x:c r="K1568" s="12" t="str">
        <x:v>Business count is from 2018 while population/context indicators are newer; use as a historical proxy, not a current market count.</x:v>
      </x:c>
    </x:row>
    <x:row r="1569">
      <x:c r="A1569" s="12" t="str">
        <x:v>4520</x:v>
      </x:c>
      <x:c r="B1569" s="12" t="str">
        <x:v>Maintenance and repair of motor vehicles</x:v>
      </x:c>
      <x:c r="C1569" s="12" t="str">
        <x:v>عجلون</x:v>
      </x:c>
      <x:c r="D1569" s="14" t="n">
        <x:v>201</x:v>
      </x:c>
      <x:c r="E1569" s="14" t="n">
        <x:f>VLOOKUP(C1569,'Governorate Master'!$A$2:$Q$13,3,FALSE)</x:f>
        <x:v>219900</x:v>
      </x:c>
      <x:c r="F1569" s="66" t="n">
        <x:f>IF(E1569=0,0,D1569/E1569*10000)</x:f>
        <x:v>9.140518417462483</x:v>
      </x:c>
      <x:c r="G1569" s="67" t="n">
        <x:f>VLOOKUP(C1569,'Governorate Master'!$A$2:$Q$13,7,FALSE)</x:f>
        <x:v>524</x:v>
      </x:c>
      <x:c r="H1569" s="20" t="n">
        <x:f>VLOOKUP(C1569,'Governorate Master'!$A$2:$Q$13,6,FALSE)</x:f>
        <x:v>0.8390177353342428</x:v>
      </x:c>
      <x:c r="I1569" s="20" t="n">
        <x:f>VLOOKUP(C1569,'Governorate Master'!$A$2:$Q$13,15,FALSE)</x:f>
        <x:v>0.03614457831325301</x:v>
      </x:c>
      <x:c r="J1569" s="12" t="str">
        <x:v>Location model input - competition/saturation context</x:v>
      </x:c>
      <x:c r="K1569" s="12" t="str">
        <x:v>Business count is from 2018 while population/context indicators are newer; use as a historical proxy, not a current market count.</x:v>
      </x:c>
    </x:row>
    <x:row r="1570">
      <x:c r="A1570" s="12" t="str">
        <x:v>4520</x:v>
      </x:c>
      <x:c r="B1570" s="12" t="str">
        <x:v>Maintenance and repair of motor vehicles</x:v>
      </x:c>
      <x:c r="C1570" s="12" t="str">
        <x:v>الكرك</x:v>
      </x:c>
      <x:c r="D1570" s="14" t="n">
        <x:v>350</x:v>
      </x:c>
      <x:c r="E1570" s="14" t="n">
        <x:f>VLOOKUP(C1570,'Governorate Master'!$A$2:$Q$13,3,FALSE)</x:f>
        <x:v>395400</x:v>
      </x:c>
      <x:c r="F1570" s="66" t="n">
        <x:f>IF(E1570=0,0,D1570/E1570*10000)</x:f>
        <x:v>8.85179564997471</x:v>
      </x:c>
      <x:c r="G1570" s="67" t="n">
        <x:f>VLOOKUP(C1570,'Governorate Master'!$A$2:$Q$13,7,FALSE)</x:f>
        <x:v>113.1</x:v>
      </x:c>
      <x:c r="H1570" s="20" t="n">
        <x:f>VLOOKUP(C1570,'Governorate Master'!$A$2:$Q$13,6,FALSE)</x:f>
        <x:v>0.5912999494183105</x:v>
      </x:c>
      <x:c r="I1570" s="20" t="n">
        <x:f>VLOOKUP(C1570,'Governorate Master'!$A$2:$Q$13,15,FALSE)</x:f>
        <x:v>0.08710801393728224</x:v>
      </x:c>
      <x:c r="J1570" s="12" t="str">
        <x:v>Location model input - competition/saturation context</x:v>
      </x:c>
      <x:c r="K1570" s="12" t="str">
        <x:v>Business count is from 2018 while population/context indicators are newer; use as a historical proxy, not a current market count.</x:v>
      </x:c>
    </x:row>
    <x:row r="1571">
      <x:c r="A1571" s="12" t="str">
        <x:v>4520</x:v>
      </x:c>
      <x:c r="B1571" s="12" t="str">
        <x:v>Maintenance and repair of motor vehicles</x:v>
      </x:c>
      <x:c r="C1571" s="12" t="str">
        <x:v>الطفيلة</x:v>
      </x:c>
      <x:c r="D1571" s="14" t="n">
        <x:v>100</x:v>
      </x:c>
      <x:c r="E1571" s="14" t="n">
        <x:f>VLOOKUP(C1571,'Governorate Master'!$A$2:$Q$13,3,FALSE)</x:f>
        <x:v>120300</x:v>
      </x:c>
      <x:c r="F1571" s="66" t="n">
        <x:f>IF(E1571=0,0,D1571/E1571*10000)</x:f>
        <x:v>8.31255195344971</x:v>
      </x:c>
      <x:c r="G1571" s="67" t="n">
        <x:f>VLOOKUP(C1571,'Governorate Master'!$A$2:$Q$13,7,FALSE)</x:f>
        <x:v>54.4</x:v>
      </x:c>
      <x:c r="H1571" s="20" t="n">
        <x:f>VLOOKUP(C1571,'Governorate Master'!$A$2:$Q$13,6,FALSE)</x:f>
        <x:v>0.7797173732335827</x:v>
      </x:c>
      <x:c r="I1571" s="20" t="n">
        <x:f>VLOOKUP(C1571,'Governorate Master'!$A$2:$Q$13,15,FALSE)</x:f>
        <x:v>0.18452380952380953</x:v>
      </x:c>
      <x:c r="J1571" s="12" t="str">
        <x:v>Location model input - competition/saturation context</x:v>
      </x:c>
      <x:c r="K1571" s="12" t="str">
        <x:v>Business count is from 2018 while population/context indicators are newer; use as a historical proxy, not a current market count.</x:v>
      </x:c>
    </x:row>
    <x:row r="1572">
      <x:c r="A1572" s="12" t="str">
        <x:v>4520</x:v>
      </x:c>
      <x:c r="B1572" s="12" t="str">
        <x:v>Maintenance and repair of motor vehicles</x:v>
      </x:c>
      <x:c r="C1572" s="12" t="str">
        <x:v>معان</x:v>
      </x:c>
      <x:c r="D1572" s="14" t="n">
        <x:v>164</x:v>
      </x:c>
      <x:c r="E1572" s="14" t="n">
        <x:f>VLOOKUP(C1572,'Governorate Master'!$A$2:$Q$13,3,FALSE)</x:f>
        <x:v>197900</x:v>
      </x:c>
      <x:c r="F1572" s="66" t="n">
        <x:f>IF(E1572=0,0,D1572/E1572*10000)</x:f>
        <x:v>8.287013643254168</x:v>
      </x:c>
      <x:c r="G1572" s="67" t="n">
        <x:f>VLOOKUP(C1572,'Governorate Master'!$A$2:$Q$13,7,FALSE)</x:f>
        <x:v>6</x:v>
      </x:c>
      <x:c r="H1572" s="20" t="n">
        <x:f>VLOOKUP(C1572,'Governorate Master'!$A$2:$Q$13,6,FALSE)</x:f>
        <x:v>0.5406771096513391</x:v>
      </x:c>
      <x:c r="I1572" s="20" t="n">
        <x:f>VLOOKUP(C1572,'Governorate Master'!$A$2:$Q$13,15,FALSE)</x:f>
        <x:v>0.026845637583892617</x:v>
      </x:c>
      <x:c r="J1572" s="12" t="str">
        <x:v>Location model input - competition/saturation context</x:v>
      </x:c>
      <x:c r="K1572" s="12" t="str">
        <x:v>Business count is from 2018 while population/context indicators are newer; use as a historical proxy, not a current market count.</x:v>
      </x:c>
    </x:row>
    <x:row r="1573">
      <x:c r="A1573" s="12" t="str">
        <x:v>4520</x:v>
      </x:c>
      <x:c r="B1573" s="12" t="str">
        <x:v>Maintenance and repair of motor vehicles</x:v>
      </x:c>
      <x:c r="C1573" s="12" t="str">
        <x:v>العقبة</x:v>
      </x:c>
      <x:c r="D1573" s="14" t="n">
        <x:v>262</x:v>
      </x:c>
      <x:c r="E1573" s="14" t="n">
        <x:f>VLOOKUP(C1573,'Governorate Master'!$A$2:$Q$13,3,FALSE)</x:f>
        <x:v>250900</x:v>
      </x:c>
      <x:c r="F1573" s="66" t="n">
        <x:f>IF(E1573=0,0,D1573/E1573*10000)</x:f>
        <x:v>10.442407333599043</x:v>
      </x:c>
      <x:c r="G1573" s="67" t="n">
        <x:f>VLOOKUP(C1573,'Governorate Master'!$A$2:$Q$13,7,FALSE)</x:f>
        <x:v>36.3</x:v>
      </x:c>
      <x:c r="H1573" s="20" t="n">
        <x:f>VLOOKUP(C1573,'Governorate Master'!$A$2:$Q$13,6,FALSE)</x:f>
        <x:v>0.882024711040255</x:v>
      </x:c>
      <x:c r="I1573" s="20" t="n">
        <x:f>VLOOKUP(C1573,'Governorate Master'!$A$2:$Q$13,15,FALSE)</x:f>
        <x:v>-0.09</x:v>
      </x:c>
      <x:c r="J1573" s="12" t="str">
        <x:v>Location model input - competition/saturation context</x:v>
      </x:c>
      <x:c r="K1573" s="12" t="str">
        <x:v>Business count is from 2018 while population/context indicators are newer; use as a historical proxy, not a current market count.</x:v>
      </x:c>
    </x:row>
    <x:row r="1574">
      <x:c r="A1574" s="12" t="str">
        <x:v>4530</x:v>
      </x:c>
      <x:c r="B1574" s="12" t="str">
        <x:v>Sale of motor vehicle parts and accessories</x:v>
      </x:c>
      <x:c r="C1574" s="12" t="str">
        <x:v>عمان</x:v>
      </x:c>
      <x:c r="D1574" s="14" t="n">
        <x:v>2271</x:v>
      </x:c>
      <x:c r="E1574" s="14" t="n">
        <x:f>VLOOKUP(C1574,'Governorate Master'!$A$2:$Q$13,3,FALSE)</x:f>
        <x:v>5004600</x:v>
      </x:c>
      <x:c r="F1574" s="66" t="n">
        <x:f>IF(E1574=0,0,D1574/E1574*10000)</x:f>
        <x:v>4.53782520081525</x:v>
      </x:c>
      <x:c r="G1574" s="67" t="n">
        <x:f>VLOOKUP(C1574,'Governorate Master'!$A$2:$Q$13,7,FALSE)</x:f>
        <x:v>660.3</x:v>
      </x:c>
      <x:c r="H1574" s="20" t="n">
        <x:f>VLOOKUP(C1574,'Governorate Master'!$A$2:$Q$13,6,FALSE)</x:f>
        <x:v>0.9721656076409703</x:v>
      </x:c>
      <x:c r="I1574" s="20" t="n">
        <x:f>VLOOKUP(C1574,'Governorate Master'!$A$2:$Q$13,15,FALSE)</x:f>
        <x:v>0.06367041198501873</x:v>
      </x:c>
      <x:c r="J1574" s="12" t="str">
        <x:v>Location model input - competition/saturation context</x:v>
      </x:c>
      <x:c r="K1574" s="12" t="str">
        <x:v>Business count is from 2018 while population/context indicators are newer; use as a historical proxy, not a current market count.</x:v>
      </x:c>
    </x:row>
    <x:row r="1575">
      <x:c r="A1575" s="12" t="str">
        <x:v>4530</x:v>
      </x:c>
      <x:c r="B1575" s="12" t="str">
        <x:v>Sale of motor vehicle parts and accessories</x:v>
      </x:c>
      <x:c r="C1575" s="12" t="str">
        <x:v>البلقاء</x:v>
      </x:c>
      <x:c r="D1575" s="14" t="n">
        <x:v>188</x:v>
      </x:c>
      <x:c r="E1575" s="14" t="n">
        <x:f>VLOOKUP(C1575,'Governorate Master'!$A$2:$Q$13,3,FALSE)</x:f>
        <x:v>614000</x:v>
      </x:c>
      <x:c r="F1575" s="66" t="n">
        <x:f>IF(E1575=0,0,D1575/E1575*10000)</x:f>
        <x:v>3.0618892508143323</x:v>
      </x:c>
      <x:c r="G1575" s="67" t="n">
        <x:f>VLOOKUP(C1575,'Governorate Master'!$A$2:$Q$13,7,FALSE)</x:f>
        <x:v>548</x:v>
      </x:c>
      <x:c r="H1575" s="20" t="n">
        <x:f>VLOOKUP(C1575,'Governorate Master'!$A$2:$Q$13,6,FALSE)</x:f>
        <x:v>0.8210097719869707</x:v>
      </x:c>
      <x:c r="I1575" s="20" t="n">
        <x:f>VLOOKUP(C1575,'Governorate Master'!$A$2:$Q$13,15,FALSE)</x:f>
        <x:v>0.10794044665012408</x:v>
      </x:c>
      <x:c r="J1575" s="12" t="str">
        <x:v>Location model input - competition/saturation context</x:v>
      </x:c>
      <x:c r="K1575" s="12" t="str">
        <x:v>Business count is from 2018 while population/context indicators are newer; use as a historical proxy, not a current market count.</x:v>
      </x:c>
    </x:row>
    <x:row r="1576">
      <x:c r="A1576" s="12" t="str">
        <x:v>4530</x:v>
      </x:c>
      <x:c r="B1576" s="12" t="str">
        <x:v>Sale of motor vehicle parts and accessories</x:v>
      </x:c>
      <x:c r="C1576" s="12" t="str">
        <x:v>الزرقاء</x:v>
      </x:c>
      <x:c r="D1576" s="14" t="n">
        <x:v>503</x:v>
      </x:c>
      <x:c r="E1576" s="14" t="n">
        <x:f>VLOOKUP(C1576,'Governorate Master'!$A$2:$Q$13,3,FALSE)</x:f>
        <x:v>1704500</x:v>
      </x:c>
      <x:c r="F1576" s="66" t="n">
        <x:f>IF(E1576=0,0,D1576/E1576*10000)</x:f>
        <x:v>2.9510120269873865</x:v>
      </x:c>
      <x:c r="G1576" s="67" t="n">
        <x:f>VLOOKUP(C1576,'Governorate Master'!$A$2:$Q$13,7,FALSE)</x:f>
        <x:v>358</x:v>
      </x:c>
      <x:c r="H1576" s="20" t="n">
        <x:f>VLOOKUP(C1576,'Governorate Master'!$A$2:$Q$13,6,FALSE)</x:f>
        <x:v>0.9636256966852449</x:v>
      </x:c>
      <x:c r="I1576" s="20" t="n">
        <x:f>VLOOKUP(C1576,'Governorate Master'!$A$2:$Q$13,15,FALSE)</x:f>
        <x:v>-0.06808762581409118</x:v>
      </x:c>
      <x:c r="J1576" s="12" t="str">
        <x:v>Location model input - competition/saturation context</x:v>
      </x:c>
      <x:c r="K1576" s="12" t="str">
        <x:v>Business count is from 2018 while population/context indicators are newer; use as a historical proxy, not a current market count.</x:v>
      </x:c>
    </x:row>
    <x:row r="1577">
      <x:c r="A1577" s="12" t="str">
        <x:v>4530</x:v>
      </x:c>
      <x:c r="B1577" s="12" t="str">
        <x:v>Sale of motor vehicle parts and accessories</x:v>
      </x:c>
      <x:c r="C1577" s="12" t="str">
        <x:v>مادبا</x:v>
      </x:c>
      <x:c r="D1577" s="14" t="n">
        <x:v>61</x:v>
      </x:c>
      <x:c r="E1577" s="14" t="n">
        <x:f>VLOOKUP(C1577,'Governorate Master'!$A$2:$Q$13,3,FALSE)</x:f>
        <x:v>236200</x:v>
      </x:c>
      <x:c r="F1577" s="66" t="n">
        <x:f>IF(E1577=0,0,D1577/E1577*10000)</x:f>
        <x:v>2.582557154953429</x:v>
      </x:c>
      <x:c r="G1577" s="67" t="n">
        <x:f>VLOOKUP(C1577,'Governorate Master'!$A$2:$Q$13,7,FALSE)</x:f>
        <x:v>251.4</x:v>
      </x:c>
      <x:c r="H1577" s="20" t="n">
        <x:f>VLOOKUP(C1577,'Governorate Master'!$A$2:$Q$13,6,FALSE)</x:f>
        <x:v>0.7823878069432684</x:v>
      </x:c>
      <x:c r="I1577" s="20" t="n">
        <x:f>VLOOKUP(C1577,'Governorate Master'!$A$2:$Q$13,15,FALSE)</x:f>
        <x:v>-0.18823529411764706</x:v>
      </x:c>
      <x:c r="J1577" s="12" t="str">
        <x:v>Location model input - competition/saturation context</x:v>
      </x:c>
      <x:c r="K1577" s="12" t="str">
        <x:v>Business count is from 2018 while population/context indicators are newer; use as a historical proxy, not a current market count.</x:v>
      </x:c>
    </x:row>
    <x:row r="1578">
      <x:c r="A1578" s="12" t="str">
        <x:v>4530</x:v>
      </x:c>
      <x:c r="B1578" s="12" t="str">
        <x:v>Sale of motor vehicle parts and accessories</x:v>
      </x:c>
      <x:c r="C1578" s="12" t="str">
        <x:v>إربد</x:v>
      </x:c>
      <x:c r="D1578" s="14" t="n">
        <x:v>660</x:v>
      </x:c>
      <x:c r="E1578" s="14" t="n">
        <x:f>VLOOKUP(C1578,'Governorate Master'!$A$2:$Q$13,3,FALSE)</x:f>
        <x:v>2210500</x:v>
      </x:c>
      <x:c r="F1578" s="66" t="n">
        <x:f>IF(E1578=0,0,D1578/E1578*10000)</x:f>
        <x:v>2.985749830355123</x:v>
      </x:c>
      <x:c r="G1578" s="67" t="n">
        <x:f>VLOOKUP(C1578,'Governorate Master'!$A$2:$Q$13,7,FALSE)</x:f>
        <x:v>1406.4</x:v>
      </x:c>
      <x:c r="H1578" s="20" t="n">
        <x:f>VLOOKUP(C1578,'Governorate Master'!$A$2:$Q$13,6,FALSE)</x:f>
        <x:v>0.9235014702555983</x:v>
      </x:c>
      <x:c r="I1578" s="20" t="n">
        <x:f>VLOOKUP(C1578,'Governorate Master'!$A$2:$Q$13,15,FALSE)</x:f>
        <x:v>0.07086922474549726</x:v>
      </x:c>
      <x:c r="J1578" s="12" t="str">
        <x:v>Location model input - competition/saturation context</x:v>
      </x:c>
      <x:c r="K1578" s="12" t="str">
        <x:v>Business count is from 2018 while population/context indicators are newer; use as a historical proxy, not a current market count.</x:v>
      </x:c>
    </x:row>
    <x:row r="1579">
      <x:c r="A1579" s="12" t="str">
        <x:v>4530</x:v>
      </x:c>
      <x:c r="B1579" s="12" t="str">
        <x:v>Sale of motor vehicle parts and accessories</x:v>
      </x:c>
      <x:c r="C1579" s="12" t="str">
        <x:v>المفرق</x:v>
      </x:c>
      <x:c r="D1579" s="14" t="n">
        <x:v>74</x:v>
      </x:c>
      <x:c r="E1579" s="14" t="n">
        <x:f>VLOOKUP(C1579,'Governorate Master'!$A$2:$Q$13,3,FALSE)</x:f>
        <x:v>686800</x:v>
      </x:c>
      <x:c r="F1579" s="66" t="n">
        <x:f>IF(E1579=0,0,D1579/E1579*10000)</x:f>
        <x:v>1.077460687245195</x:v>
      </x:c>
      <x:c r="G1579" s="67" t="n">
        <x:f>VLOOKUP(C1579,'Governorate Master'!$A$2:$Q$13,7,FALSE)</x:f>
        <x:v>25.9</x:v>
      </x:c>
      <x:c r="H1579" s="20" t="n">
        <x:f>VLOOKUP(C1579,'Governorate Master'!$A$2:$Q$13,6,FALSE)</x:f>
        <x:v>0.6965637740244612</x:v>
      </x:c>
      <x:c r="I1579" s="20" t="n">
        <x:f>VLOOKUP(C1579,'Governorate Master'!$A$2:$Q$13,15,FALSE)</x:f>
        <x:v>-0.016638935108153077</x:v>
      </x:c>
      <x:c r="J1579" s="12" t="str">
        <x:v>Location model input - competition/saturation context</x:v>
      </x:c>
      <x:c r="K1579" s="12" t="str">
        <x:v>Business count is from 2018 while population/context indicators are newer; use as a historical proxy, not a current market count.</x:v>
      </x:c>
    </x:row>
    <x:row r="1580">
      <x:c r="A1580" s="12" t="str">
        <x:v>4530</x:v>
      </x:c>
      <x:c r="B1580" s="12" t="str">
        <x:v>Sale of motor vehicle parts and accessories</x:v>
      </x:c>
      <x:c r="C1580" s="12" t="str">
        <x:v>جرش</x:v>
      </x:c>
      <x:c r="D1580" s="14" t="n">
        <x:v>73</x:v>
      </x:c>
      <x:c r="E1580" s="14" t="n">
        <x:f>VLOOKUP(C1580,'Governorate Master'!$A$2:$Q$13,3,FALSE)</x:f>
        <x:v>296000</x:v>
      </x:c>
      <x:c r="F1580" s="66" t="n">
        <x:f>IF(E1580=0,0,D1580/E1580*10000)</x:f>
        <x:v>2.4662162162162162</x:v>
      </x:c>
      <x:c r="G1580" s="67" t="n">
        <x:f>VLOOKUP(C1580,'Governorate Master'!$A$2:$Q$13,7,FALSE)</x:f>
        <x:v>722.3</x:v>
      </x:c>
      <x:c r="H1580" s="20" t="n">
        <x:f>VLOOKUP(C1580,'Governorate Master'!$A$2:$Q$13,6,FALSE)</x:f>
        <x:v>0.7695945945945946</x:v>
      </x:c>
      <x:c r="I1580" s="20" t="n">
        <x:f>VLOOKUP(C1580,'Governorate Master'!$A$2:$Q$13,15,FALSE)</x:f>
        <x:v>-0.06527415143603134</x:v>
      </x:c>
      <x:c r="J1580" s="12" t="str">
        <x:v>Location model input - competition/saturation context</x:v>
      </x:c>
      <x:c r="K1580" s="12" t="str">
        <x:v>Business count is from 2018 while population/context indicators are newer; use as a historical proxy, not a current market count.</x:v>
      </x:c>
    </x:row>
    <x:row r="1581">
      <x:c r="A1581" s="12" t="str">
        <x:v>4530</x:v>
      </x:c>
      <x:c r="B1581" s="12" t="str">
        <x:v>Sale of motor vehicle parts and accessories</x:v>
      </x:c>
      <x:c r="C1581" s="12" t="str">
        <x:v>عجلون</x:v>
      </x:c>
      <x:c r="D1581" s="14" t="n">
        <x:v>75</x:v>
      </x:c>
      <x:c r="E1581" s="14" t="n">
        <x:f>VLOOKUP(C1581,'Governorate Master'!$A$2:$Q$13,3,FALSE)</x:f>
        <x:v>219900</x:v>
      </x:c>
      <x:c r="F1581" s="66" t="n">
        <x:f>IF(E1581=0,0,D1581/E1581*10000)</x:f>
        <x:v>3.4106412005457027</x:v>
      </x:c>
      <x:c r="G1581" s="67" t="n">
        <x:f>VLOOKUP(C1581,'Governorate Master'!$A$2:$Q$13,7,FALSE)</x:f>
        <x:v>524</x:v>
      </x:c>
      <x:c r="H1581" s="20" t="n">
        <x:f>VLOOKUP(C1581,'Governorate Master'!$A$2:$Q$13,6,FALSE)</x:f>
        <x:v>0.8390177353342428</x:v>
      </x:c>
      <x:c r="I1581" s="20" t="n">
        <x:f>VLOOKUP(C1581,'Governorate Master'!$A$2:$Q$13,15,FALSE)</x:f>
        <x:v>0.03614457831325301</x:v>
      </x:c>
      <x:c r="J1581" s="12" t="str">
        <x:v>Location model input - competition/saturation context</x:v>
      </x:c>
      <x:c r="K1581" s="12" t="str">
        <x:v>Business count is from 2018 while population/context indicators are newer; use as a historical proxy, not a current market count.</x:v>
      </x:c>
    </x:row>
    <x:row r="1582">
      <x:c r="A1582" s="12" t="str">
        <x:v>4530</x:v>
      </x:c>
      <x:c r="B1582" s="12" t="str">
        <x:v>Sale of motor vehicle parts and accessories</x:v>
      </x:c>
      <x:c r="C1582" s="12" t="str">
        <x:v>الكرك</x:v>
      </x:c>
      <x:c r="D1582" s="14" t="n">
        <x:v>134</x:v>
      </x:c>
      <x:c r="E1582" s="14" t="n">
        <x:f>VLOOKUP(C1582,'Governorate Master'!$A$2:$Q$13,3,FALSE)</x:f>
        <x:v>395400</x:v>
      </x:c>
      <x:c r="F1582" s="66" t="n">
        <x:f>IF(E1582=0,0,D1582/E1582*10000)</x:f>
        <x:v>3.388973191704603</x:v>
      </x:c>
      <x:c r="G1582" s="67" t="n">
        <x:f>VLOOKUP(C1582,'Governorate Master'!$A$2:$Q$13,7,FALSE)</x:f>
        <x:v>113.1</x:v>
      </x:c>
      <x:c r="H1582" s="20" t="n">
        <x:f>VLOOKUP(C1582,'Governorate Master'!$A$2:$Q$13,6,FALSE)</x:f>
        <x:v>0.5912999494183105</x:v>
      </x:c>
      <x:c r="I1582" s="20" t="n">
        <x:f>VLOOKUP(C1582,'Governorate Master'!$A$2:$Q$13,15,FALSE)</x:f>
        <x:v>0.08710801393728224</x:v>
      </x:c>
      <x:c r="J1582" s="12" t="str">
        <x:v>Location model input - competition/saturation context</x:v>
      </x:c>
      <x:c r="K1582" s="12" t="str">
        <x:v>Business count is from 2018 while population/context indicators are newer; use as a historical proxy, not a current market count.</x:v>
      </x:c>
    </x:row>
    <x:row r="1583">
      <x:c r="A1583" s="12" t="str">
        <x:v>4530</x:v>
      </x:c>
      <x:c r="B1583" s="12" t="str">
        <x:v>Sale of motor vehicle parts and accessories</x:v>
      </x:c>
      <x:c r="C1583" s="12" t="str">
        <x:v>الطفيلة</x:v>
      </x:c>
      <x:c r="D1583" s="14" t="n">
        <x:v>43</x:v>
      </x:c>
      <x:c r="E1583" s="14" t="n">
        <x:f>VLOOKUP(C1583,'Governorate Master'!$A$2:$Q$13,3,FALSE)</x:f>
        <x:v>120300</x:v>
      </x:c>
      <x:c r="F1583" s="66" t="n">
        <x:f>IF(E1583=0,0,D1583/E1583*10000)</x:f>
        <x:v>3.574397339983375</x:v>
      </x:c>
      <x:c r="G1583" s="67" t="n">
        <x:f>VLOOKUP(C1583,'Governorate Master'!$A$2:$Q$13,7,FALSE)</x:f>
        <x:v>54.4</x:v>
      </x:c>
      <x:c r="H1583" s="20" t="n">
        <x:f>VLOOKUP(C1583,'Governorate Master'!$A$2:$Q$13,6,FALSE)</x:f>
        <x:v>0.7797173732335827</x:v>
      </x:c>
      <x:c r="I1583" s="20" t="n">
        <x:f>VLOOKUP(C1583,'Governorate Master'!$A$2:$Q$13,15,FALSE)</x:f>
        <x:v>0.18452380952380953</x:v>
      </x:c>
      <x:c r="J1583" s="12" t="str">
        <x:v>Location model input - competition/saturation context</x:v>
      </x:c>
      <x:c r="K1583" s="12" t="str">
        <x:v>Business count is from 2018 while population/context indicators are newer; use as a historical proxy, not a current market count.</x:v>
      </x:c>
    </x:row>
    <x:row r="1584">
      <x:c r="A1584" s="12" t="str">
        <x:v>4530</x:v>
      </x:c>
      <x:c r="B1584" s="12" t="str">
        <x:v>Sale of motor vehicle parts and accessories</x:v>
      </x:c>
      <x:c r="C1584" s="12" t="str">
        <x:v>معان</x:v>
      </x:c>
      <x:c r="D1584" s="14" t="n">
        <x:v>63</x:v>
      </x:c>
      <x:c r="E1584" s="14" t="n">
        <x:f>VLOOKUP(C1584,'Governorate Master'!$A$2:$Q$13,3,FALSE)</x:f>
        <x:v>197900</x:v>
      </x:c>
      <x:c r="F1584" s="66" t="n">
        <x:f>IF(E1584=0,0,D1584/E1584*10000)</x:f>
        <x:v>3.1834259727134917</x:v>
      </x:c>
      <x:c r="G1584" s="67" t="n">
        <x:f>VLOOKUP(C1584,'Governorate Master'!$A$2:$Q$13,7,FALSE)</x:f>
        <x:v>6</x:v>
      </x:c>
      <x:c r="H1584" s="20" t="n">
        <x:f>VLOOKUP(C1584,'Governorate Master'!$A$2:$Q$13,6,FALSE)</x:f>
        <x:v>0.5406771096513391</x:v>
      </x:c>
      <x:c r="I1584" s="20" t="n">
        <x:f>VLOOKUP(C1584,'Governorate Master'!$A$2:$Q$13,15,FALSE)</x:f>
        <x:v>0.026845637583892617</x:v>
      </x:c>
      <x:c r="J1584" s="12" t="str">
        <x:v>Location model input - competition/saturation context</x:v>
      </x:c>
      <x:c r="K1584" s="12" t="str">
        <x:v>Business count is from 2018 while population/context indicators are newer; use as a historical proxy, not a current market count.</x:v>
      </x:c>
    </x:row>
    <x:row r="1585">
      <x:c r="A1585" s="12" t="str">
        <x:v>4530</x:v>
      </x:c>
      <x:c r="B1585" s="12" t="str">
        <x:v>Sale of motor vehicle parts and accessories</x:v>
      </x:c>
      <x:c r="C1585" s="12" t="str">
        <x:v>العقبة</x:v>
      </x:c>
      <x:c r="D1585" s="14" t="n">
        <x:v>108</x:v>
      </x:c>
      <x:c r="E1585" s="14" t="n">
        <x:f>VLOOKUP(C1585,'Governorate Master'!$A$2:$Q$13,3,FALSE)</x:f>
        <x:v>250900</x:v>
      </x:c>
      <x:c r="F1585" s="66" t="n">
        <x:f>IF(E1585=0,0,D1585/E1585*10000)</x:f>
        <x:v>4.304503786369072</x:v>
      </x:c>
      <x:c r="G1585" s="67" t="n">
        <x:f>VLOOKUP(C1585,'Governorate Master'!$A$2:$Q$13,7,FALSE)</x:f>
        <x:v>36.3</x:v>
      </x:c>
      <x:c r="H1585" s="20" t="n">
        <x:f>VLOOKUP(C1585,'Governorate Master'!$A$2:$Q$13,6,FALSE)</x:f>
        <x:v>0.882024711040255</x:v>
      </x:c>
      <x:c r="I1585" s="20" t="n">
        <x:f>VLOOKUP(C1585,'Governorate Master'!$A$2:$Q$13,15,FALSE)</x:f>
        <x:v>-0.09</x:v>
      </x:c>
      <x:c r="J1585" s="12" t="str">
        <x:v>Location model input - competition/saturation context</x:v>
      </x:c>
      <x:c r="K1585" s="12" t="str">
        <x:v>Business count is from 2018 while population/context indicators are newer; use as a historical proxy, not a current market count.</x:v>
      </x:c>
    </x:row>
    <x:row r="1586">
      <x:c r="A1586" s="12" t="str">
        <x:v>4540</x:v>
      </x:c>
      <x:c r="B1586" s="12" t="str">
        <x:v>Sale, maintenance and repair of motorcycles and related parts and accessories</x:v>
      </x:c>
      <x:c r="C1586" s="12" t="str">
        <x:v>عمان</x:v>
      </x:c>
      <x:c r="D1586" s="14" t="n">
        <x:v>12</x:v>
      </x:c>
      <x:c r="E1586" s="14" t="n">
        <x:f>VLOOKUP(C1586,'Governorate Master'!$A$2:$Q$13,3,FALSE)</x:f>
        <x:v>5004600</x:v>
      </x:c>
      <x:c r="F1586" s="66" t="n">
        <x:f>IF(E1586=0,0,D1586/E1586*10000)</x:f>
        <x:v>0.023977940294928664</x:v>
      </x:c>
      <x:c r="G1586" s="67" t="n">
        <x:f>VLOOKUP(C1586,'Governorate Master'!$A$2:$Q$13,7,FALSE)</x:f>
        <x:v>660.3</x:v>
      </x:c>
      <x:c r="H1586" s="20" t="n">
        <x:f>VLOOKUP(C1586,'Governorate Master'!$A$2:$Q$13,6,FALSE)</x:f>
        <x:v>0.9721656076409703</x:v>
      </x:c>
      <x:c r="I1586" s="20" t="n">
        <x:f>VLOOKUP(C1586,'Governorate Master'!$A$2:$Q$13,15,FALSE)</x:f>
        <x:v>0.06367041198501873</x:v>
      </x:c>
      <x:c r="J1586" s="12" t="str">
        <x:v>Location model input - competition/saturation context</x:v>
      </x:c>
      <x:c r="K1586" s="12" t="str">
        <x:v>Business count is from 2018 while population/context indicators are newer; use as a historical proxy, not a current market count.</x:v>
      </x:c>
    </x:row>
    <x:row r="1587">
      <x:c r="A1587" s="12" t="str">
        <x:v>4540</x:v>
      </x:c>
      <x:c r="B1587" s="12" t="str">
        <x:v>Sale, maintenance and repair of motorcycles and related parts and accessories</x:v>
      </x:c>
      <x:c r="C1587" s="12" t="str">
        <x:v>البلقاء</x:v>
      </x:c>
      <x:c r="D1587" s="14" t="n">
        <x:v>1</x:v>
      </x:c>
      <x:c r="E1587" s="14" t="n">
        <x:f>VLOOKUP(C1587,'Governorate Master'!$A$2:$Q$13,3,FALSE)</x:f>
        <x:v>614000</x:v>
      </x:c>
      <x:c r="F1587" s="66" t="n">
        <x:f>IF(E1587=0,0,D1587/E1587*10000)</x:f>
        <x:v>0.016286644951140065</x:v>
      </x:c>
      <x:c r="G1587" s="67" t="n">
        <x:f>VLOOKUP(C1587,'Governorate Master'!$A$2:$Q$13,7,FALSE)</x:f>
        <x:v>548</x:v>
      </x:c>
      <x:c r="H1587" s="20" t="n">
        <x:f>VLOOKUP(C1587,'Governorate Master'!$A$2:$Q$13,6,FALSE)</x:f>
        <x:v>0.8210097719869707</x:v>
      </x:c>
      <x:c r="I1587" s="20" t="n">
        <x:f>VLOOKUP(C1587,'Governorate Master'!$A$2:$Q$13,15,FALSE)</x:f>
        <x:v>0.10794044665012408</x:v>
      </x:c>
      <x:c r="J1587" s="12" t="str">
        <x:v>Location model input - competition/saturation context</x:v>
      </x:c>
      <x:c r="K1587" s="12" t="str">
        <x:v>Business count is from 2018 while population/context indicators are newer; use as a historical proxy, not a current market count.</x:v>
      </x:c>
    </x:row>
    <x:row r="1588">
      <x:c r="A1588" s="12" t="str">
        <x:v>4540</x:v>
      </x:c>
      <x:c r="B1588" s="12" t="str">
        <x:v>Sale, maintenance and repair of motorcycles and related parts and accessories</x:v>
      </x:c>
      <x:c r="C1588" s="12" t="str">
        <x:v>الزرقاء</x:v>
      </x:c>
      <x:c r="D1588" s="14" t="n">
        <x:v>3</x:v>
      </x:c>
      <x:c r="E1588" s="14" t="n">
        <x:f>VLOOKUP(C1588,'Governorate Master'!$A$2:$Q$13,3,FALSE)</x:f>
        <x:v>1704500</x:v>
      </x:c>
      <x:c r="F1588" s="66" t="n">
        <x:f>IF(E1588=0,0,D1588/E1588*10000)</x:f>
        <x:v>0.01760046934584922</x:v>
      </x:c>
      <x:c r="G1588" s="67" t="n">
        <x:f>VLOOKUP(C1588,'Governorate Master'!$A$2:$Q$13,7,FALSE)</x:f>
        <x:v>358</x:v>
      </x:c>
      <x:c r="H1588" s="20" t="n">
        <x:f>VLOOKUP(C1588,'Governorate Master'!$A$2:$Q$13,6,FALSE)</x:f>
        <x:v>0.9636256966852449</x:v>
      </x:c>
      <x:c r="I1588" s="20" t="n">
        <x:f>VLOOKUP(C1588,'Governorate Master'!$A$2:$Q$13,15,FALSE)</x:f>
        <x:v>-0.06808762581409118</x:v>
      </x:c>
      <x:c r="J1588" s="12" t="str">
        <x:v>Location model input - competition/saturation context</x:v>
      </x:c>
      <x:c r="K1588" s="12" t="str">
        <x:v>Business count is from 2018 while population/context indicators are newer; use as a historical proxy, not a current market count.</x:v>
      </x:c>
    </x:row>
    <x:row r="1589">
      <x:c r="A1589" s="12" t="str">
        <x:v>4540</x:v>
      </x:c>
      <x:c r="B1589" s="12" t="str">
        <x:v>Sale, maintenance and repair of motorcycles and related parts and accessories</x:v>
      </x:c>
      <x:c r="C1589" s="12" t="str">
        <x:v>مادبا</x:v>
      </x:c>
      <x:c r="D1589" s="14" t="n">
        <x:v>0</x:v>
      </x:c>
      <x:c r="E1589" s="14" t="n">
        <x:f>VLOOKUP(C1589,'Governorate Master'!$A$2:$Q$13,3,FALSE)</x:f>
        <x:v>236200</x:v>
      </x:c>
      <x:c r="F1589" s="66" t="n">
        <x:f>IF(E1589=0,0,D1589/E1589*10000)</x:f>
        <x:v>0</x:v>
      </x:c>
      <x:c r="G1589" s="67" t="n">
        <x:f>VLOOKUP(C1589,'Governorate Master'!$A$2:$Q$13,7,FALSE)</x:f>
        <x:v>251.4</x:v>
      </x:c>
      <x:c r="H1589" s="20" t="n">
        <x:f>VLOOKUP(C1589,'Governorate Master'!$A$2:$Q$13,6,FALSE)</x:f>
        <x:v>0.7823878069432684</x:v>
      </x:c>
      <x:c r="I1589" s="20" t="n">
        <x:f>VLOOKUP(C1589,'Governorate Master'!$A$2:$Q$13,15,FALSE)</x:f>
        <x:v>-0.18823529411764706</x:v>
      </x:c>
      <x:c r="J1589" s="12" t="str">
        <x:v>Location model input - competition/saturation context</x:v>
      </x:c>
      <x:c r="K1589" s="12" t="str">
        <x:v>Business count is from 2018 while population/context indicators are newer; use as a historical proxy, not a current market count.</x:v>
      </x:c>
    </x:row>
    <x:row r="1590">
      <x:c r="A1590" s="12" t="str">
        <x:v>4540</x:v>
      </x:c>
      <x:c r="B1590" s="12" t="str">
        <x:v>Sale, maintenance and repair of motorcycles and related parts and accessories</x:v>
      </x:c>
      <x:c r="C1590" s="12" t="str">
        <x:v>إربد</x:v>
      </x:c>
      <x:c r="D1590" s="14" t="n">
        <x:v>8</x:v>
      </x:c>
      <x:c r="E1590" s="14" t="n">
        <x:f>VLOOKUP(C1590,'Governorate Master'!$A$2:$Q$13,3,FALSE)</x:f>
        <x:v>2210500</x:v>
      </x:c>
      <x:c r="F1590" s="66" t="n">
        <x:f>IF(E1590=0,0,D1590/E1590*10000)</x:f>
        <x:v>0.036190907034607554</x:v>
      </x:c>
      <x:c r="G1590" s="67" t="n">
        <x:f>VLOOKUP(C1590,'Governorate Master'!$A$2:$Q$13,7,FALSE)</x:f>
        <x:v>1406.4</x:v>
      </x:c>
      <x:c r="H1590" s="20" t="n">
        <x:f>VLOOKUP(C1590,'Governorate Master'!$A$2:$Q$13,6,FALSE)</x:f>
        <x:v>0.9235014702555983</x:v>
      </x:c>
      <x:c r="I1590" s="20" t="n">
        <x:f>VLOOKUP(C1590,'Governorate Master'!$A$2:$Q$13,15,FALSE)</x:f>
        <x:v>0.07086922474549726</x:v>
      </x:c>
      <x:c r="J1590" s="12" t="str">
        <x:v>Location model input - competition/saturation context</x:v>
      </x:c>
      <x:c r="K1590" s="12" t="str">
        <x:v>Business count is from 2018 while population/context indicators are newer; use as a historical proxy, not a current market count.</x:v>
      </x:c>
    </x:row>
    <x:row r="1591">
      <x:c r="A1591" s="12" t="str">
        <x:v>4540</x:v>
      </x:c>
      <x:c r="B1591" s="12" t="str">
        <x:v>Sale, maintenance and repair of motorcycles and related parts and accessories</x:v>
      </x:c>
      <x:c r="C1591" s="12" t="str">
        <x:v>المفرق</x:v>
      </x:c>
      <x:c r="D1591" s="14" t="n">
        <x:v>0</x:v>
      </x:c>
      <x:c r="E1591" s="14" t="n">
        <x:f>VLOOKUP(C1591,'Governorate Master'!$A$2:$Q$13,3,FALSE)</x:f>
        <x:v>686800</x:v>
      </x:c>
      <x:c r="F1591" s="66" t="n">
        <x:f>IF(E1591=0,0,D1591/E1591*10000)</x:f>
        <x:v>0</x:v>
      </x:c>
      <x:c r="G1591" s="67" t="n">
        <x:f>VLOOKUP(C1591,'Governorate Master'!$A$2:$Q$13,7,FALSE)</x:f>
        <x:v>25.9</x:v>
      </x:c>
      <x:c r="H1591" s="20" t="n">
        <x:f>VLOOKUP(C1591,'Governorate Master'!$A$2:$Q$13,6,FALSE)</x:f>
        <x:v>0.6965637740244612</x:v>
      </x:c>
      <x:c r="I1591" s="20" t="n">
        <x:f>VLOOKUP(C1591,'Governorate Master'!$A$2:$Q$13,15,FALSE)</x:f>
        <x:v>-0.016638935108153077</x:v>
      </x:c>
      <x:c r="J1591" s="12" t="str">
        <x:v>Location model input - competition/saturation context</x:v>
      </x:c>
      <x:c r="K1591" s="12" t="str">
        <x:v>Business count is from 2018 while population/context indicators are newer; use as a historical proxy, not a current market count.</x:v>
      </x:c>
    </x:row>
    <x:row r="1592">
      <x:c r="A1592" s="12" t="str">
        <x:v>4540</x:v>
      </x:c>
      <x:c r="B1592" s="12" t="str">
        <x:v>Sale, maintenance and repair of motorcycles and related parts and accessories</x:v>
      </x:c>
      <x:c r="C1592" s="12" t="str">
        <x:v>جرش</x:v>
      </x:c>
      <x:c r="D1592" s="14" t="n">
        <x:v>0</x:v>
      </x:c>
      <x:c r="E1592" s="14" t="n">
        <x:f>VLOOKUP(C1592,'Governorate Master'!$A$2:$Q$13,3,FALSE)</x:f>
        <x:v>296000</x:v>
      </x:c>
      <x:c r="F1592" s="66" t="n">
        <x:f>IF(E1592=0,0,D1592/E1592*10000)</x:f>
        <x:v>0</x:v>
      </x:c>
      <x:c r="G1592" s="67" t="n">
        <x:f>VLOOKUP(C1592,'Governorate Master'!$A$2:$Q$13,7,FALSE)</x:f>
        <x:v>722.3</x:v>
      </x:c>
      <x:c r="H1592" s="20" t="n">
        <x:f>VLOOKUP(C1592,'Governorate Master'!$A$2:$Q$13,6,FALSE)</x:f>
        <x:v>0.7695945945945946</x:v>
      </x:c>
      <x:c r="I1592" s="20" t="n">
        <x:f>VLOOKUP(C1592,'Governorate Master'!$A$2:$Q$13,15,FALSE)</x:f>
        <x:v>-0.06527415143603134</x:v>
      </x:c>
      <x:c r="J1592" s="12" t="str">
        <x:v>Location model input - competition/saturation context</x:v>
      </x:c>
      <x:c r="K1592" s="12" t="str">
        <x:v>Business count is from 2018 while population/context indicators are newer; use as a historical proxy, not a current market count.</x:v>
      </x:c>
    </x:row>
    <x:row r="1593">
      <x:c r="A1593" s="12" t="str">
        <x:v>4540</x:v>
      </x:c>
      <x:c r="B1593" s="12" t="str">
        <x:v>Sale, maintenance and repair of motorcycles and related parts and accessories</x:v>
      </x:c>
      <x:c r="C1593" s="12" t="str">
        <x:v>عجلون</x:v>
      </x:c>
      <x:c r="D1593" s="14" t="n">
        <x:v>1</x:v>
      </x:c>
      <x:c r="E1593" s="14" t="n">
        <x:f>VLOOKUP(C1593,'Governorate Master'!$A$2:$Q$13,3,FALSE)</x:f>
        <x:v>219900</x:v>
      </x:c>
      <x:c r="F1593" s="66" t="n">
        <x:f>IF(E1593=0,0,D1593/E1593*10000)</x:f>
        <x:v>0.04547521600727603</x:v>
      </x:c>
      <x:c r="G1593" s="67" t="n">
        <x:f>VLOOKUP(C1593,'Governorate Master'!$A$2:$Q$13,7,FALSE)</x:f>
        <x:v>524</x:v>
      </x:c>
      <x:c r="H1593" s="20" t="n">
        <x:f>VLOOKUP(C1593,'Governorate Master'!$A$2:$Q$13,6,FALSE)</x:f>
        <x:v>0.8390177353342428</x:v>
      </x:c>
      <x:c r="I1593" s="20" t="n">
        <x:f>VLOOKUP(C1593,'Governorate Master'!$A$2:$Q$13,15,FALSE)</x:f>
        <x:v>0.03614457831325301</x:v>
      </x:c>
      <x:c r="J1593" s="12" t="str">
        <x:v>Location model input - competition/saturation context</x:v>
      </x:c>
      <x:c r="K1593" s="12" t="str">
        <x:v>Business count is from 2018 while population/context indicators are newer; use as a historical proxy, not a current market count.</x:v>
      </x:c>
    </x:row>
    <x:row r="1594">
      <x:c r="A1594" s="12" t="str">
        <x:v>4540</x:v>
      </x:c>
      <x:c r="B1594" s="12" t="str">
        <x:v>Sale, maintenance and repair of motorcycles and related parts and accessories</x:v>
      </x:c>
      <x:c r="C1594" s="12" t="str">
        <x:v>الكرك</x:v>
      </x:c>
      <x:c r="D1594" s="14" t="n">
        <x:v>0</x:v>
      </x:c>
      <x:c r="E1594" s="14" t="n">
        <x:f>VLOOKUP(C1594,'Governorate Master'!$A$2:$Q$13,3,FALSE)</x:f>
        <x:v>395400</x:v>
      </x:c>
      <x:c r="F1594" s="66" t="n">
        <x:f>IF(E1594=0,0,D1594/E1594*10000)</x:f>
        <x:v>0</x:v>
      </x:c>
      <x:c r="G1594" s="67" t="n">
        <x:f>VLOOKUP(C1594,'Governorate Master'!$A$2:$Q$13,7,FALSE)</x:f>
        <x:v>113.1</x:v>
      </x:c>
      <x:c r="H1594" s="20" t="n">
        <x:f>VLOOKUP(C1594,'Governorate Master'!$A$2:$Q$13,6,FALSE)</x:f>
        <x:v>0.5912999494183105</x:v>
      </x:c>
      <x:c r="I1594" s="20" t="n">
        <x:f>VLOOKUP(C1594,'Governorate Master'!$A$2:$Q$13,15,FALSE)</x:f>
        <x:v>0.08710801393728224</x:v>
      </x:c>
      <x:c r="J1594" s="12" t="str">
        <x:v>Location model input - competition/saturation context</x:v>
      </x:c>
      <x:c r="K1594" s="12" t="str">
        <x:v>Business count is from 2018 while population/context indicators are newer; use as a historical proxy, not a current market count.</x:v>
      </x:c>
    </x:row>
    <x:row r="1595">
      <x:c r="A1595" s="12" t="str">
        <x:v>4540</x:v>
      </x:c>
      <x:c r="B1595" s="12" t="str">
        <x:v>Sale, maintenance and repair of motorcycles and related parts and accessories</x:v>
      </x:c>
      <x:c r="C1595" s="12" t="str">
        <x:v>الطفيلة</x:v>
      </x:c>
      <x:c r="D1595" s="14" t="n">
        <x:v>0</x:v>
      </x:c>
      <x:c r="E1595" s="14" t="n">
        <x:f>VLOOKUP(C1595,'Governorate Master'!$A$2:$Q$13,3,FALSE)</x:f>
        <x:v>120300</x:v>
      </x:c>
      <x:c r="F1595" s="66" t="n">
        <x:f>IF(E1595=0,0,D1595/E1595*10000)</x:f>
        <x:v>0</x:v>
      </x:c>
      <x:c r="G1595" s="67" t="n">
        <x:f>VLOOKUP(C1595,'Governorate Master'!$A$2:$Q$13,7,FALSE)</x:f>
        <x:v>54.4</x:v>
      </x:c>
      <x:c r="H1595" s="20" t="n">
        <x:f>VLOOKUP(C1595,'Governorate Master'!$A$2:$Q$13,6,FALSE)</x:f>
        <x:v>0.7797173732335827</x:v>
      </x:c>
      <x:c r="I1595" s="20" t="n">
        <x:f>VLOOKUP(C1595,'Governorate Master'!$A$2:$Q$13,15,FALSE)</x:f>
        <x:v>0.18452380952380953</x:v>
      </x:c>
      <x:c r="J1595" s="12" t="str">
        <x:v>Location model input - competition/saturation context</x:v>
      </x:c>
      <x:c r="K1595" s="12" t="str">
        <x:v>Business count is from 2018 while population/context indicators are newer; use as a historical proxy, not a current market count.</x:v>
      </x:c>
    </x:row>
    <x:row r="1596">
      <x:c r="A1596" s="12" t="str">
        <x:v>4540</x:v>
      </x:c>
      <x:c r="B1596" s="12" t="str">
        <x:v>Sale, maintenance and repair of motorcycles and related parts and accessories</x:v>
      </x:c>
      <x:c r="C1596" s="12" t="str">
        <x:v>معان</x:v>
      </x:c>
      <x:c r="D1596" s="14" t="n">
        <x:v>0</x:v>
      </x:c>
      <x:c r="E1596" s="14" t="n">
        <x:f>VLOOKUP(C1596,'Governorate Master'!$A$2:$Q$13,3,FALSE)</x:f>
        <x:v>197900</x:v>
      </x:c>
      <x:c r="F1596" s="66" t="n">
        <x:f>IF(E1596=0,0,D1596/E1596*10000)</x:f>
        <x:v>0</x:v>
      </x:c>
      <x:c r="G1596" s="67" t="n">
        <x:f>VLOOKUP(C1596,'Governorate Master'!$A$2:$Q$13,7,FALSE)</x:f>
        <x:v>6</x:v>
      </x:c>
      <x:c r="H1596" s="20" t="n">
        <x:f>VLOOKUP(C1596,'Governorate Master'!$A$2:$Q$13,6,FALSE)</x:f>
        <x:v>0.5406771096513391</x:v>
      </x:c>
      <x:c r="I1596" s="20" t="n">
        <x:f>VLOOKUP(C1596,'Governorate Master'!$A$2:$Q$13,15,FALSE)</x:f>
        <x:v>0.026845637583892617</x:v>
      </x:c>
      <x:c r="J1596" s="12" t="str">
        <x:v>Location model input - competition/saturation context</x:v>
      </x:c>
      <x:c r="K1596" s="12" t="str">
        <x:v>Business count is from 2018 while population/context indicators are newer; use as a historical proxy, not a current market count.</x:v>
      </x:c>
    </x:row>
    <x:row r="1597">
      <x:c r="A1597" s="12" t="str">
        <x:v>4540</x:v>
      </x:c>
      <x:c r="B1597" s="12" t="str">
        <x:v>Sale, maintenance and repair of motorcycles and related parts and accessories</x:v>
      </x:c>
      <x:c r="C1597" s="12" t="str">
        <x:v>العقبة</x:v>
      </x:c>
      <x:c r="D1597" s="14" t="n">
        <x:v>1</x:v>
      </x:c>
      <x:c r="E1597" s="14" t="n">
        <x:f>VLOOKUP(C1597,'Governorate Master'!$A$2:$Q$13,3,FALSE)</x:f>
        <x:v>250900</x:v>
      </x:c>
      <x:c r="F1597" s="66" t="n">
        <x:f>IF(E1597=0,0,D1597/E1597*10000)</x:f>
        <x:v>0.03985651654045436</x:v>
      </x:c>
      <x:c r="G1597" s="67" t="n">
        <x:f>VLOOKUP(C1597,'Governorate Master'!$A$2:$Q$13,7,FALSE)</x:f>
        <x:v>36.3</x:v>
      </x:c>
      <x:c r="H1597" s="20" t="n">
        <x:f>VLOOKUP(C1597,'Governorate Master'!$A$2:$Q$13,6,FALSE)</x:f>
        <x:v>0.882024711040255</x:v>
      </x:c>
      <x:c r="I1597" s="20" t="n">
        <x:f>VLOOKUP(C1597,'Governorate Master'!$A$2:$Q$13,15,FALSE)</x:f>
        <x:v>-0.09</x:v>
      </x:c>
      <x:c r="J1597" s="12" t="str">
        <x:v>Location model input - competition/saturation context</x:v>
      </x:c>
      <x:c r="K1597" s="12" t="str">
        <x:v>Business count is from 2018 while population/context indicators are newer; use as a historical proxy, not a current market count.</x:v>
      </x:c>
    </x:row>
    <x:row r="1598">
      <x:c r="A1598" s="12" t="str">
        <x:v>4610</x:v>
      </x:c>
      <x:c r="B1598" s="12" t="str">
        <x:v>Wholesale on a fee or contract basis</x:v>
      </x:c>
      <x:c r="C1598" s="12" t="str">
        <x:v>عمان</x:v>
      </x:c>
      <x:c r="D1598" s="14" t="n">
        <x:v>278</x:v>
      </x:c>
      <x:c r="E1598" s="14" t="n">
        <x:f>VLOOKUP(C1598,'Governorate Master'!$A$2:$Q$13,3,FALSE)</x:f>
        <x:v>5004600</x:v>
      </x:c>
      <x:c r="F1598" s="66" t="n">
        <x:f>IF(E1598=0,0,D1598/E1598*10000)</x:f>
        <x:v>0.5554889501658474</x:v>
      </x:c>
      <x:c r="G1598" s="67" t="n">
        <x:f>VLOOKUP(C1598,'Governorate Master'!$A$2:$Q$13,7,FALSE)</x:f>
        <x:v>660.3</x:v>
      </x:c>
      <x:c r="H1598" s="20" t="n">
        <x:f>VLOOKUP(C1598,'Governorate Master'!$A$2:$Q$13,6,FALSE)</x:f>
        <x:v>0.9721656076409703</x:v>
      </x:c>
      <x:c r="I1598" s="20" t="n">
        <x:f>VLOOKUP(C1598,'Governorate Master'!$A$2:$Q$13,15,FALSE)</x:f>
        <x:v>0.06367041198501873</x:v>
      </x:c>
      <x:c r="J1598" s="12" t="str">
        <x:v>Location model input - competition/saturation context</x:v>
      </x:c>
      <x:c r="K1598" s="12" t="str">
        <x:v>Business count is from 2018 while population/context indicators are newer; use as a historical proxy, not a current market count.</x:v>
      </x:c>
    </x:row>
    <x:row r="1599">
      <x:c r="A1599" s="12" t="str">
        <x:v>4610</x:v>
      </x:c>
      <x:c r="B1599" s="12" t="str">
        <x:v>Wholesale on a fee or contract basis</x:v>
      </x:c>
      <x:c r="C1599" s="12" t="str">
        <x:v>البلقاء</x:v>
      </x:c>
      <x:c r="D1599" s="14" t="n">
        <x:v>22</x:v>
      </x:c>
      <x:c r="E1599" s="14" t="n">
        <x:f>VLOOKUP(C1599,'Governorate Master'!$A$2:$Q$13,3,FALSE)</x:f>
        <x:v>614000</x:v>
      </x:c>
      <x:c r="F1599" s="66" t="n">
        <x:f>IF(E1599=0,0,D1599/E1599*10000)</x:f>
        <x:v>0.3583061889250814</x:v>
      </x:c>
      <x:c r="G1599" s="67" t="n">
        <x:f>VLOOKUP(C1599,'Governorate Master'!$A$2:$Q$13,7,FALSE)</x:f>
        <x:v>548</x:v>
      </x:c>
      <x:c r="H1599" s="20" t="n">
        <x:f>VLOOKUP(C1599,'Governorate Master'!$A$2:$Q$13,6,FALSE)</x:f>
        <x:v>0.8210097719869707</x:v>
      </x:c>
      <x:c r="I1599" s="20" t="n">
        <x:f>VLOOKUP(C1599,'Governorate Master'!$A$2:$Q$13,15,FALSE)</x:f>
        <x:v>0.10794044665012408</x:v>
      </x:c>
      <x:c r="J1599" s="12" t="str">
        <x:v>Location model input - competition/saturation context</x:v>
      </x:c>
      <x:c r="K1599" s="12" t="str">
        <x:v>Business count is from 2018 while population/context indicators are newer; use as a historical proxy, not a current market count.</x:v>
      </x:c>
    </x:row>
    <x:row r="1600">
      <x:c r="A1600" s="12" t="str">
        <x:v>4610</x:v>
      </x:c>
      <x:c r="B1600" s="12" t="str">
        <x:v>Wholesale on a fee or contract basis</x:v>
      </x:c>
      <x:c r="C1600" s="12" t="str">
        <x:v>الزرقاء</x:v>
      </x:c>
      <x:c r="D1600" s="14" t="n">
        <x:v>5</x:v>
      </x:c>
      <x:c r="E1600" s="14" t="n">
        <x:f>VLOOKUP(C1600,'Governorate Master'!$A$2:$Q$13,3,FALSE)</x:f>
        <x:v>1704500</x:v>
      </x:c>
      <x:c r="F1600" s="66" t="n">
        <x:f>IF(E1600=0,0,D1600/E1600*10000)</x:f>
        <x:v>0.029334115576415375</x:v>
      </x:c>
      <x:c r="G1600" s="67" t="n">
        <x:f>VLOOKUP(C1600,'Governorate Master'!$A$2:$Q$13,7,FALSE)</x:f>
        <x:v>358</x:v>
      </x:c>
      <x:c r="H1600" s="20" t="n">
        <x:f>VLOOKUP(C1600,'Governorate Master'!$A$2:$Q$13,6,FALSE)</x:f>
        <x:v>0.9636256966852449</x:v>
      </x:c>
      <x:c r="I1600" s="20" t="n">
        <x:f>VLOOKUP(C1600,'Governorate Master'!$A$2:$Q$13,15,FALSE)</x:f>
        <x:v>-0.06808762581409118</x:v>
      </x:c>
      <x:c r="J1600" s="12" t="str">
        <x:v>Location model input - competition/saturation context</x:v>
      </x:c>
      <x:c r="K1600" s="12" t="str">
        <x:v>Business count is from 2018 while population/context indicators are newer; use as a historical proxy, not a current market count.</x:v>
      </x:c>
    </x:row>
    <x:row r="1601">
      <x:c r="A1601" s="12" t="str">
        <x:v>4610</x:v>
      </x:c>
      <x:c r="B1601" s="12" t="str">
        <x:v>Wholesale on a fee or contract basis</x:v>
      </x:c>
      <x:c r="C1601" s="12" t="str">
        <x:v>مادبا</x:v>
      </x:c>
      <x:c r="D1601" s="14" t="n">
        <x:v>2</x:v>
      </x:c>
      <x:c r="E1601" s="14" t="n">
        <x:f>VLOOKUP(C1601,'Governorate Master'!$A$2:$Q$13,3,FALSE)</x:f>
        <x:v>236200</x:v>
      </x:c>
      <x:c r="F1601" s="66" t="n">
        <x:f>IF(E1601=0,0,D1601/E1601*10000)</x:f>
        <x:v>0.0846740050804403</x:v>
      </x:c>
      <x:c r="G1601" s="67" t="n">
        <x:f>VLOOKUP(C1601,'Governorate Master'!$A$2:$Q$13,7,FALSE)</x:f>
        <x:v>251.4</x:v>
      </x:c>
      <x:c r="H1601" s="20" t="n">
        <x:f>VLOOKUP(C1601,'Governorate Master'!$A$2:$Q$13,6,FALSE)</x:f>
        <x:v>0.7823878069432684</x:v>
      </x:c>
      <x:c r="I1601" s="20" t="n">
        <x:f>VLOOKUP(C1601,'Governorate Master'!$A$2:$Q$13,15,FALSE)</x:f>
        <x:v>-0.18823529411764706</x:v>
      </x:c>
      <x:c r="J1601" s="12" t="str">
        <x:v>Location model input - competition/saturation context</x:v>
      </x:c>
      <x:c r="K1601" s="12" t="str">
        <x:v>Business count is from 2018 while population/context indicators are newer; use as a historical proxy, not a current market count.</x:v>
      </x:c>
    </x:row>
    <x:row r="1602">
      <x:c r="A1602" s="12" t="str">
        <x:v>4610</x:v>
      </x:c>
      <x:c r="B1602" s="12" t="str">
        <x:v>Wholesale on a fee or contract basis</x:v>
      </x:c>
      <x:c r="C1602" s="12" t="str">
        <x:v>إربد</x:v>
      </x:c>
      <x:c r="D1602" s="14" t="n">
        <x:v>16</x:v>
      </x:c>
      <x:c r="E1602" s="14" t="n">
        <x:f>VLOOKUP(C1602,'Governorate Master'!$A$2:$Q$13,3,FALSE)</x:f>
        <x:v>2210500</x:v>
      </x:c>
      <x:c r="F1602" s="66" t="n">
        <x:f>IF(E1602=0,0,D1602/E1602*10000)</x:f>
        <x:v>0.07238181406921511</x:v>
      </x:c>
      <x:c r="G1602" s="67" t="n">
        <x:f>VLOOKUP(C1602,'Governorate Master'!$A$2:$Q$13,7,FALSE)</x:f>
        <x:v>1406.4</x:v>
      </x:c>
      <x:c r="H1602" s="20" t="n">
        <x:f>VLOOKUP(C1602,'Governorate Master'!$A$2:$Q$13,6,FALSE)</x:f>
        <x:v>0.9235014702555983</x:v>
      </x:c>
      <x:c r="I1602" s="20" t="n">
        <x:f>VLOOKUP(C1602,'Governorate Master'!$A$2:$Q$13,15,FALSE)</x:f>
        <x:v>0.07086922474549726</x:v>
      </x:c>
      <x:c r="J1602" s="12" t="str">
        <x:v>Location model input - competition/saturation context</x:v>
      </x:c>
      <x:c r="K1602" s="12" t="str">
        <x:v>Business count is from 2018 while population/context indicators are newer; use as a historical proxy, not a current market count.</x:v>
      </x:c>
    </x:row>
    <x:row r="1603">
      <x:c r="A1603" s="12" t="str">
        <x:v>4610</x:v>
      </x:c>
      <x:c r="B1603" s="12" t="str">
        <x:v>Wholesale on a fee or contract basis</x:v>
      </x:c>
      <x:c r="C1603" s="12" t="str">
        <x:v>المفرق</x:v>
      </x:c>
      <x:c r="D1603" s="14" t="n">
        <x:v>0</x:v>
      </x:c>
      <x:c r="E1603" s="14" t="n">
        <x:f>VLOOKUP(C1603,'Governorate Master'!$A$2:$Q$13,3,FALSE)</x:f>
        <x:v>686800</x:v>
      </x:c>
      <x:c r="F1603" s="66" t="n">
        <x:f>IF(E1603=0,0,D1603/E1603*10000)</x:f>
        <x:v>0</x:v>
      </x:c>
      <x:c r="G1603" s="67" t="n">
        <x:f>VLOOKUP(C1603,'Governorate Master'!$A$2:$Q$13,7,FALSE)</x:f>
        <x:v>25.9</x:v>
      </x:c>
      <x:c r="H1603" s="20" t="n">
        <x:f>VLOOKUP(C1603,'Governorate Master'!$A$2:$Q$13,6,FALSE)</x:f>
        <x:v>0.6965637740244612</x:v>
      </x:c>
      <x:c r="I1603" s="20" t="n">
        <x:f>VLOOKUP(C1603,'Governorate Master'!$A$2:$Q$13,15,FALSE)</x:f>
        <x:v>-0.016638935108153077</x:v>
      </x:c>
      <x:c r="J1603" s="12" t="str">
        <x:v>Location model input - competition/saturation context</x:v>
      </x:c>
      <x:c r="K1603" s="12" t="str">
        <x:v>Business count is from 2018 while population/context indicators are newer; use as a historical proxy, not a current market count.</x:v>
      </x:c>
    </x:row>
    <x:row r="1604">
      <x:c r="A1604" s="12" t="str">
        <x:v>4610</x:v>
      </x:c>
      <x:c r="B1604" s="12" t="str">
        <x:v>Wholesale on a fee or contract basis</x:v>
      </x:c>
      <x:c r="C1604" s="12" t="str">
        <x:v>جرش</x:v>
      </x:c>
      <x:c r="D1604" s="14" t="n">
        <x:v>1</x:v>
      </x:c>
      <x:c r="E1604" s="14" t="n">
        <x:f>VLOOKUP(C1604,'Governorate Master'!$A$2:$Q$13,3,FALSE)</x:f>
        <x:v>296000</x:v>
      </x:c>
      <x:c r="F1604" s="66" t="n">
        <x:f>IF(E1604=0,0,D1604/E1604*10000)</x:f>
        <x:v>0.033783783783783786</x:v>
      </x:c>
      <x:c r="G1604" s="67" t="n">
        <x:f>VLOOKUP(C1604,'Governorate Master'!$A$2:$Q$13,7,FALSE)</x:f>
        <x:v>722.3</x:v>
      </x:c>
      <x:c r="H1604" s="20" t="n">
        <x:f>VLOOKUP(C1604,'Governorate Master'!$A$2:$Q$13,6,FALSE)</x:f>
        <x:v>0.7695945945945946</x:v>
      </x:c>
      <x:c r="I1604" s="20" t="n">
        <x:f>VLOOKUP(C1604,'Governorate Master'!$A$2:$Q$13,15,FALSE)</x:f>
        <x:v>-0.06527415143603134</x:v>
      </x:c>
      <x:c r="J1604" s="12" t="str">
        <x:v>Location model input - competition/saturation context</x:v>
      </x:c>
      <x:c r="K1604" s="12" t="str">
        <x:v>Business count is from 2018 while population/context indicators are newer; use as a historical proxy, not a current market count.</x:v>
      </x:c>
    </x:row>
    <x:row r="1605">
      <x:c r="A1605" s="12" t="str">
        <x:v>4610</x:v>
      </x:c>
      <x:c r="B1605" s="12" t="str">
        <x:v>Wholesale on a fee or contract basis</x:v>
      </x:c>
      <x:c r="C1605" s="12" t="str">
        <x:v>عجلون</x:v>
      </x:c>
      <x:c r="D1605" s="14" t="n">
        <x:v>0</x:v>
      </x:c>
      <x:c r="E1605" s="14" t="n">
        <x:f>VLOOKUP(C1605,'Governorate Master'!$A$2:$Q$13,3,FALSE)</x:f>
        <x:v>219900</x:v>
      </x:c>
      <x:c r="F1605" s="66" t="n">
        <x:f>IF(E1605=0,0,D1605/E1605*10000)</x:f>
        <x:v>0</x:v>
      </x:c>
      <x:c r="G1605" s="67" t="n">
        <x:f>VLOOKUP(C1605,'Governorate Master'!$A$2:$Q$13,7,FALSE)</x:f>
        <x:v>524</x:v>
      </x:c>
      <x:c r="H1605" s="20" t="n">
        <x:f>VLOOKUP(C1605,'Governorate Master'!$A$2:$Q$13,6,FALSE)</x:f>
        <x:v>0.8390177353342428</x:v>
      </x:c>
      <x:c r="I1605" s="20" t="n">
        <x:f>VLOOKUP(C1605,'Governorate Master'!$A$2:$Q$13,15,FALSE)</x:f>
        <x:v>0.03614457831325301</x:v>
      </x:c>
      <x:c r="J1605" s="12" t="str">
        <x:v>Location model input - competition/saturation context</x:v>
      </x:c>
      <x:c r="K1605" s="12" t="str">
        <x:v>Business count is from 2018 while population/context indicators are newer; use as a historical proxy, not a current market count.</x:v>
      </x:c>
    </x:row>
    <x:row r="1606">
      <x:c r="A1606" s="12" t="str">
        <x:v>4610</x:v>
      </x:c>
      <x:c r="B1606" s="12" t="str">
        <x:v>Wholesale on a fee or contract basis</x:v>
      </x:c>
      <x:c r="C1606" s="12" t="str">
        <x:v>الكرك</x:v>
      </x:c>
      <x:c r="D1606" s="14" t="n">
        <x:v>0</x:v>
      </x:c>
      <x:c r="E1606" s="14" t="n">
        <x:f>VLOOKUP(C1606,'Governorate Master'!$A$2:$Q$13,3,FALSE)</x:f>
        <x:v>395400</x:v>
      </x:c>
      <x:c r="F1606" s="66" t="n">
        <x:f>IF(E1606=0,0,D1606/E1606*10000)</x:f>
        <x:v>0</x:v>
      </x:c>
      <x:c r="G1606" s="67" t="n">
        <x:f>VLOOKUP(C1606,'Governorate Master'!$A$2:$Q$13,7,FALSE)</x:f>
        <x:v>113.1</x:v>
      </x:c>
      <x:c r="H1606" s="20" t="n">
        <x:f>VLOOKUP(C1606,'Governorate Master'!$A$2:$Q$13,6,FALSE)</x:f>
        <x:v>0.5912999494183105</x:v>
      </x:c>
      <x:c r="I1606" s="20" t="n">
        <x:f>VLOOKUP(C1606,'Governorate Master'!$A$2:$Q$13,15,FALSE)</x:f>
        <x:v>0.08710801393728224</x:v>
      </x:c>
      <x:c r="J1606" s="12" t="str">
        <x:v>Location model input - competition/saturation context</x:v>
      </x:c>
      <x:c r="K1606" s="12" t="str">
        <x:v>Business count is from 2018 while population/context indicators are newer; use as a historical proxy, not a current market count.</x:v>
      </x:c>
    </x:row>
    <x:row r="1607">
      <x:c r="A1607" s="12" t="str">
        <x:v>4610</x:v>
      </x:c>
      <x:c r="B1607" s="12" t="str">
        <x:v>Wholesale on a fee or contract basis</x:v>
      </x:c>
      <x:c r="C1607" s="12" t="str">
        <x:v>الطفيلة</x:v>
      </x:c>
      <x:c r="D1607" s="14" t="n">
        <x:v>0</x:v>
      </x:c>
      <x:c r="E1607" s="14" t="n">
        <x:f>VLOOKUP(C1607,'Governorate Master'!$A$2:$Q$13,3,FALSE)</x:f>
        <x:v>120300</x:v>
      </x:c>
      <x:c r="F1607" s="66" t="n">
        <x:f>IF(E1607=0,0,D1607/E1607*10000)</x:f>
        <x:v>0</x:v>
      </x:c>
      <x:c r="G1607" s="67" t="n">
        <x:f>VLOOKUP(C1607,'Governorate Master'!$A$2:$Q$13,7,FALSE)</x:f>
        <x:v>54.4</x:v>
      </x:c>
      <x:c r="H1607" s="20" t="n">
        <x:f>VLOOKUP(C1607,'Governorate Master'!$A$2:$Q$13,6,FALSE)</x:f>
        <x:v>0.7797173732335827</x:v>
      </x:c>
      <x:c r="I1607" s="20" t="n">
        <x:f>VLOOKUP(C1607,'Governorate Master'!$A$2:$Q$13,15,FALSE)</x:f>
        <x:v>0.18452380952380953</x:v>
      </x:c>
      <x:c r="J1607" s="12" t="str">
        <x:v>Location model input - competition/saturation context</x:v>
      </x:c>
      <x:c r="K1607" s="12" t="str">
        <x:v>Business count is from 2018 while population/context indicators are newer; use as a historical proxy, not a current market count.</x:v>
      </x:c>
    </x:row>
    <x:row r="1608">
      <x:c r="A1608" s="12" t="str">
        <x:v>4610</x:v>
      </x:c>
      <x:c r="B1608" s="12" t="str">
        <x:v>Wholesale on a fee or contract basis</x:v>
      </x:c>
      <x:c r="C1608" s="12" t="str">
        <x:v>معان</x:v>
      </x:c>
      <x:c r="D1608" s="14" t="n">
        <x:v>0</x:v>
      </x:c>
      <x:c r="E1608" s="14" t="n">
        <x:f>VLOOKUP(C1608,'Governorate Master'!$A$2:$Q$13,3,FALSE)</x:f>
        <x:v>197900</x:v>
      </x:c>
      <x:c r="F1608" s="66" t="n">
        <x:f>IF(E1608=0,0,D1608/E1608*10000)</x:f>
        <x:v>0</x:v>
      </x:c>
      <x:c r="G1608" s="67" t="n">
        <x:f>VLOOKUP(C1608,'Governorate Master'!$A$2:$Q$13,7,FALSE)</x:f>
        <x:v>6</x:v>
      </x:c>
      <x:c r="H1608" s="20" t="n">
        <x:f>VLOOKUP(C1608,'Governorate Master'!$A$2:$Q$13,6,FALSE)</x:f>
        <x:v>0.5406771096513391</x:v>
      </x:c>
      <x:c r="I1608" s="20" t="n">
        <x:f>VLOOKUP(C1608,'Governorate Master'!$A$2:$Q$13,15,FALSE)</x:f>
        <x:v>0.026845637583892617</x:v>
      </x:c>
      <x:c r="J1608" s="12" t="str">
        <x:v>Location model input - competition/saturation context</x:v>
      </x:c>
      <x:c r="K1608" s="12" t="str">
        <x:v>Business count is from 2018 while population/context indicators are newer; use as a historical proxy, not a current market count.</x:v>
      </x:c>
    </x:row>
    <x:row r="1609">
      <x:c r="A1609" s="12" t="str">
        <x:v>4610</x:v>
      </x:c>
      <x:c r="B1609" s="12" t="str">
        <x:v>Wholesale on a fee or contract basis</x:v>
      </x:c>
      <x:c r="C1609" s="12" t="str">
        <x:v>العقبة</x:v>
      </x:c>
      <x:c r="D1609" s="14" t="n">
        <x:v>10</x:v>
      </x:c>
      <x:c r="E1609" s="14" t="n">
        <x:f>VLOOKUP(C1609,'Governorate Master'!$A$2:$Q$13,3,FALSE)</x:f>
        <x:v>250900</x:v>
      </x:c>
      <x:c r="F1609" s="66" t="n">
        <x:f>IF(E1609=0,0,D1609/E1609*10000)</x:f>
        <x:v>0.3985651654045436</x:v>
      </x:c>
      <x:c r="G1609" s="67" t="n">
        <x:f>VLOOKUP(C1609,'Governorate Master'!$A$2:$Q$13,7,FALSE)</x:f>
        <x:v>36.3</x:v>
      </x:c>
      <x:c r="H1609" s="20" t="n">
        <x:f>VLOOKUP(C1609,'Governorate Master'!$A$2:$Q$13,6,FALSE)</x:f>
        <x:v>0.882024711040255</x:v>
      </x:c>
      <x:c r="I1609" s="20" t="n">
        <x:f>VLOOKUP(C1609,'Governorate Master'!$A$2:$Q$13,15,FALSE)</x:f>
        <x:v>-0.09</x:v>
      </x:c>
      <x:c r="J1609" s="12" t="str">
        <x:v>Location model input - competition/saturation context</x:v>
      </x:c>
      <x:c r="K1609" s="12" t="str">
        <x:v>Business count is from 2018 while population/context indicators are newer; use as a historical proxy, not a current market count.</x:v>
      </x:c>
    </x:row>
    <x:row r="1610">
      <x:c r="A1610" s="12" t="str">
        <x:v>4620</x:v>
      </x:c>
      <x:c r="B1610" s="12" t="str">
        <x:v>Wholesale of agricultural raw materials and live animals</x:v>
      </x:c>
      <x:c r="C1610" s="12" t="str">
        <x:v>عمان</x:v>
      </x:c>
      <x:c r="D1610" s="14" t="n">
        <x:v>79</x:v>
      </x:c>
      <x:c r="E1610" s="14" t="n">
        <x:f>VLOOKUP(C1610,'Governorate Master'!$A$2:$Q$13,3,FALSE)</x:f>
        <x:v>5004600</x:v>
      </x:c>
      <x:c r="F1610" s="66" t="n">
        <x:f>IF(E1610=0,0,D1610/E1610*10000)</x:f>
        <x:v>0.1578547736082804</x:v>
      </x:c>
      <x:c r="G1610" s="67" t="n">
        <x:f>VLOOKUP(C1610,'Governorate Master'!$A$2:$Q$13,7,FALSE)</x:f>
        <x:v>660.3</x:v>
      </x:c>
      <x:c r="H1610" s="20" t="n">
        <x:f>VLOOKUP(C1610,'Governorate Master'!$A$2:$Q$13,6,FALSE)</x:f>
        <x:v>0.9721656076409703</x:v>
      </x:c>
      <x:c r="I1610" s="20" t="n">
        <x:f>VLOOKUP(C1610,'Governorate Master'!$A$2:$Q$13,15,FALSE)</x:f>
        <x:v>0.06367041198501873</x:v>
      </x:c>
      <x:c r="J1610" s="12" t="str">
        <x:v>Location model input - competition/saturation context</x:v>
      </x:c>
      <x:c r="K1610" s="12" t="str">
        <x:v>Business count is from 2018 while population/context indicators are newer; use as a historical proxy, not a current market count.</x:v>
      </x:c>
    </x:row>
    <x:row r="1611">
      <x:c r="A1611" s="12" t="str">
        <x:v>4620</x:v>
      </x:c>
      <x:c r="B1611" s="12" t="str">
        <x:v>Wholesale of agricultural raw materials and live animals</x:v>
      </x:c>
      <x:c r="C1611" s="12" t="str">
        <x:v>البلقاء</x:v>
      </x:c>
      <x:c r="D1611" s="14" t="n">
        <x:v>25</x:v>
      </x:c>
      <x:c r="E1611" s="14" t="n">
        <x:f>VLOOKUP(C1611,'Governorate Master'!$A$2:$Q$13,3,FALSE)</x:f>
        <x:v>614000</x:v>
      </x:c>
      <x:c r="F1611" s="66" t="n">
        <x:f>IF(E1611=0,0,D1611/E1611*10000)</x:f>
        <x:v>0.40716612377850164</x:v>
      </x:c>
      <x:c r="G1611" s="67" t="n">
        <x:f>VLOOKUP(C1611,'Governorate Master'!$A$2:$Q$13,7,FALSE)</x:f>
        <x:v>548</x:v>
      </x:c>
      <x:c r="H1611" s="20" t="n">
        <x:f>VLOOKUP(C1611,'Governorate Master'!$A$2:$Q$13,6,FALSE)</x:f>
        <x:v>0.8210097719869707</x:v>
      </x:c>
      <x:c r="I1611" s="20" t="n">
        <x:f>VLOOKUP(C1611,'Governorate Master'!$A$2:$Q$13,15,FALSE)</x:f>
        <x:v>0.10794044665012408</x:v>
      </x:c>
      <x:c r="J1611" s="12" t="str">
        <x:v>Location model input - competition/saturation context</x:v>
      </x:c>
      <x:c r="K1611" s="12" t="str">
        <x:v>Business count is from 2018 while population/context indicators are newer; use as a historical proxy, not a current market count.</x:v>
      </x:c>
    </x:row>
    <x:row r="1612">
      <x:c r="A1612" s="12" t="str">
        <x:v>4620</x:v>
      </x:c>
      <x:c r="B1612" s="12" t="str">
        <x:v>Wholesale of agricultural raw materials and live animals</x:v>
      </x:c>
      <x:c r="C1612" s="12" t="str">
        <x:v>الزرقاء</x:v>
      </x:c>
      <x:c r="D1612" s="14" t="n">
        <x:v>40</x:v>
      </x:c>
      <x:c r="E1612" s="14" t="n">
        <x:f>VLOOKUP(C1612,'Governorate Master'!$A$2:$Q$13,3,FALSE)</x:f>
        <x:v>1704500</x:v>
      </x:c>
      <x:c r="F1612" s="66" t="n">
        <x:f>IF(E1612=0,0,D1612/E1612*10000)</x:f>
        <x:v>0.234672924611323</x:v>
      </x:c>
      <x:c r="G1612" s="67" t="n">
        <x:f>VLOOKUP(C1612,'Governorate Master'!$A$2:$Q$13,7,FALSE)</x:f>
        <x:v>358</x:v>
      </x:c>
      <x:c r="H1612" s="20" t="n">
        <x:f>VLOOKUP(C1612,'Governorate Master'!$A$2:$Q$13,6,FALSE)</x:f>
        <x:v>0.9636256966852449</x:v>
      </x:c>
      <x:c r="I1612" s="20" t="n">
        <x:f>VLOOKUP(C1612,'Governorate Master'!$A$2:$Q$13,15,FALSE)</x:f>
        <x:v>-0.06808762581409118</x:v>
      </x:c>
      <x:c r="J1612" s="12" t="str">
        <x:v>Location model input - competition/saturation context</x:v>
      </x:c>
      <x:c r="K1612" s="12" t="str">
        <x:v>Business count is from 2018 while population/context indicators are newer; use as a historical proxy, not a current market count.</x:v>
      </x:c>
    </x:row>
    <x:row r="1613">
      <x:c r="A1613" s="12" t="str">
        <x:v>4620</x:v>
      </x:c>
      <x:c r="B1613" s="12" t="str">
        <x:v>Wholesale of agricultural raw materials and live animals</x:v>
      </x:c>
      <x:c r="C1613" s="12" t="str">
        <x:v>مادبا</x:v>
      </x:c>
      <x:c r="D1613" s="14" t="n">
        <x:v>11</x:v>
      </x:c>
      <x:c r="E1613" s="14" t="n">
        <x:f>VLOOKUP(C1613,'Governorate Master'!$A$2:$Q$13,3,FALSE)</x:f>
        <x:v>236200</x:v>
      </x:c>
      <x:c r="F1613" s="66" t="n">
        <x:f>IF(E1613=0,0,D1613/E1613*10000)</x:f>
        <x:v>0.46570702794242164</x:v>
      </x:c>
      <x:c r="G1613" s="67" t="n">
        <x:f>VLOOKUP(C1613,'Governorate Master'!$A$2:$Q$13,7,FALSE)</x:f>
        <x:v>251.4</x:v>
      </x:c>
      <x:c r="H1613" s="20" t="n">
        <x:f>VLOOKUP(C1613,'Governorate Master'!$A$2:$Q$13,6,FALSE)</x:f>
        <x:v>0.7823878069432684</x:v>
      </x:c>
      <x:c r="I1613" s="20" t="n">
        <x:f>VLOOKUP(C1613,'Governorate Master'!$A$2:$Q$13,15,FALSE)</x:f>
        <x:v>-0.18823529411764706</x:v>
      </x:c>
      <x:c r="J1613" s="12" t="str">
        <x:v>Location model input - competition/saturation context</x:v>
      </x:c>
      <x:c r="K1613" s="12" t="str">
        <x:v>Business count is from 2018 while population/context indicators are newer; use as a historical proxy, not a current market count.</x:v>
      </x:c>
    </x:row>
    <x:row r="1614">
      <x:c r="A1614" s="12" t="str">
        <x:v>4620</x:v>
      </x:c>
      <x:c r="B1614" s="12" t="str">
        <x:v>Wholesale of agricultural raw materials and live animals</x:v>
      </x:c>
      <x:c r="C1614" s="12" t="str">
        <x:v>إربد</x:v>
      </x:c>
      <x:c r="D1614" s="14" t="n">
        <x:v>10</x:v>
      </x:c>
      <x:c r="E1614" s="14" t="n">
        <x:f>VLOOKUP(C1614,'Governorate Master'!$A$2:$Q$13,3,FALSE)</x:f>
        <x:v>2210500</x:v>
      </x:c>
      <x:c r="F1614" s="66" t="n">
        <x:f>IF(E1614=0,0,D1614/E1614*10000)</x:f>
        <x:v>0.045238633793259445</x:v>
      </x:c>
      <x:c r="G1614" s="67" t="n">
        <x:f>VLOOKUP(C1614,'Governorate Master'!$A$2:$Q$13,7,FALSE)</x:f>
        <x:v>1406.4</x:v>
      </x:c>
      <x:c r="H1614" s="20" t="n">
        <x:f>VLOOKUP(C1614,'Governorate Master'!$A$2:$Q$13,6,FALSE)</x:f>
        <x:v>0.9235014702555983</x:v>
      </x:c>
      <x:c r="I1614" s="20" t="n">
        <x:f>VLOOKUP(C1614,'Governorate Master'!$A$2:$Q$13,15,FALSE)</x:f>
        <x:v>0.07086922474549726</x:v>
      </x:c>
      <x:c r="J1614" s="12" t="str">
        <x:v>Location model input - competition/saturation context</x:v>
      </x:c>
      <x:c r="K1614" s="12" t="str">
        <x:v>Business count is from 2018 while population/context indicators are newer; use as a historical proxy, not a current market count.</x:v>
      </x:c>
    </x:row>
    <x:row r="1615">
      <x:c r="A1615" s="12" t="str">
        <x:v>4620</x:v>
      </x:c>
      <x:c r="B1615" s="12" t="str">
        <x:v>Wholesale of agricultural raw materials and live animals</x:v>
      </x:c>
      <x:c r="C1615" s="12" t="str">
        <x:v>المفرق</x:v>
      </x:c>
      <x:c r="D1615" s="14" t="n">
        <x:v>9</x:v>
      </x:c>
      <x:c r="E1615" s="14" t="n">
        <x:f>VLOOKUP(C1615,'Governorate Master'!$A$2:$Q$13,3,FALSE)</x:f>
        <x:v>686800</x:v>
      </x:c>
      <x:c r="F1615" s="66" t="n">
        <x:f>IF(E1615=0,0,D1615/E1615*10000)</x:f>
        <x:v>0.1310425160163075</x:v>
      </x:c>
      <x:c r="G1615" s="67" t="n">
        <x:f>VLOOKUP(C1615,'Governorate Master'!$A$2:$Q$13,7,FALSE)</x:f>
        <x:v>25.9</x:v>
      </x:c>
      <x:c r="H1615" s="20" t="n">
        <x:f>VLOOKUP(C1615,'Governorate Master'!$A$2:$Q$13,6,FALSE)</x:f>
        <x:v>0.6965637740244612</x:v>
      </x:c>
      <x:c r="I1615" s="20" t="n">
        <x:f>VLOOKUP(C1615,'Governorate Master'!$A$2:$Q$13,15,FALSE)</x:f>
        <x:v>-0.016638935108153077</x:v>
      </x:c>
      <x:c r="J1615" s="12" t="str">
        <x:v>Location model input - competition/saturation context</x:v>
      </x:c>
      <x:c r="K1615" s="12" t="str">
        <x:v>Business count is from 2018 while population/context indicators are newer; use as a historical proxy, not a current market count.</x:v>
      </x:c>
    </x:row>
    <x:row r="1616">
      <x:c r="A1616" s="12" t="str">
        <x:v>4620</x:v>
      </x:c>
      <x:c r="B1616" s="12" t="str">
        <x:v>Wholesale of agricultural raw materials and live animals</x:v>
      </x:c>
      <x:c r="C1616" s="12" t="str">
        <x:v>جرش</x:v>
      </x:c>
      <x:c r="D1616" s="14" t="n">
        <x:v>4</x:v>
      </x:c>
      <x:c r="E1616" s="14" t="n">
        <x:f>VLOOKUP(C1616,'Governorate Master'!$A$2:$Q$13,3,FALSE)</x:f>
        <x:v>296000</x:v>
      </x:c>
      <x:c r="F1616" s="66" t="n">
        <x:f>IF(E1616=0,0,D1616/E1616*10000)</x:f>
        <x:v>0.13513513513513514</x:v>
      </x:c>
      <x:c r="G1616" s="67" t="n">
        <x:f>VLOOKUP(C1616,'Governorate Master'!$A$2:$Q$13,7,FALSE)</x:f>
        <x:v>722.3</x:v>
      </x:c>
      <x:c r="H1616" s="20" t="n">
        <x:f>VLOOKUP(C1616,'Governorate Master'!$A$2:$Q$13,6,FALSE)</x:f>
        <x:v>0.7695945945945946</x:v>
      </x:c>
      <x:c r="I1616" s="20" t="n">
        <x:f>VLOOKUP(C1616,'Governorate Master'!$A$2:$Q$13,15,FALSE)</x:f>
        <x:v>-0.06527415143603134</x:v>
      </x:c>
      <x:c r="J1616" s="12" t="str">
        <x:v>Location model input - competition/saturation context</x:v>
      </x:c>
      <x:c r="K1616" s="12" t="str">
        <x:v>Business count is from 2018 while population/context indicators are newer; use as a historical proxy, not a current market count.</x:v>
      </x:c>
    </x:row>
    <x:row r="1617">
      <x:c r="A1617" s="12" t="str">
        <x:v>4620</x:v>
      </x:c>
      <x:c r="B1617" s="12" t="str">
        <x:v>Wholesale of agricultural raw materials and live animals</x:v>
      </x:c>
      <x:c r="C1617" s="12" t="str">
        <x:v>عجلون</x:v>
      </x:c>
      <x:c r="D1617" s="14" t="n">
        <x:v>0</x:v>
      </x:c>
      <x:c r="E1617" s="14" t="n">
        <x:f>VLOOKUP(C1617,'Governorate Master'!$A$2:$Q$13,3,FALSE)</x:f>
        <x:v>219900</x:v>
      </x:c>
      <x:c r="F1617" s="66" t="n">
        <x:f>IF(E1617=0,0,D1617/E1617*10000)</x:f>
        <x:v>0</x:v>
      </x:c>
      <x:c r="G1617" s="67" t="n">
        <x:f>VLOOKUP(C1617,'Governorate Master'!$A$2:$Q$13,7,FALSE)</x:f>
        <x:v>524</x:v>
      </x:c>
      <x:c r="H1617" s="20" t="n">
        <x:f>VLOOKUP(C1617,'Governorate Master'!$A$2:$Q$13,6,FALSE)</x:f>
        <x:v>0.8390177353342428</x:v>
      </x:c>
      <x:c r="I1617" s="20" t="n">
        <x:f>VLOOKUP(C1617,'Governorate Master'!$A$2:$Q$13,15,FALSE)</x:f>
        <x:v>0.03614457831325301</x:v>
      </x:c>
      <x:c r="J1617" s="12" t="str">
        <x:v>Location model input - competition/saturation context</x:v>
      </x:c>
      <x:c r="K1617" s="12" t="str">
        <x:v>Business count is from 2018 while population/context indicators are newer; use as a historical proxy, not a current market count.</x:v>
      </x:c>
    </x:row>
    <x:row r="1618">
      <x:c r="A1618" s="12" t="str">
        <x:v>4620</x:v>
      </x:c>
      <x:c r="B1618" s="12" t="str">
        <x:v>Wholesale of agricultural raw materials and live animals</x:v>
      </x:c>
      <x:c r="C1618" s="12" t="str">
        <x:v>الكرك</x:v>
      </x:c>
      <x:c r="D1618" s="14" t="n">
        <x:v>10</x:v>
      </x:c>
      <x:c r="E1618" s="14" t="n">
        <x:f>VLOOKUP(C1618,'Governorate Master'!$A$2:$Q$13,3,FALSE)</x:f>
        <x:v>395400</x:v>
      </x:c>
      <x:c r="F1618" s="66" t="n">
        <x:f>IF(E1618=0,0,D1618/E1618*10000)</x:f>
        <x:v>0.25290844714213456</x:v>
      </x:c>
      <x:c r="G1618" s="67" t="n">
        <x:f>VLOOKUP(C1618,'Governorate Master'!$A$2:$Q$13,7,FALSE)</x:f>
        <x:v>113.1</x:v>
      </x:c>
      <x:c r="H1618" s="20" t="n">
        <x:f>VLOOKUP(C1618,'Governorate Master'!$A$2:$Q$13,6,FALSE)</x:f>
        <x:v>0.5912999494183105</x:v>
      </x:c>
      <x:c r="I1618" s="20" t="n">
        <x:f>VLOOKUP(C1618,'Governorate Master'!$A$2:$Q$13,15,FALSE)</x:f>
        <x:v>0.08710801393728224</x:v>
      </x:c>
      <x:c r="J1618" s="12" t="str">
        <x:v>Location model input - competition/saturation context</x:v>
      </x:c>
      <x:c r="K1618" s="12" t="str">
        <x:v>Business count is from 2018 while population/context indicators are newer; use as a historical proxy, not a current market count.</x:v>
      </x:c>
    </x:row>
    <x:row r="1619">
      <x:c r="A1619" s="12" t="str">
        <x:v>4620</x:v>
      </x:c>
      <x:c r="B1619" s="12" t="str">
        <x:v>Wholesale of agricultural raw materials and live animals</x:v>
      </x:c>
      <x:c r="C1619" s="12" t="str">
        <x:v>الطفيلة</x:v>
      </x:c>
      <x:c r="D1619" s="14" t="n">
        <x:v>7</x:v>
      </x:c>
      <x:c r="E1619" s="14" t="n">
        <x:f>VLOOKUP(C1619,'Governorate Master'!$A$2:$Q$13,3,FALSE)</x:f>
        <x:v>120300</x:v>
      </x:c>
      <x:c r="F1619" s="66" t="n">
        <x:f>IF(E1619=0,0,D1619/E1619*10000)</x:f>
        <x:v>0.5818786367414797</x:v>
      </x:c>
      <x:c r="G1619" s="67" t="n">
        <x:f>VLOOKUP(C1619,'Governorate Master'!$A$2:$Q$13,7,FALSE)</x:f>
        <x:v>54.4</x:v>
      </x:c>
      <x:c r="H1619" s="20" t="n">
        <x:f>VLOOKUP(C1619,'Governorate Master'!$A$2:$Q$13,6,FALSE)</x:f>
        <x:v>0.7797173732335827</x:v>
      </x:c>
      <x:c r="I1619" s="20" t="n">
        <x:f>VLOOKUP(C1619,'Governorate Master'!$A$2:$Q$13,15,FALSE)</x:f>
        <x:v>0.18452380952380953</x:v>
      </x:c>
      <x:c r="J1619" s="12" t="str">
        <x:v>Location model input - competition/saturation context</x:v>
      </x:c>
      <x:c r="K1619" s="12" t="str">
        <x:v>Business count is from 2018 while population/context indicators are newer; use as a historical proxy, not a current market count.</x:v>
      </x:c>
    </x:row>
    <x:row r="1620">
      <x:c r="A1620" s="12" t="str">
        <x:v>4620</x:v>
      </x:c>
      <x:c r="B1620" s="12" t="str">
        <x:v>Wholesale of agricultural raw materials and live animals</x:v>
      </x:c>
      <x:c r="C1620" s="12" t="str">
        <x:v>معان</x:v>
      </x:c>
      <x:c r="D1620" s="14" t="n">
        <x:v>3</x:v>
      </x:c>
      <x:c r="E1620" s="14" t="n">
        <x:f>VLOOKUP(C1620,'Governorate Master'!$A$2:$Q$13,3,FALSE)</x:f>
        <x:v>197900</x:v>
      </x:c>
      <x:c r="F1620" s="66" t="n">
        <x:f>IF(E1620=0,0,D1620/E1620*10000)</x:f>
        <x:v>0.15159171298635674</x:v>
      </x:c>
      <x:c r="G1620" s="67" t="n">
        <x:f>VLOOKUP(C1620,'Governorate Master'!$A$2:$Q$13,7,FALSE)</x:f>
        <x:v>6</x:v>
      </x:c>
      <x:c r="H1620" s="20" t="n">
        <x:f>VLOOKUP(C1620,'Governorate Master'!$A$2:$Q$13,6,FALSE)</x:f>
        <x:v>0.5406771096513391</x:v>
      </x:c>
      <x:c r="I1620" s="20" t="n">
        <x:f>VLOOKUP(C1620,'Governorate Master'!$A$2:$Q$13,15,FALSE)</x:f>
        <x:v>0.026845637583892617</x:v>
      </x:c>
      <x:c r="J1620" s="12" t="str">
        <x:v>Location model input - competition/saturation context</x:v>
      </x:c>
      <x:c r="K1620" s="12" t="str">
        <x:v>Business count is from 2018 while population/context indicators are newer; use as a historical proxy, not a current market count.</x:v>
      </x:c>
    </x:row>
    <x:row r="1621">
      <x:c r="A1621" s="12" t="str">
        <x:v>4620</x:v>
      </x:c>
      <x:c r="B1621" s="12" t="str">
        <x:v>Wholesale of agricultural raw materials and live animals</x:v>
      </x:c>
      <x:c r="C1621" s="12" t="str">
        <x:v>العقبة</x:v>
      </x:c>
      <x:c r="D1621" s="14" t="n">
        <x:v>7</x:v>
      </x:c>
      <x:c r="E1621" s="14" t="n">
        <x:f>VLOOKUP(C1621,'Governorate Master'!$A$2:$Q$13,3,FALSE)</x:f>
        <x:v>250900</x:v>
      </x:c>
      <x:c r="F1621" s="66" t="n">
        <x:f>IF(E1621=0,0,D1621/E1621*10000)</x:f>
        <x:v>0.27899561578318055</x:v>
      </x:c>
      <x:c r="G1621" s="67" t="n">
        <x:f>VLOOKUP(C1621,'Governorate Master'!$A$2:$Q$13,7,FALSE)</x:f>
        <x:v>36.3</x:v>
      </x:c>
      <x:c r="H1621" s="20" t="n">
        <x:f>VLOOKUP(C1621,'Governorate Master'!$A$2:$Q$13,6,FALSE)</x:f>
        <x:v>0.882024711040255</x:v>
      </x:c>
      <x:c r="I1621" s="20" t="n">
        <x:f>VLOOKUP(C1621,'Governorate Master'!$A$2:$Q$13,15,FALSE)</x:f>
        <x:v>-0.09</x:v>
      </x:c>
      <x:c r="J1621" s="12" t="str">
        <x:v>Location model input - competition/saturation context</x:v>
      </x:c>
      <x:c r="K1621" s="12" t="str">
        <x:v>Business count is from 2018 while population/context indicators are newer; use as a historical proxy, not a current market count.</x:v>
      </x:c>
    </x:row>
    <x:row r="1622">
      <x:c r="A1622" s="12" t="str">
        <x:v>4630</x:v>
      </x:c>
      <x:c r="B1622" s="12" t="str">
        <x:v>Wholesale of food, beverages and tobacco</x:v>
      </x:c>
      <x:c r="C1622" s="12" t="str">
        <x:v>عمان</x:v>
      </x:c>
      <x:c r="D1622" s="14" t="n">
        <x:v>546</x:v>
      </x:c>
      <x:c r="E1622" s="14" t="n">
        <x:f>VLOOKUP(C1622,'Governorate Master'!$A$2:$Q$13,3,FALSE)</x:f>
        <x:v>5004600</x:v>
      </x:c>
      <x:c r="F1622" s="66" t="n">
        <x:f>IF(E1622=0,0,D1622/E1622*10000)</x:f>
        <x:v>1.0909962834192544</x:v>
      </x:c>
      <x:c r="G1622" s="67" t="n">
        <x:f>VLOOKUP(C1622,'Governorate Master'!$A$2:$Q$13,7,FALSE)</x:f>
        <x:v>660.3</x:v>
      </x:c>
      <x:c r="H1622" s="20" t="n">
        <x:f>VLOOKUP(C1622,'Governorate Master'!$A$2:$Q$13,6,FALSE)</x:f>
        <x:v>0.9721656076409703</x:v>
      </x:c>
      <x:c r="I1622" s="20" t="n">
        <x:f>VLOOKUP(C1622,'Governorate Master'!$A$2:$Q$13,15,FALSE)</x:f>
        <x:v>0.06367041198501873</x:v>
      </x:c>
      <x:c r="J1622" s="12" t="str">
        <x:v>Location model input - competition/saturation context</x:v>
      </x:c>
      <x:c r="K1622" s="12" t="str">
        <x:v>Business count is from 2018 while population/context indicators are newer; use as a historical proxy, not a current market count.</x:v>
      </x:c>
    </x:row>
    <x:row r="1623">
      <x:c r="A1623" s="12" t="str">
        <x:v>4630</x:v>
      </x:c>
      <x:c r="B1623" s="12" t="str">
        <x:v>Wholesale of food, beverages and tobacco</x:v>
      </x:c>
      <x:c r="C1623" s="12" t="str">
        <x:v>البلقاء</x:v>
      </x:c>
      <x:c r="D1623" s="14" t="n">
        <x:v>33</x:v>
      </x:c>
      <x:c r="E1623" s="14" t="n">
        <x:f>VLOOKUP(C1623,'Governorate Master'!$A$2:$Q$13,3,FALSE)</x:f>
        <x:v>614000</x:v>
      </x:c>
      <x:c r="F1623" s="66" t="n">
        <x:f>IF(E1623=0,0,D1623/E1623*10000)</x:f>
        <x:v>0.5374592833876222</x:v>
      </x:c>
      <x:c r="G1623" s="67" t="n">
        <x:f>VLOOKUP(C1623,'Governorate Master'!$A$2:$Q$13,7,FALSE)</x:f>
        <x:v>548</x:v>
      </x:c>
      <x:c r="H1623" s="20" t="n">
        <x:f>VLOOKUP(C1623,'Governorate Master'!$A$2:$Q$13,6,FALSE)</x:f>
        <x:v>0.8210097719869707</x:v>
      </x:c>
      <x:c r="I1623" s="20" t="n">
        <x:f>VLOOKUP(C1623,'Governorate Master'!$A$2:$Q$13,15,FALSE)</x:f>
        <x:v>0.10794044665012408</x:v>
      </x:c>
      <x:c r="J1623" s="12" t="str">
        <x:v>Location model input - competition/saturation context</x:v>
      </x:c>
      <x:c r="K1623" s="12" t="str">
        <x:v>Business count is from 2018 while population/context indicators are newer; use as a historical proxy, not a current market count.</x:v>
      </x:c>
    </x:row>
    <x:row r="1624">
      <x:c r="A1624" s="12" t="str">
        <x:v>4630</x:v>
      </x:c>
      <x:c r="B1624" s="12" t="str">
        <x:v>Wholesale of food, beverages and tobacco</x:v>
      </x:c>
      <x:c r="C1624" s="12" t="str">
        <x:v>الزرقاء</x:v>
      </x:c>
      <x:c r="D1624" s="14" t="n">
        <x:v>84</x:v>
      </x:c>
      <x:c r="E1624" s="14" t="n">
        <x:f>VLOOKUP(C1624,'Governorate Master'!$A$2:$Q$13,3,FALSE)</x:f>
        <x:v>1704500</x:v>
      </x:c>
      <x:c r="F1624" s="66" t="n">
        <x:f>IF(E1624=0,0,D1624/E1624*10000)</x:f>
        <x:v>0.4928131416837782</x:v>
      </x:c>
      <x:c r="G1624" s="67" t="n">
        <x:f>VLOOKUP(C1624,'Governorate Master'!$A$2:$Q$13,7,FALSE)</x:f>
        <x:v>358</x:v>
      </x:c>
      <x:c r="H1624" s="20" t="n">
        <x:f>VLOOKUP(C1624,'Governorate Master'!$A$2:$Q$13,6,FALSE)</x:f>
        <x:v>0.9636256966852449</x:v>
      </x:c>
      <x:c r="I1624" s="20" t="n">
        <x:f>VLOOKUP(C1624,'Governorate Master'!$A$2:$Q$13,15,FALSE)</x:f>
        <x:v>-0.06808762581409118</x:v>
      </x:c>
      <x:c r="J1624" s="12" t="str">
        <x:v>Location model input - competition/saturation context</x:v>
      </x:c>
      <x:c r="K1624" s="12" t="str">
        <x:v>Business count is from 2018 while population/context indicators are newer; use as a historical proxy, not a current market count.</x:v>
      </x:c>
    </x:row>
    <x:row r="1625">
      <x:c r="A1625" s="12" t="str">
        <x:v>4630</x:v>
      </x:c>
      <x:c r="B1625" s="12" t="str">
        <x:v>Wholesale of food, beverages and tobacco</x:v>
      </x:c>
      <x:c r="C1625" s="12" t="str">
        <x:v>مادبا</x:v>
      </x:c>
      <x:c r="D1625" s="14" t="n">
        <x:v>7</x:v>
      </x:c>
      <x:c r="E1625" s="14" t="n">
        <x:f>VLOOKUP(C1625,'Governorate Master'!$A$2:$Q$13,3,FALSE)</x:f>
        <x:v>236200</x:v>
      </x:c>
      <x:c r="F1625" s="66" t="n">
        <x:f>IF(E1625=0,0,D1625/E1625*10000)</x:f>
        <x:v>0.29635901778154106</x:v>
      </x:c>
      <x:c r="G1625" s="67" t="n">
        <x:f>VLOOKUP(C1625,'Governorate Master'!$A$2:$Q$13,7,FALSE)</x:f>
        <x:v>251.4</x:v>
      </x:c>
      <x:c r="H1625" s="20" t="n">
        <x:f>VLOOKUP(C1625,'Governorate Master'!$A$2:$Q$13,6,FALSE)</x:f>
        <x:v>0.7823878069432684</x:v>
      </x:c>
      <x:c r="I1625" s="20" t="n">
        <x:f>VLOOKUP(C1625,'Governorate Master'!$A$2:$Q$13,15,FALSE)</x:f>
        <x:v>-0.18823529411764706</x:v>
      </x:c>
      <x:c r="J1625" s="12" t="str">
        <x:v>Location model input - competition/saturation context</x:v>
      </x:c>
      <x:c r="K1625" s="12" t="str">
        <x:v>Business count is from 2018 while population/context indicators are newer; use as a historical proxy, not a current market count.</x:v>
      </x:c>
    </x:row>
    <x:row r="1626">
      <x:c r="A1626" s="12" t="str">
        <x:v>4630</x:v>
      </x:c>
      <x:c r="B1626" s="12" t="str">
        <x:v>Wholesale of food, beverages and tobacco</x:v>
      </x:c>
      <x:c r="C1626" s="12" t="str">
        <x:v>إربد</x:v>
      </x:c>
      <x:c r="D1626" s="14" t="n">
        <x:v>84</x:v>
      </x:c>
      <x:c r="E1626" s="14" t="n">
        <x:f>VLOOKUP(C1626,'Governorate Master'!$A$2:$Q$13,3,FALSE)</x:f>
        <x:v>2210500</x:v>
      </x:c>
      <x:c r="F1626" s="66" t="n">
        <x:f>IF(E1626=0,0,D1626/E1626*10000)</x:f>
        <x:v>0.38000452386337935</x:v>
      </x:c>
      <x:c r="G1626" s="67" t="n">
        <x:f>VLOOKUP(C1626,'Governorate Master'!$A$2:$Q$13,7,FALSE)</x:f>
        <x:v>1406.4</x:v>
      </x:c>
      <x:c r="H1626" s="20" t="n">
        <x:f>VLOOKUP(C1626,'Governorate Master'!$A$2:$Q$13,6,FALSE)</x:f>
        <x:v>0.9235014702555983</x:v>
      </x:c>
      <x:c r="I1626" s="20" t="n">
        <x:f>VLOOKUP(C1626,'Governorate Master'!$A$2:$Q$13,15,FALSE)</x:f>
        <x:v>0.07086922474549726</x:v>
      </x:c>
      <x:c r="J1626" s="12" t="str">
        <x:v>Location model input - competition/saturation context</x:v>
      </x:c>
      <x:c r="K1626" s="12" t="str">
        <x:v>Business count is from 2018 while population/context indicators are newer; use as a historical proxy, not a current market count.</x:v>
      </x:c>
    </x:row>
    <x:row r="1627">
      <x:c r="A1627" s="12" t="str">
        <x:v>4630</x:v>
      </x:c>
      <x:c r="B1627" s="12" t="str">
        <x:v>Wholesale of food, beverages and tobacco</x:v>
      </x:c>
      <x:c r="C1627" s="12" t="str">
        <x:v>المفرق</x:v>
      </x:c>
      <x:c r="D1627" s="14" t="n">
        <x:v>18</x:v>
      </x:c>
      <x:c r="E1627" s="14" t="n">
        <x:f>VLOOKUP(C1627,'Governorate Master'!$A$2:$Q$13,3,FALSE)</x:f>
        <x:v>686800</x:v>
      </x:c>
      <x:c r="F1627" s="66" t="n">
        <x:f>IF(E1627=0,0,D1627/E1627*10000)</x:f>
        <x:v>0.262085032032615</x:v>
      </x:c>
      <x:c r="G1627" s="67" t="n">
        <x:f>VLOOKUP(C1627,'Governorate Master'!$A$2:$Q$13,7,FALSE)</x:f>
        <x:v>25.9</x:v>
      </x:c>
      <x:c r="H1627" s="20" t="n">
        <x:f>VLOOKUP(C1627,'Governorate Master'!$A$2:$Q$13,6,FALSE)</x:f>
        <x:v>0.6965637740244612</x:v>
      </x:c>
      <x:c r="I1627" s="20" t="n">
        <x:f>VLOOKUP(C1627,'Governorate Master'!$A$2:$Q$13,15,FALSE)</x:f>
        <x:v>-0.016638935108153077</x:v>
      </x:c>
      <x:c r="J1627" s="12" t="str">
        <x:v>Location model input - competition/saturation context</x:v>
      </x:c>
      <x:c r="K1627" s="12" t="str">
        <x:v>Business count is from 2018 while population/context indicators are newer; use as a historical proxy, not a current market count.</x:v>
      </x:c>
    </x:row>
    <x:row r="1628">
      <x:c r="A1628" s="12" t="str">
        <x:v>4630</x:v>
      </x:c>
      <x:c r="B1628" s="12" t="str">
        <x:v>Wholesale of food, beverages and tobacco</x:v>
      </x:c>
      <x:c r="C1628" s="12" t="str">
        <x:v>جرش</x:v>
      </x:c>
      <x:c r="D1628" s="14" t="n">
        <x:v>32</x:v>
      </x:c>
      <x:c r="E1628" s="14" t="n">
        <x:f>VLOOKUP(C1628,'Governorate Master'!$A$2:$Q$13,3,FALSE)</x:f>
        <x:v>296000</x:v>
      </x:c>
      <x:c r="F1628" s="66" t="n">
        <x:f>IF(E1628=0,0,D1628/E1628*10000)</x:f>
        <x:v>1.0810810810810811</x:v>
      </x:c>
      <x:c r="G1628" s="67" t="n">
        <x:f>VLOOKUP(C1628,'Governorate Master'!$A$2:$Q$13,7,FALSE)</x:f>
        <x:v>722.3</x:v>
      </x:c>
      <x:c r="H1628" s="20" t="n">
        <x:f>VLOOKUP(C1628,'Governorate Master'!$A$2:$Q$13,6,FALSE)</x:f>
        <x:v>0.7695945945945946</x:v>
      </x:c>
      <x:c r="I1628" s="20" t="n">
        <x:f>VLOOKUP(C1628,'Governorate Master'!$A$2:$Q$13,15,FALSE)</x:f>
        <x:v>-0.06527415143603134</x:v>
      </x:c>
      <x:c r="J1628" s="12" t="str">
        <x:v>Location model input - competition/saturation context</x:v>
      </x:c>
      <x:c r="K1628" s="12" t="str">
        <x:v>Business count is from 2018 while population/context indicators are newer; use as a historical proxy, not a current market count.</x:v>
      </x:c>
    </x:row>
    <x:row r="1629">
      <x:c r="A1629" s="12" t="str">
        <x:v>4630</x:v>
      </x:c>
      <x:c r="B1629" s="12" t="str">
        <x:v>Wholesale of food, beverages and tobacco</x:v>
      </x:c>
      <x:c r="C1629" s="12" t="str">
        <x:v>عجلون</x:v>
      </x:c>
      <x:c r="D1629" s="14" t="n">
        <x:v>9</x:v>
      </x:c>
      <x:c r="E1629" s="14" t="n">
        <x:f>VLOOKUP(C1629,'Governorate Master'!$A$2:$Q$13,3,FALSE)</x:f>
        <x:v>219900</x:v>
      </x:c>
      <x:c r="F1629" s="66" t="n">
        <x:f>IF(E1629=0,0,D1629/E1629*10000)</x:f>
        <x:v>0.4092769440654843</x:v>
      </x:c>
      <x:c r="G1629" s="67" t="n">
        <x:f>VLOOKUP(C1629,'Governorate Master'!$A$2:$Q$13,7,FALSE)</x:f>
        <x:v>524</x:v>
      </x:c>
      <x:c r="H1629" s="20" t="n">
        <x:f>VLOOKUP(C1629,'Governorate Master'!$A$2:$Q$13,6,FALSE)</x:f>
        <x:v>0.8390177353342428</x:v>
      </x:c>
      <x:c r="I1629" s="20" t="n">
        <x:f>VLOOKUP(C1629,'Governorate Master'!$A$2:$Q$13,15,FALSE)</x:f>
        <x:v>0.03614457831325301</x:v>
      </x:c>
      <x:c r="J1629" s="12" t="str">
        <x:v>Location model input - competition/saturation context</x:v>
      </x:c>
      <x:c r="K1629" s="12" t="str">
        <x:v>Business count is from 2018 while population/context indicators are newer; use as a historical proxy, not a current market count.</x:v>
      </x:c>
    </x:row>
    <x:row r="1630">
      <x:c r="A1630" s="12" t="str">
        <x:v>4630</x:v>
      </x:c>
      <x:c r="B1630" s="12" t="str">
        <x:v>Wholesale of food, beverages and tobacco</x:v>
      </x:c>
      <x:c r="C1630" s="12" t="str">
        <x:v>الكرك</x:v>
      </x:c>
      <x:c r="D1630" s="14" t="n">
        <x:v>12</x:v>
      </x:c>
      <x:c r="E1630" s="14" t="n">
        <x:f>VLOOKUP(C1630,'Governorate Master'!$A$2:$Q$13,3,FALSE)</x:f>
        <x:v>395400</x:v>
      </x:c>
      <x:c r="F1630" s="66" t="n">
        <x:f>IF(E1630=0,0,D1630/E1630*10000)</x:f>
        <x:v>0.30349013657056145</x:v>
      </x:c>
      <x:c r="G1630" s="67" t="n">
        <x:f>VLOOKUP(C1630,'Governorate Master'!$A$2:$Q$13,7,FALSE)</x:f>
        <x:v>113.1</x:v>
      </x:c>
      <x:c r="H1630" s="20" t="n">
        <x:f>VLOOKUP(C1630,'Governorate Master'!$A$2:$Q$13,6,FALSE)</x:f>
        <x:v>0.5912999494183105</x:v>
      </x:c>
      <x:c r="I1630" s="20" t="n">
        <x:f>VLOOKUP(C1630,'Governorate Master'!$A$2:$Q$13,15,FALSE)</x:f>
        <x:v>0.08710801393728224</x:v>
      </x:c>
      <x:c r="J1630" s="12" t="str">
        <x:v>Location model input - competition/saturation context</x:v>
      </x:c>
      <x:c r="K1630" s="12" t="str">
        <x:v>Business count is from 2018 while population/context indicators are newer; use as a historical proxy, not a current market count.</x:v>
      </x:c>
    </x:row>
    <x:row r="1631">
      <x:c r="A1631" s="12" t="str">
        <x:v>4630</x:v>
      </x:c>
      <x:c r="B1631" s="12" t="str">
        <x:v>Wholesale of food, beverages and tobacco</x:v>
      </x:c>
      <x:c r="C1631" s="12" t="str">
        <x:v>الطفيلة</x:v>
      </x:c>
      <x:c r="D1631" s="14" t="n">
        <x:v>3</x:v>
      </x:c>
      <x:c r="E1631" s="14" t="n">
        <x:f>VLOOKUP(C1631,'Governorate Master'!$A$2:$Q$13,3,FALSE)</x:f>
        <x:v>120300</x:v>
      </x:c>
      <x:c r="F1631" s="66" t="n">
        <x:f>IF(E1631=0,0,D1631/E1631*10000)</x:f>
        <x:v>0.24937655860349128</x:v>
      </x:c>
      <x:c r="G1631" s="67" t="n">
        <x:f>VLOOKUP(C1631,'Governorate Master'!$A$2:$Q$13,7,FALSE)</x:f>
        <x:v>54.4</x:v>
      </x:c>
      <x:c r="H1631" s="20" t="n">
        <x:f>VLOOKUP(C1631,'Governorate Master'!$A$2:$Q$13,6,FALSE)</x:f>
        <x:v>0.7797173732335827</x:v>
      </x:c>
      <x:c r="I1631" s="20" t="n">
        <x:f>VLOOKUP(C1631,'Governorate Master'!$A$2:$Q$13,15,FALSE)</x:f>
        <x:v>0.18452380952380953</x:v>
      </x:c>
      <x:c r="J1631" s="12" t="str">
        <x:v>Location model input - competition/saturation context</x:v>
      </x:c>
      <x:c r="K1631" s="12" t="str">
        <x:v>Business count is from 2018 while population/context indicators are newer; use as a historical proxy, not a current market count.</x:v>
      </x:c>
    </x:row>
    <x:row r="1632">
      <x:c r="A1632" s="12" t="str">
        <x:v>4630</x:v>
      </x:c>
      <x:c r="B1632" s="12" t="str">
        <x:v>Wholesale of food, beverages and tobacco</x:v>
      </x:c>
      <x:c r="C1632" s="12" t="str">
        <x:v>معان</x:v>
      </x:c>
      <x:c r="D1632" s="14" t="n">
        <x:v>8</x:v>
      </x:c>
      <x:c r="E1632" s="14" t="n">
        <x:f>VLOOKUP(C1632,'Governorate Master'!$A$2:$Q$13,3,FALSE)</x:f>
        <x:v>197900</x:v>
      </x:c>
      <x:c r="F1632" s="66" t="n">
        <x:f>IF(E1632=0,0,D1632/E1632*10000)</x:f>
        <x:v>0.404244567963618</x:v>
      </x:c>
      <x:c r="G1632" s="67" t="n">
        <x:f>VLOOKUP(C1632,'Governorate Master'!$A$2:$Q$13,7,FALSE)</x:f>
        <x:v>6</x:v>
      </x:c>
      <x:c r="H1632" s="20" t="n">
        <x:f>VLOOKUP(C1632,'Governorate Master'!$A$2:$Q$13,6,FALSE)</x:f>
        <x:v>0.5406771096513391</x:v>
      </x:c>
      <x:c r="I1632" s="20" t="n">
        <x:f>VLOOKUP(C1632,'Governorate Master'!$A$2:$Q$13,15,FALSE)</x:f>
        <x:v>0.026845637583892617</x:v>
      </x:c>
      <x:c r="J1632" s="12" t="str">
        <x:v>Location model input - competition/saturation context</x:v>
      </x:c>
      <x:c r="K1632" s="12" t="str">
        <x:v>Business count is from 2018 while population/context indicators are newer; use as a historical proxy, not a current market count.</x:v>
      </x:c>
    </x:row>
    <x:row r="1633">
      <x:c r="A1633" s="12" t="str">
        <x:v>4630</x:v>
      </x:c>
      <x:c r="B1633" s="12" t="str">
        <x:v>Wholesale of food, beverages and tobacco</x:v>
      </x:c>
      <x:c r="C1633" s="12" t="str">
        <x:v>العقبة</x:v>
      </x:c>
      <x:c r="D1633" s="14" t="n">
        <x:v>16</x:v>
      </x:c>
      <x:c r="E1633" s="14" t="n">
        <x:f>VLOOKUP(C1633,'Governorate Master'!$A$2:$Q$13,3,FALSE)</x:f>
        <x:v>250900</x:v>
      </x:c>
      <x:c r="F1633" s="66" t="n">
        <x:f>IF(E1633=0,0,D1633/E1633*10000)</x:f>
        <x:v>0.6377042646472698</x:v>
      </x:c>
      <x:c r="G1633" s="67" t="n">
        <x:f>VLOOKUP(C1633,'Governorate Master'!$A$2:$Q$13,7,FALSE)</x:f>
        <x:v>36.3</x:v>
      </x:c>
      <x:c r="H1633" s="20" t="n">
        <x:f>VLOOKUP(C1633,'Governorate Master'!$A$2:$Q$13,6,FALSE)</x:f>
        <x:v>0.882024711040255</x:v>
      </x:c>
      <x:c r="I1633" s="20" t="n">
        <x:f>VLOOKUP(C1633,'Governorate Master'!$A$2:$Q$13,15,FALSE)</x:f>
        <x:v>-0.09</x:v>
      </x:c>
      <x:c r="J1633" s="12" t="str">
        <x:v>Location model input - competition/saturation context</x:v>
      </x:c>
      <x:c r="K1633" s="12" t="str">
        <x:v>Business count is from 2018 while population/context indicators are newer; use as a historical proxy, not a current market count.</x:v>
      </x:c>
    </x:row>
    <x:row r="1634">
      <x:c r="A1634" s="12" t="str">
        <x:v>4641</x:v>
      </x:c>
      <x:c r="B1634" s="12" t="str">
        <x:v>Wholesale of textiles, clothing and footwear</x:v>
      </x:c>
      <x:c r="C1634" s="12" t="str">
        <x:v>عمان</x:v>
      </x:c>
      <x:c r="D1634" s="14" t="n">
        <x:v>333</x:v>
      </x:c>
      <x:c r="E1634" s="14" t="n">
        <x:f>VLOOKUP(C1634,'Governorate Master'!$A$2:$Q$13,3,FALSE)</x:f>
        <x:v>5004600</x:v>
      </x:c>
      <x:c r="F1634" s="66" t="n">
        <x:f>IF(E1634=0,0,D1634/E1634*10000)</x:f>
        <x:v>0.6653878431842705</x:v>
      </x:c>
      <x:c r="G1634" s="67" t="n">
        <x:f>VLOOKUP(C1634,'Governorate Master'!$A$2:$Q$13,7,FALSE)</x:f>
        <x:v>660.3</x:v>
      </x:c>
      <x:c r="H1634" s="20" t="n">
        <x:f>VLOOKUP(C1634,'Governorate Master'!$A$2:$Q$13,6,FALSE)</x:f>
        <x:v>0.9721656076409703</x:v>
      </x:c>
      <x:c r="I1634" s="20" t="n">
        <x:f>VLOOKUP(C1634,'Governorate Master'!$A$2:$Q$13,15,FALSE)</x:f>
        <x:v>0.06367041198501873</x:v>
      </x:c>
      <x:c r="J1634" s="12" t="str">
        <x:v>Location model input - competition/saturation context</x:v>
      </x:c>
      <x:c r="K1634" s="12" t="str">
        <x:v>Business count is from 2018 while population/context indicators are newer; use as a historical proxy, not a current market count.</x:v>
      </x:c>
    </x:row>
    <x:row r="1635">
      <x:c r="A1635" s="12" t="str">
        <x:v>4641</x:v>
      </x:c>
      <x:c r="B1635" s="12" t="str">
        <x:v>Wholesale of textiles, clothing and footwear</x:v>
      </x:c>
      <x:c r="C1635" s="12" t="str">
        <x:v>البلقاء</x:v>
      </x:c>
      <x:c r="D1635" s="14" t="n">
        <x:v>1</x:v>
      </x:c>
      <x:c r="E1635" s="14" t="n">
        <x:f>VLOOKUP(C1635,'Governorate Master'!$A$2:$Q$13,3,FALSE)</x:f>
        <x:v>614000</x:v>
      </x:c>
      <x:c r="F1635" s="66" t="n">
        <x:f>IF(E1635=0,0,D1635/E1635*10000)</x:f>
        <x:v>0.016286644951140065</x:v>
      </x:c>
      <x:c r="G1635" s="67" t="n">
        <x:f>VLOOKUP(C1635,'Governorate Master'!$A$2:$Q$13,7,FALSE)</x:f>
        <x:v>548</x:v>
      </x:c>
      <x:c r="H1635" s="20" t="n">
        <x:f>VLOOKUP(C1635,'Governorate Master'!$A$2:$Q$13,6,FALSE)</x:f>
        <x:v>0.8210097719869707</x:v>
      </x:c>
      <x:c r="I1635" s="20" t="n">
        <x:f>VLOOKUP(C1635,'Governorate Master'!$A$2:$Q$13,15,FALSE)</x:f>
        <x:v>0.10794044665012408</x:v>
      </x:c>
      <x:c r="J1635" s="12" t="str">
        <x:v>Location model input - competition/saturation context</x:v>
      </x:c>
      <x:c r="K1635" s="12" t="str">
        <x:v>Business count is from 2018 while population/context indicators are newer; use as a historical proxy, not a current market count.</x:v>
      </x:c>
    </x:row>
    <x:row r="1636">
      <x:c r="A1636" s="12" t="str">
        <x:v>4641</x:v>
      </x:c>
      <x:c r="B1636" s="12" t="str">
        <x:v>Wholesale of textiles, clothing and footwear</x:v>
      </x:c>
      <x:c r="C1636" s="12" t="str">
        <x:v>الزرقاء</x:v>
      </x:c>
      <x:c r="D1636" s="14" t="n">
        <x:v>9</x:v>
      </x:c>
      <x:c r="E1636" s="14" t="n">
        <x:f>VLOOKUP(C1636,'Governorate Master'!$A$2:$Q$13,3,FALSE)</x:f>
        <x:v>1704500</x:v>
      </x:c>
      <x:c r="F1636" s="66" t="n">
        <x:f>IF(E1636=0,0,D1636/E1636*10000)</x:f>
        <x:v>0.05280140803754767</x:v>
      </x:c>
      <x:c r="G1636" s="67" t="n">
        <x:f>VLOOKUP(C1636,'Governorate Master'!$A$2:$Q$13,7,FALSE)</x:f>
        <x:v>358</x:v>
      </x:c>
      <x:c r="H1636" s="20" t="n">
        <x:f>VLOOKUP(C1636,'Governorate Master'!$A$2:$Q$13,6,FALSE)</x:f>
        <x:v>0.9636256966852449</x:v>
      </x:c>
      <x:c r="I1636" s="20" t="n">
        <x:f>VLOOKUP(C1636,'Governorate Master'!$A$2:$Q$13,15,FALSE)</x:f>
        <x:v>-0.06808762581409118</x:v>
      </x:c>
      <x:c r="J1636" s="12" t="str">
        <x:v>Location model input - competition/saturation context</x:v>
      </x:c>
      <x:c r="K1636" s="12" t="str">
        <x:v>Business count is from 2018 while population/context indicators are newer; use as a historical proxy, not a current market count.</x:v>
      </x:c>
    </x:row>
    <x:row r="1637">
      <x:c r="A1637" s="12" t="str">
        <x:v>4641</x:v>
      </x:c>
      <x:c r="B1637" s="12" t="str">
        <x:v>Wholesale of textiles, clothing and footwear</x:v>
      </x:c>
      <x:c r="C1637" s="12" t="str">
        <x:v>مادبا</x:v>
      </x:c>
      <x:c r="D1637" s="14" t="n">
        <x:v>1</x:v>
      </x:c>
      <x:c r="E1637" s="14" t="n">
        <x:f>VLOOKUP(C1637,'Governorate Master'!$A$2:$Q$13,3,FALSE)</x:f>
        <x:v>236200</x:v>
      </x:c>
      <x:c r="F1637" s="66" t="n">
        <x:f>IF(E1637=0,0,D1637/E1637*10000)</x:f>
        <x:v>0.04233700254022015</x:v>
      </x:c>
      <x:c r="G1637" s="67" t="n">
        <x:f>VLOOKUP(C1637,'Governorate Master'!$A$2:$Q$13,7,FALSE)</x:f>
        <x:v>251.4</x:v>
      </x:c>
      <x:c r="H1637" s="20" t="n">
        <x:f>VLOOKUP(C1637,'Governorate Master'!$A$2:$Q$13,6,FALSE)</x:f>
        <x:v>0.7823878069432684</x:v>
      </x:c>
      <x:c r="I1637" s="20" t="n">
        <x:f>VLOOKUP(C1637,'Governorate Master'!$A$2:$Q$13,15,FALSE)</x:f>
        <x:v>-0.18823529411764706</x:v>
      </x:c>
      <x:c r="J1637" s="12" t="str">
        <x:v>Location model input - competition/saturation context</x:v>
      </x:c>
      <x:c r="K1637" s="12" t="str">
        <x:v>Business count is from 2018 while population/context indicators are newer; use as a historical proxy, not a current market count.</x:v>
      </x:c>
    </x:row>
    <x:row r="1638">
      <x:c r="A1638" s="12" t="str">
        <x:v>4641</x:v>
      </x:c>
      <x:c r="B1638" s="12" t="str">
        <x:v>Wholesale of textiles, clothing and footwear</x:v>
      </x:c>
      <x:c r="C1638" s="12" t="str">
        <x:v>إربد</x:v>
      </x:c>
      <x:c r="D1638" s="14" t="n">
        <x:v>15</x:v>
      </x:c>
      <x:c r="E1638" s="14" t="n">
        <x:f>VLOOKUP(C1638,'Governorate Master'!$A$2:$Q$13,3,FALSE)</x:f>
        <x:v>2210500</x:v>
      </x:c>
      <x:c r="F1638" s="66" t="n">
        <x:f>IF(E1638=0,0,D1638/E1638*10000)</x:f>
        <x:v>0.06785795068988917</x:v>
      </x:c>
      <x:c r="G1638" s="67" t="n">
        <x:f>VLOOKUP(C1638,'Governorate Master'!$A$2:$Q$13,7,FALSE)</x:f>
        <x:v>1406.4</x:v>
      </x:c>
      <x:c r="H1638" s="20" t="n">
        <x:f>VLOOKUP(C1638,'Governorate Master'!$A$2:$Q$13,6,FALSE)</x:f>
        <x:v>0.9235014702555983</x:v>
      </x:c>
      <x:c r="I1638" s="20" t="n">
        <x:f>VLOOKUP(C1638,'Governorate Master'!$A$2:$Q$13,15,FALSE)</x:f>
        <x:v>0.07086922474549726</x:v>
      </x:c>
      <x:c r="J1638" s="12" t="str">
        <x:v>Location model input - competition/saturation context</x:v>
      </x:c>
      <x:c r="K1638" s="12" t="str">
        <x:v>Business count is from 2018 while population/context indicators are newer; use as a historical proxy, not a current market count.</x:v>
      </x:c>
    </x:row>
    <x:row r="1639">
      <x:c r="A1639" s="12" t="str">
        <x:v>4641</x:v>
      </x:c>
      <x:c r="B1639" s="12" t="str">
        <x:v>Wholesale of textiles, clothing and footwear</x:v>
      </x:c>
      <x:c r="C1639" s="12" t="str">
        <x:v>المفرق</x:v>
      </x:c>
      <x:c r="D1639" s="14" t="n">
        <x:v>0</x:v>
      </x:c>
      <x:c r="E1639" s="14" t="n">
        <x:f>VLOOKUP(C1639,'Governorate Master'!$A$2:$Q$13,3,FALSE)</x:f>
        <x:v>686800</x:v>
      </x:c>
      <x:c r="F1639" s="66" t="n">
        <x:f>IF(E1639=0,0,D1639/E1639*10000)</x:f>
        <x:v>0</x:v>
      </x:c>
      <x:c r="G1639" s="67" t="n">
        <x:f>VLOOKUP(C1639,'Governorate Master'!$A$2:$Q$13,7,FALSE)</x:f>
        <x:v>25.9</x:v>
      </x:c>
      <x:c r="H1639" s="20" t="n">
        <x:f>VLOOKUP(C1639,'Governorate Master'!$A$2:$Q$13,6,FALSE)</x:f>
        <x:v>0.6965637740244612</x:v>
      </x:c>
      <x:c r="I1639" s="20" t="n">
        <x:f>VLOOKUP(C1639,'Governorate Master'!$A$2:$Q$13,15,FALSE)</x:f>
        <x:v>-0.016638935108153077</x:v>
      </x:c>
      <x:c r="J1639" s="12" t="str">
        <x:v>Location model input - competition/saturation context</x:v>
      </x:c>
      <x:c r="K1639" s="12" t="str">
        <x:v>Business count is from 2018 while population/context indicators are newer; use as a historical proxy, not a current market count.</x:v>
      </x:c>
    </x:row>
    <x:row r="1640">
      <x:c r="A1640" s="12" t="str">
        <x:v>4641</x:v>
      </x:c>
      <x:c r="B1640" s="12" t="str">
        <x:v>Wholesale of textiles, clothing and footwear</x:v>
      </x:c>
      <x:c r="C1640" s="12" t="str">
        <x:v>جرش</x:v>
      </x:c>
      <x:c r="D1640" s="14" t="n">
        <x:v>8</x:v>
      </x:c>
      <x:c r="E1640" s="14" t="n">
        <x:f>VLOOKUP(C1640,'Governorate Master'!$A$2:$Q$13,3,FALSE)</x:f>
        <x:v>296000</x:v>
      </x:c>
      <x:c r="F1640" s="66" t="n">
        <x:f>IF(E1640=0,0,D1640/E1640*10000)</x:f>
        <x:v>0.2702702702702703</x:v>
      </x:c>
      <x:c r="G1640" s="67" t="n">
        <x:f>VLOOKUP(C1640,'Governorate Master'!$A$2:$Q$13,7,FALSE)</x:f>
        <x:v>722.3</x:v>
      </x:c>
      <x:c r="H1640" s="20" t="n">
        <x:f>VLOOKUP(C1640,'Governorate Master'!$A$2:$Q$13,6,FALSE)</x:f>
        <x:v>0.7695945945945946</x:v>
      </x:c>
      <x:c r="I1640" s="20" t="n">
        <x:f>VLOOKUP(C1640,'Governorate Master'!$A$2:$Q$13,15,FALSE)</x:f>
        <x:v>-0.06527415143603134</x:v>
      </x:c>
      <x:c r="J1640" s="12" t="str">
        <x:v>Location model input - competition/saturation context</x:v>
      </x:c>
      <x:c r="K1640" s="12" t="str">
        <x:v>Business count is from 2018 while population/context indicators are newer; use as a historical proxy, not a current market count.</x:v>
      </x:c>
    </x:row>
    <x:row r="1641">
      <x:c r="A1641" s="12" t="str">
        <x:v>4641</x:v>
      </x:c>
      <x:c r="B1641" s="12" t="str">
        <x:v>Wholesale of textiles, clothing and footwear</x:v>
      </x:c>
      <x:c r="C1641" s="12" t="str">
        <x:v>عجلون</x:v>
      </x:c>
      <x:c r="D1641" s="14" t="n">
        <x:v>0</x:v>
      </x:c>
      <x:c r="E1641" s="14" t="n">
        <x:f>VLOOKUP(C1641,'Governorate Master'!$A$2:$Q$13,3,FALSE)</x:f>
        <x:v>219900</x:v>
      </x:c>
      <x:c r="F1641" s="66" t="n">
        <x:f>IF(E1641=0,0,D1641/E1641*10000)</x:f>
        <x:v>0</x:v>
      </x:c>
      <x:c r="G1641" s="67" t="n">
        <x:f>VLOOKUP(C1641,'Governorate Master'!$A$2:$Q$13,7,FALSE)</x:f>
        <x:v>524</x:v>
      </x:c>
      <x:c r="H1641" s="20" t="n">
        <x:f>VLOOKUP(C1641,'Governorate Master'!$A$2:$Q$13,6,FALSE)</x:f>
        <x:v>0.8390177353342428</x:v>
      </x:c>
      <x:c r="I1641" s="20" t="n">
        <x:f>VLOOKUP(C1641,'Governorate Master'!$A$2:$Q$13,15,FALSE)</x:f>
        <x:v>0.03614457831325301</x:v>
      </x:c>
      <x:c r="J1641" s="12" t="str">
        <x:v>Location model input - competition/saturation context</x:v>
      </x:c>
      <x:c r="K1641" s="12" t="str">
        <x:v>Business count is from 2018 while population/context indicators are newer; use as a historical proxy, not a current market count.</x:v>
      </x:c>
    </x:row>
    <x:row r="1642">
      <x:c r="A1642" s="12" t="str">
        <x:v>4641</x:v>
      </x:c>
      <x:c r="B1642" s="12" t="str">
        <x:v>Wholesale of textiles, clothing and footwear</x:v>
      </x:c>
      <x:c r="C1642" s="12" t="str">
        <x:v>الكرك</x:v>
      </x:c>
      <x:c r="D1642" s="14" t="n">
        <x:v>0</x:v>
      </x:c>
      <x:c r="E1642" s="14" t="n">
        <x:f>VLOOKUP(C1642,'Governorate Master'!$A$2:$Q$13,3,FALSE)</x:f>
        <x:v>395400</x:v>
      </x:c>
      <x:c r="F1642" s="66" t="n">
        <x:f>IF(E1642=0,0,D1642/E1642*10000)</x:f>
        <x:v>0</x:v>
      </x:c>
      <x:c r="G1642" s="67" t="n">
        <x:f>VLOOKUP(C1642,'Governorate Master'!$A$2:$Q$13,7,FALSE)</x:f>
        <x:v>113.1</x:v>
      </x:c>
      <x:c r="H1642" s="20" t="n">
        <x:f>VLOOKUP(C1642,'Governorate Master'!$A$2:$Q$13,6,FALSE)</x:f>
        <x:v>0.5912999494183105</x:v>
      </x:c>
      <x:c r="I1642" s="20" t="n">
        <x:f>VLOOKUP(C1642,'Governorate Master'!$A$2:$Q$13,15,FALSE)</x:f>
        <x:v>0.08710801393728224</x:v>
      </x:c>
      <x:c r="J1642" s="12" t="str">
        <x:v>Location model input - competition/saturation context</x:v>
      </x:c>
      <x:c r="K1642" s="12" t="str">
        <x:v>Business count is from 2018 while population/context indicators are newer; use as a historical proxy, not a current market count.</x:v>
      </x:c>
    </x:row>
    <x:row r="1643">
      <x:c r="A1643" s="12" t="str">
        <x:v>4641</x:v>
      </x:c>
      <x:c r="B1643" s="12" t="str">
        <x:v>Wholesale of textiles, clothing and footwear</x:v>
      </x:c>
      <x:c r="C1643" s="12" t="str">
        <x:v>الطفيلة</x:v>
      </x:c>
      <x:c r="D1643" s="14" t="n">
        <x:v>0</x:v>
      </x:c>
      <x:c r="E1643" s="14" t="n">
        <x:f>VLOOKUP(C1643,'Governorate Master'!$A$2:$Q$13,3,FALSE)</x:f>
        <x:v>120300</x:v>
      </x:c>
      <x:c r="F1643" s="66" t="n">
        <x:f>IF(E1643=0,0,D1643/E1643*10000)</x:f>
        <x:v>0</x:v>
      </x:c>
      <x:c r="G1643" s="67" t="n">
        <x:f>VLOOKUP(C1643,'Governorate Master'!$A$2:$Q$13,7,FALSE)</x:f>
        <x:v>54.4</x:v>
      </x:c>
      <x:c r="H1643" s="20" t="n">
        <x:f>VLOOKUP(C1643,'Governorate Master'!$A$2:$Q$13,6,FALSE)</x:f>
        <x:v>0.7797173732335827</x:v>
      </x:c>
      <x:c r="I1643" s="20" t="n">
        <x:f>VLOOKUP(C1643,'Governorate Master'!$A$2:$Q$13,15,FALSE)</x:f>
        <x:v>0.18452380952380953</x:v>
      </x:c>
      <x:c r="J1643" s="12" t="str">
        <x:v>Location model input - competition/saturation context</x:v>
      </x:c>
      <x:c r="K1643" s="12" t="str">
        <x:v>Business count is from 2018 while population/context indicators are newer; use as a historical proxy, not a current market count.</x:v>
      </x:c>
    </x:row>
    <x:row r="1644">
      <x:c r="A1644" s="12" t="str">
        <x:v>4641</x:v>
      </x:c>
      <x:c r="B1644" s="12" t="str">
        <x:v>Wholesale of textiles, clothing and footwear</x:v>
      </x:c>
      <x:c r="C1644" s="12" t="str">
        <x:v>معان</x:v>
      </x:c>
      <x:c r="D1644" s="14" t="n">
        <x:v>0</x:v>
      </x:c>
      <x:c r="E1644" s="14" t="n">
        <x:f>VLOOKUP(C1644,'Governorate Master'!$A$2:$Q$13,3,FALSE)</x:f>
        <x:v>197900</x:v>
      </x:c>
      <x:c r="F1644" s="66" t="n">
        <x:f>IF(E1644=0,0,D1644/E1644*10000)</x:f>
        <x:v>0</x:v>
      </x:c>
      <x:c r="G1644" s="67" t="n">
        <x:f>VLOOKUP(C1644,'Governorate Master'!$A$2:$Q$13,7,FALSE)</x:f>
        <x:v>6</x:v>
      </x:c>
      <x:c r="H1644" s="20" t="n">
        <x:f>VLOOKUP(C1644,'Governorate Master'!$A$2:$Q$13,6,FALSE)</x:f>
        <x:v>0.5406771096513391</x:v>
      </x:c>
      <x:c r="I1644" s="20" t="n">
        <x:f>VLOOKUP(C1644,'Governorate Master'!$A$2:$Q$13,15,FALSE)</x:f>
        <x:v>0.026845637583892617</x:v>
      </x:c>
      <x:c r="J1644" s="12" t="str">
        <x:v>Location model input - competition/saturation context</x:v>
      </x:c>
      <x:c r="K1644" s="12" t="str">
        <x:v>Business count is from 2018 while population/context indicators are newer; use as a historical proxy, not a current market count.</x:v>
      </x:c>
    </x:row>
    <x:row r="1645">
      <x:c r="A1645" s="12" t="str">
        <x:v>4641</x:v>
      </x:c>
      <x:c r="B1645" s="12" t="str">
        <x:v>Wholesale of textiles, clothing and footwear</x:v>
      </x:c>
      <x:c r="C1645" s="12" t="str">
        <x:v>العقبة</x:v>
      </x:c>
      <x:c r="D1645" s="14" t="n">
        <x:v>5</x:v>
      </x:c>
      <x:c r="E1645" s="14" t="n">
        <x:f>VLOOKUP(C1645,'Governorate Master'!$A$2:$Q$13,3,FALSE)</x:f>
        <x:v>250900</x:v>
      </x:c>
      <x:c r="F1645" s="66" t="n">
        <x:f>IF(E1645=0,0,D1645/E1645*10000)</x:f>
        <x:v>0.1992825827022718</x:v>
      </x:c>
      <x:c r="G1645" s="67" t="n">
        <x:f>VLOOKUP(C1645,'Governorate Master'!$A$2:$Q$13,7,FALSE)</x:f>
        <x:v>36.3</x:v>
      </x:c>
      <x:c r="H1645" s="20" t="n">
        <x:f>VLOOKUP(C1645,'Governorate Master'!$A$2:$Q$13,6,FALSE)</x:f>
        <x:v>0.882024711040255</x:v>
      </x:c>
      <x:c r="I1645" s="20" t="n">
        <x:f>VLOOKUP(C1645,'Governorate Master'!$A$2:$Q$13,15,FALSE)</x:f>
        <x:v>-0.09</x:v>
      </x:c>
      <x:c r="J1645" s="12" t="str">
        <x:v>Location model input - competition/saturation context</x:v>
      </x:c>
      <x:c r="K1645" s="12" t="str">
        <x:v>Business count is from 2018 while population/context indicators are newer; use as a historical proxy, not a current market count.</x:v>
      </x:c>
    </x:row>
    <x:row r="1646">
      <x:c r="A1646" s="12" t="str">
        <x:v>4649</x:v>
      </x:c>
      <x:c r="B1646" s="12" t="str">
        <x:v>Wholesale of other household goods</x:v>
      </x:c>
      <x:c r="C1646" s="12" t="str">
        <x:v>عمان</x:v>
      </x:c>
      <x:c r="D1646" s="14" t="n">
        <x:v>621</x:v>
      </x:c>
      <x:c r="E1646" s="14" t="n">
        <x:f>VLOOKUP(C1646,'Governorate Master'!$A$2:$Q$13,3,FALSE)</x:f>
        <x:v>5004600</x:v>
      </x:c>
      <x:c r="F1646" s="66" t="n">
        <x:f>IF(E1646=0,0,D1646/E1646*10000)</x:f>
        <x:v>1.2408584102625584</x:v>
      </x:c>
      <x:c r="G1646" s="67" t="n">
        <x:f>VLOOKUP(C1646,'Governorate Master'!$A$2:$Q$13,7,FALSE)</x:f>
        <x:v>660.3</x:v>
      </x:c>
      <x:c r="H1646" s="20" t="n">
        <x:f>VLOOKUP(C1646,'Governorate Master'!$A$2:$Q$13,6,FALSE)</x:f>
        <x:v>0.9721656076409703</x:v>
      </x:c>
      <x:c r="I1646" s="20" t="n">
        <x:f>VLOOKUP(C1646,'Governorate Master'!$A$2:$Q$13,15,FALSE)</x:f>
        <x:v>0.06367041198501873</x:v>
      </x:c>
      <x:c r="J1646" s="12" t="str">
        <x:v>Location model input - competition/saturation context</x:v>
      </x:c>
      <x:c r="K1646" s="12" t="str">
        <x:v>Business count is from 2018 while population/context indicators are newer; use as a historical proxy, not a current market count.</x:v>
      </x:c>
    </x:row>
    <x:row r="1647">
      <x:c r="A1647" s="12" t="str">
        <x:v>4649</x:v>
      </x:c>
      <x:c r="B1647" s="12" t="str">
        <x:v>Wholesale of other household goods</x:v>
      </x:c>
      <x:c r="C1647" s="12" t="str">
        <x:v>البلقاء</x:v>
      </x:c>
      <x:c r="D1647" s="14" t="n">
        <x:v>9</x:v>
      </x:c>
      <x:c r="E1647" s="14" t="n">
        <x:f>VLOOKUP(C1647,'Governorate Master'!$A$2:$Q$13,3,FALSE)</x:f>
        <x:v>614000</x:v>
      </x:c>
      <x:c r="F1647" s="66" t="n">
        <x:f>IF(E1647=0,0,D1647/E1647*10000)</x:f>
        <x:v>0.1465798045602606</x:v>
      </x:c>
      <x:c r="G1647" s="67" t="n">
        <x:f>VLOOKUP(C1647,'Governorate Master'!$A$2:$Q$13,7,FALSE)</x:f>
        <x:v>548</x:v>
      </x:c>
      <x:c r="H1647" s="20" t="n">
        <x:f>VLOOKUP(C1647,'Governorate Master'!$A$2:$Q$13,6,FALSE)</x:f>
        <x:v>0.8210097719869707</x:v>
      </x:c>
      <x:c r="I1647" s="20" t="n">
        <x:f>VLOOKUP(C1647,'Governorate Master'!$A$2:$Q$13,15,FALSE)</x:f>
        <x:v>0.10794044665012408</x:v>
      </x:c>
      <x:c r="J1647" s="12" t="str">
        <x:v>Location model input - competition/saturation context</x:v>
      </x:c>
      <x:c r="K1647" s="12" t="str">
        <x:v>Business count is from 2018 while population/context indicators are newer; use as a historical proxy, not a current market count.</x:v>
      </x:c>
    </x:row>
    <x:row r="1648">
      <x:c r="A1648" s="12" t="str">
        <x:v>4649</x:v>
      </x:c>
      <x:c r="B1648" s="12" t="str">
        <x:v>Wholesale of other household goods</x:v>
      </x:c>
      <x:c r="C1648" s="12" t="str">
        <x:v>الزرقاء</x:v>
      </x:c>
      <x:c r="D1648" s="14" t="n">
        <x:v>58</x:v>
      </x:c>
      <x:c r="E1648" s="14" t="n">
        <x:f>VLOOKUP(C1648,'Governorate Master'!$A$2:$Q$13,3,FALSE)</x:f>
        <x:v>1704500</x:v>
      </x:c>
      <x:c r="F1648" s="66" t="n">
        <x:f>IF(E1648=0,0,D1648/E1648*10000)</x:f>
        <x:v>0.3402757406864183</x:v>
      </x:c>
      <x:c r="G1648" s="67" t="n">
        <x:f>VLOOKUP(C1648,'Governorate Master'!$A$2:$Q$13,7,FALSE)</x:f>
        <x:v>358</x:v>
      </x:c>
      <x:c r="H1648" s="20" t="n">
        <x:f>VLOOKUP(C1648,'Governorate Master'!$A$2:$Q$13,6,FALSE)</x:f>
        <x:v>0.9636256966852449</x:v>
      </x:c>
      <x:c r="I1648" s="20" t="n">
        <x:f>VLOOKUP(C1648,'Governorate Master'!$A$2:$Q$13,15,FALSE)</x:f>
        <x:v>-0.06808762581409118</x:v>
      </x:c>
      <x:c r="J1648" s="12" t="str">
        <x:v>Location model input - competition/saturation context</x:v>
      </x:c>
      <x:c r="K1648" s="12" t="str">
        <x:v>Business count is from 2018 while population/context indicators are newer; use as a historical proxy, not a current market count.</x:v>
      </x:c>
    </x:row>
    <x:row r="1649">
      <x:c r="A1649" s="12" t="str">
        <x:v>4649</x:v>
      </x:c>
      <x:c r="B1649" s="12" t="str">
        <x:v>Wholesale of other household goods</x:v>
      </x:c>
      <x:c r="C1649" s="12" t="str">
        <x:v>مادبا</x:v>
      </x:c>
      <x:c r="D1649" s="14" t="n">
        <x:v>5</x:v>
      </x:c>
      <x:c r="E1649" s="14" t="n">
        <x:f>VLOOKUP(C1649,'Governorate Master'!$A$2:$Q$13,3,FALSE)</x:f>
        <x:v>236200</x:v>
      </x:c>
      <x:c r="F1649" s="66" t="n">
        <x:f>IF(E1649=0,0,D1649/E1649*10000)</x:f>
        <x:v>0.21168501270110077</x:v>
      </x:c>
      <x:c r="G1649" s="67" t="n">
        <x:f>VLOOKUP(C1649,'Governorate Master'!$A$2:$Q$13,7,FALSE)</x:f>
        <x:v>251.4</x:v>
      </x:c>
      <x:c r="H1649" s="20" t="n">
        <x:f>VLOOKUP(C1649,'Governorate Master'!$A$2:$Q$13,6,FALSE)</x:f>
        <x:v>0.7823878069432684</x:v>
      </x:c>
      <x:c r="I1649" s="20" t="n">
        <x:f>VLOOKUP(C1649,'Governorate Master'!$A$2:$Q$13,15,FALSE)</x:f>
        <x:v>-0.18823529411764706</x:v>
      </x:c>
      <x:c r="J1649" s="12" t="str">
        <x:v>Location model input - competition/saturation context</x:v>
      </x:c>
      <x:c r="K1649" s="12" t="str">
        <x:v>Business count is from 2018 while population/context indicators are newer; use as a historical proxy, not a current market count.</x:v>
      </x:c>
    </x:row>
    <x:row r="1650">
      <x:c r="A1650" s="12" t="str">
        <x:v>4649</x:v>
      </x:c>
      <x:c r="B1650" s="12" t="str">
        <x:v>Wholesale of other household goods</x:v>
      </x:c>
      <x:c r="C1650" s="12" t="str">
        <x:v>إربد</x:v>
      </x:c>
      <x:c r="D1650" s="14" t="n">
        <x:v>51</x:v>
      </x:c>
      <x:c r="E1650" s="14" t="n">
        <x:f>VLOOKUP(C1650,'Governorate Master'!$A$2:$Q$13,3,FALSE)</x:f>
        <x:v>2210500</x:v>
      </x:c>
      <x:c r="F1650" s="66" t="n">
        <x:f>IF(E1650=0,0,D1650/E1650*10000)</x:f>
        <x:v>0.23071703234562316</x:v>
      </x:c>
      <x:c r="G1650" s="67" t="n">
        <x:f>VLOOKUP(C1650,'Governorate Master'!$A$2:$Q$13,7,FALSE)</x:f>
        <x:v>1406.4</x:v>
      </x:c>
      <x:c r="H1650" s="20" t="n">
        <x:f>VLOOKUP(C1650,'Governorate Master'!$A$2:$Q$13,6,FALSE)</x:f>
        <x:v>0.9235014702555983</x:v>
      </x:c>
      <x:c r="I1650" s="20" t="n">
        <x:f>VLOOKUP(C1650,'Governorate Master'!$A$2:$Q$13,15,FALSE)</x:f>
        <x:v>0.07086922474549726</x:v>
      </x:c>
      <x:c r="J1650" s="12" t="str">
        <x:v>Location model input - competition/saturation context</x:v>
      </x:c>
      <x:c r="K1650" s="12" t="str">
        <x:v>Business count is from 2018 while population/context indicators are newer; use as a historical proxy, not a current market count.</x:v>
      </x:c>
    </x:row>
    <x:row r="1651">
      <x:c r="A1651" s="12" t="str">
        <x:v>4649</x:v>
      </x:c>
      <x:c r="B1651" s="12" t="str">
        <x:v>Wholesale of other household goods</x:v>
      </x:c>
      <x:c r="C1651" s="12" t="str">
        <x:v>المفرق</x:v>
      </x:c>
      <x:c r="D1651" s="14" t="n">
        <x:v>7</x:v>
      </x:c>
      <x:c r="E1651" s="14" t="n">
        <x:f>VLOOKUP(C1651,'Governorate Master'!$A$2:$Q$13,3,FALSE)</x:f>
        <x:v>686800</x:v>
      </x:c>
      <x:c r="F1651" s="66" t="n">
        <x:f>IF(E1651=0,0,D1651/E1651*10000)</x:f>
        <x:v>0.10192195690157252</x:v>
      </x:c>
      <x:c r="G1651" s="67" t="n">
        <x:f>VLOOKUP(C1651,'Governorate Master'!$A$2:$Q$13,7,FALSE)</x:f>
        <x:v>25.9</x:v>
      </x:c>
      <x:c r="H1651" s="20" t="n">
        <x:f>VLOOKUP(C1651,'Governorate Master'!$A$2:$Q$13,6,FALSE)</x:f>
        <x:v>0.6965637740244612</x:v>
      </x:c>
      <x:c r="I1651" s="20" t="n">
        <x:f>VLOOKUP(C1651,'Governorate Master'!$A$2:$Q$13,15,FALSE)</x:f>
        <x:v>-0.016638935108153077</x:v>
      </x:c>
      <x:c r="J1651" s="12" t="str">
        <x:v>Location model input - competition/saturation context</x:v>
      </x:c>
      <x:c r="K1651" s="12" t="str">
        <x:v>Business count is from 2018 while population/context indicators are newer; use as a historical proxy, not a current market count.</x:v>
      </x:c>
    </x:row>
    <x:row r="1652">
      <x:c r="A1652" s="12" t="str">
        <x:v>4649</x:v>
      </x:c>
      <x:c r="B1652" s="12" t="str">
        <x:v>Wholesale of other household goods</x:v>
      </x:c>
      <x:c r="C1652" s="12" t="str">
        <x:v>جرش</x:v>
      </x:c>
      <x:c r="D1652" s="14" t="n">
        <x:v>2</x:v>
      </x:c>
      <x:c r="E1652" s="14" t="n">
        <x:f>VLOOKUP(C1652,'Governorate Master'!$A$2:$Q$13,3,FALSE)</x:f>
        <x:v>296000</x:v>
      </x:c>
      <x:c r="F1652" s="66" t="n">
        <x:f>IF(E1652=0,0,D1652/E1652*10000)</x:f>
        <x:v>0.06756756756756757</x:v>
      </x:c>
      <x:c r="G1652" s="67" t="n">
        <x:f>VLOOKUP(C1652,'Governorate Master'!$A$2:$Q$13,7,FALSE)</x:f>
        <x:v>722.3</x:v>
      </x:c>
      <x:c r="H1652" s="20" t="n">
        <x:f>VLOOKUP(C1652,'Governorate Master'!$A$2:$Q$13,6,FALSE)</x:f>
        <x:v>0.7695945945945946</x:v>
      </x:c>
      <x:c r="I1652" s="20" t="n">
        <x:f>VLOOKUP(C1652,'Governorate Master'!$A$2:$Q$13,15,FALSE)</x:f>
        <x:v>-0.06527415143603134</x:v>
      </x:c>
      <x:c r="J1652" s="12" t="str">
        <x:v>Location model input - competition/saturation context</x:v>
      </x:c>
      <x:c r="K1652" s="12" t="str">
        <x:v>Business count is from 2018 while population/context indicators are newer; use as a historical proxy, not a current market count.</x:v>
      </x:c>
    </x:row>
    <x:row r="1653">
      <x:c r="A1653" s="12" t="str">
        <x:v>4649</x:v>
      </x:c>
      <x:c r="B1653" s="12" t="str">
        <x:v>Wholesale of other household goods</x:v>
      </x:c>
      <x:c r="C1653" s="12" t="str">
        <x:v>عجلون</x:v>
      </x:c>
      <x:c r="D1653" s="14" t="n">
        <x:v>0</x:v>
      </x:c>
      <x:c r="E1653" s="14" t="n">
        <x:f>VLOOKUP(C1653,'Governorate Master'!$A$2:$Q$13,3,FALSE)</x:f>
        <x:v>219900</x:v>
      </x:c>
      <x:c r="F1653" s="66" t="n">
        <x:f>IF(E1653=0,0,D1653/E1653*10000)</x:f>
        <x:v>0</x:v>
      </x:c>
      <x:c r="G1653" s="67" t="n">
        <x:f>VLOOKUP(C1653,'Governorate Master'!$A$2:$Q$13,7,FALSE)</x:f>
        <x:v>524</x:v>
      </x:c>
      <x:c r="H1653" s="20" t="n">
        <x:f>VLOOKUP(C1653,'Governorate Master'!$A$2:$Q$13,6,FALSE)</x:f>
        <x:v>0.8390177353342428</x:v>
      </x:c>
      <x:c r="I1653" s="20" t="n">
        <x:f>VLOOKUP(C1653,'Governorate Master'!$A$2:$Q$13,15,FALSE)</x:f>
        <x:v>0.03614457831325301</x:v>
      </x:c>
      <x:c r="J1653" s="12" t="str">
        <x:v>Location model input - competition/saturation context</x:v>
      </x:c>
      <x:c r="K1653" s="12" t="str">
        <x:v>Business count is from 2018 while population/context indicators are newer; use as a historical proxy, not a current market count.</x:v>
      </x:c>
    </x:row>
    <x:row r="1654">
      <x:c r="A1654" s="12" t="str">
        <x:v>4649</x:v>
      </x:c>
      <x:c r="B1654" s="12" t="str">
        <x:v>Wholesale of other household goods</x:v>
      </x:c>
      <x:c r="C1654" s="12" t="str">
        <x:v>الكرك</x:v>
      </x:c>
      <x:c r="D1654" s="14" t="n">
        <x:v>6</x:v>
      </x:c>
      <x:c r="E1654" s="14" t="n">
        <x:f>VLOOKUP(C1654,'Governorate Master'!$A$2:$Q$13,3,FALSE)</x:f>
        <x:v>395400</x:v>
      </x:c>
      <x:c r="F1654" s="66" t="n">
        <x:f>IF(E1654=0,0,D1654/E1654*10000)</x:f>
        <x:v>0.15174506828528073</x:v>
      </x:c>
      <x:c r="G1654" s="67" t="n">
        <x:f>VLOOKUP(C1654,'Governorate Master'!$A$2:$Q$13,7,FALSE)</x:f>
        <x:v>113.1</x:v>
      </x:c>
      <x:c r="H1654" s="20" t="n">
        <x:f>VLOOKUP(C1654,'Governorate Master'!$A$2:$Q$13,6,FALSE)</x:f>
        <x:v>0.5912999494183105</x:v>
      </x:c>
      <x:c r="I1654" s="20" t="n">
        <x:f>VLOOKUP(C1654,'Governorate Master'!$A$2:$Q$13,15,FALSE)</x:f>
        <x:v>0.08710801393728224</x:v>
      </x:c>
      <x:c r="J1654" s="12" t="str">
        <x:v>Location model input - competition/saturation context</x:v>
      </x:c>
      <x:c r="K1654" s="12" t="str">
        <x:v>Business count is from 2018 while population/context indicators are newer; use as a historical proxy, not a current market count.</x:v>
      </x:c>
    </x:row>
    <x:row r="1655">
      <x:c r="A1655" s="12" t="str">
        <x:v>4649</x:v>
      </x:c>
      <x:c r="B1655" s="12" t="str">
        <x:v>Wholesale of other household goods</x:v>
      </x:c>
      <x:c r="C1655" s="12" t="str">
        <x:v>الطفيلة</x:v>
      </x:c>
      <x:c r="D1655" s="14" t="n">
        <x:v>0</x:v>
      </x:c>
      <x:c r="E1655" s="14" t="n">
        <x:f>VLOOKUP(C1655,'Governorate Master'!$A$2:$Q$13,3,FALSE)</x:f>
        <x:v>120300</x:v>
      </x:c>
      <x:c r="F1655" s="66" t="n">
        <x:f>IF(E1655=0,0,D1655/E1655*10000)</x:f>
        <x:v>0</x:v>
      </x:c>
      <x:c r="G1655" s="67" t="n">
        <x:f>VLOOKUP(C1655,'Governorate Master'!$A$2:$Q$13,7,FALSE)</x:f>
        <x:v>54.4</x:v>
      </x:c>
      <x:c r="H1655" s="20" t="n">
        <x:f>VLOOKUP(C1655,'Governorate Master'!$A$2:$Q$13,6,FALSE)</x:f>
        <x:v>0.7797173732335827</x:v>
      </x:c>
      <x:c r="I1655" s="20" t="n">
        <x:f>VLOOKUP(C1655,'Governorate Master'!$A$2:$Q$13,15,FALSE)</x:f>
        <x:v>0.18452380952380953</x:v>
      </x:c>
      <x:c r="J1655" s="12" t="str">
        <x:v>Location model input - competition/saturation context</x:v>
      </x:c>
      <x:c r="K1655" s="12" t="str">
        <x:v>Business count is from 2018 while population/context indicators are newer; use as a historical proxy, not a current market count.</x:v>
      </x:c>
    </x:row>
    <x:row r="1656">
      <x:c r="A1656" s="12" t="str">
        <x:v>4649</x:v>
      </x:c>
      <x:c r="B1656" s="12" t="str">
        <x:v>Wholesale of other household goods</x:v>
      </x:c>
      <x:c r="C1656" s="12" t="str">
        <x:v>معان</x:v>
      </x:c>
      <x:c r="D1656" s="14" t="n">
        <x:v>0</x:v>
      </x:c>
      <x:c r="E1656" s="14" t="n">
        <x:f>VLOOKUP(C1656,'Governorate Master'!$A$2:$Q$13,3,FALSE)</x:f>
        <x:v>197900</x:v>
      </x:c>
      <x:c r="F1656" s="66" t="n">
        <x:f>IF(E1656=0,0,D1656/E1656*10000)</x:f>
        <x:v>0</x:v>
      </x:c>
      <x:c r="G1656" s="67" t="n">
        <x:f>VLOOKUP(C1656,'Governorate Master'!$A$2:$Q$13,7,FALSE)</x:f>
        <x:v>6</x:v>
      </x:c>
      <x:c r="H1656" s="20" t="n">
        <x:f>VLOOKUP(C1656,'Governorate Master'!$A$2:$Q$13,6,FALSE)</x:f>
        <x:v>0.5406771096513391</x:v>
      </x:c>
      <x:c r="I1656" s="20" t="n">
        <x:f>VLOOKUP(C1656,'Governorate Master'!$A$2:$Q$13,15,FALSE)</x:f>
        <x:v>0.026845637583892617</x:v>
      </x:c>
      <x:c r="J1656" s="12" t="str">
        <x:v>Location model input - competition/saturation context</x:v>
      </x:c>
      <x:c r="K1656" s="12" t="str">
        <x:v>Business count is from 2018 while population/context indicators are newer; use as a historical proxy, not a current market count.</x:v>
      </x:c>
    </x:row>
    <x:row r="1657">
      <x:c r="A1657" s="12" t="str">
        <x:v>4649</x:v>
      </x:c>
      <x:c r="B1657" s="12" t="str">
        <x:v>Wholesale of other household goods</x:v>
      </x:c>
      <x:c r="C1657" s="12" t="str">
        <x:v>العقبة</x:v>
      </x:c>
      <x:c r="D1657" s="14" t="n">
        <x:v>1</x:v>
      </x:c>
      <x:c r="E1657" s="14" t="n">
        <x:f>VLOOKUP(C1657,'Governorate Master'!$A$2:$Q$13,3,FALSE)</x:f>
        <x:v>250900</x:v>
      </x:c>
      <x:c r="F1657" s="66" t="n">
        <x:f>IF(E1657=0,0,D1657/E1657*10000)</x:f>
        <x:v>0.03985651654045436</x:v>
      </x:c>
      <x:c r="G1657" s="67" t="n">
        <x:f>VLOOKUP(C1657,'Governorate Master'!$A$2:$Q$13,7,FALSE)</x:f>
        <x:v>36.3</x:v>
      </x:c>
      <x:c r="H1657" s="20" t="n">
        <x:f>VLOOKUP(C1657,'Governorate Master'!$A$2:$Q$13,6,FALSE)</x:f>
        <x:v>0.882024711040255</x:v>
      </x:c>
      <x:c r="I1657" s="20" t="n">
        <x:f>VLOOKUP(C1657,'Governorate Master'!$A$2:$Q$13,15,FALSE)</x:f>
        <x:v>-0.09</x:v>
      </x:c>
      <x:c r="J1657" s="12" t="str">
        <x:v>Location model input - competition/saturation context</x:v>
      </x:c>
      <x:c r="K1657" s="12" t="str">
        <x:v>Business count is from 2018 while population/context indicators are newer; use as a historical proxy, not a current market count.</x:v>
      </x:c>
    </x:row>
    <x:row r="1658">
      <x:c r="A1658" s="12" t="str">
        <x:v>4651</x:v>
      </x:c>
      <x:c r="B1658" s="12" t="str">
        <x:v>Wholesale of computers, computer peripheral equipment and software</x:v>
      </x:c>
      <x:c r="C1658" s="12" t="str">
        <x:v>عمان</x:v>
      </x:c>
      <x:c r="D1658" s="14" t="n">
        <x:v>58</x:v>
      </x:c>
      <x:c r="E1658" s="14" t="n">
        <x:f>VLOOKUP(C1658,'Governorate Master'!$A$2:$Q$13,3,FALSE)</x:f>
        <x:v>5004600</x:v>
      </x:c>
      <x:c r="F1658" s="66" t="n">
        <x:f>IF(E1658=0,0,D1658/E1658*10000)</x:f>
        <x:v>0.11589337809215522</x:v>
      </x:c>
      <x:c r="G1658" s="67" t="n">
        <x:f>VLOOKUP(C1658,'Governorate Master'!$A$2:$Q$13,7,FALSE)</x:f>
        <x:v>660.3</x:v>
      </x:c>
      <x:c r="H1658" s="20" t="n">
        <x:f>VLOOKUP(C1658,'Governorate Master'!$A$2:$Q$13,6,FALSE)</x:f>
        <x:v>0.9721656076409703</x:v>
      </x:c>
      <x:c r="I1658" s="20" t="n">
        <x:f>VLOOKUP(C1658,'Governorate Master'!$A$2:$Q$13,15,FALSE)</x:f>
        <x:v>0.06367041198501873</x:v>
      </x:c>
      <x:c r="J1658" s="12" t="str">
        <x:v>Location model input - competition/saturation context</x:v>
      </x:c>
      <x:c r="K1658" s="12" t="str">
        <x:v>Business count is from 2018 while population/context indicators are newer; use as a historical proxy, not a current market count.</x:v>
      </x:c>
    </x:row>
    <x:row r="1659">
      <x:c r="A1659" s="12" t="str">
        <x:v>4651</x:v>
      </x:c>
      <x:c r="B1659" s="12" t="str">
        <x:v>Wholesale of computers, computer peripheral equipment and software</x:v>
      </x:c>
      <x:c r="C1659" s="12" t="str">
        <x:v>البلقاء</x:v>
      </x:c>
      <x:c r="D1659" s="14" t="n">
        <x:v>0</x:v>
      </x:c>
      <x:c r="E1659" s="14" t="n">
        <x:f>VLOOKUP(C1659,'Governorate Master'!$A$2:$Q$13,3,FALSE)</x:f>
        <x:v>614000</x:v>
      </x:c>
      <x:c r="F1659" s="66" t="n">
        <x:f>IF(E1659=0,0,D1659/E1659*10000)</x:f>
        <x:v>0</x:v>
      </x:c>
      <x:c r="G1659" s="67" t="n">
        <x:f>VLOOKUP(C1659,'Governorate Master'!$A$2:$Q$13,7,FALSE)</x:f>
        <x:v>548</x:v>
      </x:c>
      <x:c r="H1659" s="20" t="n">
        <x:f>VLOOKUP(C1659,'Governorate Master'!$A$2:$Q$13,6,FALSE)</x:f>
        <x:v>0.8210097719869707</x:v>
      </x:c>
      <x:c r="I1659" s="20" t="n">
        <x:f>VLOOKUP(C1659,'Governorate Master'!$A$2:$Q$13,15,FALSE)</x:f>
        <x:v>0.10794044665012408</x:v>
      </x:c>
      <x:c r="J1659" s="12" t="str">
        <x:v>Location model input - competition/saturation context</x:v>
      </x:c>
      <x:c r="K1659" s="12" t="str">
        <x:v>Business count is from 2018 while population/context indicators are newer; use as a historical proxy, not a current market count.</x:v>
      </x:c>
    </x:row>
    <x:row r="1660">
      <x:c r="A1660" s="12" t="str">
        <x:v>4651</x:v>
      </x:c>
      <x:c r="B1660" s="12" t="str">
        <x:v>Wholesale of computers, computer peripheral equipment and software</x:v>
      </x:c>
      <x:c r="C1660" s="12" t="str">
        <x:v>الزرقاء</x:v>
      </x:c>
      <x:c r="D1660" s="14" t="n">
        <x:v>0</x:v>
      </x:c>
      <x:c r="E1660" s="14" t="n">
        <x:f>VLOOKUP(C1660,'Governorate Master'!$A$2:$Q$13,3,FALSE)</x:f>
        <x:v>1704500</x:v>
      </x:c>
      <x:c r="F1660" s="66" t="n">
        <x:f>IF(E1660=0,0,D1660/E1660*10000)</x:f>
        <x:v>0</x:v>
      </x:c>
      <x:c r="G1660" s="67" t="n">
        <x:f>VLOOKUP(C1660,'Governorate Master'!$A$2:$Q$13,7,FALSE)</x:f>
        <x:v>358</x:v>
      </x:c>
      <x:c r="H1660" s="20" t="n">
        <x:f>VLOOKUP(C1660,'Governorate Master'!$A$2:$Q$13,6,FALSE)</x:f>
        <x:v>0.9636256966852449</x:v>
      </x:c>
      <x:c r="I1660" s="20" t="n">
        <x:f>VLOOKUP(C1660,'Governorate Master'!$A$2:$Q$13,15,FALSE)</x:f>
        <x:v>-0.06808762581409118</x:v>
      </x:c>
      <x:c r="J1660" s="12" t="str">
        <x:v>Location model input - competition/saturation context</x:v>
      </x:c>
      <x:c r="K1660" s="12" t="str">
        <x:v>Business count is from 2018 while population/context indicators are newer; use as a historical proxy, not a current market count.</x:v>
      </x:c>
    </x:row>
    <x:row r="1661">
      <x:c r="A1661" s="12" t="str">
        <x:v>4651</x:v>
      </x:c>
      <x:c r="B1661" s="12" t="str">
        <x:v>Wholesale of computers, computer peripheral equipment and software</x:v>
      </x:c>
      <x:c r="C1661" s="12" t="str">
        <x:v>مادبا</x:v>
      </x:c>
      <x:c r="D1661" s="14" t="n">
        <x:v>0</x:v>
      </x:c>
      <x:c r="E1661" s="14" t="n">
        <x:f>VLOOKUP(C1661,'Governorate Master'!$A$2:$Q$13,3,FALSE)</x:f>
        <x:v>236200</x:v>
      </x:c>
      <x:c r="F1661" s="66" t="n">
        <x:f>IF(E1661=0,0,D1661/E1661*10000)</x:f>
        <x:v>0</x:v>
      </x:c>
      <x:c r="G1661" s="67" t="n">
        <x:f>VLOOKUP(C1661,'Governorate Master'!$A$2:$Q$13,7,FALSE)</x:f>
        <x:v>251.4</x:v>
      </x:c>
      <x:c r="H1661" s="20" t="n">
        <x:f>VLOOKUP(C1661,'Governorate Master'!$A$2:$Q$13,6,FALSE)</x:f>
        <x:v>0.7823878069432684</x:v>
      </x:c>
      <x:c r="I1661" s="20" t="n">
        <x:f>VLOOKUP(C1661,'Governorate Master'!$A$2:$Q$13,15,FALSE)</x:f>
        <x:v>-0.18823529411764706</x:v>
      </x:c>
      <x:c r="J1661" s="12" t="str">
        <x:v>Location model input - competition/saturation context</x:v>
      </x:c>
      <x:c r="K1661" s="12" t="str">
        <x:v>Business count is from 2018 while population/context indicators are newer; use as a historical proxy, not a current market count.</x:v>
      </x:c>
    </x:row>
    <x:row r="1662">
      <x:c r="A1662" s="12" t="str">
        <x:v>4651</x:v>
      </x:c>
      <x:c r="B1662" s="12" t="str">
        <x:v>Wholesale of computers, computer peripheral equipment and software</x:v>
      </x:c>
      <x:c r="C1662" s="12" t="str">
        <x:v>إربد</x:v>
      </x:c>
      <x:c r="D1662" s="14" t="n">
        <x:v>3</x:v>
      </x:c>
      <x:c r="E1662" s="14" t="n">
        <x:f>VLOOKUP(C1662,'Governorate Master'!$A$2:$Q$13,3,FALSE)</x:f>
        <x:v>2210500</x:v>
      </x:c>
      <x:c r="F1662" s="66" t="n">
        <x:f>IF(E1662=0,0,D1662/E1662*10000)</x:f>
        <x:v>0.013571590137977832</x:v>
      </x:c>
      <x:c r="G1662" s="67" t="n">
        <x:f>VLOOKUP(C1662,'Governorate Master'!$A$2:$Q$13,7,FALSE)</x:f>
        <x:v>1406.4</x:v>
      </x:c>
      <x:c r="H1662" s="20" t="n">
        <x:f>VLOOKUP(C1662,'Governorate Master'!$A$2:$Q$13,6,FALSE)</x:f>
        <x:v>0.9235014702555983</x:v>
      </x:c>
      <x:c r="I1662" s="20" t="n">
        <x:f>VLOOKUP(C1662,'Governorate Master'!$A$2:$Q$13,15,FALSE)</x:f>
        <x:v>0.07086922474549726</x:v>
      </x:c>
      <x:c r="J1662" s="12" t="str">
        <x:v>Location model input - competition/saturation context</x:v>
      </x:c>
      <x:c r="K1662" s="12" t="str">
        <x:v>Business count is from 2018 while population/context indicators are newer; use as a historical proxy, not a current market count.</x:v>
      </x:c>
    </x:row>
    <x:row r="1663">
      <x:c r="A1663" s="12" t="str">
        <x:v>4651</x:v>
      </x:c>
      <x:c r="B1663" s="12" t="str">
        <x:v>Wholesale of computers, computer peripheral equipment and software</x:v>
      </x:c>
      <x:c r="C1663" s="12" t="str">
        <x:v>المفرق</x:v>
      </x:c>
      <x:c r="D1663" s="14" t="n">
        <x:v>0</x:v>
      </x:c>
      <x:c r="E1663" s="14" t="n">
        <x:f>VLOOKUP(C1663,'Governorate Master'!$A$2:$Q$13,3,FALSE)</x:f>
        <x:v>686800</x:v>
      </x:c>
      <x:c r="F1663" s="66" t="n">
        <x:f>IF(E1663=0,0,D1663/E1663*10000)</x:f>
        <x:v>0</x:v>
      </x:c>
      <x:c r="G1663" s="67" t="n">
        <x:f>VLOOKUP(C1663,'Governorate Master'!$A$2:$Q$13,7,FALSE)</x:f>
        <x:v>25.9</x:v>
      </x:c>
      <x:c r="H1663" s="20" t="n">
        <x:f>VLOOKUP(C1663,'Governorate Master'!$A$2:$Q$13,6,FALSE)</x:f>
        <x:v>0.6965637740244612</x:v>
      </x:c>
      <x:c r="I1663" s="20" t="n">
        <x:f>VLOOKUP(C1663,'Governorate Master'!$A$2:$Q$13,15,FALSE)</x:f>
        <x:v>-0.016638935108153077</x:v>
      </x:c>
      <x:c r="J1663" s="12" t="str">
        <x:v>Location model input - competition/saturation context</x:v>
      </x:c>
      <x:c r="K1663" s="12" t="str">
        <x:v>Business count is from 2018 while population/context indicators are newer; use as a historical proxy, not a current market count.</x:v>
      </x:c>
    </x:row>
    <x:row r="1664">
      <x:c r="A1664" s="12" t="str">
        <x:v>4651</x:v>
      </x:c>
      <x:c r="B1664" s="12" t="str">
        <x:v>Wholesale of computers, computer peripheral equipment and software</x:v>
      </x:c>
      <x:c r="C1664" s="12" t="str">
        <x:v>جرش</x:v>
      </x:c>
      <x:c r="D1664" s="14" t="n">
        <x:v>0</x:v>
      </x:c>
      <x:c r="E1664" s="14" t="n">
        <x:f>VLOOKUP(C1664,'Governorate Master'!$A$2:$Q$13,3,FALSE)</x:f>
        <x:v>296000</x:v>
      </x:c>
      <x:c r="F1664" s="66" t="n">
        <x:f>IF(E1664=0,0,D1664/E1664*10000)</x:f>
        <x:v>0</x:v>
      </x:c>
      <x:c r="G1664" s="67" t="n">
        <x:f>VLOOKUP(C1664,'Governorate Master'!$A$2:$Q$13,7,FALSE)</x:f>
        <x:v>722.3</x:v>
      </x:c>
      <x:c r="H1664" s="20" t="n">
        <x:f>VLOOKUP(C1664,'Governorate Master'!$A$2:$Q$13,6,FALSE)</x:f>
        <x:v>0.7695945945945946</x:v>
      </x:c>
      <x:c r="I1664" s="20" t="n">
        <x:f>VLOOKUP(C1664,'Governorate Master'!$A$2:$Q$13,15,FALSE)</x:f>
        <x:v>-0.06527415143603134</x:v>
      </x:c>
      <x:c r="J1664" s="12" t="str">
        <x:v>Location model input - competition/saturation context</x:v>
      </x:c>
      <x:c r="K1664" s="12" t="str">
        <x:v>Business count is from 2018 while population/context indicators are newer; use as a historical proxy, not a current market count.</x:v>
      </x:c>
    </x:row>
    <x:row r="1665">
      <x:c r="A1665" s="12" t="str">
        <x:v>4651</x:v>
      </x:c>
      <x:c r="B1665" s="12" t="str">
        <x:v>Wholesale of computers, computer peripheral equipment and software</x:v>
      </x:c>
      <x:c r="C1665" s="12" t="str">
        <x:v>عجلون</x:v>
      </x:c>
      <x:c r="D1665" s="14" t="n">
        <x:v>0</x:v>
      </x:c>
      <x:c r="E1665" s="14" t="n">
        <x:f>VLOOKUP(C1665,'Governorate Master'!$A$2:$Q$13,3,FALSE)</x:f>
        <x:v>219900</x:v>
      </x:c>
      <x:c r="F1665" s="66" t="n">
        <x:f>IF(E1665=0,0,D1665/E1665*10000)</x:f>
        <x:v>0</x:v>
      </x:c>
      <x:c r="G1665" s="67" t="n">
        <x:f>VLOOKUP(C1665,'Governorate Master'!$A$2:$Q$13,7,FALSE)</x:f>
        <x:v>524</x:v>
      </x:c>
      <x:c r="H1665" s="20" t="n">
        <x:f>VLOOKUP(C1665,'Governorate Master'!$A$2:$Q$13,6,FALSE)</x:f>
        <x:v>0.8390177353342428</x:v>
      </x:c>
      <x:c r="I1665" s="20" t="n">
        <x:f>VLOOKUP(C1665,'Governorate Master'!$A$2:$Q$13,15,FALSE)</x:f>
        <x:v>0.03614457831325301</x:v>
      </x:c>
      <x:c r="J1665" s="12" t="str">
        <x:v>Location model input - competition/saturation context</x:v>
      </x:c>
      <x:c r="K1665" s="12" t="str">
        <x:v>Business count is from 2018 while population/context indicators are newer; use as a historical proxy, not a current market count.</x:v>
      </x:c>
    </x:row>
    <x:row r="1666">
      <x:c r="A1666" s="12" t="str">
        <x:v>4651</x:v>
      </x:c>
      <x:c r="B1666" s="12" t="str">
        <x:v>Wholesale of computers, computer peripheral equipment and software</x:v>
      </x:c>
      <x:c r="C1666" s="12" t="str">
        <x:v>الكرك</x:v>
      </x:c>
      <x:c r="D1666" s="14" t="n">
        <x:v>1</x:v>
      </x:c>
      <x:c r="E1666" s="14" t="n">
        <x:f>VLOOKUP(C1666,'Governorate Master'!$A$2:$Q$13,3,FALSE)</x:f>
        <x:v>395400</x:v>
      </x:c>
      <x:c r="F1666" s="66" t="n">
        <x:f>IF(E1666=0,0,D1666/E1666*10000)</x:f>
        <x:v>0.025290844714213452</x:v>
      </x:c>
      <x:c r="G1666" s="67" t="n">
        <x:f>VLOOKUP(C1666,'Governorate Master'!$A$2:$Q$13,7,FALSE)</x:f>
        <x:v>113.1</x:v>
      </x:c>
      <x:c r="H1666" s="20" t="n">
        <x:f>VLOOKUP(C1666,'Governorate Master'!$A$2:$Q$13,6,FALSE)</x:f>
        <x:v>0.5912999494183105</x:v>
      </x:c>
      <x:c r="I1666" s="20" t="n">
        <x:f>VLOOKUP(C1666,'Governorate Master'!$A$2:$Q$13,15,FALSE)</x:f>
        <x:v>0.08710801393728224</x:v>
      </x:c>
      <x:c r="J1666" s="12" t="str">
        <x:v>Location model input - competition/saturation context</x:v>
      </x:c>
      <x:c r="K1666" s="12" t="str">
        <x:v>Business count is from 2018 while population/context indicators are newer; use as a historical proxy, not a current market count.</x:v>
      </x:c>
    </x:row>
    <x:row r="1667">
      <x:c r="A1667" s="12" t="str">
        <x:v>4651</x:v>
      </x:c>
      <x:c r="B1667" s="12" t="str">
        <x:v>Wholesale of computers, computer peripheral equipment and software</x:v>
      </x:c>
      <x:c r="C1667" s="12" t="str">
        <x:v>الطفيلة</x:v>
      </x:c>
      <x:c r="D1667" s="14" t="n">
        <x:v>0</x:v>
      </x:c>
      <x:c r="E1667" s="14" t="n">
        <x:f>VLOOKUP(C1667,'Governorate Master'!$A$2:$Q$13,3,FALSE)</x:f>
        <x:v>120300</x:v>
      </x:c>
      <x:c r="F1667" s="66" t="n">
        <x:f>IF(E1667=0,0,D1667/E1667*10000)</x:f>
        <x:v>0</x:v>
      </x:c>
      <x:c r="G1667" s="67" t="n">
        <x:f>VLOOKUP(C1667,'Governorate Master'!$A$2:$Q$13,7,FALSE)</x:f>
        <x:v>54.4</x:v>
      </x:c>
      <x:c r="H1667" s="20" t="n">
        <x:f>VLOOKUP(C1667,'Governorate Master'!$A$2:$Q$13,6,FALSE)</x:f>
        <x:v>0.7797173732335827</x:v>
      </x:c>
      <x:c r="I1667" s="20" t="n">
        <x:f>VLOOKUP(C1667,'Governorate Master'!$A$2:$Q$13,15,FALSE)</x:f>
        <x:v>0.18452380952380953</x:v>
      </x:c>
      <x:c r="J1667" s="12" t="str">
        <x:v>Location model input - competition/saturation context</x:v>
      </x:c>
      <x:c r="K1667" s="12" t="str">
        <x:v>Business count is from 2018 while population/context indicators are newer; use as a historical proxy, not a current market count.</x:v>
      </x:c>
    </x:row>
    <x:row r="1668">
      <x:c r="A1668" s="12" t="str">
        <x:v>4651</x:v>
      </x:c>
      <x:c r="B1668" s="12" t="str">
        <x:v>Wholesale of computers, computer peripheral equipment and software</x:v>
      </x:c>
      <x:c r="C1668" s="12" t="str">
        <x:v>معان</x:v>
      </x:c>
      <x:c r="D1668" s="14" t="n">
        <x:v>0</x:v>
      </x:c>
      <x:c r="E1668" s="14" t="n">
        <x:f>VLOOKUP(C1668,'Governorate Master'!$A$2:$Q$13,3,FALSE)</x:f>
        <x:v>197900</x:v>
      </x:c>
      <x:c r="F1668" s="66" t="n">
        <x:f>IF(E1668=0,0,D1668/E1668*10000)</x:f>
        <x:v>0</x:v>
      </x:c>
      <x:c r="G1668" s="67" t="n">
        <x:f>VLOOKUP(C1668,'Governorate Master'!$A$2:$Q$13,7,FALSE)</x:f>
        <x:v>6</x:v>
      </x:c>
      <x:c r="H1668" s="20" t="n">
        <x:f>VLOOKUP(C1668,'Governorate Master'!$A$2:$Q$13,6,FALSE)</x:f>
        <x:v>0.5406771096513391</x:v>
      </x:c>
      <x:c r="I1668" s="20" t="n">
        <x:f>VLOOKUP(C1668,'Governorate Master'!$A$2:$Q$13,15,FALSE)</x:f>
        <x:v>0.026845637583892617</x:v>
      </x:c>
      <x:c r="J1668" s="12" t="str">
        <x:v>Location model input - competition/saturation context</x:v>
      </x:c>
      <x:c r="K1668" s="12" t="str">
        <x:v>Business count is from 2018 while population/context indicators are newer; use as a historical proxy, not a current market count.</x:v>
      </x:c>
    </x:row>
    <x:row r="1669">
      <x:c r="A1669" s="12" t="str">
        <x:v>4651</x:v>
      </x:c>
      <x:c r="B1669" s="12" t="str">
        <x:v>Wholesale of computers, computer peripheral equipment and software</x:v>
      </x:c>
      <x:c r="C1669" s="12" t="str">
        <x:v>العقبة</x:v>
      </x:c>
      <x:c r="D1669" s="14" t="n">
        <x:v>3</x:v>
      </x:c>
      <x:c r="E1669" s="14" t="n">
        <x:f>VLOOKUP(C1669,'Governorate Master'!$A$2:$Q$13,3,FALSE)</x:f>
        <x:v>250900</x:v>
      </x:c>
      <x:c r="F1669" s="66" t="n">
        <x:f>IF(E1669=0,0,D1669/E1669*10000)</x:f>
        <x:v>0.11956954962136308</x:v>
      </x:c>
      <x:c r="G1669" s="67" t="n">
        <x:f>VLOOKUP(C1669,'Governorate Master'!$A$2:$Q$13,7,FALSE)</x:f>
        <x:v>36.3</x:v>
      </x:c>
      <x:c r="H1669" s="20" t="n">
        <x:f>VLOOKUP(C1669,'Governorate Master'!$A$2:$Q$13,6,FALSE)</x:f>
        <x:v>0.882024711040255</x:v>
      </x:c>
      <x:c r="I1669" s="20" t="n">
        <x:f>VLOOKUP(C1669,'Governorate Master'!$A$2:$Q$13,15,FALSE)</x:f>
        <x:v>-0.09</x:v>
      </x:c>
      <x:c r="J1669" s="12" t="str">
        <x:v>Location model input - competition/saturation context</x:v>
      </x:c>
      <x:c r="K1669" s="12" t="str">
        <x:v>Business count is from 2018 while population/context indicators are newer; use as a historical proxy, not a current market count.</x:v>
      </x:c>
    </x:row>
    <x:row r="1670">
      <x:c r="A1670" s="12" t="str">
        <x:v>4652</x:v>
      </x:c>
      <x:c r="B1670" s="12" t="str">
        <x:v>Wholesale of electronic and telecommunications equipment and parts</x:v>
      </x:c>
      <x:c r="C1670" s="12" t="str">
        <x:v>عمان</x:v>
      </x:c>
      <x:c r="D1670" s="14" t="n">
        <x:v>49</x:v>
      </x:c>
      <x:c r="E1670" s="14" t="n">
        <x:f>VLOOKUP(C1670,'Governorate Master'!$A$2:$Q$13,3,FALSE)</x:f>
        <x:v>5004600</x:v>
      </x:c>
      <x:c r="F1670" s="66" t="n">
        <x:f>IF(E1670=0,0,D1670/E1670*10000)</x:f>
        <x:v>0.0979099228709587</x:v>
      </x:c>
      <x:c r="G1670" s="67" t="n">
        <x:f>VLOOKUP(C1670,'Governorate Master'!$A$2:$Q$13,7,FALSE)</x:f>
        <x:v>660.3</x:v>
      </x:c>
      <x:c r="H1670" s="20" t="n">
        <x:f>VLOOKUP(C1670,'Governorate Master'!$A$2:$Q$13,6,FALSE)</x:f>
        <x:v>0.9721656076409703</x:v>
      </x:c>
      <x:c r="I1670" s="20" t="n">
        <x:f>VLOOKUP(C1670,'Governorate Master'!$A$2:$Q$13,15,FALSE)</x:f>
        <x:v>0.06367041198501873</x:v>
      </x:c>
      <x:c r="J1670" s="12" t="str">
        <x:v>Location model input - competition/saturation context</x:v>
      </x:c>
      <x:c r="K1670" s="12" t="str">
        <x:v>Business count is from 2018 while population/context indicators are newer; use as a historical proxy, not a current market count.</x:v>
      </x:c>
    </x:row>
    <x:row r="1671">
      <x:c r="A1671" s="12" t="str">
        <x:v>4652</x:v>
      </x:c>
      <x:c r="B1671" s="12" t="str">
        <x:v>Wholesale of electronic and telecommunications equipment and parts</x:v>
      </x:c>
      <x:c r="C1671" s="12" t="str">
        <x:v>البلقاء</x:v>
      </x:c>
      <x:c r="D1671" s="14" t="n">
        <x:v>0</x:v>
      </x:c>
      <x:c r="E1671" s="14" t="n">
        <x:f>VLOOKUP(C1671,'Governorate Master'!$A$2:$Q$13,3,FALSE)</x:f>
        <x:v>614000</x:v>
      </x:c>
      <x:c r="F1671" s="66" t="n">
        <x:f>IF(E1671=0,0,D1671/E1671*10000)</x:f>
        <x:v>0</x:v>
      </x:c>
      <x:c r="G1671" s="67" t="n">
        <x:f>VLOOKUP(C1671,'Governorate Master'!$A$2:$Q$13,7,FALSE)</x:f>
        <x:v>548</x:v>
      </x:c>
      <x:c r="H1671" s="20" t="n">
        <x:f>VLOOKUP(C1671,'Governorate Master'!$A$2:$Q$13,6,FALSE)</x:f>
        <x:v>0.8210097719869707</x:v>
      </x:c>
      <x:c r="I1671" s="20" t="n">
        <x:f>VLOOKUP(C1671,'Governorate Master'!$A$2:$Q$13,15,FALSE)</x:f>
        <x:v>0.10794044665012408</x:v>
      </x:c>
      <x:c r="J1671" s="12" t="str">
        <x:v>Location model input - competition/saturation context</x:v>
      </x:c>
      <x:c r="K1671" s="12" t="str">
        <x:v>Business count is from 2018 while population/context indicators are newer; use as a historical proxy, not a current market count.</x:v>
      </x:c>
    </x:row>
    <x:row r="1672">
      <x:c r="A1672" s="12" t="str">
        <x:v>4652</x:v>
      </x:c>
      <x:c r="B1672" s="12" t="str">
        <x:v>Wholesale of electronic and telecommunications equipment and parts</x:v>
      </x:c>
      <x:c r="C1672" s="12" t="str">
        <x:v>الزرقاء</x:v>
      </x:c>
      <x:c r="D1672" s="14" t="n">
        <x:v>1</x:v>
      </x:c>
      <x:c r="E1672" s="14" t="n">
        <x:f>VLOOKUP(C1672,'Governorate Master'!$A$2:$Q$13,3,FALSE)</x:f>
        <x:v>1704500</x:v>
      </x:c>
      <x:c r="F1672" s="66" t="n">
        <x:f>IF(E1672=0,0,D1672/E1672*10000)</x:f>
        <x:v>0.005866823115283074</x:v>
      </x:c>
      <x:c r="G1672" s="67" t="n">
        <x:f>VLOOKUP(C1672,'Governorate Master'!$A$2:$Q$13,7,FALSE)</x:f>
        <x:v>358</x:v>
      </x:c>
      <x:c r="H1672" s="20" t="n">
        <x:f>VLOOKUP(C1672,'Governorate Master'!$A$2:$Q$13,6,FALSE)</x:f>
        <x:v>0.9636256966852449</x:v>
      </x:c>
      <x:c r="I1672" s="20" t="n">
        <x:f>VLOOKUP(C1672,'Governorate Master'!$A$2:$Q$13,15,FALSE)</x:f>
        <x:v>-0.06808762581409118</x:v>
      </x:c>
      <x:c r="J1672" s="12" t="str">
        <x:v>Location model input - competition/saturation context</x:v>
      </x:c>
      <x:c r="K1672" s="12" t="str">
        <x:v>Business count is from 2018 while population/context indicators are newer; use as a historical proxy, not a current market count.</x:v>
      </x:c>
    </x:row>
    <x:row r="1673">
      <x:c r="A1673" s="12" t="str">
        <x:v>4652</x:v>
      </x:c>
      <x:c r="B1673" s="12" t="str">
        <x:v>Wholesale of electronic and telecommunications equipment and parts</x:v>
      </x:c>
      <x:c r="C1673" s="12" t="str">
        <x:v>مادبا</x:v>
      </x:c>
      <x:c r="D1673" s="14" t="n">
        <x:v>0</x:v>
      </x:c>
      <x:c r="E1673" s="14" t="n">
        <x:f>VLOOKUP(C1673,'Governorate Master'!$A$2:$Q$13,3,FALSE)</x:f>
        <x:v>236200</x:v>
      </x:c>
      <x:c r="F1673" s="66" t="n">
        <x:f>IF(E1673=0,0,D1673/E1673*10000)</x:f>
        <x:v>0</x:v>
      </x:c>
      <x:c r="G1673" s="67" t="n">
        <x:f>VLOOKUP(C1673,'Governorate Master'!$A$2:$Q$13,7,FALSE)</x:f>
        <x:v>251.4</x:v>
      </x:c>
      <x:c r="H1673" s="20" t="n">
        <x:f>VLOOKUP(C1673,'Governorate Master'!$A$2:$Q$13,6,FALSE)</x:f>
        <x:v>0.7823878069432684</x:v>
      </x:c>
      <x:c r="I1673" s="20" t="n">
        <x:f>VLOOKUP(C1673,'Governorate Master'!$A$2:$Q$13,15,FALSE)</x:f>
        <x:v>-0.18823529411764706</x:v>
      </x:c>
      <x:c r="J1673" s="12" t="str">
        <x:v>Location model input - competition/saturation context</x:v>
      </x:c>
      <x:c r="K1673" s="12" t="str">
        <x:v>Business count is from 2018 while population/context indicators are newer; use as a historical proxy, not a current market count.</x:v>
      </x:c>
    </x:row>
    <x:row r="1674">
      <x:c r="A1674" s="12" t="str">
        <x:v>4652</x:v>
      </x:c>
      <x:c r="B1674" s="12" t="str">
        <x:v>Wholesale of electronic and telecommunications equipment and parts</x:v>
      </x:c>
      <x:c r="C1674" s="12" t="str">
        <x:v>إربد</x:v>
      </x:c>
      <x:c r="D1674" s="14" t="n">
        <x:v>3</x:v>
      </x:c>
      <x:c r="E1674" s="14" t="n">
        <x:f>VLOOKUP(C1674,'Governorate Master'!$A$2:$Q$13,3,FALSE)</x:f>
        <x:v>2210500</x:v>
      </x:c>
      <x:c r="F1674" s="66" t="n">
        <x:f>IF(E1674=0,0,D1674/E1674*10000)</x:f>
        <x:v>0.013571590137977832</x:v>
      </x:c>
      <x:c r="G1674" s="67" t="n">
        <x:f>VLOOKUP(C1674,'Governorate Master'!$A$2:$Q$13,7,FALSE)</x:f>
        <x:v>1406.4</x:v>
      </x:c>
      <x:c r="H1674" s="20" t="n">
        <x:f>VLOOKUP(C1674,'Governorate Master'!$A$2:$Q$13,6,FALSE)</x:f>
        <x:v>0.9235014702555983</x:v>
      </x:c>
      <x:c r="I1674" s="20" t="n">
        <x:f>VLOOKUP(C1674,'Governorate Master'!$A$2:$Q$13,15,FALSE)</x:f>
        <x:v>0.07086922474549726</x:v>
      </x:c>
      <x:c r="J1674" s="12" t="str">
        <x:v>Location model input - competition/saturation context</x:v>
      </x:c>
      <x:c r="K1674" s="12" t="str">
        <x:v>Business count is from 2018 while population/context indicators are newer; use as a historical proxy, not a current market count.</x:v>
      </x:c>
    </x:row>
    <x:row r="1675">
      <x:c r="A1675" s="12" t="str">
        <x:v>4652</x:v>
      </x:c>
      <x:c r="B1675" s="12" t="str">
        <x:v>Wholesale of electronic and telecommunications equipment and parts</x:v>
      </x:c>
      <x:c r="C1675" s="12" t="str">
        <x:v>المفرق</x:v>
      </x:c>
      <x:c r="D1675" s="14" t="n">
        <x:v>0</x:v>
      </x:c>
      <x:c r="E1675" s="14" t="n">
        <x:f>VLOOKUP(C1675,'Governorate Master'!$A$2:$Q$13,3,FALSE)</x:f>
        <x:v>686800</x:v>
      </x:c>
      <x:c r="F1675" s="66" t="n">
        <x:f>IF(E1675=0,0,D1675/E1675*10000)</x:f>
        <x:v>0</x:v>
      </x:c>
      <x:c r="G1675" s="67" t="n">
        <x:f>VLOOKUP(C1675,'Governorate Master'!$A$2:$Q$13,7,FALSE)</x:f>
        <x:v>25.9</x:v>
      </x:c>
      <x:c r="H1675" s="20" t="n">
        <x:f>VLOOKUP(C1675,'Governorate Master'!$A$2:$Q$13,6,FALSE)</x:f>
        <x:v>0.6965637740244612</x:v>
      </x:c>
      <x:c r="I1675" s="20" t="n">
        <x:f>VLOOKUP(C1675,'Governorate Master'!$A$2:$Q$13,15,FALSE)</x:f>
        <x:v>-0.016638935108153077</x:v>
      </x:c>
      <x:c r="J1675" s="12" t="str">
        <x:v>Location model input - competition/saturation context</x:v>
      </x:c>
      <x:c r="K1675" s="12" t="str">
        <x:v>Business count is from 2018 while population/context indicators are newer; use as a historical proxy, not a current market count.</x:v>
      </x:c>
    </x:row>
    <x:row r="1676">
      <x:c r="A1676" s="12" t="str">
        <x:v>4652</x:v>
      </x:c>
      <x:c r="B1676" s="12" t="str">
        <x:v>Wholesale of electronic and telecommunications equipment and parts</x:v>
      </x:c>
      <x:c r="C1676" s="12" t="str">
        <x:v>جرش</x:v>
      </x:c>
      <x:c r="D1676" s="14" t="n">
        <x:v>0</x:v>
      </x:c>
      <x:c r="E1676" s="14" t="n">
        <x:f>VLOOKUP(C1676,'Governorate Master'!$A$2:$Q$13,3,FALSE)</x:f>
        <x:v>296000</x:v>
      </x:c>
      <x:c r="F1676" s="66" t="n">
        <x:f>IF(E1676=0,0,D1676/E1676*10000)</x:f>
        <x:v>0</x:v>
      </x:c>
      <x:c r="G1676" s="67" t="n">
        <x:f>VLOOKUP(C1676,'Governorate Master'!$A$2:$Q$13,7,FALSE)</x:f>
        <x:v>722.3</x:v>
      </x:c>
      <x:c r="H1676" s="20" t="n">
        <x:f>VLOOKUP(C1676,'Governorate Master'!$A$2:$Q$13,6,FALSE)</x:f>
        <x:v>0.7695945945945946</x:v>
      </x:c>
      <x:c r="I1676" s="20" t="n">
        <x:f>VLOOKUP(C1676,'Governorate Master'!$A$2:$Q$13,15,FALSE)</x:f>
        <x:v>-0.06527415143603134</x:v>
      </x:c>
      <x:c r="J1676" s="12" t="str">
        <x:v>Location model input - competition/saturation context</x:v>
      </x:c>
      <x:c r="K1676" s="12" t="str">
        <x:v>Business count is from 2018 while population/context indicators are newer; use as a historical proxy, not a current market count.</x:v>
      </x:c>
    </x:row>
    <x:row r="1677">
      <x:c r="A1677" s="12" t="str">
        <x:v>4652</x:v>
      </x:c>
      <x:c r="B1677" s="12" t="str">
        <x:v>Wholesale of electronic and telecommunications equipment and parts</x:v>
      </x:c>
      <x:c r="C1677" s="12" t="str">
        <x:v>عجلون</x:v>
      </x:c>
      <x:c r="D1677" s="14" t="n">
        <x:v>0</x:v>
      </x:c>
      <x:c r="E1677" s="14" t="n">
        <x:f>VLOOKUP(C1677,'Governorate Master'!$A$2:$Q$13,3,FALSE)</x:f>
        <x:v>219900</x:v>
      </x:c>
      <x:c r="F1677" s="66" t="n">
        <x:f>IF(E1677=0,0,D1677/E1677*10000)</x:f>
        <x:v>0</x:v>
      </x:c>
      <x:c r="G1677" s="67" t="n">
        <x:f>VLOOKUP(C1677,'Governorate Master'!$A$2:$Q$13,7,FALSE)</x:f>
        <x:v>524</x:v>
      </x:c>
      <x:c r="H1677" s="20" t="n">
        <x:f>VLOOKUP(C1677,'Governorate Master'!$A$2:$Q$13,6,FALSE)</x:f>
        <x:v>0.8390177353342428</x:v>
      </x:c>
      <x:c r="I1677" s="20" t="n">
        <x:f>VLOOKUP(C1677,'Governorate Master'!$A$2:$Q$13,15,FALSE)</x:f>
        <x:v>0.03614457831325301</x:v>
      </x:c>
      <x:c r="J1677" s="12" t="str">
        <x:v>Location model input - competition/saturation context</x:v>
      </x:c>
      <x:c r="K1677" s="12" t="str">
        <x:v>Business count is from 2018 while population/context indicators are newer; use as a historical proxy, not a current market count.</x:v>
      </x:c>
    </x:row>
    <x:row r="1678">
      <x:c r="A1678" s="12" t="str">
        <x:v>4652</x:v>
      </x:c>
      <x:c r="B1678" s="12" t="str">
        <x:v>Wholesale of electronic and telecommunications equipment and parts</x:v>
      </x:c>
      <x:c r="C1678" s="12" t="str">
        <x:v>الكرك</x:v>
      </x:c>
      <x:c r="D1678" s="14" t="n">
        <x:v>0</x:v>
      </x:c>
      <x:c r="E1678" s="14" t="n">
        <x:f>VLOOKUP(C1678,'Governorate Master'!$A$2:$Q$13,3,FALSE)</x:f>
        <x:v>395400</x:v>
      </x:c>
      <x:c r="F1678" s="66" t="n">
        <x:f>IF(E1678=0,0,D1678/E1678*10000)</x:f>
        <x:v>0</x:v>
      </x:c>
      <x:c r="G1678" s="67" t="n">
        <x:f>VLOOKUP(C1678,'Governorate Master'!$A$2:$Q$13,7,FALSE)</x:f>
        <x:v>113.1</x:v>
      </x:c>
      <x:c r="H1678" s="20" t="n">
        <x:f>VLOOKUP(C1678,'Governorate Master'!$A$2:$Q$13,6,FALSE)</x:f>
        <x:v>0.5912999494183105</x:v>
      </x:c>
      <x:c r="I1678" s="20" t="n">
        <x:f>VLOOKUP(C1678,'Governorate Master'!$A$2:$Q$13,15,FALSE)</x:f>
        <x:v>0.08710801393728224</x:v>
      </x:c>
      <x:c r="J1678" s="12" t="str">
        <x:v>Location model input - competition/saturation context</x:v>
      </x:c>
      <x:c r="K1678" s="12" t="str">
        <x:v>Business count is from 2018 while population/context indicators are newer; use as a historical proxy, not a current market count.</x:v>
      </x:c>
    </x:row>
    <x:row r="1679">
      <x:c r="A1679" s="12" t="str">
        <x:v>4652</x:v>
      </x:c>
      <x:c r="B1679" s="12" t="str">
        <x:v>Wholesale of electronic and telecommunications equipment and parts</x:v>
      </x:c>
      <x:c r="C1679" s="12" t="str">
        <x:v>الطفيلة</x:v>
      </x:c>
      <x:c r="D1679" s="14" t="n">
        <x:v>0</x:v>
      </x:c>
      <x:c r="E1679" s="14" t="n">
        <x:f>VLOOKUP(C1679,'Governorate Master'!$A$2:$Q$13,3,FALSE)</x:f>
        <x:v>120300</x:v>
      </x:c>
      <x:c r="F1679" s="66" t="n">
        <x:f>IF(E1679=0,0,D1679/E1679*10000)</x:f>
        <x:v>0</x:v>
      </x:c>
      <x:c r="G1679" s="67" t="n">
        <x:f>VLOOKUP(C1679,'Governorate Master'!$A$2:$Q$13,7,FALSE)</x:f>
        <x:v>54.4</x:v>
      </x:c>
      <x:c r="H1679" s="20" t="n">
        <x:f>VLOOKUP(C1679,'Governorate Master'!$A$2:$Q$13,6,FALSE)</x:f>
        <x:v>0.7797173732335827</x:v>
      </x:c>
      <x:c r="I1679" s="20" t="n">
        <x:f>VLOOKUP(C1679,'Governorate Master'!$A$2:$Q$13,15,FALSE)</x:f>
        <x:v>0.18452380952380953</x:v>
      </x:c>
      <x:c r="J1679" s="12" t="str">
        <x:v>Location model input - competition/saturation context</x:v>
      </x:c>
      <x:c r="K1679" s="12" t="str">
        <x:v>Business count is from 2018 while population/context indicators are newer; use as a historical proxy, not a current market count.</x:v>
      </x:c>
    </x:row>
    <x:row r="1680">
      <x:c r="A1680" s="12" t="str">
        <x:v>4652</x:v>
      </x:c>
      <x:c r="B1680" s="12" t="str">
        <x:v>Wholesale of electronic and telecommunications equipment and parts</x:v>
      </x:c>
      <x:c r="C1680" s="12" t="str">
        <x:v>معان</x:v>
      </x:c>
      <x:c r="D1680" s="14" t="n">
        <x:v>0</x:v>
      </x:c>
      <x:c r="E1680" s="14" t="n">
        <x:f>VLOOKUP(C1680,'Governorate Master'!$A$2:$Q$13,3,FALSE)</x:f>
        <x:v>197900</x:v>
      </x:c>
      <x:c r="F1680" s="66" t="n">
        <x:f>IF(E1680=0,0,D1680/E1680*10000)</x:f>
        <x:v>0</x:v>
      </x:c>
      <x:c r="G1680" s="67" t="n">
        <x:f>VLOOKUP(C1680,'Governorate Master'!$A$2:$Q$13,7,FALSE)</x:f>
        <x:v>6</x:v>
      </x:c>
      <x:c r="H1680" s="20" t="n">
        <x:f>VLOOKUP(C1680,'Governorate Master'!$A$2:$Q$13,6,FALSE)</x:f>
        <x:v>0.5406771096513391</x:v>
      </x:c>
      <x:c r="I1680" s="20" t="n">
        <x:f>VLOOKUP(C1680,'Governorate Master'!$A$2:$Q$13,15,FALSE)</x:f>
        <x:v>0.026845637583892617</x:v>
      </x:c>
      <x:c r="J1680" s="12" t="str">
        <x:v>Location model input - competition/saturation context</x:v>
      </x:c>
      <x:c r="K1680" s="12" t="str">
        <x:v>Business count is from 2018 while population/context indicators are newer; use as a historical proxy, not a current market count.</x:v>
      </x:c>
    </x:row>
    <x:row r="1681">
      <x:c r="A1681" s="12" t="str">
        <x:v>4652</x:v>
      </x:c>
      <x:c r="B1681" s="12" t="str">
        <x:v>Wholesale of electronic and telecommunications equipment and parts</x:v>
      </x:c>
      <x:c r="C1681" s="12" t="str">
        <x:v>العقبة</x:v>
      </x:c>
      <x:c r="D1681" s="14" t="n">
        <x:v>0</x:v>
      </x:c>
      <x:c r="E1681" s="14" t="n">
        <x:f>VLOOKUP(C1681,'Governorate Master'!$A$2:$Q$13,3,FALSE)</x:f>
        <x:v>250900</x:v>
      </x:c>
      <x:c r="F1681" s="66" t="n">
        <x:f>IF(E1681=0,0,D1681/E1681*10000)</x:f>
        <x:v>0</x:v>
      </x:c>
      <x:c r="G1681" s="67" t="n">
        <x:f>VLOOKUP(C1681,'Governorate Master'!$A$2:$Q$13,7,FALSE)</x:f>
        <x:v>36.3</x:v>
      </x:c>
      <x:c r="H1681" s="20" t="n">
        <x:f>VLOOKUP(C1681,'Governorate Master'!$A$2:$Q$13,6,FALSE)</x:f>
        <x:v>0.882024711040255</x:v>
      </x:c>
      <x:c r="I1681" s="20" t="n">
        <x:f>VLOOKUP(C1681,'Governorate Master'!$A$2:$Q$13,15,FALSE)</x:f>
        <x:v>-0.09</x:v>
      </x:c>
      <x:c r="J1681" s="12" t="str">
        <x:v>Location model input - competition/saturation context</x:v>
      </x:c>
      <x:c r="K1681" s="12" t="str">
        <x:v>Business count is from 2018 while population/context indicators are newer; use as a historical proxy, not a current market count.</x:v>
      </x:c>
    </x:row>
    <x:row r="1682">
      <x:c r="A1682" s="12" t="str">
        <x:v>4653</x:v>
      </x:c>
      <x:c r="B1682" s="12" t="str">
        <x:v>Wholesale of agricultural machinery, equipment and supplies</x:v>
      </x:c>
      <x:c r="C1682" s="12" t="str">
        <x:v>عمان</x:v>
      </x:c>
      <x:c r="D1682" s="14" t="n">
        <x:v>90</x:v>
      </x:c>
      <x:c r="E1682" s="14" t="n">
        <x:f>VLOOKUP(C1682,'Governorate Master'!$A$2:$Q$13,3,FALSE)</x:f>
        <x:v>5004600</x:v>
      </x:c>
      <x:c r="F1682" s="66" t="n">
        <x:f>IF(E1682=0,0,D1682/E1682*10000)</x:f>
        <x:v>0.179834552211965</x:v>
      </x:c>
      <x:c r="G1682" s="67" t="n">
        <x:f>VLOOKUP(C1682,'Governorate Master'!$A$2:$Q$13,7,FALSE)</x:f>
        <x:v>660.3</x:v>
      </x:c>
      <x:c r="H1682" s="20" t="n">
        <x:f>VLOOKUP(C1682,'Governorate Master'!$A$2:$Q$13,6,FALSE)</x:f>
        <x:v>0.9721656076409703</x:v>
      </x:c>
      <x:c r="I1682" s="20" t="n">
        <x:f>VLOOKUP(C1682,'Governorate Master'!$A$2:$Q$13,15,FALSE)</x:f>
        <x:v>0.06367041198501873</x:v>
      </x:c>
      <x:c r="J1682" s="12" t="str">
        <x:v>Location model input - competition/saturation context</x:v>
      </x:c>
      <x:c r="K1682" s="12" t="str">
        <x:v>Business count is from 2018 while population/context indicators are newer; use as a historical proxy, not a current market count.</x:v>
      </x:c>
    </x:row>
    <x:row r="1683">
      <x:c r="A1683" s="12" t="str">
        <x:v>4653</x:v>
      </x:c>
      <x:c r="B1683" s="12" t="str">
        <x:v>Wholesale of agricultural machinery, equipment and supplies</x:v>
      </x:c>
      <x:c r="C1683" s="12" t="str">
        <x:v>البلقاء</x:v>
      </x:c>
      <x:c r="D1683" s="14" t="n">
        <x:v>26</x:v>
      </x:c>
      <x:c r="E1683" s="14" t="n">
        <x:f>VLOOKUP(C1683,'Governorate Master'!$A$2:$Q$13,3,FALSE)</x:f>
        <x:v>614000</x:v>
      </x:c>
      <x:c r="F1683" s="66" t="n">
        <x:f>IF(E1683=0,0,D1683/E1683*10000)</x:f>
        <x:v>0.42345276872964166</x:v>
      </x:c>
      <x:c r="G1683" s="67" t="n">
        <x:f>VLOOKUP(C1683,'Governorate Master'!$A$2:$Q$13,7,FALSE)</x:f>
        <x:v>548</x:v>
      </x:c>
      <x:c r="H1683" s="20" t="n">
        <x:f>VLOOKUP(C1683,'Governorate Master'!$A$2:$Q$13,6,FALSE)</x:f>
        <x:v>0.8210097719869707</x:v>
      </x:c>
      <x:c r="I1683" s="20" t="n">
        <x:f>VLOOKUP(C1683,'Governorate Master'!$A$2:$Q$13,15,FALSE)</x:f>
        <x:v>0.10794044665012408</x:v>
      </x:c>
      <x:c r="J1683" s="12" t="str">
        <x:v>Location model input - competition/saturation context</x:v>
      </x:c>
      <x:c r="K1683" s="12" t="str">
        <x:v>Business count is from 2018 while population/context indicators are newer; use as a historical proxy, not a current market count.</x:v>
      </x:c>
    </x:row>
    <x:row r="1684">
      <x:c r="A1684" s="12" t="str">
        <x:v>4653</x:v>
      </x:c>
      <x:c r="B1684" s="12" t="str">
        <x:v>Wholesale of agricultural machinery, equipment and supplies</x:v>
      </x:c>
      <x:c r="C1684" s="12" t="str">
        <x:v>الزرقاء</x:v>
      </x:c>
      <x:c r="D1684" s="14" t="n">
        <x:v>8</x:v>
      </x:c>
      <x:c r="E1684" s="14" t="n">
        <x:f>VLOOKUP(C1684,'Governorate Master'!$A$2:$Q$13,3,FALSE)</x:f>
        <x:v>1704500</x:v>
      </x:c>
      <x:c r="F1684" s="66" t="n">
        <x:f>IF(E1684=0,0,D1684/E1684*10000)</x:f>
        <x:v>0.04693458492226459</x:v>
      </x:c>
      <x:c r="G1684" s="67" t="n">
        <x:f>VLOOKUP(C1684,'Governorate Master'!$A$2:$Q$13,7,FALSE)</x:f>
        <x:v>358</x:v>
      </x:c>
      <x:c r="H1684" s="20" t="n">
        <x:f>VLOOKUP(C1684,'Governorate Master'!$A$2:$Q$13,6,FALSE)</x:f>
        <x:v>0.9636256966852449</x:v>
      </x:c>
      <x:c r="I1684" s="20" t="n">
        <x:f>VLOOKUP(C1684,'Governorate Master'!$A$2:$Q$13,15,FALSE)</x:f>
        <x:v>-0.06808762581409118</x:v>
      </x:c>
      <x:c r="J1684" s="12" t="str">
        <x:v>Location model input - competition/saturation context</x:v>
      </x:c>
      <x:c r="K1684" s="12" t="str">
        <x:v>Business count is from 2018 while population/context indicators are newer; use as a historical proxy, not a current market count.</x:v>
      </x:c>
    </x:row>
    <x:row r="1685">
      <x:c r="A1685" s="12" t="str">
        <x:v>4653</x:v>
      </x:c>
      <x:c r="B1685" s="12" t="str">
        <x:v>Wholesale of agricultural machinery, equipment and supplies</x:v>
      </x:c>
      <x:c r="C1685" s="12" t="str">
        <x:v>مادبا</x:v>
      </x:c>
      <x:c r="D1685" s="14" t="n">
        <x:v>1</x:v>
      </x:c>
      <x:c r="E1685" s="14" t="n">
        <x:f>VLOOKUP(C1685,'Governorate Master'!$A$2:$Q$13,3,FALSE)</x:f>
        <x:v>236200</x:v>
      </x:c>
      <x:c r="F1685" s="66" t="n">
        <x:f>IF(E1685=0,0,D1685/E1685*10000)</x:f>
        <x:v>0.04233700254022015</x:v>
      </x:c>
      <x:c r="G1685" s="67" t="n">
        <x:f>VLOOKUP(C1685,'Governorate Master'!$A$2:$Q$13,7,FALSE)</x:f>
        <x:v>251.4</x:v>
      </x:c>
      <x:c r="H1685" s="20" t="n">
        <x:f>VLOOKUP(C1685,'Governorate Master'!$A$2:$Q$13,6,FALSE)</x:f>
        <x:v>0.7823878069432684</x:v>
      </x:c>
      <x:c r="I1685" s="20" t="n">
        <x:f>VLOOKUP(C1685,'Governorate Master'!$A$2:$Q$13,15,FALSE)</x:f>
        <x:v>-0.18823529411764706</x:v>
      </x:c>
      <x:c r="J1685" s="12" t="str">
        <x:v>Location model input - competition/saturation context</x:v>
      </x:c>
      <x:c r="K1685" s="12" t="str">
        <x:v>Business count is from 2018 while population/context indicators are newer; use as a historical proxy, not a current market count.</x:v>
      </x:c>
    </x:row>
    <x:row r="1686">
      <x:c r="A1686" s="12" t="str">
        <x:v>4653</x:v>
      </x:c>
      <x:c r="B1686" s="12" t="str">
        <x:v>Wholesale of agricultural machinery, equipment and supplies</x:v>
      </x:c>
      <x:c r="C1686" s="12" t="str">
        <x:v>إربد</x:v>
      </x:c>
      <x:c r="D1686" s="14" t="n">
        <x:v>12</x:v>
      </x:c>
      <x:c r="E1686" s="14" t="n">
        <x:f>VLOOKUP(C1686,'Governorate Master'!$A$2:$Q$13,3,FALSE)</x:f>
        <x:v>2210500</x:v>
      </x:c>
      <x:c r="F1686" s="66" t="n">
        <x:f>IF(E1686=0,0,D1686/E1686*10000)</x:f>
        <x:v>0.05428636055191133</x:v>
      </x:c>
      <x:c r="G1686" s="67" t="n">
        <x:f>VLOOKUP(C1686,'Governorate Master'!$A$2:$Q$13,7,FALSE)</x:f>
        <x:v>1406.4</x:v>
      </x:c>
      <x:c r="H1686" s="20" t="n">
        <x:f>VLOOKUP(C1686,'Governorate Master'!$A$2:$Q$13,6,FALSE)</x:f>
        <x:v>0.9235014702555983</x:v>
      </x:c>
      <x:c r="I1686" s="20" t="n">
        <x:f>VLOOKUP(C1686,'Governorate Master'!$A$2:$Q$13,15,FALSE)</x:f>
        <x:v>0.07086922474549726</x:v>
      </x:c>
      <x:c r="J1686" s="12" t="str">
        <x:v>Location model input - competition/saturation context</x:v>
      </x:c>
      <x:c r="K1686" s="12" t="str">
        <x:v>Business count is from 2018 while population/context indicators are newer; use as a historical proxy, not a current market count.</x:v>
      </x:c>
    </x:row>
    <x:row r="1687">
      <x:c r="A1687" s="12" t="str">
        <x:v>4653</x:v>
      </x:c>
      <x:c r="B1687" s="12" t="str">
        <x:v>Wholesale of agricultural machinery, equipment and supplies</x:v>
      </x:c>
      <x:c r="C1687" s="12" t="str">
        <x:v>المفرق</x:v>
      </x:c>
      <x:c r="D1687" s="14" t="n">
        <x:v>0</x:v>
      </x:c>
      <x:c r="E1687" s="14" t="n">
        <x:f>VLOOKUP(C1687,'Governorate Master'!$A$2:$Q$13,3,FALSE)</x:f>
        <x:v>686800</x:v>
      </x:c>
      <x:c r="F1687" s="66" t="n">
        <x:f>IF(E1687=0,0,D1687/E1687*10000)</x:f>
        <x:v>0</x:v>
      </x:c>
      <x:c r="G1687" s="67" t="n">
        <x:f>VLOOKUP(C1687,'Governorate Master'!$A$2:$Q$13,7,FALSE)</x:f>
        <x:v>25.9</x:v>
      </x:c>
      <x:c r="H1687" s="20" t="n">
        <x:f>VLOOKUP(C1687,'Governorate Master'!$A$2:$Q$13,6,FALSE)</x:f>
        <x:v>0.6965637740244612</x:v>
      </x:c>
      <x:c r="I1687" s="20" t="n">
        <x:f>VLOOKUP(C1687,'Governorate Master'!$A$2:$Q$13,15,FALSE)</x:f>
        <x:v>-0.016638935108153077</x:v>
      </x:c>
      <x:c r="J1687" s="12" t="str">
        <x:v>Location model input - competition/saturation context</x:v>
      </x:c>
      <x:c r="K1687" s="12" t="str">
        <x:v>Business count is from 2018 while population/context indicators are newer; use as a historical proxy, not a current market count.</x:v>
      </x:c>
    </x:row>
    <x:row r="1688">
      <x:c r="A1688" s="12" t="str">
        <x:v>4653</x:v>
      </x:c>
      <x:c r="B1688" s="12" t="str">
        <x:v>Wholesale of agricultural machinery, equipment and supplies</x:v>
      </x:c>
      <x:c r="C1688" s="12" t="str">
        <x:v>جرش</x:v>
      </x:c>
      <x:c r="D1688" s="14" t="n">
        <x:v>1</x:v>
      </x:c>
      <x:c r="E1688" s="14" t="n">
        <x:f>VLOOKUP(C1688,'Governorate Master'!$A$2:$Q$13,3,FALSE)</x:f>
        <x:v>296000</x:v>
      </x:c>
      <x:c r="F1688" s="66" t="n">
        <x:f>IF(E1688=0,0,D1688/E1688*10000)</x:f>
        <x:v>0.033783783783783786</x:v>
      </x:c>
      <x:c r="G1688" s="67" t="n">
        <x:f>VLOOKUP(C1688,'Governorate Master'!$A$2:$Q$13,7,FALSE)</x:f>
        <x:v>722.3</x:v>
      </x:c>
      <x:c r="H1688" s="20" t="n">
        <x:f>VLOOKUP(C1688,'Governorate Master'!$A$2:$Q$13,6,FALSE)</x:f>
        <x:v>0.7695945945945946</x:v>
      </x:c>
      <x:c r="I1688" s="20" t="n">
        <x:f>VLOOKUP(C1688,'Governorate Master'!$A$2:$Q$13,15,FALSE)</x:f>
        <x:v>-0.06527415143603134</x:v>
      </x:c>
      <x:c r="J1688" s="12" t="str">
        <x:v>Location model input - competition/saturation context</x:v>
      </x:c>
      <x:c r="K1688" s="12" t="str">
        <x:v>Business count is from 2018 while population/context indicators are newer; use as a historical proxy, not a current market count.</x:v>
      </x:c>
    </x:row>
    <x:row r="1689">
      <x:c r="A1689" s="12" t="str">
        <x:v>4653</x:v>
      </x:c>
      <x:c r="B1689" s="12" t="str">
        <x:v>Wholesale of agricultural machinery, equipment and supplies</x:v>
      </x:c>
      <x:c r="C1689" s="12" t="str">
        <x:v>عجلون</x:v>
      </x:c>
      <x:c r="D1689" s="14" t="n">
        <x:v>2</x:v>
      </x:c>
      <x:c r="E1689" s="14" t="n">
        <x:f>VLOOKUP(C1689,'Governorate Master'!$A$2:$Q$13,3,FALSE)</x:f>
        <x:v>219900</x:v>
      </x:c>
      <x:c r="F1689" s="66" t="n">
        <x:f>IF(E1689=0,0,D1689/E1689*10000)</x:f>
        <x:v>0.09095043201455207</x:v>
      </x:c>
      <x:c r="G1689" s="67" t="n">
        <x:f>VLOOKUP(C1689,'Governorate Master'!$A$2:$Q$13,7,FALSE)</x:f>
        <x:v>524</x:v>
      </x:c>
      <x:c r="H1689" s="20" t="n">
        <x:f>VLOOKUP(C1689,'Governorate Master'!$A$2:$Q$13,6,FALSE)</x:f>
        <x:v>0.8390177353342428</x:v>
      </x:c>
      <x:c r="I1689" s="20" t="n">
        <x:f>VLOOKUP(C1689,'Governorate Master'!$A$2:$Q$13,15,FALSE)</x:f>
        <x:v>0.03614457831325301</x:v>
      </x:c>
      <x:c r="J1689" s="12" t="str">
        <x:v>Location model input - competition/saturation context</x:v>
      </x:c>
      <x:c r="K1689" s="12" t="str">
        <x:v>Business count is from 2018 while population/context indicators are newer; use as a historical proxy, not a current market count.</x:v>
      </x:c>
    </x:row>
    <x:row r="1690">
      <x:c r="A1690" s="12" t="str">
        <x:v>4653</x:v>
      </x:c>
      <x:c r="B1690" s="12" t="str">
        <x:v>Wholesale of agricultural machinery, equipment and supplies</x:v>
      </x:c>
      <x:c r="C1690" s="12" t="str">
        <x:v>الكرك</x:v>
      </x:c>
      <x:c r="D1690" s="14" t="n">
        <x:v>8</x:v>
      </x:c>
      <x:c r="E1690" s="14" t="n">
        <x:f>VLOOKUP(C1690,'Governorate Master'!$A$2:$Q$13,3,FALSE)</x:f>
        <x:v>395400</x:v>
      </x:c>
      <x:c r="F1690" s="66" t="n">
        <x:f>IF(E1690=0,0,D1690/E1690*10000)</x:f>
        <x:v>0.20232675771370762</x:v>
      </x:c>
      <x:c r="G1690" s="67" t="n">
        <x:f>VLOOKUP(C1690,'Governorate Master'!$A$2:$Q$13,7,FALSE)</x:f>
        <x:v>113.1</x:v>
      </x:c>
      <x:c r="H1690" s="20" t="n">
        <x:f>VLOOKUP(C1690,'Governorate Master'!$A$2:$Q$13,6,FALSE)</x:f>
        <x:v>0.5912999494183105</x:v>
      </x:c>
      <x:c r="I1690" s="20" t="n">
        <x:f>VLOOKUP(C1690,'Governorate Master'!$A$2:$Q$13,15,FALSE)</x:f>
        <x:v>0.08710801393728224</x:v>
      </x:c>
      <x:c r="J1690" s="12" t="str">
        <x:v>Location model input - competition/saturation context</x:v>
      </x:c>
      <x:c r="K1690" s="12" t="str">
        <x:v>Business count is from 2018 while population/context indicators are newer; use as a historical proxy, not a current market count.</x:v>
      </x:c>
    </x:row>
    <x:row r="1691">
      <x:c r="A1691" s="12" t="str">
        <x:v>4653</x:v>
      </x:c>
      <x:c r="B1691" s="12" t="str">
        <x:v>Wholesale of agricultural machinery, equipment and supplies</x:v>
      </x:c>
      <x:c r="C1691" s="12" t="str">
        <x:v>الطفيلة</x:v>
      </x:c>
      <x:c r="D1691" s="14" t="n">
        <x:v>3</x:v>
      </x:c>
      <x:c r="E1691" s="14" t="n">
        <x:f>VLOOKUP(C1691,'Governorate Master'!$A$2:$Q$13,3,FALSE)</x:f>
        <x:v>120300</x:v>
      </x:c>
      <x:c r="F1691" s="66" t="n">
        <x:f>IF(E1691=0,0,D1691/E1691*10000)</x:f>
        <x:v>0.24937655860349128</x:v>
      </x:c>
      <x:c r="G1691" s="67" t="n">
        <x:f>VLOOKUP(C1691,'Governorate Master'!$A$2:$Q$13,7,FALSE)</x:f>
        <x:v>54.4</x:v>
      </x:c>
      <x:c r="H1691" s="20" t="n">
        <x:f>VLOOKUP(C1691,'Governorate Master'!$A$2:$Q$13,6,FALSE)</x:f>
        <x:v>0.7797173732335827</x:v>
      </x:c>
      <x:c r="I1691" s="20" t="n">
        <x:f>VLOOKUP(C1691,'Governorate Master'!$A$2:$Q$13,15,FALSE)</x:f>
        <x:v>0.18452380952380953</x:v>
      </x:c>
      <x:c r="J1691" s="12" t="str">
        <x:v>Location model input - competition/saturation context</x:v>
      </x:c>
      <x:c r="K1691" s="12" t="str">
        <x:v>Business count is from 2018 while population/context indicators are newer; use as a historical proxy, not a current market count.</x:v>
      </x:c>
    </x:row>
    <x:row r="1692">
      <x:c r="A1692" s="12" t="str">
        <x:v>4653</x:v>
      </x:c>
      <x:c r="B1692" s="12" t="str">
        <x:v>Wholesale of agricultural machinery, equipment and supplies</x:v>
      </x:c>
      <x:c r="C1692" s="12" t="str">
        <x:v>معان</x:v>
      </x:c>
      <x:c r="D1692" s="14" t="n">
        <x:v>0</x:v>
      </x:c>
      <x:c r="E1692" s="14" t="n">
        <x:f>VLOOKUP(C1692,'Governorate Master'!$A$2:$Q$13,3,FALSE)</x:f>
        <x:v>197900</x:v>
      </x:c>
      <x:c r="F1692" s="66" t="n">
        <x:f>IF(E1692=0,0,D1692/E1692*10000)</x:f>
        <x:v>0</x:v>
      </x:c>
      <x:c r="G1692" s="67" t="n">
        <x:f>VLOOKUP(C1692,'Governorate Master'!$A$2:$Q$13,7,FALSE)</x:f>
        <x:v>6</x:v>
      </x:c>
      <x:c r="H1692" s="20" t="n">
        <x:f>VLOOKUP(C1692,'Governorate Master'!$A$2:$Q$13,6,FALSE)</x:f>
        <x:v>0.5406771096513391</x:v>
      </x:c>
      <x:c r="I1692" s="20" t="n">
        <x:f>VLOOKUP(C1692,'Governorate Master'!$A$2:$Q$13,15,FALSE)</x:f>
        <x:v>0.026845637583892617</x:v>
      </x:c>
      <x:c r="J1692" s="12" t="str">
        <x:v>Location model input - competition/saturation context</x:v>
      </x:c>
      <x:c r="K1692" s="12" t="str">
        <x:v>Business count is from 2018 while population/context indicators are newer; use as a historical proxy, not a current market count.</x:v>
      </x:c>
    </x:row>
    <x:row r="1693">
      <x:c r="A1693" s="12" t="str">
        <x:v>4653</x:v>
      </x:c>
      <x:c r="B1693" s="12" t="str">
        <x:v>Wholesale of agricultural machinery, equipment and supplies</x:v>
      </x:c>
      <x:c r="C1693" s="12" t="str">
        <x:v>العقبة</x:v>
      </x:c>
      <x:c r="D1693" s="14" t="n">
        <x:v>0</x:v>
      </x:c>
      <x:c r="E1693" s="14" t="n">
        <x:f>VLOOKUP(C1693,'Governorate Master'!$A$2:$Q$13,3,FALSE)</x:f>
        <x:v>250900</x:v>
      </x:c>
      <x:c r="F1693" s="66" t="n">
        <x:f>IF(E1693=0,0,D1693/E1693*10000)</x:f>
        <x:v>0</x:v>
      </x:c>
      <x:c r="G1693" s="67" t="n">
        <x:f>VLOOKUP(C1693,'Governorate Master'!$A$2:$Q$13,7,FALSE)</x:f>
        <x:v>36.3</x:v>
      </x:c>
      <x:c r="H1693" s="20" t="n">
        <x:f>VLOOKUP(C1693,'Governorate Master'!$A$2:$Q$13,6,FALSE)</x:f>
        <x:v>0.882024711040255</x:v>
      </x:c>
      <x:c r="I1693" s="20" t="n">
        <x:f>VLOOKUP(C1693,'Governorate Master'!$A$2:$Q$13,15,FALSE)</x:f>
        <x:v>-0.09</x:v>
      </x:c>
      <x:c r="J1693" s="12" t="str">
        <x:v>Location model input - competition/saturation context</x:v>
      </x:c>
      <x:c r="K1693" s="12" t="str">
        <x:v>Business count is from 2018 while population/context indicators are newer; use as a historical proxy, not a current market count.</x:v>
      </x:c>
    </x:row>
    <x:row r="1694">
      <x:c r="A1694" s="12" t="str">
        <x:v>4659</x:v>
      </x:c>
      <x:c r="B1694" s="12" t="str">
        <x:v>Wholesale of other machinery and equipment</x:v>
      </x:c>
      <x:c r="C1694" s="12" t="str">
        <x:v>عمان</x:v>
      </x:c>
      <x:c r="D1694" s="14" t="n">
        <x:v>759</x:v>
      </x:c>
      <x:c r="E1694" s="14" t="n">
        <x:f>VLOOKUP(C1694,'Governorate Master'!$A$2:$Q$13,3,FALSE)</x:f>
        <x:v>5004600</x:v>
      </x:c>
      <x:c r="F1694" s="66" t="n">
        <x:f>IF(E1694=0,0,D1694/E1694*10000)</x:f>
        <x:v>1.5166047236542382</x:v>
      </x:c>
      <x:c r="G1694" s="67" t="n">
        <x:f>VLOOKUP(C1694,'Governorate Master'!$A$2:$Q$13,7,FALSE)</x:f>
        <x:v>660.3</x:v>
      </x:c>
      <x:c r="H1694" s="20" t="n">
        <x:f>VLOOKUP(C1694,'Governorate Master'!$A$2:$Q$13,6,FALSE)</x:f>
        <x:v>0.9721656076409703</x:v>
      </x:c>
      <x:c r="I1694" s="20" t="n">
        <x:f>VLOOKUP(C1694,'Governorate Master'!$A$2:$Q$13,15,FALSE)</x:f>
        <x:v>0.06367041198501873</x:v>
      </x:c>
      <x:c r="J1694" s="12" t="str">
        <x:v>Location model input - competition/saturation context</x:v>
      </x:c>
      <x:c r="K1694" s="12" t="str">
        <x:v>Business count is from 2018 while population/context indicators are newer; use as a historical proxy, not a current market count.</x:v>
      </x:c>
    </x:row>
    <x:row r="1695">
      <x:c r="A1695" s="12" t="str">
        <x:v>4659</x:v>
      </x:c>
      <x:c r="B1695" s="12" t="str">
        <x:v>Wholesale of other machinery and equipment</x:v>
      </x:c>
      <x:c r="C1695" s="12" t="str">
        <x:v>البلقاء</x:v>
      </x:c>
      <x:c r="D1695" s="14" t="n">
        <x:v>9</x:v>
      </x:c>
      <x:c r="E1695" s="14" t="n">
        <x:f>VLOOKUP(C1695,'Governorate Master'!$A$2:$Q$13,3,FALSE)</x:f>
        <x:v>614000</x:v>
      </x:c>
      <x:c r="F1695" s="66" t="n">
        <x:f>IF(E1695=0,0,D1695/E1695*10000)</x:f>
        <x:v>0.1465798045602606</x:v>
      </x:c>
      <x:c r="G1695" s="67" t="n">
        <x:f>VLOOKUP(C1695,'Governorate Master'!$A$2:$Q$13,7,FALSE)</x:f>
        <x:v>548</x:v>
      </x:c>
      <x:c r="H1695" s="20" t="n">
        <x:f>VLOOKUP(C1695,'Governorate Master'!$A$2:$Q$13,6,FALSE)</x:f>
        <x:v>0.8210097719869707</x:v>
      </x:c>
      <x:c r="I1695" s="20" t="n">
        <x:f>VLOOKUP(C1695,'Governorate Master'!$A$2:$Q$13,15,FALSE)</x:f>
        <x:v>0.10794044665012408</x:v>
      </x:c>
      <x:c r="J1695" s="12" t="str">
        <x:v>Location model input - competition/saturation context</x:v>
      </x:c>
      <x:c r="K1695" s="12" t="str">
        <x:v>Business count is from 2018 while population/context indicators are newer; use as a historical proxy, not a current market count.</x:v>
      </x:c>
    </x:row>
    <x:row r="1696">
      <x:c r="A1696" s="12" t="str">
        <x:v>4659</x:v>
      </x:c>
      <x:c r="B1696" s="12" t="str">
        <x:v>Wholesale of other machinery and equipment</x:v>
      </x:c>
      <x:c r="C1696" s="12" t="str">
        <x:v>الزرقاء</x:v>
      </x:c>
      <x:c r="D1696" s="14" t="n">
        <x:v>120</x:v>
      </x:c>
      <x:c r="E1696" s="14" t="n">
        <x:f>VLOOKUP(C1696,'Governorate Master'!$A$2:$Q$13,3,FALSE)</x:f>
        <x:v>1704500</x:v>
      </x:c>
      <x:c r="F1696" s="66" t="n">
        <x:f>IF(E1696=0,0,D1696/E1696*10000)</x:f>
        <x:v>0.7040187738339688</x:v>
      </x:c>
      <x:c r="G1696" s="67" t="n">
        <x:f>VLOOKUP(C1696,'Governorate Master'!$A$2:$Q$13,7,FALSE)</x:f>
        <x:v>358</x:v>
      </x:c>
      <x:c r="H1696" s="20" t="n">
        <x:f>VLOOKUP(C1696,'Governorate Master'!$A$2:$Q$13,6,FALSE)</x:f>
        <x:v>0.9636256966852449</x:v>
      </x:c>
      <x:c r="I1696" s="20" t="n">
        <x:f>VLOOKUP(C1696,'Governorate Master'!$A$2:$Q$13,15,FALSE)</x:f>
        <x:v>-0.06808762581409118</x:v>
      </x:c>
      <x:c r="J1696" s="12" t="str">
        <x:v>Location model input - competition/saturation context</x:v>
      </x:c>
      <x:c r="K1696" s="12" t="str">
        <x:v>Business count is from 2018 while population/context indicators are newer; use as a historical proxy, not a current market count.</x:v>
      </x:c>
    </x:row>
    <x:row r="1697">
      <x:c r="A1697" s="12" t="str">
        <x:v>4659</x:v>
      </x:c>
      <x:c r="B1697" s="12" t="str">
        <x:v>Wholesale of other machinery and equipment</x:v>
      </x:c>
      <x:c r="C1697" s="12" t="str">
        <x:v>مادبا</x:v>
      </x:c>
      <x:c r="D1697" s="14" t="n">
        <x:v>9</x:v>
      </x:c>
      <x:c r="E1697" s="14" t="n">
        <x:f>VLOOKUP(C1697,'Governorate Master'!$A$2:$Q$13,3,FALSE)</x:f>
        <x:v>236200</x:v>
      </x:c>
      <x:c r="F1697" s="66" t="n">
        <x:f>IF(E1697=0,0,D1697/E1697*10000)</x:f>
        <x:v>0.3810330228619814</x:v>
      </x:c>
      <x:c r="G1697" s="67" t="n">
        <x:f>VLOOKUP(C1697,'Governorate Master'!$A$2:$Q$13,7,FALSE)</x:f>
        <x:v>251.4</x:v>
      </x:c>
      <x:c r="H1697" s="20" t="n">
        <x:f>VLOOKUP(C1697,'Governorate Master'!$A$2:$Q$13,6,FALSE)</x:f>
        <x:v>0.7823878069432684</x:v>
      </x:c>
      <x:c r="I1697" s="20" t="n">
        <x:f>VLOOKUP(C1697,'Governorate Master'!$A$2:$Q$13,15,FALSE)</x:f>
        <x:v>-0.18823529411764706</x:v>
      </x:c>
      <x:c r="J1697" s="12" t="str">
        <x:v>Location model input - competition/saturation context</x:v>
      </x:c>
      <x:c r="K1697" s="12" t="str">
        <x:v>Business count is from 2018 while population/context indicators are newer; use as a historical proxy, not a current market count.</x:v>
      </x:c>
    </x:row>
    <x:row r="1698">
      <x:c r="A1698" s="12" t="str">
        <x:v>4659</x:v>
      </x:c>
      <x:c r="B1698" s="12" t="str">
        <x:v>Wholesale of other machinery and equipment</x:v>
      </x:c>
      <x:c r="C1698" s="12" t="str">
        <x:v>إربد</x:v>
      </x:c>
      <x:c r="D1698" s="14" t="n">
        <x:v>71</x:v>
      </x:c>
      <x:c r="E1698" s="14" t="n">
        <x:f>VLOOKUP(C1698,'Governorate Master'!$A$2:$Q$13,3,FALSE)</x:f>
        <x:v>2210500</x:v>
      </x:c>
      <x:c r="F1698" s="66" t="n">
        <x:f>IF(E1698=0,0,D1698/E1698*10000)</x:f>
        <x:v>0.32119429993214205</x:v>
      </x:c>
      <x:c r="G1698" s="67" t="n">
        <x:f>VLOOKUP(C1698,'Governorate Master'!$A$2:$Q$13,7,FALSE)</x:f>
        <x:v>1406.4</x:v>
      </x:c>
      <x:c r="H1698" s="20" t="n">
        <x:f>VLOOKUP(C1698,'Governorate Master'!$A$2:$Q$13,6,FALSE)</x:f>
        <x:v>0.9235014702555983</x:v>
      </x:c>
      <x:c r="I1698" s="20" t="n">
        <x:f>VLOOKUP(C1698,'Governorate Master'!$A$2:$Q$13,15,FALSE)</x:f>
        <x:v>0.07086922474549726</x:v>
      </x:c>
      <x:c r="J1698" s="12" t="str">
        <x:v>Location model input - competition/saturation context</x:v>
      </x:c>
      <x:c r="K1698" s="12" t="str">
        <x:v>Business count is from 2018 while population/context indicators are newer; use as a historical proxy, not a current market count.</x:v>
      </x:c>
    </x:row>
    <x:row r="1699">
      <x:c r="A1699" s="12" t="str">
        <x:v>4659</x:v>
      </x:c>
      <x:c r="B1699" s="12" t="str">
        <x:v>Wholesale of other machinery and equipment</x:v>
      </x:c>
      <x:c r="C1699" s="12" t="str">
        <x:v>المفرق</x:v>
      </x:c>
      <x:c r="D1699" s="14" t="n">
        <x:v>8</x:v>
      </x:c>
      <x:c r="E1699" s="14" t="n">
        <x:f>VLOOKUP(C1699,'Governorate Master'!$A$2:$Q$13,3,FALSE)</x:f>
        <x:v>686800</x:v>
      </x:c>
      <x:c r="F1699" s="66" t="n">
        <x:f>IF(E1699=0,0,D1699/E1699*10000)</x:f>
        <x:v>0.11648223645894001</x:v>
      </x:c>
      <x:c r="G1699" s="67" t="n">
        <x:f>VLOOKUP(C1699,'Governorate Master'!$A$2:$Q$13,7,FALSE)</x:f>
        <x:v>25.9</x:v>
      </x:c>
      <x:c r="H1699" s="20" t="n">
        <x:f>VLOOKUP(C1699,'Governorate Master'!$A$2:$Q$13,6,FALSE)</x:f>
        <x:v>0.6965637740244612</x:v>
      </x:c>
      <x:c r="I1699" s="20" t="n">
        <x:f>VLOOKUP(C1699,'Governorate Master'!$A$2:$Q$13,15,FALSE)</x:f>
        <x:v>-0.016638935108153077</x:v>
      </x:c>
      <x:c r="J1699" s="12" t="str">
        <x:v>Location model input - competition/saturation context</x:v>
      </x:c>
      <x:c r="K1699" s="12" t="str">
        <x:v>Business count is from 2018 while population/context indicators are newer; use as a historical proxy, not a current market count.</x:v>
      </x:c>
    </x:row>
    <x:row r="1700">
      <x:c r="A1700" s="12" t="str">
        <x:v>4659</x:v>
      </x:c>
      <x:c r="B1700" s="12" t="str">
        <x:v>Wholesale of other machinery and equipment</x:v>
      </x:c>
      <x:c r="C1700" s="12" t="str">
        <x:v>جرش</x:v>
      </x:c>
      <x:c r="D1700" s="14" t="n">
        <x:v>10</x:v>
      </x:c>
      <x:c r="E1700" s="14" t="n">
        <x:f>VLOOKUP(C1700,'Governorate Master'!$A$2:$Q$13,3,FALSE)</x:f>
        <x:v>296000</x:v>
      </x:c>
      <x:c r="F1700" s="66" t="n">
        <x:f>IF(E1700=0,0,D1700/E1700*10000)</x:f>
        <x:v>0.33783783783783783</x:v>
      </x:c>
      <x:c r="G1700" s="67" t="n">
        <x:f>VLOOKUP(C1700,'Governorate Master'!$A$2:$Q$13,7,FALSE)</x:f>
        <x:v>722.3</x:v>
      </x:c>
      <x:c r="H1700" s="20" t="n">
        <x:f>VLOOKUP(C1700,'Governorate Master'!$A$2:$Q$13,6,FALSE)</x:f>
        <x:v>0.7695945945945946</x:v>
      </x:c>
      <x:c r="I1700" s="20" t="n">
        <x:f>VLOOKUP(C1700,'Governorate Master'!$A$2:$Q$13,15,FALSE)</x:f>
        <x:v>-0.06527415143603134</x:v>
      </x:c>
      <x:c r="J1700" s="12" t="str">
        <x:v>Location model input - competition/saturation context</x:v>
      </x:c>
      <x:c r="K1700" s="12" t="str">
        <x:v>Business count is from 2018 while population/context indicators are newer; use as a historical proxy, not a current market count.</x:v>
      </x:c>
    </x:row>
    <x:row r="1701">
      <x:c r="A1701" s="12" t="str">
        <x:v>4659</x:v>
      </x:c>
      <x:c r="B1701" s="12" t="str">
        <x:v>Wholesale of other machinery and equipment</x:v>
      </x:c>
      <x:c r="C1701" s="12" t="str">
        <x:v>عجلون</x:v>
      </x:c>
      <x:c r="D1701" s="14" t="n">
        <x:v>2</x:v>
      </x:c>
      <x:c r="E1701" s="14" t="n">
        <x:f>VLOOKUP(C1701,'Governorate Master'!$A$2:$Q$13,3,FALSE)</x:f>
        <x:v>219900</x:v>
      </x:c>
      <x:c r="F1701" s="66" t="n">
        <x:f>IF(E1701=0,0,D1701/E1701*10000)</x:f>
        <x:v>0.09095043201455207</x:v>
      </x:c>
      <x:c r="G1701" s="67" t="n">
        <x:f>VLOOKUP(C1701,'Governorate Master'!$A$2:$Q$13,7,FALSE)</x:f>
        <x:v>524</x:v>
      </x:c>
      <x:c r="H1701" s="20" t="n">
        <x:f>VLOOKUP(C1701,'Governorate Master'!$A$2:$Q$13,6,FALSE)</x:f>
        <x:v>0.8390177353342428</x:v>
      </x:c>
      <x:c r="I1701" s="20" t="n">
        <x:f>VLOOKUP(C1701,'Governorate Master'!$A$2:$Q$13,15,FALSE)</x:f>
        <x:v>0.03614457831325301</x:v>
      </x:c>
      <x:c r="J1701" s="12" t="str">
        <x:v>Location model input - competition/saturation context</x:v>
      </x:c>
      <x:c r="K1701" s="12" t="str">
        <x:v>Business count is from 2018 while population/context indicators are newer; use as a historical proxy, not a current market count.</x:v>
      </x:c>
    </x:row>
    <x:row r="1702">
      <x:c r="A1702" s="12" t="str">
        <x:v>4659</x:v>
      </x:c>
      <x:c r="B1702" s="12" t="str">
        <x:v>Wholesale of other machinery and equipment</x:v>
      </x:c>
      <x:c r="C1702" s="12" t="str">
        <x:v>الكرك</x:v>
      </x:c>
      <x:c r="D1702" s="14" t="n">
        <x:v>9</x:v>
      </x:c>
      <x:c r="E1702" s="14" t="n">
        <x:f>VLOOKUP(C1702,'Governorate Master'!$A$2:$Q$13,3,FALSE)</x:f>
        <x:v>395400</x:v>
      </x:c>
      <x:c r="F1702" s="66" t="n">
        <x:f>IF(E1702=0,0,D1702/E1702*10000)</x:f>
        <x:v>0.2276176024279211</x:v>
      </x:c>
      <x:c r="G1702" s="67" t="n">
        <x:f>VLOOKUP(C1702,'Governorate Master'!$A$2:$Q$13,7,FALSE)</x:f>
        <x:v>113.1</x:v>
      </x:c>
      <x:c r="H1702" s="20" t="n">
        <x:f>VLOOKUP(C1702,'Governorate Master'!$A$2:$Q$13,6,FALSE)</x:f>
        <x:v>0.5912999494183105</x:v>
      </x:c>
      <x:c r="I1702" s="20" t="n">
        <x:f>VLOOKUP(C1702,'Governorate Master'!$A$2:$Q$13,15,FALSE)</x:f>
        <x:v>0.08710801393728224</x:v>
      </x:c>
      <x:c r="J1702" s="12" t="str">
        <x:v>Location model input - competition/saturation context</x:v>
      </x:c>
      <x:c r="K1702" s="12" t="str">
        <x:v>Business count is from 2018 while population/context indicators are newer; use as a historical proxy, not a current market count.</x:v>
      </x:c>
    </x:row>
    <x:row r="1703">
      <x:c r="A1703" s="12" t="str">
        <x:v>4659</x:v>
      </x:c>
      <x:c r="B1703" s="12" t="str">
        <x:v>Wholesale of other machinery and equipment</x:v>
      </x:c>
      <x:c r="C1703" s="12" t="str">
        <x:v>الطفيلة</x:v>
      </x:c>
      <x:c r="D1703" s="14" t="n">
        <x:v>3</x:v>
      </x:c>
      <x:c r="E1703" s="14" t="n">
        <x:f>VLOOKUP(C1703,'Governorate Master'!$A$2:$Q$13,3,FALSE)</x:f>
        <x:v>120300</x:v>
      </x:c>
      <x:c r="F1703" s="66" t="n">
        <x:f>IF(E1703=0,0,D1703/E1703*10000)</x:f>
        <x:v>0.24937655860349128</x:v>
      </x:c>
      <x:c r="G1703" s="67" t="n">
        <x:f>VLOOKUP(C1703,'Governorate Master'!$A$2:$Q$13,7,FALSE)</x:f>
        <x:v>54.4</x:v>
      </x:c>
      <x:c r="H1703" s="20" t="n">
        <x:f>VLOOKUP(C1703,'Governorate Master'!$A$2:$Q$13,6,FALSE)</x:f>
        <x:v>0.7797173732335827</x:v>
      </x:c>
      <x:c r="I1703" s="20" t="n">
        <x:f>VLOOKUP(C1703,'Governorate Master'!$A$2:$Q$13,15,FALSE)</x:f>
        <x:v>0.18452380952380953</x:v>
      </x:c>
      <x:c r="J1703" s="12" t="str">
        <x:v>Location model input - competition/saturation context</x:v>
      </x:c>
      <x:c r="K1703" s="12" t="str">
        <x:v>Business count is from 2018 while population/context indicators are newer; use as a historical proxy, not a current market count.</x:v>
      </x:c>
    </x:row>
    <x:row r="1704">
      <x:c r="A1704" s="12" t="str">
        <x:v>4659</x:v>
      </x:c>
      <x:c r="B1704" s="12" t="str">
        <x:v>Wholesale of other machinery and equipment</x:v>
      </x:c>
      <x:c r="C1704" s="12" t="str">
        <x:v>معان</x:v>
      </x:c>
      <x:c r="D1704" s="14" t="n">
        <x:v>4</x:v>
      </x:c>
      <x:c r="E1704" s="14" t="n">
        <x:f>VLOOKUP(C1704,'Governorate Master'!$A$2:$Q$13,3,FALSE)</x:f>
        <x:v>197900</x:v>
      </x:c>
      <x:c r="F1704" s="66" t="n">
        <x:f>IF(E1704=0,0,D1704/E1704*10000)</x:f>
        <x:v>0.202122283981809</x:v>
      </x:c>
      <x:c r="G1704" s="67" t="n">
        <x:f>VLOOKUP(C1704,'Governorate Master'!$A$2:$Q$13,7,FALSE)</x:f>
        <x:v>6</x:v>
      </x:c>
      <x:c r="H1704" s="20" t="n">
        <x:f>VLOOKUP(C1704,'Governorate Master'!$A$2:$Q$13,6,FALSE)</x:f>
        <x:v>0.5406771096513391</x:v>
      </x:c>
      <x:c r="I1704" s="20" t="n">
        <x:f>VLOOKUP(C1704,'Governorate Master'!$A$2:$Q$13,15,FALSE)</x:f>
        <x:v>0.026845637583892617</x:v>
      </x:c>
      <x:c r="J1704" s="12" t="str">
        <x:v>Location model input - competition/saturation context</x:v>
      </x:c>
      <x:c r="K1704" s="12" t="str">
        <x:v>Business count is from 2018 while population/context indicators are newer; use as a historical proxy, not a current market count.</x:v>
      </x:c>
    </x:row>
    <x:row r="1705">
      <x:c r="A1705" s="12" t="str">
        <x:v>4659</x:v>
      </x:c>
      <x:c r="B1705" s="12" t="str">
        <x:v>Wholesale of other machinery and equipment</x:v>
      </x:c>
      <x:c r="C1705" s="12" t="str">
        <x:v>العقبة</x:v>
      </x:c>
      <x:c r="D1705" s="14" t="n">
        <x:v>21</x:v>
      </x:c>
      <x:c r="E1705" s="14" t="n">
        <x:f>VLOOKUP(C1705,'Governorate Master'!$A$2:$Q$13,3,FALSE)</x:f>
        <x:v>250900</x:v>
      </x:c>
      <x:c r="F1705" s="66" t="n">
        <x:f>IF(E1705=0,0,D1705/E1705*10000)</x:f>
        <x:v>0.8369868473495415</x:v>
      </x:c>
      <x:c r="G1705" s="67" t="n">
        <x:f>VLOOKUP(C1705,'Governorate Master'!$A$2:$Q$13,7,FALSE)</x:f>
        <x:v>36.3</x:v>
      </x:c>
      <x:c r="H1705" s="20" t="n">
        <x:f>VLOOKUP(C1705,'Governorate Master'!$A$2:$Q$13,6,FALSE)</x:f>
        <x:v>0.882024711040255</x:v>
      </x:c>
      <x:c r="I1705" s="20" t="n">
        <x:f>VLOOKUP(C1705,'Governorate Master'!$A$2:$Q$13,15,FALSE)</x:f>
        <x:v>-0.09</x:v>
      </x:c>
      <x:c r="J1705" s="12" t="str">
        <x:v>Location model input - competition/saturation context</x:v>
      </x:c>
      <x:c r="K1705" s="12" t="str">
        <x:v>Business count is from 2018 while population/context indicators are newer; use as a historical proxy, not a current market count.</x:v>
      </x:c>
    </x:row>
    <x:row r="1706">
      <x:c r="A1706" s="12" t="str">
        <x:v>4661</x:v>
      </x:c>
      <x:c r="B1706" s="12" t="str">
        <x:v>Wholesale of solid, liquid and gaseous fuels and related products</x:v>
      </x:c>
      <x:c r="C1706" s="12" t="str">
        <x:v>عمان</x:v>
      </x:c>
      <x:c r="D1706" s="14" t="n">
        <x:v>21</x:v>
      </x:c>
      <x:c r="E1706" s="14" t="n">
        <x:f>VLOOKUP(C1706,'Governorate Master'!$A$2:$Q$13,3,FALSE)</x:f>
        <x:v>5004600</x:v>
      </x:c>
      <x:c r="F1706" s="66" t="n">
        <x:f>IF(E1706=0,0,D1706/E1706*10000)</x:f>
        <x:v>0.04196139551612516</x:v>
      </x:c>
      <x:c r="G1706" s="67" t="n">
        <x:f>VLOOKUP(C1706,'Governorate Master'!$A$2:$Q$13,7,FALSE)</x:f>
        <x:v>660.3</x:v>
      </x:c>
      <x:c r="H1706" s="20" t="n">
        <x:f>VLOOKUP(C1706,'Governorate Master'!$A$2:$Q$13,6,FALSE)</x:f>
        <x:v>0.9721656076409703</x:v>
      </x:c>
      <x:c r="I1706" s="20" t="n">
        <x:f>VLOOKUP(C1706,'Governorate Master'!$A$2:$Q$13,15,FALSE)</x:f>
        <x:v>0.06367041198501873</x:v>
      </x:c>
      <x:c r="J1706" s="12" t="str">
        <x:v>Location model input - competition/saturation context</x:v>
      </x:c>
      <x:c r="K1706" s="12" t="str">
        <x:v>Business count is from 2018 while population/context indicators are newer; use as a historical proxy, not a current market count.</x:v>
      </x:c>
    </x:row>
    <x:row r="1707">
      <x:c r="A1707" s="12" t="str">
        <x:v>4661</x:v>
      </x:c>
      <x:c r="B1707" s="12" t="str">
        <x:v>Wholesale of solid, liquid and gaseous fuels and related products</x:v>
      </x:c>
      <x:c r="C1707" s="12" t="str">
        <x:v>البلقاء</x:v>
      </x:c>
      <x:c r="D1707" s="14" t="n">
        <x:v>0</x:v>
      </x:c>
      <x:c r="E1707" s="14" t="n">
        <x:f>VLOOKUP(C1707,'Governorate Master'!$A$2:$Q$13,3,FALSE)</x:f>
        <x:v>614000</x:v>
      </x:c>
      <x:c r="F1707" s="66" t="n">
        <x:f>IF(E1707=0,0,D1707/E1707*10000)</x:f>
        <x:v>0</x:v>
      </x:c>
      <x:c r="G1707" s="67" t="n">
        <x:f>VLOOKUP(C1707,'Governorate Master'!$A$2:$Q$13,7,FALSE)</x:f>
        <x:v>548</x:v>
      </x:c>
      <x:c r="H1707" s="20" t="n">
        <x:f>VLOOKUP(C1707,'Governorate Master'!$A$2:$Q$13,6,FALSE)</x:f>
        <x:v>0.8210097719869707</x:v>
      </x:c>
      <x:c r="I1707" s="20" t="n">
        <x:f>VLOOKUP(C1707,'Governorate Master'!$A$2:$Q$13,15,FALSE)</x:f>
        <x:v>0.10794044665012408</x:v>
      </x:c>
      <x:c r="J1707" s="12" t="str">
        <x:v>Location model input - competition/saturation context</x:v>
      </x:c>
      <x:c r="K1707" s="12" t="str">
        <x:v>Business count is from 2018 while population/context indicators are newer; use as a historical proxy, not a current market count.</x:v>
      </x:c>
    </x:row>
    <x:row r="1708">
      <x:c r="A1708" s="12" t="str">
        <x:v>4661</x:v>
      </x:c>
      <x:c r="B1708" s="12" t="str">
        <x:v>Wholesale of solid, liquid and gaseous fuels and related products</x:v>
      </x:c>
      <x:c r="C1708" s="12" t="str">
        <x:v>الزرقاء</x:v>
      </x:c>
      <x:c r="D1708" s="14" t="n">
        <x:v>3</x:v>
      </x:c>
      <x:c r="E1708" s="14" t="n">
        <x:f>VLOOKUP(C1708,'Governorate Master'!$A$2:$Q$13,3,FALSE)</x:f>
        <x:v>1704500</x:v>
      </x:c>
      <x:c r="F1708" s="66" t="n">
        <x:f>IF(E1708=0,0,D1708/E1708*10000)</x:f>
        <x:v>0.01760046934584922</x:v>
      </x:c>
      <x:c r="G1708" s="67" t="n">
        <x:f>VLOOKUP(C1708,'Governorate Master'!$A$2:$Q$13,7,FALSE)</x:f>
        <x:v>358</x:v>
      </x:c>
      <x:c r="H1708" s="20" t="n">
        <x:f>VLOOKUP(C1708,'Governorate Master'!$A$2:$Q$13,6,FALSE)</x:f>
        <x:v>0.9636256966852449</x:v>
      </x:c>
      <x:c r="I1708" s="20" t="n">
        <x:f>VLOOKUP(C1708,'Governorate Master'!$A$2:$Q$13,15,FALSE)</x:f>
        <x:v>-0.06808762581409118</x:v>
      </x:c>
      <x:c r="J1708" s="12" t="str">
        <x:v>Location model input - competition/saturation context</x:v>
      </x:c>
      <x:c r="K1708" s="12" t="str">
        <x:v>Business count is from 2018 while population/context indicators are newer; use as a historical proxy, not a current market count.</x:v>
      </x:c>
    </x:row>
    <x:row r="1709">
      <x:c r="A1709" s="12" t="str">
        <x:v>4661</x:v>
      </x:c>
      <x:c r="B1709" s="12" t="str">
        <x:v>Wholesale of solid, liquid and gaseous fuels and related products</x:v>
      </x:c>
      <x:c r="C1709" s="12" t="str">
        <x:v>مادبا</x:v>
      </x:c>
      <x:c r="D1709" s="14" t="n">
        <x:v>0</x:v>
      </x:c>
      <x:c r="E1709" s="14" t="n">
        <x:f>VLOOKUP(C1709,'Governorate Master'!$A$2:$Q$13,3,FALSE)</x:f>
        <x:v>236200</x:v>
      </x:c>
      <x:c r="F1709" s="66" t="n">
        <x:f>IF(E1709=0,0,D1709/E1709*10000)</x:f>
        <x:v>0</x:v>
      </x:c>
      <x:c r="G1709" s="67" t="n">
        <x:f>VLOOKUP(C1709,'Governorate Master'!$A$2:$Q$13,7,FALSE)</x:f>
        <x:v>251.4</x:v>
      </x:c>
      <x:c r="H1709" s="20" t="n">
        <x:f>VLOOKUP(C1709,'Governorate Master'!$A$2:$Q$13,6,FALSE)</x:f>
        <x:v>0.7823878069432684</x:v>
      </x:c>
      <x:c r="I1709" s="20" t="n">
        <x:f>VLOOKUP(C1709,'Governorate Master'!$A$2:$Q$13,15,FALSE)</x:f>
        <x:v>-0.18823529411764706</x:v>
      </x:c>
      <x:c r="J1709" s="12" t="str">
        <x:v>Location model input - competition/saturation context</x:v>
      </x:c>
      <x:c r="K1709" s="12" t="str">
        <x:v>Business count is from 2018 while population/context indicators are newer; use as a historical proxy, not a current market count.</x:v>
      </x:c>
    </x:row>
    <x:row r="1710">
      <x:c r="A1710" s="12" t="str">
        <x:v>4661</x:v>
      </x:c>
      <x:c r="B1710" s="12" t="str">
        <x:v>Wholesale of solid, liquid and gaseous fuels and related products</x:v>
      </x:c>
      <x:c r="C1710" s="12" t="str">
        <x:v>إربد</x:v>
      </x:c>
      <x:c r="D1710" s="14" t="n">
        <x:v>0</x:v>
      </x:c>
      <x:c r="E1710" s="14" t="n">
        <x:f>VLOOKUP(C1710,'Governorate Master'!$A$2:$Q$13,3,FALSE)</x:f>
        <x:v>2210500</x:v>
      </x:c>
      <x:c r="F1710" s="66" t="n">
        <x:f>IF(E1710=0,0,D1710/E1710*10000)</x:f>
        <x:v>0</x:v>
      </x:c>
      <x:c r="G1710" s="67" t="n">
        <x:f>VLOOKUP(C1710,'Governorate Master'!$A$2:$Q$13,7,FALSE)</x:f>
        <x:v>1406.4</x:v>
      </x:c>
      <x:c r="H1710" s="20" t="n">
        <x:f>VLOOKUP(C1710,'Governorate Master'!$A$2:$Q$13,6,FALSE)</x:f>
        <x:v>0.9235014702555983</x:v>
      </x:c>
      <x:c r="I1710" s="20" t="n">
        <x:f>VLOOKUP(C1710,'Governorate Master'!$A$2:$Q$13,15,FALSE)</x:f>
        <x:v>0.07086922474549726</x:v>
      </x:c>
      <x:c r="J1710" s="12" t="str">
        <x:v>Location model input - competition/saturation context</x:v>
      </x:c>
      <x:c r="K1710" s="12" t="str">
        <x:v>Business count is from 2018 while population/context indicators are newer; use as a historical proxy, not a current market count.</x:v>
      </x:c>
    </x:row>
    <x:row r="1711">
      <x:c r="A1711" s="12" t="str">
        <x:v>4661</x:v>
      </x:c>
      <x:c r="B1711" s="12" t="str">
        <x:v>Wholesale of solid, liquid and gaseous fuels and related products</x:v>
      </x:c>
      <x:c r="C1711" s="12" t="str">
        <x:v>المفرق</x:v>
      </x:c>
      <x:c r="D1711" s="14" t="n">
        <x:v>1</x:v>
      </x:c>
      <x:c r="E1711" s="14" t="n">
        <x:f>VLOOKUP(C1711,'Governorate Master'!$A$2:$Q$13,3,FALSE)</x:f>
        <x:v>686800</x:v>
      </x:c>
      <x:c r="F1711" s="66" t="n">
        <x:f>IF(E1711=0,0,D1711/E1711*10000)</x:f>
        <x:v>0.014560279557367502</x:v>
      </x:c>
      <x:c r="G1711" s="67" t="n">
        <x:f>VLOOKUP(C1711,'Governorate Master'!$A$2:$Q$13,7,FALSE)</x:f>
        <x:v>25.9</x:v>
      </x:c>
      <x:c r="H1711" s="20" t="n">
        <x:f>VLOOKUP(C1711,'Governorate Master'!$A$2:$Q$13,6,FALSE)</x:f>
        <x:v>0.6965637740244612</x:v>
      </x:c>
      <x:c r="I1711" s="20" t="n">
        <x:f>VLOOKUP(C1711,'Governorate Master'!$A$2:$Q$13,15,FALSE)</x:f>
        <x:v>-0.016638935108153077</x:v>
      </x:c>
      <x:c r="J1711" s="12" t="str">
        <x:v>Location model input - competition/saturation context</x:v>
      </x:c>
      <x:c r="K1711" s="12" t="str">
        <x:v>Business count is from 2018 while population/context indicators are newer; use as a historical proxy, not a current market count.</x:v>
      </x:c>
    </x:row>
    <x:row r="1712">
      <x:c r="A1712" s="12" t="str">
        <x:v>4661</x:v>
      </x:c>
      <x:c r="B1712" s="12" t="str">
        <x:v>Wholesale of solid, liquid and gaseous fuels and related products</x:v>
      </x:c>
      <x:c r="C1712" s="12" t="str">
        <x:v>جرش</x:v>
      </x:c>
      <x:c r="D1712" s="14" t="n">
        <x:v>0</x:v>
      </x:c>
      <x:c r="E1712" s="14" t="n">
        <x:f>VLOOKUP(C1712,'Governorate Master'!$A$2:$Q$13,3,FALSE)</x:f>
        <x:v>296000</x:v>
      </x:c>
      <x:c r="F1712" s="66" t="n">
        <x:f>IF(E1712=0,0,D1712/E1712*10000)</x:f>
        <x:v>0</x:v>
      </x:c>
      <x:c r="G1712" s="67" t="n">
        <x:f>VLOOKUP(C1712,'Governorate Master'!$A$2:$Q$13,7,FALSE)</x:f>
        <x:v>722.3</x:v>
      </x:c>
      <x:c r="H1712" s="20" t="n">
        <x:f>VLOOKUP(C1712,'Governorate Master'!$A$2:$Q$13,6,FALSE)</x:f>
        <x:v>0.7695945945945946</x:v>
      </x:c>
      <x:c r="I1712" s="20" t="n">
        <x:f>VLOOKUP(C1712,'Governorate Master'!$A$2:$Q$13,15,FALSE)</x:f>
        <x:v>-0.06527415143603134</x:v>
      </x:c>
      <x:c r="J1712" s="12" t="str">
        <x:v>Location model input - competition/saturation context</x:v>
      </x:c>
      <x:c r="K1712" s="12" t="str">
        <x:v>Business count is from 2018 while population/context indicators are newer; use as a historical proxy, not a current market count.</x:v>
      </x:c>
    </x:row>
    <x:row r="1713">
      <x:c r="A1713" s="12" t="str">
        <x:v>4661</x:v>
      </x:c>
      <x:c r="B1713" s="12" t="str">
        <x:v>Wholesale of solid, liquid and gaseous fuels and related products</x:v>
      </x:c>
      <x:c r="C1713" s="12" t="str">
        <x:v>عجلون</x:v>
      </x:c>
      <x:c r="D1713" s="14" t="n">
        <x:v>1</x:v>
      </x:c>
      <x:c r="E1713" s="14" t="n">
        <x:f>VLOOKUP(C1713,'Governorate Master'!$A$2:$Q$13,3,FALSE)</x:f>
        <x:v>219900</x:v>
      </x:c>
      <x:c r="F1713" s="66" t="n">
        <x:f>IF(E1713=0,0,D1713/E1713*10000)</x:f>
        <x:v>0.04547521600727603</x:v>
      </x:c>
      <x:c r="G1713" s="67" t="n">
        <x:f>VLOOKUP(C1713,'Governorate Master'!$A$2:$Q$13,7,FALSE)</x:f>
        <x:v>524</x:v>
      </x:c>
      <x:c r="H1713" s="20" t="n">
        <x:f>VLOOKUP(C1713,'Governorate Master'!$A$2:$Q$13,6,FALSE)</x:f>
        <x:v>0.8390177353342428</x:v>
      </x:c>
      <x:c r="I1713" s="20" t="n">
        <x:f>VLOOKUP(C1713,'Governorate Master'!$A$2:$Q$13,15,FALSE)</x:f>
        <x:v>0.03614457831325301</x:v>
      </x:c>
      <x:c r="J1713" s="12" t="str">
        <x:v>Location model input - competition/saturation context</x:v>
      </x:c>
      <x:c r="K1713" s="12" t="str">
        <x:v>Business count is from 2018 while population/context indicators are newer; use as a historical proxy, not a current market count.</x:v>
      </x:c>
    </x:row>
    <x:row r="1714">
      <x:c r="A1714" s="12" t="str">
        <x:v>4661</x:v>
      </x:c>
      <x:c r="B1714" s="12" t="str">
        <x:v>Wholesale of solid, liquid and gaseous fuels and related products</x:v>
      </x:c>
      <x:c r="C1714" s="12" t="str">
        <x:v>الكرك</x:v>
      </x:c>
      <x:c r="D1714" s="14" t="n">
        <x:v>0</x:v>
      </x:c>
      <x:c r="E1714" s="14" t="n">
        <x:f>VLOOKUP(C1714,'Governorate Master'!$A$2:$Q$13,3,FALSE)</x:f>
        <x:v>395400</x:v>
      </x:c>
      <x:c r="F1714" s="66" t="n">
        <x:f>IF(E1714=0,0,D1714/E1714*10000)</x:f>
        <x:v>0</x:v>
      </x:c>
      <x:c r="G1714" s="67" t="n">
        <x:f>VLOOKUP(C1714,'Governorate Master'!$A$2:$Q$13,7,FALSE)</x:f>
        <x:v>113.1</x:v>
      </x:c>
      <x:c r="H1714" s="20" t="n">
        <x:f>VLOOKUP(C1714,'Governorate Master'!$A$2:$Q$13,6,FALSE)</x:f>
        <x:v>0.5912999494183105</x:v>
      </x:c>
      <x:c r="I1714" s="20" t="n">
        <x:f>VLOOKUP(C1714,'Governorate Master'!$A$2:$Q$13,15,FALSE)</x:f>
        <x:v>0.08710801393728224</x:v>
      </x:c>
      <x:c r="J1714" s="12" t="str">
        <x:v>Location model input - competition/saturation context</x:v>
      </x:c>
      <x:c r="K1714" s="12" t="str">
        <x:v>Business count is from 2018 while population/context indicators are newer; use as a historical proxy, not a current market count.</x:v>
      </x:c>
    </x:row>
    <x:row r="1715">
      <x:c r="A1715" s="12" t="str">
        <x:v>4661</x:v>
      </x:c>
      <x:c r="B1715" s="12" t="str">
        <x:v>Wholesale of solid, liquid and gaseous fuels and related products</x:v>
      </x:c>
      <x:c r="C1715" s="12" t="str">
        <x:v>الطفيلة</x:v>
      </x:c>
      <x:c r="D1715" s="14" t="n">
        <x:v>0</x:v>
      </x:c>
      <x:c r="E1715" s="14" t="n">
        <x:f>VLOOKUP(C1715,'Governorate Master'!$A$2:$Q$13,3,FALSE)</x:f>
        <x:v>120300</x:v>
      </x:c>
      <x:c r="F1715" s="66" t="n">
        <x:f>IF(E1715=0,0,D1715/E1715*10000)</x:f>
        <x:v>0</x:v>
      </x:c>
      <x:c r="G1715" s="67" t="n">
        <x:f>VLOOKUP(C1715,'Governorate Master'!$A$2:$Q$13,7,FALSE)</x:f>
        <x:v>54.4</x:v>
      </x:c>
      <x:c r="H1715" s="20" t="n">
        <x:f>VLOOKUP(C1715,'Governorate Master'!$A$2:$Q$13,6,FALSE)</x:f>
        <x:v>0.7797173732335827</x:v>
      </x:c>
      <x:c r="I1715" s="20" t="n">
        <x:f>VLOOKUP(C1715,'Governorate Master'!$A$2:$Q$13,15,FALSE)</x:f>
        <x:v>0.18452380952380953</x:v>
      </x:c>
      <x:c r="J1715" s="12" t="str">
        <x:v>Location model input - competition/saturation context</x:v>
      </x:c>
      <x:c r="K1715" s="12" t="str">
        <x:v>Business count is from 2018 while population/context indicators are newer; use as a historical proxy, not a current market count.</x:v>
      </x:c>
    </x:row>
    <x:row r="1716">
      <x:c r="A1716" s="12" t="str">
        <x:v>4661</x:v>
      </x:c>
      <x:c r="B1716" s="12" t="str">
        <x:v>Wholesale of solid, liquid and gaseous fuels and related products</x:v>
      </x:c>
      <x:c r="C1716" s="12" t="str">
        <x:v>معان</x:v>
      </x:c>
      <x:c r="D1716" s="14" t="n">
        <x:v>0</x:v>
      </x:c>
      <x:c r="E1716" s="14" t="n">
        <x:f>VLOOKUP(C1716,'Governorate Master'!$A$2:$Q$13,3,FALSE)</x:f>
        <x:v>197900</x:v>
      </x:c>
      <x:c r="F1716" s="66" t="n">
        <x:f>IF(E1716=0,0,D1716/E1716*10000)</x:f>
        <x:v>0</x:v>
      </x:c>
      <x:c r="G1716" s="67" t="n">
        <x:f>VLOOKUP(C1716,'Governorate Master'!$A$2:$Q$13,7,FALSE)</x:f>
        <x:v>6</x:v>
      </x:c>
      <x:c r="H1716" s="20" t="n">
        <x:f>VLOOKUP(C1716,'Governorate Master'!$A$2:$Q$13,6,FALSE)</x:f>
        <x:v>0.5406771096513391</x:v>
      </x:c>
      <x:c r="I1716" s="20" t="n">
        <x:f>VLOOKUP(C1716,'Governorate Master'!$A$2:$Q$13,15,FALSE)</x:f>
        <x:v>0.026845637583892617</x:v>
      </x:c>
      <x:c r="J1716" s="12" t="str">
        <x:v>Location model input - competition/saturation context</x:v>
      </x:c>
      <x:c r="K1716" s="12" t="str">
        <x:v>Business count is from 2018 while population/context indicators are newer; use as a historical proxy, not a current market count.</x:v>
      </x:c>
    </x:row>
    <x:row r="1717">
      <x:c r="A1717" s="12" t="str">
        <x:v>4661</x:v>
      </x:c>
      <x:c r="B1717" s="12" t="str">
        <x:v>Wholesale of solid, liquid and gaseous fuels and related products</x:v>
      </x:c>
      <x:c r="C1717" s="12" t="str">
        <x:v>العقبة</x:v>
      </x:c>
      <x:c r="D1717" s="14" t="n">
        <x:v>0</x:v>
      </x:c>
      <x:c r="E1717" s="14" t="n">
        <x:f>VLOOKUP(C1717,'Governorate Master'!$A$2:$Q$13,3,FALSE)</x:f>
        <x:v>250900</x:v>
      </x:c>
      <x:c r="F1717" s="66" t="n">
        <x:f>IF(E1717=0,0,D1717/E1717*10000)</x:f>
        <x:v>0</x:v>
      </x:c>
      <x:c r="G1717" s="67" t="n">
        <x:f>VLOOKUP(C1717,'Governorate Master'!$A$2:$Q$13,7,FALSE)</x:f>
        <x:v>36.3</x:v>
      </x:c>
      <x:c r="H1717" s="20" t="n">
        <x:f>VLOOKUP(C1717,'Governorate Master'!$A$2:$Q$13,6,FALSE)</x:f>
        <x:v>0.882024711040255</x:v>
      </x:c>
      <x:c r="I1717" s="20" t="n">
        <x:f>VLOOKUP(C1717,'Governorate Master'!$A$2:$Q$13,15,FALSE)</x:f>
        <x:v>-0.09</x:v>
      </x:c>
      <x:c r="J1717" s="12" t="str">
        <x:v>Location model input - competition/saturation context</x:v>
      </x:c>
      <x:c r="K1717" s="12" t="str">
        <x:v>Business count is from 2018 while population/context indicators are newer; use as a historical proxy, not a current market count.</x:v>
      </x:c>
    </x:row>
    <x:row r="1718">
      <x:c r="A1718" s="12" t="str">
        <x:v>4662</x:v>
      </x:c>
      <x:c r="B1718" s="12" t="str">
        <x:v>Wholesale of metals and metal ores</x:v>
      </x:c>
      <x:c r="C1718" s="12" t="str">
        <x:v>عمان</x:v>
      </x:c>
      <x:c r="D1718" s="14" t="n">
        <x:v>126</x:v>
      </x:c>
      <x:c r="E1718" s="14" t="n">
        <x:f>VLOOKUP(C1718,'Governorate Master'!$A$2:$Q$13,3,FALSE)</x:f>
        <x:v>5004600</x:v>
      </x:c>
      <x:c r="F1718" s="66" t="n">
        <x:f>IF(E1718=0,0,D1718/E1718*10000)</x:f>
        <x:v>0.251768373096751</x:v>
      </x:c>
      <x:c r="G1718" s="67" t="n">
        <x:f>VLOOKUP(C1718,'Governorate Master'!$A$2:$Q$13,7,FALSE)</x:f>
        <x:v>660.3</x:v>
      </x:c>
      <x:c r="H1718" s="20" t="n">
        <x:f>VLOOKUP(C1718,'Governorate Master'!$A$2:$Q$13,6,FALSE)</x:f>
        <x:v>0.9721656076409703</x:v>
      </x:c>
      <x:c r="I1718" s="20" t="n">
        <x:f>VLOOKUP(C1718,'Governorate Master'!$A$2:$Q$13,15,FALSE)</x:f>
        <x:v>0.06367041198501873</x:v>
      </x:c>
      <x:c r="J1718" s="12" t="str">
        <x:v>Location model input - competition/saturation context</x:v>
      </x:c>
      <x:c r="K1718" s="12" t="str">
        <x:v>Business count is from 2018 while population/context indicators are newer; use as a historical proxy, not a current market count.</x:v>
      </x:c>
    </x:row>
    <x:row r="1719">
      <x:c r="A1719" s="12" t="str">
        <x:v>4662</x:v>
      </x:c>
      <x:c r="B1719" s="12" t="str">
        <x:v>Wholesale of metals and metal ores</x:v>
      </x:c>
      <x:c r="C1719" s="12" t="str">
        <x:v>البلقاء</x:v>
      </x:c>
      <x:c r="D1719" s="14" t="n">
        <x:v>8</x:v>
      </x:c>
      <x:c r="E1719" s="14" t="n">
        <x:f>VLOOKUP(C1719,'Governorate Master'!$A$2:$Q$13,3,FALSE)</x:f>
        <x:v>614000</x:v>
      </x:c>
      <x:c r="F1719" s="66" t="n">
        <x:f>IF(E1719=0,0,D1719/E1719*10000)</x:f>
        <x:v>0.13029315960912052</x:v>
      </x:c>
      <x:c r="G1719" s="67" t="n">
        <x:f>VLOOKUP(C1719,'Governorate Master'!$A$2:$Q$13,7,FALSE)</x:f>
        <x:v>548</x:v>
      </x:c>
      <x:c r="H1719" s="20" t="n">
        <x:f>VLOOKUP(C1719,'Governorate Master'!$A$2:$Q$13,6,FALSE)</x:f>
        <x:v>0.8210097719869707</x:v>
      </x:c>
      <x:c r="I1719" s="20" t="n">
        <x:f>VLOOKUP(C1719,'Governorate Master'!$A$2:$Q$13,15,FALSE)</x:f>
        <x:v>0.10794044665012408</x:v>
      </x:c>
      <x:c r="J1719" s="12" t="str">
        <x:v>Location model input - competition/saturation context</x:v>
      </x:c>
      <x:c r="K1719" s="12" t="str">
        <x:v>Business count is from 2018 while population/context indicators are newer; use as a historical proxy, not a current market count.</x:v>
      </x:c>
    </x:row>
    <x:row r="1720">
      <x:c r="A1720" s="12" t="str">
        <x:v>4662</x:v>
      </x:c>
      <x:c r="B1720" s="12" t="str">
        <x:v>Wholesale of metals and metal ores</x:v>
      </x:c>
      <x:c r="C1720" s="12" t="str">
        <x:v>الزرقاء</x:v>
      </x:c>
      <x:c r="D1720" s="14" t="n">
        <x:v>21</x:v>
      </x:c>
      <x:c r="E1720" s="14" t="n">
        <x:f>VLOOKUP(C1720,'Governorate Master'!$A$2:$Q$13,3,FALSE)</x:f>
        <x:v>1704500</x:v>
      </x:c>
      <x:c r="F1720" s="66" t="n">
        <x:f>IF(E1720=0,0,D1720/E1720*10000)</x:f>
        <x:v>0.12320328542094455</x:v>
      </x:c>
      <x:c r="G1720" s="67" t="n">
        <x:f>VLOOKUP(C1720,'Governorate Master'!$A$2:$Q$13,7,FALSE)</x:f>
        <x:v>358</x:v>
      </x:c>
      <x:c r="H1720" s="20" t="n">
        <x:f>VLOOKUP(C1720,'Governorate Master'!$A$2:$Q$13,6,FALSE)</x:f>
        <x:v>0.9636256966852449</x:v>
      </x:c>
      <x:c r="I1720" s="20" t="n">
        <x:f>VLOOKUP(C1720,'Governorate Master'!$A$2:$Q$13,15,FALSE)</x:f>
        <x:v>-0.06808762581409118</x:v>
      </x:c>
      <x:c r="J1720" s="12" t="str">
        <x:v>Location model input - competition/saturation context</x:v>
      </x:c>
      <x:c r="K1720" s="12" t="str">
        <x:v>Business count is from 2018 while population/context indicators are newer; use as a historical proxy, not a current market count.</x:v>
      </x:c>
    </x:row>
    <x:row r="1721">
      <x:c r="A1721" s="12" t="str">
        <x:v>4662</x:v>
      </x:c>
      <x:c r="B1721" s="12" t="str">
        <x:v>Wholesale of metals and metal ores</x:v>
      </x:c>
      <x:c r="C1721" s="12" t="str">
        <x:v>مادبا</x:v>
      </x:c>
      <x:c r="D1721" s="14" t="n">
        <x:v>2</x:v>
      </x:c>
      <x:c r="E1721" s="14" t="n">
        <x:f>VLOOKUP(C1721,'Governorate Master'!$A$2:$Q$13,3,FALSE)</x:f>
        <x:v>236200</x:v>
      </x:c>
      <x:c r="F1721" s="66" t="n">
        <x:f>IF(E1721=0,0,D1721/E1721*10000)</x:f>
        <x:v>0.0846740050804403</x:v>
      </x:c>
      <x:c r="G1721" s="67" t="n">
        <x:f>VLOOKUP(C1721,'Governorate Master'!$A$2:$Q$13,7,FALSE)</x:f>
        <x:v>251.4</x:v>
      </x:c>
      <x:c r="H1721" s="20" t="n">
        <x:f>VLOOKUP(C1721,'Governorate Master'!$A$2:$Q$13,6,FALSE)</x:f>
        <x:v>0.7823878069432684</x:v>
      </x:c>
      <x:c r="I1721" s="20" t="n">
        <x:f>VLOOKUP(C1721,'Governorate Master'!$A$2:$Q$13,15,FALSE)</x:f>
        <x:v>-0.18823529411764706</x:v>
      </x:c>
      <x:c r="J1721" s="12" t="str">
        <x:v>Location model input - competition/saturation context</x:v>
      </x:c>
      <x:c r="K1721" s="12" t="str">
        <x:v>Business count is from 2018 while population/context indicators are newer; use as a historical proxy, not a current market count.</x:v>
      </x:c>
    </x:row>
    <x:row r="1722">
      <x:c r="A1722" s="12" t="str">
        <x:v>4662</x:v>
      </x:c>
      <x:c r="B1722" s="12" t="str">
        <x:v>Wholesale of metals and metal ores</x:v>
      </x:c>
      <x:c r="C1722" s="12" t="str">
        <x:v>إربد</x:v>
      </x:c>
      <x:c r="D1722" s="14" t="n">
        <x:v>30</x:v>
      </x:c>
      <x:c r="E1722" s="14" t="n">
        <x:f>VLOOKUP(C1722,'Governorate Master'!$A$2:$Q$13,3,FALSE)</x:f>
        <x:v>2210500</x:v>
      </x:c>
      <x:c r="F1722" s="66" t="n">
        <x:f>IF(E1722=0,0,D1722/E1722*10000)</x:f>
        <x:v>0.13571590137977835</x:v>
      </x:c>
      <x:c r="G1722" s="67" t="n">
        <x:f>VLOOKUP(C1722,'Governorate Master'!$A$2:$Q$13,7,FALSE)</x:f>
        <x:v>1406.4</x:v>
      </x:c>
      <x:c r="H1722" s="20" t="n">
        <x:f>VLOOKUP(C1722,'Governorate Master'!$A$2:$Q$13,6,FALSE)</x:f>
        <x:v>0.9235014702555983</x:v>
      </x:c>
      <x:c r="I1722" s="20" t="n">
        <x:f>VLOOKUP(C1722,'Governorate Master'!$A$2:$Q$13,15,FALSE)</x:f>
        <x:v>0.07086922474549726</x:v>
      </x:c>
      <x:c r="J1722" s="12" t="str">
        <x:v>Location model input - competition/saturation context</x:v>
      </x:c>
      <x:c r="K1722" s="12" t="str">
        <x:v>Business count is from 2018 while population/context indicators are newer; use as a historical proxy, not a current market count.</x:v>
      </x:c>
    </x:row>
    <x:row r="1723">
      <x:c r="A1723" s="12" t="str">
        <x:v>4662</x:v>
      </x:c>
      <x:c r="B1723" s="12" t="str">
        <x:v>Wholesale of metals and metal ores</x:v>
      </x:c>
      <x:c r="C1723" s="12" t="str">
        <x:v>المفرق</x:v>
      </x:c>
      <x:c r="D1723" s="14" t="n">
        <x:v>8</x:v>
      </x:c>
      <x:c r="E1723" s="14" t="n">
        <x:f>VLOOKUP(C1723,'Governorate Master'!$A$2:$Q$13,3,FALSE)</x:f>
        <x:v>686800</x:v>
      </x:c>
      <x:c r="F1723" s="66" t="n">
        <x:f>IF(E1723=0,0,D1723/E1723*10000)</x:f>
        <x:v>0.11648223645894001</x:v>
      </x:c>
      <x:c r="G1723" s="67" t="n">
        <x:f>VLOOKUP(C1723,'Governorate Master'!$A$2:$Q$13,7,FALSE)</x:f>
        <x:v>25.9</x:v>
      </x:c>
      <x:c r="H1723" s="20" t="n">
        <x:f>VLOOKUP(C1723,'Governorate Master'!$A$2:$Q$13,6,FALSE)</x:f>
        <x:v>0.6965637740244612</x:v>
      </x:c>
      <x:c r="I1723" s="20" t="n">
        <x:f>VLOOKUP(C1723,'Governorate Master'!$A$2:$Q$13,15,FALSE)</x:f>
        <x:v>-0.016638935108153077</x:v>
      </x:c>
      <x:c r="J1723" s="12" t="str">
        <x:v>Location model input - competition/saturation context</x:v>
      </x:c>
      <x:c r="K1723" s="12" t="str">
        <x:v>Business count is from 2018 while population/context indicators are newer; use as a historical proxy, not a current market count.</x:v>
      </x:c>
    </x:row>
    <x:row r="1724">
      <x:c r="A1724" s="12" t="str">
        <x:v>4662</x:v>
      </x:c>
      <x:c r="B1724" s="12" t="str">
        <x:v>Wholesale of metals and metal ores</x:v>
      </x:c>
      <x:c r="C1724" s="12" t="str">
        <x:v>جرش</x:v>
      </x:c>
      <x:c r="D1724" s="14" t="n">
        <x:v>0</x:v>
      </x:c>
      <x:c r="E1724" s="14" t="n">
        <x:f>VLOOKUP(C1724,'Governorate Master'!$A$2:$Q$13,3,FALSE)</x:f>
        <x:v>296000</x:v>
      </x:c>
      <x:c r="F1724" s="66" t="n">
        <x:f>IF(E1724=0,0,D1724/E1724*10000)</x:f>
        <x:v>0</x:v>
      </x:c>
      <x:c r="G1724" s="67" t="n">
        <x:f>VLOOKUP(C1724,'Governorate Master'!$A$2:$Q$13,7,FALSE)</x:f>
        <x:v>722.3</x:v>
      </x:c>
      <x:c r="H1724" s="20" t="n">
        <x:f>VLOOKUP(C1724,'Governorate Master'!$A$2:$Q$13,6,FALSE)</x:f>
        <x:v>0.7695945945945946</x:v>
      </x:c>
      <x:c r="I1724" s="20" t="n">
        <x:f>VLOOKUP(C1724,'Governorate Master'!$A$2:$Q$13,15,FALSE)</x:f>
        <x:v>-0.06527415143603134</x:v>
      </x:c>
      <x:c r="J1724" s="12" t="str">
        <x:v>Location model input - competition/saturation context</x:v>
      </x:c>
      <x:c r="K1724" s="12" t="str">
        <x:v>Business count is from 2018 while population/context indicators are newer; use as a historical proxy, not a current market count.</x:v>
      </x:c>
    </x:row>
    <x:row r="1725">
      <x:c r="A1725" s="12" t="str">
        <x:v>4662</x:v>
      </x:c>
      <x:c r="B1725" s="12" t="str">
        <x:v>Wholesale of metals and metal ores</x:v>
      </x:c>
      <x:c r="C1725" s="12" t="str">
        <x:v>عجلون</x:v>
      </x:c>
      <x:c r="D1725" s="14" t="n">
        <x:v>6</x:v>
      </x:c>
      <x:c r="E1725" s="14" t="n">
        <x:f>VLOOKUP(C1725,'Governorate Master'!$A$2:$Q$13,3,FALSE)</x:f>
        <x:v>219900</x:v>
      </x:c>
      <x:c r="F1725" s="66" t="n">
        <x:f>IF(E1725=0,0,D1725/E1725*10000)</x:f>
        <x:v>0.2728512960436562</x:v>
      </x:c>
      <x:c r="G1725" s="67" t="n">
        <x:f>VLOOKUP(C1725,'Governorate Master'!$A$2:$Q$13,7,FALSE)</x:f>
        <x:v>524</x:v>
      </x:c>
      <x:c r="H1725" s="20" t="n">
        <x:f>VLOOKUP(C1725,'Governorate Master'!$A$2:$Q$13,6,FALSE)</x:f>
        <x:v>0.8390177353342428</x:v>
      </x:c>
      <x:c r="I1725" s="20" t="n">
        <x:f>VLOOKUP(C1725,'Governorate Master'!$A$2:$Q$13,15,FALSE)</x:f>
        <x:v>0.03614457831325301</x:v>
      </x:c>
      <x:c r="J1725" s="12" t="str">
        <x:v>Location model input - competition/saturation context</x:v>
      </x:c>
      <x:c r="K1725" s="12" t="str">
        <x:v>Business count is from 2018 while population/context indicators are newer; use as a historical proxy, not a current market count.</x:v>
      </x:c>
    </x:row>
    <x:row r="1726">
      <x:c r="A1726" s="12" t="str">
        <x:v>4662</x:v>
      </x:c>
      <x:c r="B1726" s="12" t="str">
        <x:v>Wholesale of metals and metal ores</x:v>
      </x:c>
      <x:c r="C1726" s="12" t="str">
        <x:v>الكرك</x:v>
      </x:c>
      <x:c r="D1726" s="14" t="n">
        <x:v>8</x:v>
      </x:c>
      <x:c r="E1726" s="14" t="n">
        <x:f>VLOOKUP(C1726,'Governorate Master'!$A$2:$Q$13,3,FALSE)</x:f>
        <x:v>395400</x:v>
      </x:c>
      <x:c r="F1726" s="66" t="n">
        <x:f>IF(E1726=0,0,D1726/E1726*10000)</x:f>
        <x:v>0.20232675771370762</x:v>
      </x:c>
      <x:c r="G1726" s="67" t="n">
        <x:f>VLOOKUP(C1726,'Governorate Master'!$A$2:$Q$13,7,FALSE)</x:f>
        <x:v>113.1</x:v>
      </x:c>
      <x:c r="H1726" s="20" t="n">
        <x:f>VLOOKUP(C1726,'Governorate Master'!$A$2:$Q$13,6,FALSE)</x:f>
        <x:v>0.5912999494183105</x:v>
      </x:c>
      <x:c r="I1726" s="20" t="n">
        <x:f>VLOOKUP(C1726,'Governorate Master'!$A$2:$Q$13,15,FALSE)</x:f>
        <x:v>0.08710801393728224</x:v>
      </x:c>
      <x:c r="J1726" s="12" t="str">
        <x:v>Location model input - competition/saturation context</x:v>
      </x:c>
      <x:c r="K1726" s="12" t="str">
        <x:v>Business count is from 2018 while population/context indicators are newer; use as a historical proxy, not a current market count.</x:v>
      </x:c>
    </x:row>
    <x:row r="1727">
      <x:c r="A1727" s="12" t="str">
        <x:v>4662</x:v>
      </x:c>
      <x:c r="B1727" s="12" t="str">
        <x:v>Wholesale of metals and metal ores</x:v>
      </x:c>
      <x:c r="C1727" s="12" t="str">
        <x:v>الطفيلة</x:v>
      </x:c>
      <x:c r="D1727" s="14" t="n">
        <x:v>2</x:v>
      </x:c>
      <x:c r="E1727" s="14" t="n">
        <x:f>VLOOKUP(C1727,'Governorate Master'!$A$2:$Q$13,3,FALSE)</x:f>
        <x:v>120300</x:v>
      </x:c>
      <x:c r="F1727" s="66" t="n">
        <x:f>IF(E1727=0,0,D1727/E1727*10000)</x:f>
        <x:v>0.1662510390689942</x:v>
      </x:c>
      <x:c r="G1727" s="67" t="n">
        <x:f>VLOOKUP(C1727,'Governorate Master'!$A$2:$Q$13,7,FALSE)</x:f>
        <x:v>54.4</x:v>
      </x:c>
      <x:c r="H1727" s="20" t="n">
        <x:f>VLOOKUP(C1727,'Governorate Master'!$A$2:$Q$13,6,FALSE)</x:f>
        <x:v>0.7797173732335827</x:v>
      </x:c>
      <x:c r="I1727" s="20" t="n">
        <x:f>VLOOKUP(C1727,'Governorate Master'!$A$2:$Q$13,15,FALSE)</x:f>
        <x:v>0.18452380952380953</x:v>
      </x:c>
      <x:c r="J1727" s="12" t="str">
        <x:v>Location model input - competition/saturation context</x:v>
      </x:c>
      <x:c r="K1727" s="12" t="str">
        <x:v>Business count is from 2018 while population/context indicators are newer; use as a historical proxy, not a current market count.</x:v>
      </x:c>
    </x:row>
    <x:row r="1728">
      <x:c r="A1728" s="12" t="str">
        <x:v>4662</x:v>
      </x:c>
      <x:c r="B1728" s="12" t="str">
        <x:v>Wholesale of metals and metal ores</x:v>
      </x:c>
      <x:c r="C1728" s="12" t="str">
        <x:v>معان</x:v>
      </x:c>
      <x:c r="D1728" s="14" t="n">
        <x:v>5</x:v>
      </x:c>
      <x:c r="E1728" s="14" t="n">
        <x:f>VLOOKUP(C1728,'Governorate Master'!$A$2:$Q$13,3,FALSE)</x:f>
        <x:v>197900</x:v>
      </x:c>
      <x:c r="F1728" s="66" t="n">
        <x:f>IF(E1728=0,0,D1728/E1728*10000)</x:f>
        <x:v>0.25265285497726125</x:v>
      </x:c>
      <x:c r="G1728" s="67" t="n">
        <x:f>VLOOKUP(C1728,'Governorate Master'!$A$2:$Q$13,7,FALSE)</x:f>
        <x:v>6</x:v>
      </x:c>
      <x:c r="H1728" s="20" t="n">
        <x:f>VLOOKUP(C1728,'Governorate Master'!$A$2:$Q$13,6,FALSE)</x:f>
        <x:v>0.5406771096513391</x:v>
      </x:c>
      <x:c r="I1728" s="20" t="n">
        <x:f>VLOOKUP(C1728,'Governorate Master'!$A$2:$Q$13,15,FALSE)</x:f>
        <x:v>0.026845637583892617</x:v>
      </x:c>
      <x:c r="J1728" s="12" t="str">
        <x:v>Location model input - competition/saturation context</x:v>
      </x:c>
      <x:c r="K1728" s="12" t="str">
        <x:v>Business count is from 2018 while population/context indicators are newer; use as a historical proxy, not a current market count.</x:v>
      </x:c>
    </x:row>
    <x:row r="1729">
      <x:c r="A1729" s="12" t="str">
        <x:v>4662</x:v>
      </x:c>
      <x:c r="B1729" s="12" t="str">
        <x:v>Wholesale of metals and metal ores</x:v>
      </x:c>
      <x:c r="C1729" s="12" t="str">
        <x:v>العقبة</x:v>
      </x:c>
      <x:c r="D1729" s="14" t="n">
        <x:v>4</x:v>
      </x:c>
      <x:c r="E1729" s="14" t="n">
        <x:f>VLOOKUP(C1729,'Governorate Master'!$A$2:$Q$13,3,FALSE)</x:f>
        <x:v>250900</x:v>
      </x:c>
      <x:c r="F1729" s="66" t="n">
        <x:f>IF(E1729=0,0,D1729/E1729*10000)</x:f>
        <x:v>0.15942606616181745</x:v>
      </x:c>
      <x:c r="G1729" s="67" t="n">
        <x:f>VLOOKUP(C1729,'Governorate Master'!$A$2:$Q$13,7,FALSE)</x:f>
        <x:v>36.3</x:v>
      </x:c>
      <x:c r="H1729" s="20" t="n">
        <x:f>VLOOKUP(C1729,'Governorate Master'!$A$2:$Q$13,6,FALSE)</x:f>
        <x:v>0.882024711040255</x:v>
      </x:c>
      <x:c r="I1729" s="20" t="n">
        <x:f>VLOOKUP(C1729,'Governorate Master'!$A$2:$Q$13,15,FALSE)</x:f>
        <x:v>-0.09</x:v>
      </x:c>
      <x:c r="J1729" s="12" t="str">
        <x:v>Location model input - competition/saturation context</x:v>
      </x:c>
      <x:c r="K1729" s="12" t="str">
        <x:v>Business count is from 2018 while population/context indicators are newer; use as a historical proxy, not a current market count.</x:v>
      </x:c>
    </x:row>
    <x:row r="1730">
      <x:c r="A1730" s="12" t="str">
        <x:v>4663</x:v>
      </x:c>
      <x:c r="B1730" s="12" t="str">
        <x:v>Wholesale of construction materials, hardware, plumbing and heating equipment and supplies</x:v>
      </x:c>
      <x:c r="C1730" s="12" t="str">
        <x:v>عمان</x:v>
      </x:c>
      <x:c r="D1730" s="14" t="n">
        <x:v>465</x:v>
      </x:c>
      <x:c r="E1730" s="14" t="n">
        <x:f>VLOOKUP(C1730,'Governorate Master'!$A$2:$Q$13,3,FALSE)</x:f>
        <x:v>5004600</x:v>
      </x:c>
      <x:c r="F1730" s="66" t="n">
        <x:f>IF(E1730=0,0,D1730/E1730*10000)</x:f>
        <x:v>0.9291451864284859</x:v>
      </x:c>
      <x:c r="G1730" s="67" t="n">
        <x:f>VLOOKUP(C1730,'Governorate Master'!$A$2:$Q$13,7,FALSE)</x:f>
        <x:v>660.3</x:v>
      </x:c>
      <x:c r="H1730" s="20" t="n">
        <x:f>VLOOKUP(C1730,'Governorate Master'!$A$2:$Q$13,6,FALSE)</x:f>
        <x:v>0.9721656076409703</x:v>
      </x:c>
      <x:c r="I1730" s="20" t="n">
        <x:f>VLOOKUP(C1730,'Governorate Master'!$A$2:$Q$13,15,FALSE)</x:f>
        <x:v>0.06367041198501873</x:v>
      </x:c>
      <x:c r="J1730" s="12" t="str">
        <x:v>Location model input - competition/saturation context</x:v>
      </x:c>
      <x:c r="K1730" s="12" t="str">
        <x:v>Business count is from 2018 while population/context indicators are newer; use as a historical proxy, not a current market count.</x:v>
      </x:c>
    </x:row>
    <x:row r="1731">
      <x:c r="A1731" s="12" t="str">
        <x:v>4663</x:v>
      </x:c>
      <x:c r="B1731" s="12" t="str">
        <x:v>Wholesale of construction materials, hardware, plumbing and heating equipment and supplies</x:v>
      </x:c>
      <x:c r="C1731" s="12" t="str">
        <x:v>البلقاء</x:v>
      </x:c>
      <x:c r="D1731" s="14" t="n">
        <x:v>78</x:v>
      </x:c>
      <x:c r="E1731" s="14" t="n">
        <x:f>VLOOKUP(C1731,'Governorate Master'!$A$2:$Q$13,3,FALSE)</x:f>
        <x:v>614000</x:v>
      </x:c>
      <x:c r="F1731" s="66" t="n">
        <x:f>IF(E1731=0,0,D1731/E1731*10000)</x:f>
        <x:v>1.2703583061889252</x:v>
      </x:c>
      <x:c r="G1731" s="67" t="n">
        <x:f>VLOOKUP(C1731,'Governorate Master'!$A$2:$Q$13,7,FALSE)</x:f>
        <x:v>548</x:v>
      </x:c>
      <x:c r="H1731" s="20" t="n">
        <x:f>VLOOKUP(C1731,'Governorate Master'!$A$2:$Q$13,6,FALSE)</x:f>
        <x:v>0.8210097719869707</x:v>
      </x:c>
      <x:c r="I1731" s="20" t="n">
        <x:f>VLOOKUP(C1731,'Governorate Master'!$A$2:$Q$13,15,FALSE)</x:f>
        <x:v>0.10794044665012408</x:v>
      </x:c>
      <x:c r="J1731" s="12" t="str">
        <x:v>Location model input - competition/saturation context</x:v>
      </x:c>
      <x:c r="K1731" s="12" t="str">
        <x:v>Business count is from 2018 while population/context indicators are newer; use as a historical proxy, not a current market count.</x:v>
      </x:c>
    </x:row>
    <x:row r="1732">
      <x:c r="A1732" s="12" t="str">
        <x:v>4663</x:v>
      </x:c>
      <x:c r="B1732" s="12" t="str">
        <x:v>Wholesale of construction materials, hardware, plumbing and heating equipment and supplies</x:v>
      </x:c>
      <x:c r="C1732" s="12" t="str">
        <x:v>الزرقاء</x:v>
      </x:c>
      <x:c r="D1732" s="14" t="n">
        <x:v>112</x:v>
      </x:c>
      <x:c r="E1732" s="14" t="n">
        <x:f>VLOOKUP(C1732,'Governorate Master'!$A$2:$Q$13,3,FALSE)</x:f>
        <x:v>1704500</x:v>
      </x:c>
      <x:c r="F1732" s="66" t="n">
        <x:f>IF(E1732=0,0,D1732/E1732*10000)</x:f>
        <x:v>0.6570841889117044</x:v>
      </x:c>
      <x:c r="G1732" s="67" t="n">
        <x:f>VLOOKUP(C1732,'Governorate Master'!$A$2:$Q$13,7,FALSE)</x:f>
        <x:v>358</x:v>
      </x:c>
      <x:c r="H1732" s="20" t="n">
        <x:f>VLOOKUP(C1732,'Governorate Master'!$A$2:$Q$13,6,FALSE)</x:f>
        <x:v>0.9636256966852449</x:v>
      </x:c>
      <x:c r="I1732" s="20" t="n">
        <x:f>VLOOKUP(C1732,'Governorate Master'!$A$2:$Q$13,15,FALSE)</x:f>
        <x:v>-0.06808762581409118</x:v>
      </x:c>
      <x:c r="J1732" s="12" t="str">
        <x:v>Location model input - competition/saturation context</x:v>
      </x:c>
      <x:c r="K1732" s="12" t="str">
        <x:v>Business count is from 2018 while population/context indicators are newer; use as a historical proxy, not a current market count.</x:v>
      </x:c>
    </x:row>
    <x:row r="1733">
      <x:c r="A1733" s="12" t="str">
        <x:v>4663</x:v>
      </x:c>
      <x:c r="B1733" s="12" t="str">
        <x:v>Wholesale of construction materials, hardware, plumbing and heating equipment and supplies</x:v>
      </x:c>
      <x:c r="C1733" s="12" t="str">
        <x:v>مادبا</x:v>
      </x:c>
      <x:c r="D1733" s="14" t="n">
        <x:v>11</x:v>
      </x:c>
      <x:c r="E1733" s="14" t="n">
        <x:f>VLOOKUP(C1733,'Governorate Master'!$A$2:$Q$13,3,FALSE)</x:f>
        <x:v>236200</x:v>
      </x:c>
      <x:c r="F1733" s="66" t="n">
        <x:f>IF(E1733=0,0,D1733/E1733*10000)</x:f>
        <x:v>0.46570702794242164</x:v>
      </x:c>
      <x:c r="G1733" s="67" t="n">
        <x:f>VLOOKUP(C1733,'Governorate Master'!$A$2:$Q$13,7,FALSE)</x:f>
        <x:v>251.4</x:v>
      </x:c>
      <x:c r="H1733" s="20" t="n">
        <x:f>VLOOKUP(C1733,'Governorate Master'!$A$2:$Q$13,6,FALSE)</x:f>
        <x:v>0.7823878069432684</x:v>
      </x:c>
      <x:c r="I1733" s="20" t="n">
        <x:f>VLOOKUP(C1733,'Governorate Master'!$A$2:$Q$13,15,FALSE)</x:f>
        <x:v>-0.18823529411764706</x:v>
      </x:c>
      <x:c r="J1733" s="12" t="str">
        <x:v>Location model input - competition/saturation context</x:v>
      </x:c>
      <x:c r="K1733" s="12" t="str">
        <x:v>Business count is from 2018 while population/context indicators are newer; use as a historical proxy, not a current market count.</x:v>
      </x:c>
    </x:row>
    <x:row r="1734">
      <x:c r="A1734" s="12" t="str">
        <x:v>4663</x:v>
      </x:c>
      <x:c r="B1734" s="12" t="str">
        <x:v>Wholesale of construction materials, hardware, plumbing and heating equipment and supplies</x:v>
      </x:c>
      <x:c r="C1734" s="12" t="str">
        <x:v>إربد</x:v>
      </x:c>
      <x:c r="D1734" s="14" t="n">
        <x:v>185</x:v>
      </x:c>
      <x:c r="E1734" s="14" t="n">
        <x:f>VLOOKUP(C1734,'Governorate Master'!$A$2:$Q$13,3,FALSE)</x:f>
        <x:v>2210500</x:v>
      </x:c>
      <x:c r="F1734" s="66" t="n">
        <x:f>IF(E1734=0,0,D1734/E1734*10000)</x:f>
        <x:v>0.8369147251752996</x:v>
      </x:c>
      <x:c r="G1734" s="67" t="n">
        <x:f>VLOOKUP(C1734,'Governorate Master'!$A$2:$Q$13,7,FALSE)</x:f>
        <x:v>1406.4</x:v>
      </x:c>
      <x:c r="H1734" s="20" t="n">
        <x:f>VLOOKUP(C1734,'Governorate Master'!$A$2:$Q$13,6,FALSE)</x:f>
        <x:v>0.9235014702555983</x:v>
      </x:c>
      <x:c r="I1734" s="20" t="n">
        <x:f>VLOOKUP(C1734,'Governorate Master'!$A$2:$Q$13,15,FALSE)</x:f>
        <x:v>0.07086922474549726</x:v>
      </x:c>
      <x:c r="J1734" s="12" t="str">
        <x:v>Location model input - competition/saturation context</x:v>
      </x:c>
      <x:c r="K1734" s="12" t="str">
        <x:v>Business count is from 2018 while population/context indicators are newer; use as a historical proxy, not a current market count.</x:v>
      </x:c>
    </x:row>
    <x:row r="1735">
      <x:c r="A1735" s="12" t="str">
        <x:v>4663</x:v>
      </x:c>
      <x:c r="B1735" s="12" t="str">
        <x:v>Wholesale of construction materials, hardware, plumbing and heating equipment and supplies</x:v>
      </x:c>
      <x:c r="C1735" s="12" t="str">
        <x:v>المفرق</x:v>
      </x:c>
      <x:c r="D1735" s="14" t="n">
        <x:v>40</x:v>
      </x:c>
      <x:c r="E1735" s="14" t="n">
        <x:f>VLOOKUP(C1735,'Governorate Master'!$A$2:$Q$13,3,FALSE)</x:f>
        <x:v>686800</x:v>
      </x:c>
      <x:c r="F1735" s="66" t="n">
        <x:f>IF(E1735=0,0,D1735/E1735*10000)</x:f>
        <x:v>0.5824111822947</x:v>
      </x:c>
      <x:c r="G1735" s="67" t="n">
        <x:f>VLOOKUP(C1735,'Governorate Master'!$A$2:$Q$13,7,FALSE)</x:f>
        <x:v>25.9</x:v>
      </x:c>
      <x:c r="H1735" s="20" t="n">
        <x:f>VLOOKUP(C1735,'Governorate Master'!$A$2:$Q$13,6,FALSE)</x:f>
        <x:v>0.6965637740244612</x:v>
      </x:c>
      <x:c r="I1735" s="20" t="n">
        <x:f>VLOOKUP(C1735,'Governorate Master'!$A$2:$Q$13,15,FALSE)</x:f>
        <x:v>-0.016638935108153077</x:v>
      </x:c>
      <x:c r="J1735" s="12" t="str">
        <x:v>Location model input - competition/saturation context</x:v>
      </x:c>
      <x:c r="K1735" s="12" t="str">
        <x:v>Business count is from 2018 while population/context indicators are newer; use as a historical proxy, not a current market count.</x:v>
      </x:c>
    </x:row>
    <x:row r="1736">
      <x:c r="A1736" s="12" t="str">
        <x:v>4663</x:v>
      </x:c>
      <x:c r="B1736" s="12" t="str">
        <x:v>Wholesale of construction materials, hardware, plumbing and heating equipment and supplies</x:v>
      </x:c>
      <x:c r="C1736" s="12" t="str">
        <x:v>جرش</x:v>
      </x:c>
      <x:c r="D1736" s="14" t="n">
        <x:v>17</x:v>
      </x:c>
      <x:c r="E1736" s="14" t="n">
        <x:f>VLOOKUP(C1736,'Governorate Master'!$A$2:$Q$13,3,FALSE)</x:f>
        <x:v>296000</x:v>
      </x:c>
      <x:c r="F1736" s="66" t="n">
        <x:f>IF(E1736=0,0,D1736/E1736*10000)</x:f>
        <x:v>0.5743243243243243</x:v>
      </x:c>
      <x:c r="G1736" s="67" t="n">
        <x:f>VLOOKUP(C1736,'Governorate Master'!$A$2:$Q$13,7,FALSE)</x:f>
        <x:v>722.3</x:v>
      </x:c>
      <x:c r="H1736" s="20" t="n">
        <x:f>VLOOKUP(C1736,'Governorate Master'!$A$2:$Q$13,6,FALSE)</x:f>
        <x:v>0.7695945945945946</x:v>
      </x:c>
      <x:c r="I1736" s="20" t="n">
        <x:f>VLOOKUP(C1736,'Governorate Master'!$A$2:$Q$13,15,FALSE)</x:f>
        <x:v>-0.06527415143603134</x:v>
      </x:c>
      <x:c r="J1736" s="12" t="str">
        <x:v>Location model input - competition/saturation context</x:v>
      </x:c>
      <x:c r="K1736" s="12" t="str">
        <x:v>Business count is from 2018 while population/context indicators are newer; use as a historical proxy, not a current market count.</x:v>
      </x:c>
    </x:row>
    <x:row r="1737">
      <x:c r="A1737" s="12" t="str">
        <x:v>4663</x:v>
      </x:c>
      <x:c r="B1737" s="12" t="str">
        <x:v>Wholesale of construction materials, hardware, plumbing and heating equipment and supplies</x:v>
      </x:c>
      <x:c r="C1737" s="12" t="str">
        <x:v>عجلون</x:v>
      </x:c>
      <x:c r="D1737" s="14" t="n">
        <x:v>17</x:v>
      </x:c>
      <x:c r="E1737" s="14" t="n">
        <x:f>VLOOKUP(C1737,'Governorate Master'!$A$2:$Q$13,3,FALSE)</x:f>
        <x:v>219900</x:v>
      </x:c>
      <x:c r="F1737" s="66" t="n">
        <x:f>IF(E1737=0,0,D1737/E1737*10000)</x:f>
        <x:v>0.7730786721236925</x:v>
      </x:c>
      <x:c r="G1737" s="67" t="n">
        <x:f>VLOOKUP(C1737,'Governorate Master'!$A$2:$Q$13,7,FALSE)</x:f>
        <x:v>524</x:v>
      </x:c>
      <x:c r="H1737" s="20" t="n">
        <x:f>VLOOKUP(C1737,'Governorate Master'!$A$2:$Q$13,6,FALSE)</x:f>
        <x:v>0.8390177353342428</x:v>
      </x:c>
      <x:c r="I1737" s="20" t="n">
        <x:f>VLOOKUP(C1737,'Governorate Master'!$A$2:$Q$13,15,FALSE)</x:f>
        <x:v>0.03614457831325301</x:v>
      </x:c>
      <x:c r="J1737" s="12" t="str">
        <x:v>Location model input - competition/saturation context</x:v>
      </x:c>
      <x:c r="K1737" s="12" t="str">
        <x:v>Business count is from 2018 while population/context indicators are newer; use as a historical proxy, not a current market count.</x:v>
      </x:c>
    </x:row>
    <x:row r="1738">
      <x:c r="A1738" s="12" t="str">
        <x:v>4663</x:v>
      </x:c>
      <x:c r="B1738" s="12" t="str">
        <x:v>Wholesale of construction materials, hardware, plumbing and heating equipment and supplies</x:v>
      </x:c>
      <x:c r="C1738" s="12" t="str">
        <x:v>الكرك</x:v>
      </x:c>
      <x:c r="D1738" s="14" t="n">
        <x:v>27</x:v>
      </x:c>
      <x:c r="E1738" s="14" t="n">
        <x:f>VLOOKUP(C1738,'Governorate Master'!$A$2:$Q$13,3,FALSE)</x:f>
        <x:v>395400</x:v>
      </x:c>
      <x:c r="F1738" s="66" t="n">
        <x:f>IF(E1738=0,0,D1738/E1738*10000)</x:f>
        <x:v>0.6828528072837632</x:v>
      </x:c>
      <x:c r="G1738" s="67" t="n">
        <x:f>VLOOKUP(C1738,'Governorate Master'!$A$2:$Q$13,7,FALSE)</x:f>
        <x:v>113.1</x:v>
      </x:c>
      <x:c r="H1738" s="20" t="n">
        <x:f>VLOOKUP(C1738,'Governorate Master'!$A$2:$Q$13,6,FALSE)</x:f>
        <x:v>0.5912999494183105</x:v>
      </x:c>
      <x:c r="I1738" s="20" t="n">
        <x:f>VLOOKUP(C1738,'Governorate Master'!$A$2:$Q$13,15,FALSE)</x:f>
        <x:v>0.08710801393728224</x:v>
      </x:c>
      <x:c r="J1738" s="12" t="str">
        <x:v>Location model input - competition/saturation context</x:v>
      </x:c>
      <x:c r="K1738" s="12" t="str">
        <x:v>Business count is from 2018 while population/context indicators are newer; use as a historical proxy, not a current market count.</x:v>
      </x:c>
    </x:row>
    <x:row r="1739">
      <x:c r="A1739" s="12" t="str">
        <x:v>4663</x:v>
      </x:c>
      <x:c r="B1739" s="12" t="str">
        <x:v>Wholesale of construction materials, hardware, plumbing and heating equipment and supplies</x:v>
      </x:c>
      <x:c r="C1739" s="12" t="str">
        <x:v>الطفيلة</x:v>
      </x:c>
      <x:c r="D1739" s="14" t="n">
        <x:v>7</x:v>
      </x:c>
      <x:c r="E1739" s="14" t="n">
        <x:f>VLOOKUP(C1739,'Governorate Master'!$A$2:$Q$13,3,FALSE)</x:f>
        <x:v>120300</x:v>
      </x:c>
      <x:c r="F1739" s="66" t="n">
        <x:f>IF(E1739=0,0,D1739/E1739*10000)</x:f>
        <x:v>0.5818786367414797</x:v>
      </x:c>
      <x:c r="G1739" s="67" t="n">
        <x:f>VLOOKUP(C1739,'Governorate Master'!$A$2:$Q$13,7,FALSE)</x:f>
        <x:v>54.4</x:v>
      </x:c>
      <x:c r="H1739" s="20" t="n">
        <x:f>VLOOKUP(C1739,'Governorate Master'!$A$2:$Q$13,6,FALSE)</x:f>
        <x:v>0.7797173732335827</x:v>
      </x:c>
      <x:c r="I1739" s="20" t="n">
        <x:f>VLOOKUP(C1739,'Governorate Master'!$A$2:$Q$13,15,FALSE)</x:f>
        <x:v>0.18452380952380953</x:v>
      </x:c>
      <x:c r="J1739" s="12" t="str">
        <x:v>Location model input - competition/saturation context</x:v>
      </x:c>
      <x:c r="K1739" s="12" t="str">
        <x:v>Business count is from 2018 while population/context indicators are newer; use as a historical proxy, not a current market count.</x:v>
      </x:c>
    </x:row>
    <x:row r="1740">
      <x:c r="A1740" s="12" t="str">
        <x:v>4663</x:v>
      </x:c>
      <x:c r="B1740" s="12" t="str">
        <x:v>Wholesale of construction materials, hardware, plumbing and heating equipment and supplies</x:v>
      </x:c>
      <x:c r="C1740" s="12" t="str">
        <x:v>معان</x:v>
      </x:c>
      <x:c r="D1740" s="14" t="n">
        <x:v>8</x:v>
      </x:c>
      <x:c r="E1740" s="14" t="n">
        <x:f>VLOOKUP(C1740,'Governorate Master'!$A$2:$Q$13,3,FALSE)</x:f>
        <x:v>197900</x:v>
      </x:c>
      <x:c r="F1740" s="66" t="n">
        <x:f>IF(E1740=0,0,D1740/E1740*10000)</x:f>
        <x:v>0.404244567963618</x:v>
      </x:c>
      <x:c r="G1740" s="67" t="n">
        <x:f>VLOOKUP(C1740,'Governorate Master'!$A$2:$Q$13,7,FALSE)</x:f>
        <x:v>6</x:v>
      </x:c>
      <x:c r="H1740" s="20" t="n">
        <x:f>VLOOKUP(C1740,'Governorate Master'!$A$2:$Q$13,6,FALSE)</x:f>
        <x:v>0.5406771096513391</x:v>
      </x:c>
      <x:c r="I1740" s="20" t="n">
        <x:f>VLOOKUP(C1740,'Governorate Master'!$A$2:$Q$13,15,FALSE)</x:f>
        <x:v>0.026845637583892617</x:v>
      </x:c>
      <x:c r="J1740" s="12" t="str">
        <x:v>Location model input - competition/saturation context</x:v>
      </x:c>
      <x:c r="K1740" s="12" t="str">
        <x:v>Business count is from 2018 while population/context indicators are newer; use as a historical proxy, not a current market count.</x:v>
      </x:c>
    </x:row>
    <x:row r="1741">
      <x:c r="A1741" s="12" t="str">
        <x:v>4663</x:v>
      </x:c>
      <x:c r="B1741" s="12" t="str">
        <x:v>Wholesale of construction materials, hardware, plumbing and heating equipment and supplies</x:v>
      </x:c>
      <x:c r="C1741" s="12" t="str">
        <x:v>العقبة</x:v>
      </x:c>
      <x:c r="D1741" s="14" t="n">
        <x:v>24</x:v>
      </x:c>
      <x:c r="E1741" s="14" t="n">
        <x:f>VLOOKUP(C1741,'Governorate Master'!$A$2:$Q$13,3,FALSE)</x:f>
        <x:v>250900</x:v>
      </x:c>
      <x:c r="F1741" s="66" t="n">
        <x:f>IF(E1741=0,0,D1741/E1741*10000)</x:f>
        <x:v>0.9565563969709047</x:v>
      </x:c>
      <x:c r="G1741" s="67" t="n">
        <x:f>VLOOKUP(C1741,'Governorate Master'!$A$2:$Q$13,7,FALSE)</x:f>
        <x:v>36.3</x:v>
      </x:c>
      <x:c r="H1741" s="20" t="n">
        <x:f>VLOOKUP(C1741,'Governorate Master'!$A$2:$Q$13,6,FALSE)</x:f>
        <x:v>0.882024711040255</x:v>
      </x:c>
      <x:c r="I1741" s="20" t="n">
        <x:f>VLOOKUP(C1741,'Governorate Master'!$A$2:$Q$13,15,FALSE)</x:f>
        <x:v>-0.09</x:v>
      </x:c>
      <x:c r="J1741" s="12" t="str">
        <x:v>Location model input - competition/saturation context</x:v>
      </x:c>
      <x:c r="K1741" s="12" t="str">
        <x:v>Business count is from 2018 while population/context indicators are newer; use as a historical proxy, not a current market count.</x:v>
      </x:c>
    </x:row>
    <x:row r="1742">
      <x:c r="A1742" s="12" t="str">
        <x:v>4669</x:v>
      </x:c>
      <x:c r="B1742" s="12" t="str">
        <x:v>Wholesale of waste and scrap and other products n.e.c.</x:v>
      </x:c>
      <x:c r="C1742" s="12" t="str">
        <x:v>عمان</x:v>
      </x:c>
      <x:c r="D1742" s="14" t="n">
        <x:v>314</x:v>
      </x:c>
      <x:c r="E1742" s="14" t="n">
        <x:f>VLOOKUP(C1742,'Governorate Master'!$A$2:$Q$13,3,FALSE)</x:f>
        <x:v>5004600</x:v>
      </x:c>
      <x:c r="F1742" s="66" t="n">
        <x:f>IF(E1742=0,0,D1742/E1742*10000)</x:f>
        <x:v>0.6274227710506335</x:v>
      </x:c>
      <x:c r="G1742" s="67" t="n">
        <x:f>VLOOKUP(C1742,'Governorate Master'!$A$2:$Q$13,7,FALSE)</x:f>
        <x:v>660.3</x:v>
      </x:c>
      <x:c r="H1742" s="20" t="n">
        <x:f>VLOOKUP(C1742,'Governorate Master'!$A$2:$Q$13,6,FALSE)</x:f>
        <x:v>0.9721656076409703</x:v>
      </x:c>
      <x:c r="I1742" s="20" t="n">
        <x:f>VLOOKUP(C1742,'Governorate Master'!$A$2:$Q$13,15,FALSE)</x:f>
        <x:v>0.06367041198501873</x:v>
      </x:c>
      <x:c r="J1742" s="12" t="str">
        <x:v>Location model input - competition/saturation context</x:v>
      </x:c>
      <x:c r="K1742" s="12" t="str">
        <x:v>Business count is from 2018 while population/context indicators are newer; use as a historical proxy, not a current market count.</x:v>
      </x:c>
    </x:row>
    <x:row r="1743">
      <x:c r="A1743" s="12" t="str">
        <x:v>4669</x:v>
      </x:c>
      <x:c r="B1743" s="12" t="str">
        <x:v>Wholesale of waste and scrap and other products n.e.c.</x:v>
      </x:c>
      <x:c r="C1743" s="12" t="str">
        <x:v>البلقاء</x:v>
      </x:c>
      <x:c r="D1743" s="14" t="n">
        <x:v>39</x:v>
      </x:c>
      <x:c r="E1743" s="14" t="n">
        <x:f>VLOOKUP(C1743,'Governorate Master'!$A$2:$Q$13,3,FALSE)</x:f>
        <x:v>614000</x:v>
      </x:c>
      <x:c r="F1743" s="66" t="n">
        <x:f>IF(E1743=0,0,D1743/E1743*10000)</x:f>
        <x:v>0.6351791530944626</x:v>
      </x:c>
      <x:c r="G1743" s="67" t="n">
        <x:f>VLOOKUP(C1743,'Governorate Master'!$A$2:$Q$13,7,FALSE)</x:f>
        <x:v>548</x:v>
      </x:c>
      <x:c r="H1743" s="20" t="n">
        <x:f>VLOOKUP(C1743,'Governorate Master'!$A$2:$Q$13,6,FALSE)</x:f>
        <x:v>0.8210097719869707</x:v>
      </x:c>
      <x:c r="I1743" s="20" t="n">
        <x:f>VLOOKUP(C1743,'Governorate Master'!$A$2:$Q$13,15,FALSE)</x:f>
        <x:v>0.10794044665012408</x:v>
      </x:c>
      <x:c r="J1743" s="12" t="str">
        <x:v>Location model input - competition/saturation context</x:v>
      </x:c>
      <x:c r="K1743" s="12" t="str">
        <x:v>Business count is from 2018 while population/context indicators are newer; use as a historical proxy, not a current market count.</x:v>
      </x:c>
    </x:row>
    <x:row r="1744">
      <x:c r="A1744" s="12" t="str">
        <x:v>4669</x:v>
      </x:c>
      <x:c r="B1744" s="12" t="str">
        <x:v>Wholesale of waste and scrap and other products n.e.c.</x:v>
      </x:c>
      <x:c r="C1744" s="12" t="str">
        <x:v>الزرقاء</x:v>
      </x:c>
      <x:c r="D1744" s="14" t="n">
        <x:v>89</x:v>
      </x:c>
      <x:c r="E1744" s="14" t="n">
        <x:f>VLOOKUP(C1744,'Governorate Master'!$A$2:$Q$13,3,FALSE)</x:f>
        <x:v>1704500</x:v>
      </x:c>
      <x:c r="F1744" s="66" t="n">
        <x:f>IF(E1744=0,0,D1744/E1744*10000)</x:f>
        <x:v>0.5221472572601936</x:v>
      </x:c>
      <x:c r="G1744" s="67" t="n">
        <x:f>VLOOKUP(C1744,'Governorate Master'!$A$2:$Q$13,7,FALSE)</x:f>
        <x:v>358</x:v>
      </x:c>
      <x:c r="H1744" s="20" t="n">
        <x:f>VLOOKUP(C1744,'Governorate Master'!$A$2:$Q$13,6,FALSE)</x:f>
        <x:v>0.9636256966852449</x:v>
      </x:c>
      <x:c r="I1744" s="20" t="n">
        <x:f>VLOOKUP(C1744,'Governorate Master'!$A$2:$Q$13,15,FALSE)</x:f>
        <x:v>-0.06808762581409118</x:v>
      </x:c>
      <x:c r="J1744" s="12" t="str">
        <x:v>Location model input - competition/saturation context</x:v>
      </x:c>
      <x:c r="K1744" s="12" t="str">
        <x:v>Business count is from 2018 while population/context indicators are newer; use as a historical proxy, not a current market count.</x:v>
      </x:c>
    </x:row>
    <x:row r="1745">
      <x:c r="A1745" s="12" t="str">
        <x:v>4669</x:v>
      </x:c>
      <x:c r="B1745" s="12" t="str">
        <x:v>Wholesale of waste and scrap and other products n.e.c.</x:v>
      </x:c>
      <x:c r="C1745" s="12" t="str">
        <x:v>مادبا</x:v>
      </x:c>
      <x:c r="D1745" s="14" t="n">
        <x:v>20</x:v>
      </x:c>
      <x:c r="E1745" s="14" t="n">
        <x:f>VLOOKUP(C1745,'Governorate Master'!$A$2:$Q$13,3,FALSE)</x:f>
        <x:v>236200</x:v>
      </x:c>
      <x:c r="F1745" s="66" t="n">
        <x:f>IF(E1745=0,0,D1745/E1745*10000)</x:f>
        <x:v>0.8467400508044031</x:v>
      </x:c>
      <x:c r="G1745" s="67" t="n">
        <x:f>VLOOKUP(C1745,'Governorate Master'!$A$2:$Q$13,7,FALSE)</x:f>
        <x:v>251.4</x:v>
      </x:c>
      <x:c r="H1745" s="20" t="n">
        <x:f>VLOOKUP(C1745,'Governorate Master'!$A$2:$Q$13,6,FALSE)</x:f>
        <x:v>0.7823878069432684</x:v>
      </x:c>
      <x:c r="I1745" s="20" t="n">
        <x:f>VLOOKUP(C1745,'Governorate Master'!$A$2:$Q$13,15,FALSE)</x:f>
        <x:v>-0.18823529411764706</x:v>
      </x:c>
      <x:c r="J1745" s="12" t="str">
        <x:v>Location model input - competition/saturation context</x:v>
      </x:c>
      <x:c r="K1745" s="12" t="str">
        <x:v>Business count is from 2018 while population/context indicators are newer; use as a historical proxy, not a current market count.</x:v>
      </x:c>
    </x:row>
    <x:row r="1746">
      <x:c r="A1746" s="12" t="str">
        <x:v>4669</x:v>
      </x:c>
      <x:c r="B1746" s="12" t="str">
        <x:v>Wholesale of waste and scrap and other products n.e.c.</x:v>
      </x:c>
      <x:c r="C1746" s="12" t="str">
        <x:v>إربد</x:v>
      </x:c>
      <x:c r="D1746" s="14" t="n">
        <x:v>84</x:v>
      </x:c>
      <x:c r="E1746" s="14" t="n">
        <x:f>VLOOKUP(C1746,'Governorate Master'!$A$2:$Q$13,3,FALSE)</x:f>
        <x:v>2210500</x:v>
      </x:c>
      <x:c r="F1746" s="66" t="n">
        <x:f>IF(E1746=0,0,D1746/E1746*10000)</x:f>
        <x:v>0.38000452386337935</x:v>
      </x:c>
      <x:c r="G1746" s="67" t="n">
        <x:f>VLOOKUP(C1746,'Governorate Master'!$A$2:$Q$13,7,FALSE)</x:f>
        <x:v>1406.4</x:v>
      </x:c>
      <x:c r="H1746" s="20" t="n">
        <x:f>VLOOKUP(C1746,'Governorate Master'!$A$2:$Q$13,6,FALSE)</x:f>
        <x:v>0.9235014702555983</x:v>
      </x:c>
      <x:c r="I1746" s="20" t="n">
        <x:f>VLOOKUP(C1746,'Governorate Master'!$A$2:$Q$13,15,FALSE)</x:f>
        <x:v>0.07086922474549726</x:v>
      </x:c>
      <x:c r="J1746" s="12" t="str">
        <x:v>Location model input - competition/saturation context</x:v>
      </x:c>
      <x:c r="K1746" s="12" t="str">
        <x:v>Business count is from 2018 while population/context indicators are newer; use as a historical proxy, not a current market count.</x:v>
      </x:c>
    </x:row>
    <x:row r="1747">
      <x:c r="A1747" s="12" t="str">
        <x:v>4669</x:v>
      </x:c>
      <x:c r="B1747" s="12" t="str">
        <x:v>Wholesale of waste and scrap and other products n.e.c.</x:v>
      </x:c>
      <x:c r="C1747" s="12" t="str">
        <x:v>المفرق</x:v>
      </x:c>
      <x:c r="D1747" s="14" t="n">
        <x:v>7</x:v>
      </x:c>
      <x:c r="E1747" s="14" t="n">
        <x:f>VLOOKUP(C1747,'Governorate Master'!$A$2:$Q$13,3,FALSE)</x:f>
        <x:v>686800</x:v>
      </x:c>
      <x:c r="F1747" s="66" t="n">
        <x:f>IF(E1747=0,0,D1747/E1747*10000)</x:f>
        <x:v>0.10192195690157252</x:v>
      </x:c>
      <x:c r="G1747" s="67" t="n">
        <x:f>VLOOKUP(C1747,'Governorate Master'!$A$2:$Q$13,7,FALSE)</x:f>
        <x:v>25.9</x:v>
      </x:c>
      <x:c r="H1747" s="20" t="n">
        <x:f>VLOOKUP(C1747,'Governorate Master'!$A$2:$Q$13,6,FALSE)</x:f>
        <x:v>0.6965637740244612</x:v>
      </x:c>
      <x:c r="I1747" s="20" t="n">
        <x:f>VLOOKUP(C1747,'Governorate Master'!$A$2:$Q$13,15,FALSE)</x:f>
        <x:v>-0.016638935108153077</x:v>
      </x:c>
      <x:c r="J1747" s="12" t="str">
        <x:v>Location model input - competition/saturation context</x:v>
      </x:c>
      <x:c r="K1747" s="12" t="str">
        <x:v>Business count is from 2018 while population/context indicators are newer; use as a historical proxy, not a current market count.</x:v>
      </x:c>
    </x:row>
    <x:row r="1748">
      <x:c r="A1748" s="12" t="str">
        <x:v>4669</x:v>
      </x:c>
      <x:c r="B1748" s="12" t="str">
        <x:v>Wholesale of waste and scrap and other products n.e.c.</x:v>
      </x:c>
      <x:c r="C1748" s="12" t="str">
        <x:v>جرش</x:v>
      </x:c>
      <x:c r="D1748" s="14" t="n">
        <x:v>6</x:v>
      </x:c>
      <x:c r="E1748" s="14" t="n">
        <x:f>VLOOKUP(C1748,'Governorate Master'!$A$2:$Q$13,3,FALSE)</x:f>
        <x:v>296000</x:v>
      </x:c>
      <x:c r="F1748" s="66" t="n">
        <x:f>IF(E1748=0,0,D1748/E1748*10000)</x:f>
        <x:v>0.2027027027027027</x:v>
      </x:c>
      <x:c r="G1748" s="67" t="n">
        <x:f>VLOOKUP(C1748,'Governorate Master'!$A$2:$Q$13,7,FALSE)</x:f>
        <x:v>722.3</x:v>
      </x:c>
      <x:c r="H1748" s="20" t="n">
        <x:f>VLOOKUP(C1748,'Governorate Master'!$A$2:$Q$13,6,FALSE)</x:f>
        <x:v>0.7695945945945946</x:v>
      </x:c>
      <x:c r="I1748" s="20" t="n">
        <x:f>VLOOKUP(C1748,'Governorate Master'!$A$2:$Q$13,15,FALSE)</x:f>
        <x:v>-0.06527415143603134</x:v>
      </x:c>
      <x:c r="J1748" s="12" t="str">
        <x:v>Location model input - competition/saturation context</x:v>
      </x:c>
      <x:c r="K1748" s="12" t="str">
        <x:v>Business count is from 2018 while population/context indicators are newer; use as a historical proxy, not a current market count.</x:v>
      </x:c>
    </x:row>
    <x:row r="1749">
      <x:c r="A1749" s="12" t="str">
        <x:v>4669</x:v>
      </x:c>
      <x:c r="B1749" s="12" t="str">
        <x:v>Wholesale of waste and scrap and other products n.e.c.</x:v>
      </x:c>
      <x:c r="C1749" s="12" t="str">
        <x:v>عجلون</x:v>
      </x:c>
      <x:c r="D1749" s="14" t="n">
        <x:v>13</x:v>
      </x:c>
      <x:c r="E1749" s="14" t="n">
        <x:f>VLOOKUP(C1749,'Governorate Master'!$A$2:$Q$13,3,FALSE)</x:f>
        <x:v>219900</x:v>
      </x:c>
      <x:c r="F1749" s="66" t="n">
        <x:f>IF(E1749=0,0,D1749/E1749*10000)</x:f>
        <x:v>0.5911778080945884</x:v>
      </x:c>
      <x:c r="G1749" s="67" t="n">
        <x:f>VLOOKUP(C1749,'Governorate Master'!$A$2:$Q$13,7,FALSE)</x:f>
        <x:v>524</x:v>
      </x:c>
      <x:c r="H1749" s="20" t="n">
        <x:f>VLOOKUP(C1749,'Governorate Master'!$A$2:$Q$13,6,FALSE)</x:f>
        <x:v>0.8390177353342428</x:v>
      </x:c>
      <x:c r="I1749" s="20" t="n">
        <x:f>VLOOKUP(C1749,'Governorate Master'!$A$2:$Q$13,15,FALSE)</x:f>
        <x:v>0.03614457831325301</x:v>
      </x:c>
      <x:c r="J1749" s="12" t="str">
        <x:v>Location model input - competition/saturation context</x:v>
      </x:c>
      <x:c r="K1749" s="12" t="str">
        <x:v>Business count is from 2018 while population/context indicators are newer; use as a historical proxy, not a current market count.</x:v>
      </x:c>
    </x:row>
    <x:row r="1750">
      <x:c r="A1750" s="12" t="str">
        <x:v>4669</x:v>
      </x:c>
      <x:c r="B1750" s="12" t="str">
        <x:v>Wholesale of waste and scrap and other products n.e.c.</x:v>
      </x:c>
      <x:c r="C1750" s="12" t="str">
        <x:v>الكرك</x:v>
      </x:c>
      <x:c r="D1750" s="14" t="n">
        <x:v>19</x:v>
      </x:c>
      <x:c r="E1750" s="14" t="n">
        <x:f>VLOOKUP(C1750,'Governorate Master'!$A$2:$Q$13,3,FALSE)</x:f>
        <x:v>395400</x:v>
      </x:c>
      <x:c r="F1750" s="66" t="n">
        <x:f>IF(E1750=0,0,D1750/E1750*10000)</x:f>
        <x:v>0.4805260495700556</x:v>
      </x:c>
      <x:c r="G1750" s="67" t="n">
        <x:f>VLOOKUP(C1750,'Governorate Master'!$A$2:$Q$13,7,FALSE)</x:f>
        <x:v>113.1</x:v>
      </x:c>
      <x:c r="H1750" s="20" t="n">
        <x:f>VLOOKUP(C1750,'Governorate Master'!$A$2:$Q$13,6,FALSE)</x:f>
        <x:v>0.5912999494183105</x:v>
      </x:c>
      <x:c r="I1750" s="20" t="n">
        <x:f>VLOOKUP(C1750,'Governorate Master'!$A$2:$Q$13,15,FALSE)</x:f>
        <x:v>0.08710801393728224</x:v>
      </x:c>
      <x:c r="J1750" s="12" t="str">
        <x:v>Location model input - competition/saturation context</x:v>
      </x:c>
      <x:c r="K1750" s="12" t="str">
        <x:v>Business count is from 2018 while population/context indicators are newer; use as a historical proxy, not a current market count.</x:v>
      </x:c>
    </x:row>
    <x:row r="1751">
      <x:c r="A1751" s="12" t="str">
        <x:v>4669</x:v>
      </x:c>
      <x:c r="B1751" s="12" t="str">
        <x:v>Wholesale of waste and scrap and other products n.e.c.</x:v>
      </x:c>
      <x:c r="C1751" s="12" t="str">
        <x:v>الطفيلة</x:v>
      </x:c>
      <x:c r="D1751" s="14" t="n">
        <x:v>4</x:v>
      </x:c>
      <x:c r="E1751" s="14" t="n">
        <x:f>VLOOKUP(C1751,'Governorate Master'!$A$2:$Q$13,3,FALSE)</x:f>
        <x:v>120300</x:v>
      </x:c>
      <x:c r="F1751" s="66" t="n">
        <x:f>IF(E1751=0,0,D1751/E1751*10000)</x:f>
        <x:v>0.3325020781379884</x:v>
      </x:c>
      <x:c r="G1751" s="67" t="n">
        <x:f>VLOOKUP(C1751,'Governorate Master'!$A$2:$Q$13,7,FALSE)</x:f>
        <x:v>54.4</x:v>
      </x:c>
      <x:c r="H1751" s="20" t="n">
        <x:f>VLOOKUP(C1751,'Governorate Master'!$A$2:$Q$13,6,FALSE)</x:f>
        <x:v>0.7797173732335827</x:v>
      </x:c>
      <x:c r="I1751" s="20" t="n">
        <x:f>VLOOKUP(C1751,'Governorate Master'!$A$2:$Q$13,15,FALSE)</x:f>
        <x:v>0.18452380952380953</x:v>
      </x:c>
      <x:c r="J1751" s="12" t="str">
        <x:v>Location model input - competition/saturation context</x:v>
      </x:c>
      <x:c r="K1751" s="12" t="str">
        <x:v>Business count is from 2018 while population/context indicators are newer; use as a historical proxy, not a current market count.</x:v>
      </x:c>
    </x:row>
    <x:row r="1752">
      <x:c r="A1752" s="12" t="str">
        <x:v>4669</x:v>
      </x:c>
      <x:c r="B1752" s="12" t="str">
        <x:v>Wholesale of waste and scrap and other products n.e.c.</x:v>
      </x:c>
      <x:c r="C1752" s="12" t="str">
        <x:v>معان</x:v>
      </x:c>
      <x:c r="D1752" s="14" t="n">
        <x:v>7</x:v>
      </x:c>
      <x:c r="E1752" s="14" t="n">
        <x:f>VLOOKUP(C1752,'Governorate Master'!$A$2:$Q$13,3,FALSE)</x:f>
        <x:v>197900</x:v>
      </x:c>
      <x:c r="F1752" s="66" t="n">
        <x:f>IF(E1752=0,0,D1752/E1752*10000)</x:f>
        <x:v>0.35371399696816574</x:v>
      </x:c>
      <x:c r="G1752" s="67" t="n">
        <x:f>VLOOKUP(C1752,'Governorate Master'!$A$2:$Q$13,7,FALSE)</x:f>
        <x:v>6</x:v>
      </x:c>
      <x:c r="H1752" s="20" t="n">
        <x:f>VLOOKUP(C1752,'Governorate Master'!$A$2:$Q$13,6,FALSE)</x:f>
        <x:v>0.5406771096513391</x:v>
      </x:c>
      <x:c r="I1752" s="20" t="n">
        <x:f>VLOOKUP(C1752,'Governorate Master'!$A$2:$Q$13,15,FALSE)</x:f>
        <x:v>0.026845637583892617</x:v>
      </x:c>
      <x:c r="J1752" s="12" t="str">
        <x:v>Location model input - competition/saturation context</x:v>
      </x:c>
      <x:c r="K1752" s="12" t="str">
        <x:v>Business count is from 2018 while population/context indicators are newer; use as a historical proxy, not a current market count.</x:v>
      </x:c>
    </x:row>
    <x:row r="1753">
      <x:c r="A1753" s="12" t="str">
        <x:v>4669</x:v>
      </x:c>
      <x:c r="B1753" s="12" t="str">
        <x:v>Wholesale of waste and scrap and other products n.e.c.</x:v>
      </x:c>
      <x:c r="C1753" s="12" t="str">
        <x:v>العقبة</x:v>
      </x:c>
      <x:c r="D1753" s="14" t="n">
        <x:v>6</x:v>
      </x:c>
      <x:c r="E1753" s="14" t="n">
        <x:f>VLOOKUP(C1753,'Governorate Master'!$A$2:$Q$13,3,FALSE)</x:f>
        <x:v>250900</x:v>
      </x:c>
      <x:c r="F1753" s="66" t="n">
        <x:f>IF(E1753=0,0,D1753/E1753*10000)</x:f>
        <x:v>0.23913909924272617</x:v>
      </x:c>
      <x:c r="G1753" s="67" t="n">
        <x:f>VLOOKUP(C1753,'Governorate Master'!$A$2:$Q$13,7,FALSE)</x:f>
        <x:v>36.3</x:v>
      </x:c>
      <x:c r="H1753" s="20" t="n">
        <x:f>VLOOKUP(C1753,'Governorate Master'!$A$2:$Q$13,6,FALSE)</x:f>
        <x:v>0.882024711040255</x:v>
      </x:c>
      <x:c r="I1753" s="20" t="n">
        <x:f>VLOOKUP(C1753,'Governorate Master'!$A$2:$Q$13,15,FALSE)</x:f>
        <x:v>-0.09</x:v>
      </x:c>
      <x:c r="J1753" s="12" t="str">
        <x:v>Location model input - competition/saturation context</x:v>
      </x:c>
      <x:c r="K1753" s="12" t="str">
        <x:v>Business count is from 2018 while population/context indicators are newer; use as a historical proxy, not a current market count.</x:v>
      </x:c>
    </x:row>
    <x:row r="1754">
      <x:c r="A1754" s="12" t="str">
        <x:v>4690</x:v>
      </x:c>
      <x:c r="B1754" s="12" t="str">
        <x:v>Non-specialized wholesale trade</x:v>
      </x:c>
      <x:c r="C1754" s="12" t="str">
        <x:v>عمان</x:v>
      </x:c>
      <x:c r="D1754" s="14" t="n">
        <x:v>121</x:v>
      </x:c>
      <x:c r="E1754" s="14" t="n">
        <x:f>VLOOKUP(C1754,'Governorate Master'!$A$2:$Q$13,3,FALSE)</x:f>
        <x:v>5004600</x:v>
      </x:c>
      <x:c r="F1754" s="66" t="n">
        <x:f>IF(E1754=0,0,D1754/E1754*10000)</x:f>
        <x:v>0.2417775646405307</x:v>
      </x:c>
      <x:c r="G1754" s="67" t="n">
        <x:f>VLOOKUP(C1754,'Governorate Master'!$A$2:$Q$13,7,FALSE)</x:f>
        <x:v>660.3</x:v>
      </x:c>
      <x:c r="H1754" s="20" t="n">
        <x:f>VLOOKUP(C1754,'Governorate Master'!$A$2:$Q$13,6,FALSE)</x:f>
        <x:v>0.9721656076409703</x:v>
      </x:c>
      <x:c r="I1754" s="20" t="n">
        <x:f>VLOOKUP(C1754,'Governorate Master'!$A$2:$Q$13,15,FALSE)</x:f>
        <x:v>0.06367041198501873</x:v>
      </x:c>
      <x:c r="J1754" s="12" t="str">
        <x:v>Location model input - competition/saturation context</x:v>
      </x:c>
      <x:c r="K1754" s="12" t="str">
        <x:v>Business count is from 2018 while population/context indicators are newer; use as a historical proxy, not a current market count.</x:v>
      </x:c>
    </x:row>
    <x:row r="1755">
      <x:c r="A1755" s="12" t="str">
        <x:v>4690</x:v>
      </x:c>
      <x:c r="B1755" s="12" t="str">
        <x:v>Non-specialized wholesale trade</x:v>
      </x:c>
      <x:c r="C1755" s="12" t="str">
        <x:v>البلقاء</x:v>
      </x:c>
      <x:c r="D1755" s="14" t="n">
        <x:v>18</x:v>
      </x:c>
      <x:c r="E1755" s="14" t="n">
        <x:f>VLOOKUP(C1755,'Governorate Master'!$A$2:$Q$13,3,FALSE)</x:f>
        <x:v>614000</x:v>
      </x:c>
      <x:c r="F1755" s="66" t="n">
        <x:f>IF(E1755=0,0,D1755/E1755*10000)</x:f>
        <x:v>0.2931596091205212</x:v>
      </x:c>
      <x:c r="G1755" s="67" t="n">
        <x:f>VLOOKUP(C1755,'Governorate Master'!$A$2:$Q$13,7,FALSE)</x:f>
        <x:v>548</x:v>
      </x:c>
      <x:c r="H1755" s="20" t="n">
        <x:f>VLOOKUP(C1755,'Governorate Master'!$A$2:$Q$13,6,FALSE)</x:f>
        <x:v>0.8210097719869707</x:v>
      </x:c>
      <x:c r="I1755" s="20" t="n">
        <x:f>VLOOKUP(C1755,'Governorate Master'!$A$2:$Q$13,15,FALSE)</x:f>
        <x:v>0.10794044665012408</x:v>
      </x:c>
      <x:c r="J1755" s="12" t="str">
        <x:v>Location model input - competition/saturation context</x:v>
      </x:c>
      <x:c r="K1755" s="12" t="str">
        <x:v>Business count is from 2018 while population/context indicators are newer; use as a historical proxy, not a current market count.</x:v>
      </x:c>
    </x:row>
    <x:row r="1756">
      <x:c r="A1756" s="12" t="str">
        <x:v>4690</x:v>
      </x:c>
      <x:c r="B1756" s="12" t="str">
        <x:v>Non-specialized wholesale trade</x:v>
      </x:c>
      <x:c r="C1756" s="12" t="str">
        <x:v>الزرقاء</x:v>
      </x:c>
      <x:c r="D1756" s="14" t="n">
        <x:v>15</x:v>
      </x:c>
      <x:c r="E1756" s="14" t="n">
        <x:f>VLOOKUP(C1756,'Governorate Master'!$A$2:$Q$13,3,FALSE)</x:f>
        <x:v>1704500</x:v>
      </x:c>
      <x:c r="F1756" s="66" t="n">
        <x:f>IF(E1756=0,0,D1756/E1756*10000)</x:f>
        <x:v>0.0880023467292461</x:v>
      </x:c>
      <x:c r="G1756" s="67" t="n">
        <x:f>VLOOKUP(C1756,'Governorate Master'!$A$2:$Q$13,7,FALSE)</x:f>
        <x:v>358</x:v>
      </x:c>
      <x:c r="H1756" s="20" t="n">
        <x:f>VLOOKUP(C1756,'Governorate Master'!$A$2:$Q$13,6,FALSE)</x:f>
        <x:v>0.9636256966852449</x:v>
      </x:c>
      <x:c r="I1756" s="20" t="n">
        <x:f>VLOOKUP(C1756,'Governorate Master'!$A$2:$Q$13,15,FALSE)</x:f>
        <x:v>-0.06808762581409118</x:v>
      </x:c>
      <x:c r="J1756" s="12" t="str">
        <x:v>Location model input - competition/saturation context</x:v>
      </x:c>
      <x:c r="K1756" s="12" t="str">
        <x:v>Business count is from 2018 while population/context indicators are newer; use as a historical proxy, not a current market count.</x:v>
      </x:c>
    </x:row>
    <x:row r="1757">
      <x:c r="A1757" s="12" t="str">
        <x:v>4690</x:v>
      </x:c>
      <x:c r="B1757" s="12" t="str">
        <x:v>Non-specialized wholesale trade</x:v>
      </x:c>
      <x:c r="C1757" s="12" t="str">
        <x:v>مادبا</x:v>
      </x:c>
      <x:c r="D1757" s="14" t="n">
        <x:v>5</x:v>
      </x:c>
      <x:c r="E1757" s="14" t="n">
        <x:f>VLOOKUP(C1757,'Governorate Master'!$A$2:$Q$13,3,FALSE)</x:f>
        <x:v>236200</x:v>
      </x:c>
      <x:c r="F1757" s="66" t="n">
        <x:f>IF(E1757=0,0,D1757/E1757*10000)</x:f>
        <x:v>0.21168501270110077</x:v>
      </x:c>
      <x:c r="G1757" s="67" t="n">
        <x:f>VLOOKUP(C1757,'Governorate Master'!$A$2:$Q$13,7,FALSE)</x:f>
        <x:v>251.4</x:v>
      </x:c>
      <x:c r="H1757" s="20" t="n">
        <x:f>VLOOKUP(C1757,'Governorate Master'!$A$2:$Q$13,6,FALSE)</x:f>
        <x:v>0.7823878069432684</x:v>
      </x:c>
      <x:c r="I1757" s="20" t="n">
        <x:f>VLOOKUP(C1757,'Governorate Master'!$A$2:$Q$13,15,FALSE)</x:f>
        <x:v>-0.18823529411764706</x:v>
      </x:c>
      <x:c r="J1757" s="12" t="str">
        <x:v>Location model input - competition/saturation context</x:v>
      </x:c>
      <x:c r="K1757" s="12" t="str">
        <x:v>Business count is from 2018 while population/context indicators are newer; use as a historical proxy, not a current market count.</x:v>
      </x:c>
    </x:row>
    <x:row r="1758">
      <x:c r="A1758" s="12" t="str">
        <x:v>4690</x:v>
      </x:c>
      <x:c r="B1758" s="12" t="str">
        <x:v>Non-specialized wholesale trade</x:v>
      </x:c>
      <x:c r="C1758" s="12" t="str">
        <x:v>إربد</x:v>
      </x:c>
      <x:c r="D1758" s="14" t="n">
        <x:v>27</x:v>
      </x:c>
      <x:c r="E1758" s="14" t="n">
        <x:f>VLOOKUP(C1758,'Governorate Master'!$A$2:$Q$13,3,FALSE)</x:f>
        <x:v>2210500</x:v>
      </x:c>
      <x:c r="F1758" s="66" t="n">
        <x:f>IF(E1758=0,0,D1758/E1758*10000)</x:f>
        <x:v>0.1221443112418005</x:v>
      </x:c>
      <x:c r="G1758" s="67" t="n">
        <x:f>VLOOKUP(C1758,'Governorate Master'!$A$2:$Q$13,7,FALSE)</x:f>
        <x:v>1406.4</x:v>
      </x:c>
      <x:c r="H1758" s="20" t="n">
        <x:f>VLOOKUP(C1758,'Governorate Master'!$A$2:$Q$13,6,FALSE)</x:f>
        <x:v>0.9235014702555983</x:v>
      </x:c>
      <x:c r="I1758" s="20" t="n">
        <x:f>VLOOKUP(C1758,'Governorate Master'!$A$2:$Q$13,15,FALSE)</x:f>
        <x:v>0.07086922474549726</x:v>
      </x:c>
      <x:c r="J1758" s="12" t="str">
        <x:v>Location model input - competition/saturation context</x:v>
      </x:c>
      <x:c r="K1758" s="12" t="str">
        <x:v>Business count is from 2018 while population/context indicators are newer; use as a historical proxy, not a current market count.</x:v>
      </x:c>
    </x:row>
    <x:row r="1759">
      <x:c r="A1759" s="12" t="str">
        <x:v>4690</x:v>
      </x:c>
      <x:c r="B1759" s="12" t="str">
        <x:v>Non-specialized wholesale trade</x:v>
      </x:c>
      <x:c r="C1759" s="12" t="str">
        <x:v>المفرق</x:v>
      </x:c>
      <x:c r="D1759" s="14" t="n">
        <x:v>0</x:v>
      </x:c>
      <x:c r="E1759" s="14" t="n">
        <x:f>VLOOKUP(C1759,'Governorate Master'!$A$2:$Q$13,3,FALSE)</x:f>
        <x:v>686800</x:v>
      </x:c>
      <x:c r="F1759" s="66" t="n">
        <x:f>IF(E1759=0,0,D1759/E1759*10000)</x:f>
        <x:v>0</x:v>
      </x:c>
      <x:c r="G1759" s="67" t="n">
        <x:f>VLOOKUP(C1759,'Governorate Master'!$A$2:$Q$13,7,FALSE)</x:f>
        <x:v>25.9</x:v>
      </x:c>
      <x:c r="H1759" s="20" t="n">
        <x:f>VLOOKUP(C1759,'Governorate Master'!$A$2:$Q$13,6,FALSE)</x:f>
        <x:v>0.6965637740244612</x:v>
      </x:c>
      <x:c r="I1759" s="20" t="n">
        <x:f>VLOOKUP(C1759,'Governorate Master'!$A$2:$Q$13,15,FALSE)</x:f>
        <x:v>-0.016638935108153077</x:v>
      </x:c>
      <x:c r="J1759" s="12" t="str">
        <x:v>Location model input - competition/saturation context</x:v>
      </x:c>
      <x:c r="K1759" s="12" t="str">
        <x:v>Business count is from 2018 while population/context indicators are newer; use as a historical proxy, not a current market count.</x:v>
      </x:c>
    </x:row>
    <x:row r="1760">
      <x:c r="A1760" s="12" t="str">
        <x:v>4690</x:v>
      </x:c>
      <x:c r="B1760" s="12" t="str">
        <x:v>Non-specialized wholesale trade</x:v>
      </x:c>
      <x:c r="C1760" s="12" t="str">
        <x:v>جرش</x:v>
      </x:c>
      <x:c r="D1760" s="14" t="n">
        <x:v>2</x:v>
      </x:c>
      <x:c r="E1760" s="14" t="n">
        <x:f>VLOOKUP(C1760,'Governorate Master'!$A$2:$Q$13,3,FALSE)</x:f>
        <x:v>296000</x:v>
      </x:c>
      <x:c r="F1760" s="66" t="n">
        <x:f>IF(E1760=0,0,D1760/E1760*10000)</x:f>
        <x:v>0.06756756756756757</x:v>
      </x:c>
      <x:c r="G1760" s="67" t="n">
        <x:f>VLOOKUP(C1760,'Governorate Master'!$A$2:$Q$13,7,FALSE)</x:f>
        <x:v>722.3</x:v>
      </x:c>
      <x:c r="H1760" s="20" t="n">
        <x:f>VLOOKUP(C1760,'Governorate Master'!$A$2:$Q$13,6,FALSE)</x:f>
        <x:v>0.7695945945945946</x:v>
      </x:c>
      <x:c r="I1760" s="20" t="n">
        <x:f>VLOOKUP(C1760,'Governorate Master'!$A$2:$Q$13,15,FALSE)</x:f>
        <x:v>-0.06527415143603134</x:v>
      </x:c>
      <x:c r="J1760" s="12" t="str">
        <x:v>Location model input - competition/saturation context</x:v>
      </x:c>
      <x:c r="K1760" s="12" t="str">
        <x:v>Business count is from 2018 while population/context indicators are newer; use as a historical proxy, not a current market count.</x:v>
      </x:c>
    </x:row>
    <x:row r="1761">
      <x:c r="A1761" s="12" t="str">
        <x:v>4690</x:v>
      </x:c>
      <x:c r="B1761" s="12" t="str">
        <x:v>Non-specialized wholesale trade</x:v>
      </x:c>
      <x:c r="C1761" s="12" t="str">
        <x:v>عجلون</x:v>
      </x:c>
      <x:c r="D1761" s="14" t="n">
        <x:v>0</x:v>
      </x:c>
      <x:c r="E1761" s="14" t="n">
        <x:f>VLOOKUP(C1761,'Governorate Master'!$A$2:$Q$13,3,FALSE)</x:f>
        <x:v>219900</x:v>
      </x:c>
      <x:c r="F1761" s="66" t="n">
        <x:f>IF(E1761=0,0,D1761/E1761*10000)</x:f>
        <x:v>0</x:v>
      </x:c>
      <x:c r="G1761" s="67" t="n">
        <x:f>VLOOKUP(C1761,'Governorate Master'!$A$2:$Q$13,7,FALSE)</x:f>
        <x:v>524</x:v>
      </x:c>
      <x:c r="H1761" s="20" t="n">
        <x:f>VLOOKUP(C1761,'Governorate Master'!$A$2:$Q$13,6,FALSE)</x:f>
        <x:v>0.8390177353342428</x:v>
      </x:c>
      <x:c r="I1761" s="20" t="n">
        <x:f>VLOOKUP(C1761,'Governorate Master'!$A$2:$Q$13,15,FALSE)</x:f>
        <x:v>0.03614457831325301</x:v>
      </x:c>
      <x:c r="J1761" s="12" t="str">
        <x:v>Location model input - competition/saturation context</x:v>
      </x:c>
      <x:c r="K1761" s="12" t="str">
        <x:v>Business count is from 2018 while population/context indicators are newer; use as a historical proxy, not a current market count.</x:v>
      </x:c>
    </x:row>
    <x:row r="1762">
      <x:c r="A1762" s="12" t="str">
        <x:v>4690</x:v>
      </x:c>
      <x:c r="B1762" s="12" t="str">
        <x:v>Non-specialized wholesale trade</x:v>
      </x:c>
      <x:c r="C1762" s="12" t="str">
        <x:v>الكرك</x:v>
      </x:c>
      <x:c r="D1762" s="14" t="n">
        <x:v>2</x:v>
      </x:c>
      <x:c r="E1762" s="14" t="n">
        <x:f>VLOOKUP(C1762,'Governorate Master'!$A$2:$Q$13,3,FALSE)</x:f>
        <x:v>395400</x:v>
      </x:c>
      <x:c r="F1762" s="66" t="n">
        <x:f>IF(E1762=0,0,D1762/E1762*10000)</x:f>
        <x:v>0.050581689428426904</x:v>
      </x:c>
      <x:c r="G1762" s="67" t="n">
        <x:f>VLOOKUP(C1762,'Governorate Master'!$A$2:$Q$13,7,FALSE)</x:f>
        <x:v>113.1</x:v>
      </x:c>
      <x:c r="H1762" s="20" t="n">
        <x:f>VLOOKUP(C1762,'Governorate Master'!$A$2:$Q$13,6,FALSE)</x:f>
        <x:v>0.5912999494183105</x:v>
      </x:c>
      <x:c r="I1762" s="20" t="n">
        <x:f>VLOOKUP(C1762,'Governorate Master'!$A$2:$Q$13,15,FALSE)</x:f>
        <x:v>0.08710801393728224</x:v>
      </x:c>
      <x:c r="J1762" s="12" t="str">
        <x:v>Location model input - competition/saturation context</x:v>
      </x:c>
      <x:c r="K1762" s="12" t="str">
        <x:v>Business count is from 2018 while population/context indicators are newer; use as a historical proxy, not a current market count.</x:v>
      </x:c>
    </x:row>
    <x:row r="1763">
      <x:c r="A1763" s="12" t="str">
        <x:v>4690</x:v>
      </x:c>
      <x:c r="B1763" s="12" t="str">
        <x:v>Non-specialized wholesale trade</x:v>
      </x:c>
      <x:c r="C1763" s="12" t="str">
        <x:v>الطفيلة</x:v>
      </x:c>
      <x:c r="D1763" s="14" t="n">
        <x:v>0</x:v>
      </x:c>
      <x:c r="E1763" s="14" t="n">
        <x:f>VLOOKUP(C1763,'Governorate Master'!$A$2:$Q$13,3,FALSE)</x:f>
        <x:v>120300</x:v>
      </x:c>
      <x:c r="F1763" s="66" t="n">
        <x:f>IF(E1763=0,0,D1763/E1763*10000)</x:f>
        <x:v>0</x:v>
      </x:c>
      <x:c r="G1763" s="67" t="n">
        <x:f>VLOOKUP(C1763,'Governorate Master'!$A$2:$Q$13,7,FALSE)</x:f>
        <x:v>54.4</x:v>
      </x:c>
      <x:c r="H1763" s="20" t="n">
        <x:f>VLOOKUP(C1763,'Governorate Master'!$A$2:$Q$13,6,FALSE)</x:f>
        <x:v>0.7797173732335827</x:v>
      </x:c>
      <x:c r="I1763" s="20" t="n">
        <x:f>VLOOKUP(C1763,'Governorate Master'!$A$2:$Q$13,15,FALSE)</x:f>
        <x:v>0.18452380952380953</x:v>
      </x:c>
      <x:c r="J1763" s="12" t="str">
        <x:v>Location model input - competition/saturation context</x:v>
      </x:c>
      <x:c r="K1763" s="12" t="str">
        <x:v>Business count is from 2018 while population/context indicators are newer; use as a historical proxy, not a current market count.</x:v>
      </x:c>
    </x:row>
    <x:row r="1764">
      <x:c r="A1764" s="12" t="str">
        <x:v>4690</x:v>
      </x:c>
      <x:c r="B1764" s="12" t="str">
        <x:v>Non-specialized wholesale trade</x:v>
      </x:c>
      <x:c r="C1764" s="12" t="str">
        <x:v>معان</x:v>
      </x:c>
      <x:c r="D1764" s="14" t="n">
        <x:v>2</x:v>
      </x:c>
      <x:c r="E1764" s="14" t="n">
        <x:f>VLOOKUP(C1764,'Governorate Master'!$A$2:$Q$13,3,FALSE)</x:f>
        <x:v>197900</x:v>
      </x:c>
      <x:c r="F1764" s="66" t="n">
        <x:f>IF(E1764=0,0,D1764/E1764*10000)</x:f>
        <x:v>0.1010611419909045</x:v>
      </x:c>
      <x:c r="G1764" s="67" t="n">
        <x:f>VLOOKUP(C1764,'Governorate Master'!$A$2:$Q$13,7,FALSE)</x:f>
        <x:v>6</x:v>
      </x:c>
      <x:c r="H1764" s="20" t="n">
        <x:f>VLOOKUP(C1764,'Governorate Master'!$A$2:$Q$13,6,FALSE)</x:f>
        <x:v>0.5406771096513391</x:v>
      </x:c>
      <x:c r="I1764" s="20" t="n">
        <x:f>VLOOKUP(C1764,'Governorate Master'!$A$2:$Q$13,15,FALSE)</x:f>
        <x:v>0.026845637583892617</x:v>
      </x:c>
      <x:c r="J1764" s="12" t="str">
        <x:v>Location model input - competition/saturation context</x:v>
      </x:c>
      <x:c r="K1764" s="12" t="str">
        <x:v>Business count is from 2018 while population/context indicators are newer; use as a historical proxy, not a current market count.</x:v>
      </x:c>
    </x:row>
    <x:row r="1765">
      <x:c r="A1765" s="12" t="str">
        <x:v>4690</x:v>
      </x:c>
      <x:c r="B1765" s="12" t="str">
        <x:v>Non-specialized wholesale trade</x:v>
      </x:c>
      <x:c r="C1765" s="12" t="str">
        <x:v>العقبة</x:v>
      </x:c>
      <x:c r="D1765" s="14" t="n">
        <x:v>11</x:v>
      </x:c>
      <x:c r="E1765" s="14" t="n">
        <x:f>VLOOKUP(C1765,'Governorate Master'!$A$2:$Q$13,3,FALSE)</x:f>
        <x:v>250900</x:v>
      </x:c>
      <x:c r="F1765" s="66" t="n">
        <x:f>IF(E1765=0,0,D1765/E1765*10000)</x:f>
        <x:v>0.43842168194499803</x:v>
      </x:c>
      <x:c r="G1765" s="67" t="n">
        <x:f>VLOOKUP(C1765,'Governorate Master'!$A$2:$Q$13,7,FALSE)</x:f>
        <x:v>36.3</x:v>
      </x:c>
      <x:c r="H1765" s="20" t="n">
        <x:f>VLOOKUP(C1765,'Governorate Master'!$A$2:$Q$13,6,FALSE)</x:f>
        <x:v>0.882024711040255</x:v>
      </x:c>
      <x:c r="I1765" s="20" t="n">
        <x:f>VLOOKUP(C1765,'Governorate Master'!$A$2:$Q$13,15,FALSE)</x:f>
        <x:v>-0.09</x:v>
      </x:c>
      <x:c r="J1765" s="12" t="str">
        <x:v>Location model input - competition/saturation context</x:v>
      </x:c>
      <x:c r="K1765" s="12" t="str">
        <x:v>Business count is from 2018 while population/context indicators are newer; use as a historical proxy, not a current market count.</x:v>
      </x:c>
    </x:row>
    <x:row r="1766">
      <x:c r="A1766" s="12" t="str">
        <x:v>4711</x:v>
      </x:c>
      <x:c r="B1766" s="12" t="str">
        <x:v>Retail sale in non-specialized stores with food, beverages or tobacco predominating</x:v>
      </x:c>
      <x:c r="C1766" s="12" t="str">
        <x:v>عمان</x:v>
      </x:c>
      <x:c r="D1766" s="14" t="n">
        <x:v>5689</x:v>
      </x:c>
      <x:c r="E1766" s="14" t="n">
        <x:f>VLOOKUP(C1766,'Governorate Master'!$A$2:$Q$13,3,FALSE)</x:f>
        <x:v>5004600</x:v>
      </x:c>
      <x:c r="F1766" s="66" t="n">
        <x:f>IF(E1766=0,0,D1766/E1766*10000)</x:f>
        <x:v>11.367541861487432</x:v>
      </x:c>
      <x:c r="G1766" s="67" t="n">
        <x:f>VLOOKUP(C1766,'Governorate Master'!$A$2:$Q$13,7,FALSE)</x:f>
        <x:v>660.3</x:v>
      </x:c>
      <x:c r="H1766" s="20" t="n">
        <x:f>VLOOKUP(C1766,'Governorate Master'!$A$2:$Q$13,6,FALSE)</x:f>
        <x:v>0.9721656076409703</x:v>
      </x:c>
      <x:c r="I1766" s="20" t="n">
        <x:f>VLOOKUP(C1766,'Governorate Master'!$A$2:$Q$13,15,FALSE)</x:f>
        <x:v>0.06367041198501873</x:v>
      </x:c>
      <x:c r="J1766" s="12" t="str">
        <x:v>Location model input - competition/saturation context</x:v>
      </x:c>
      <x:c r="K1766" s="12" t="str">
        <x:v>Business count is from 2018 while population/context indicators are newer; use as a historical proxy, not a current market count.</x:v>
      </x:c>
    </x:row>
    <x:row r="1767">
      <x:c r="A1767" s="12" t="str">
        <x:v>4711</x:v>
      </x:c>
      <x:c r="B1767" s="12" t="str">
        <x:v>Retail sale in non-specialized stores with food, beverages or tobacco predominating</x:v>
      </x:c>
      <x:c r="C1767" s="12" t="str">
        <x:v>البلقاء</x:v>
      </x:c>
      <x:c r="D1767" s="14" t="n">
        <x:v>1614</x:v>
      </x:c>
      <x:c r="E1767" s="14" t="n">
        <x:f>VLOOKUP(C1767,'Governorate Master'!$A$2:$Q$13,3,FALSE)</x:f>
        <x:v>614000</x:v>
      </x:c>
      <x:c r="F1767" s="66" t="n">
        <x:f>IF(E1767=0,0,D1767/E1767*10000)</x:f>
        <x:v>26.286644951140065</x:v>
      </x:c>
      <x:c r="G1767" s="67" t="n">
        <x:f>VLOOKUP(C1767,'Governorate Master'!$A$2:$Q$13,7,FALSE)</x:f>
        <x:v>548</x:v>
      </x:c>
      <x:c r="H1767" s="20" t="n">
        <x:f>VLOOKUP(C1767,'Governorate Master'!$A$2:$Q$13,6,FALSE)</x:f>
        <x:v>0.8210097719869707</x:v>
      </x:c>
      <x:c r="I1767" s="20" t="n">
        <x:f>VLOOKUP(C1767,'Governorate Master'!$A$2:$Q$13,15,FALSE)</x:f>
        <x:v>0.10794044665012408</x:v>
      </x:c>
      <x:c r="J1767" s="12" t="str">
        <x:v>Location model input - competition/saturation context</x:v>
      </x:c>
      <x:c r="K1767" s="12" t="str">
        <x:v>Business count is from 2018 while population/context indicators are newer; use as a historical proxy, not a current market count.</x:v>
      </x:c>
    </x:row>
    <x:row r="1768">
      <x:c r="A1768" s="12" t="str">
        <x:v>4711</x:v>
      </x:c>
      <x:c r="B1768" s="12" t="str">
        <x:v>Retail sale in non-specialized stores with food, beverages or tobacco predominating</x:v>
      </x:c>
      <x:c r="C1768" s="12" t="str">
        <x:v>الزرقاء</x:v>
      </x:c>
      <x:c r="D1768" s="14" t="n">
        <x:v>3084</x:v>
      </x:c>
      <x:c r="E1768" s="14" t="n">
        <x:f>VLOOKUP(C1768,'Governorate Master'!$A$2:$Q$13,3,FALSE)</x:f>
        <x:v>1704500</x:v>
      </x:c>
      <x:c r="F1768" s="66" t="n">
        <x:f>IF(E1768=0,0,D1768/E1768*10000)</x:f>
        <x:v>18.093282487533003</x:v>
      </x:c>
      <x:c r="G1768" s="67" t="n">
        <x:f>VLOOKUP(C1768,'Governorate Master'!$A$2:$Q$13,7,FALSE)</x:f>
        <x:v>358</x:v>
      </x:c>
      <x:c r="H1768" s="20" t="n">
        <x:f>VLOOKUP(C1768,'Governorate Master'!$A$2:$Q$13,6,FALSE)</x:f>
        <x:v>0.9636256966852449</x:v>
      </x:c>
      <x:c r="I1768" s="20" t="n">
        <x:f>VLOOKUP(C1768,'Governorate Master'!$A$2:$Q$13,15,FALSE)</x:f>
        <x:v>-0.06808762581409118</x:v>
      </x:c>
      <x:c r="J1768" s="12" t="str">
        <x:v>Location model input - competition/saturation context</x:v>
      </x:c>
      <x:c r="K1768" s="12" t="str">
        <x:v>Business count is from 2018 while population/context indicators are newer; use as a historical proxy, not a current market count.</x:v>
      </x:c>
    </x:row>
    <x:row r="1769">
      <x:c r="A1769" s="12" t="str">
        <x:v>4711</x:v>
      </x:c>
      <x:c r="B1769" s="12" t="str">
        <x:v>Retail sale in non-specialized stores with food, beverages or tobacco predominating</x:v>
      </x:c>
      <x:c r="C1769" s="12" t="str">
        <x:v>مادبا</x:v>
      </x:c>
      <x:c r="D1769" s="14" t="n">
        <x:v>425</x:v>
      </x:c>
      <x:c r="E1769" s="14" t="n">
        <x:f>VLOOKUP(C1769,'Governorate Master'!$A$2:$Q$13,3,FALSE)</x:f>
        <x:v>236200</x:v>
      </x:c>
      <x:c r="F1769" s="66" t="n">
        <x:f>IF(E1769=0,0,D1769/E1769*10000)</x:f>
        <x:v>17.993226079593565</x:v>
      </x:c>
      <x:c r="G1769" s="67" t="n">
        <x:f>VLOOKUP(C1769,'Governorate Master'!$A$2:$Q$13,7,FALSE)</x:f>
        <x:v>251.4</x:v>
      </x:c>
      <x:c r="H1769" s="20" t="n">
        <x:f>VLOOKUP(C1769,'Governorate Master'!$A$2:$Q$13,6,FALSE)</x:f>
        <x:v>0.7823878069432684</x:v>
      </x:c>
      <x:c r="I1769" s="20" t="n">
        <x:f>VLOOKUP(C1769,'Governorate Master'!$A$2:$Q$13,15,FALSE)</x:f>
        <x:v>-0.18823529411764706</x:v>
      </x:c>
      <x:c r="J1769" s="12" t="str">
        <x:v>Location model input - competition/saturation context</x:v>
      </x:c>
      <x:c r="K1769" s="12" t="str">
        <x:v>Business count is from 2018 while population/context indicators are newer; use as a historical proxy, not a current market count.</x:v>
      </x:c>
    </x:row>
    <x:row r="1770">
      <x:c r="A1770" s="12" t="str">
        <x:v>4711</x:v>
      </x:c>
      <x:c r="B1770" s="12" t="str">
        <x:v>Retail sale in non-specialized stores with food, beverages or tobacco predominating</x:v>
      </x:c>
      <x:c r="C1770" s="12" t="str">
        <x:v>إربد</x:v>
      </x:c>
      <x:c r="D1770" s="14" t="n">
        <x:v>3614</x:v>
      </x:c>
      <x:c r="E1770" s="14" t="n">
        <x:f>VLOOKUP(C1770,'Governorate Master'!$A$2:$Q$13,3,FALSE)</x:f>
        <x:v>2210500</x:v>
      </x:c>
      <x:c r="F1770" s="66" t="n">
        <x:f>IF(E1770=0,0,D1770/E1770*10000)</x:f>
        <x:v>16.34924225288396</x:v>
      </x:c>
      <x:c r="G1770" s="67" t="n">
        <x:f>VLOOKUP(C1770,'Governorate Master'!$A$2:$Q$13,7,FALSE)</x:f>
        <x:v>1406.4</x:v>
      </x:c>
      <x:c r="H1770" s="20" t="n">
        <x:f>VLOOKUP(C1770,'Governorate Master'!$A$2:$Q$13,6,FALSE)</x:f>
        <x:v>0.9235014702555983</x:v>
      </x:c>
      <x:c r="I1770" s="20" t="n">
        <x:f>VLOOKUP(C1770,'Governorate Master'!$A$2:$Q$13,15,FALSE)</x:f>
        <x:v>0.07086922474549726</x:v>
      </x:c>
      <x:c r="J1770" s="12" t="str">
        <x:v>Location model input - competition/saturation context</x:v>
      </x:c>
      <x:c r="K1770" s="12" t="str">
        <x:v>Business count is from 2018 while population/context indicators are newer; use as a historical proxy, not a current market count.</x:v>
      </x:c>
    </x:row>
    <x:row r="1771">
      <x:c r="A1771" s="12" t="str">
        <x:v>4711</x:v>
      </x:c>
      <x:c r="B1771" s="12" t="str">
        <x:v>Retail sale in non-specialized stores with food, beverages or tobacco predominating</x:v>
      </x:c>
      <x:c r="C1771" s="12" t="str">
        <x:v>المفرق</x:v>
      </x:c>
      <x:c r="D1771" s="14" t="n">
        <x:v>733</x:v>
      </x:c>
      <x:c r="E1771" s="14" t="n">
        <x:f>VLOOKUP(C1771,'Governorate Master'!$A$2:$Q$13,3,FALSE)</x:f>
        <x:v>686800</x:v>
      </x:c>
      <x:c r="F1771" s="66" t="n">
        <x:f>IF(E1771=0,0,D1771/E1771*10000)</x:f>
        <x:v>10.672684915550379</x:v>
      </x:c>
      <x:c r="G1771" s="67" t="n">
        <x:f>VLOOKUP(C1771,'Governorate Master'!$A$2:$Q$13,7,FALSE)</x:f>
        <x:v>25.9</x:v>
      </x:c>
      <x:c r="H1771" s="20" t="n">
        <x:f>VLOOKUP(C1771,'Governorate Master'!$A$2:$Q$13,6,FALSE)</x:f>
        <x:v>0.6965637740244612</x:v>
      </x:c>
      <x:c r="I1771" s="20" t="n">
        <x:f>VLOOKUP(C1771,'Governorate Master'!$A$2:$Q$13,15,FALSE)</x:f>
        <x:v>-0.016638935108153077</x:v>
      </x:c>
      <x:c r="J1771" s="12" t="str">
        <x:v>Location model input - competition/saturation context</x:v>
      </x:c>
      <x:c r="K1771" s="12" t="str">
        <x:v>Business count is from 2018 while population/context indicators are newer; use as a historical proxy, not a current market count.</x:v>
      </x:c>
    </x:row>
    <x:row r="1772">
      <x:c r="A1772" s="12" t="str">
        <x:v>4711</x:v>
      </x:c>
      <x:c r="B1772" s="12" t="str">
        <x:v>Retail sale in non-specialized stores with food, beverages or tobacco predominating</x:v>
      </x:c>
      <x:c r="C1772" s="12" t="str">
        <x:v>جرش</x:v>
      </x:c>
      <x:c r="D1772" s="14" t="n">
        <x:v>617</x:v>
      </x:c>
      <x:c r="E1772" s="14" t="n">
        <x:f>VLOOKUP(C1772,'Governorate Master'!$A$2:$Q$13,3,FALSE)</x:f>
        <x:v>296000</x:v>
      </x:c>
      <x:c r="F1772" s="66" t="n">
        <x:f>IF(E1772=0,0,D1772/E1772*10000)</x:f>
        <x:v>20.844594594594597</x:v>
      </x:c>
      <x:c r="G1772" s="67" t="n">
        <x:f>VLOOKUP(C1772,'Governorate Master'!$A$2:$Q$13,7,FALSE)</x:f>
        <x:v>722.3</x:v>
      </x:c>
      <x:c r="H1772" s="20" t="n">
        <x:f>VLOOKUP(C1772,'Governorate Master'!$A$2:$Q$13,6,FALSE)</x:f>
        <x:v>0.7695945945945946</x:v>
      </x:c>
      <x:c r="I1772" s="20" t="n">
        <x:f>VLOOKUP(C1772,'Governorate Master'!$A$2:$Q$13,15,FALSE)</x:f>
        <x:v>-0.06527415143603134</x:v>
      </x:c>
      <x:c r="J1772" s="12" t="str">
        <x:v>Location model input - competition/saturation context</x:v>
      </x:c>
      <x:c r="K1772" s="12" t="str">
        <x:v>Business count is from 2018 while population/context indicators are newer; use as a historical proxy, not a current market count.</x:v>
      </x:c>
    </x:row>
    <x:row r="1773">
      <x:c r="A1773" s="12" t="str">
        <x:v>4711</x:v>
      </x:c>
      <x:c r="B1773" s="12" t="str">
        <x:v>Retail sale in non-specialized stores with food, beverages or tobacco predominating</x:v>
      </x:c>
      <x:c r="C1773" s="12" t="str">
        <x:v>عجلون</x:v>
      </x:c>
      <x:c r="D1773" s="14" t="n">
        <x:v>638</x:v>
      </x:c>
      <x:c r="E1773" s="14" t="n">
        <x:f>VLOOKUP(C1773,'Governorate Master'!$A$2:$Q$13,3,FALSE)</x:f>
        <x:v>219900</x:v>
      </x:c>
      <x:c r="F1773" s="66" t="n">
        <x:f>IF(E1773=0,0,D1773/E1773*10000)</x:f>
        <x:v>29.01318781264211</x:v>
      </x:c>
      <x:c r="G1773" s="67" t="n">
        <x:f>VLOOKUP(C1773,'Governorate Master'!$A$2:$Q$13,7,FALSE)</x:f>
        <x:v>524</x:v>
      </x:c>
      <x:c r="H1773" s="20" t="n">
        <x:f>VLOOKUP(C1773,'Governorate Master'!$A$2:$Q$13,6,FALSE)</x:f>
        <x:v>0.8390177353342428</x:v>
      </x:c>
      <x:c r="I1773" s="20" t="n">
        <x:f>VLOOKUP(C1773,'Governorate Master'!$A$2:$Q$13,15,FALSE)</x:f>
        <x:v>0.03614457831325301</x:v>
      </x:c>
      <x:c r="J1773" s="12" t="str">
        <x:v>Location model input - competition/saturation context</x:v>
      </x:c>
      <x:c r="K1773" s="12" t="str">
        <x:v>Business count is from 2018 while population/context indicators are newer; use as a historical proxy, not a current market count.</x:v>
      </x:c>
    </x:row>
    <x:row r="1774">
      <x:c r="A1774" s="12" t="str">
        <x:v>4711</x:v>
      </x:c>
      <x:c r="B1774" s="12" t="str">
        <x:v>Retail sale in non-specialized stores with food, beverages or tobacco predominating</x:v>
      </x:c>
      <x:c r="C1774" s="12" t="str">
        <x:v>الكرك</x:v>
      </x:c>
      <x:c r="D1774" s="14" t="n">
        <x:v>930</x:v>
      </x:c>
      <x:c r="E1774" s="14" t="n">
        <x:f>VLOOKUP(C1774,'Governorate Master'!$A$2:$Q$13,3,FALSE)</x:f>
        <x:v>395400</x:v>
      </x:c>
      <x:c r="F1774" s="66" t="n">
        <x:f>IF(E1774=0,0,D1774/E1774*10000)</x:f>
        <x:v>23.520485584218513</x:v>
      </x:c>
      <x:c r="G1774" s="67" t="n">
        <x:f>VLOOKUP(C1774,'Governorate Master'!$A$2:$Q$13,7,FALSE)</x:f>
        <x:v>113.1</x:v>
      </x:c>
      <x:c r="H1774" s="20" t="n">
        <x:f>VLOOKUP(C1774,'Governorate Master'!$A$2:$Q$13,6,FALSE)</x:f>
        <x:v>0.5912999494183105</x:v>
      </x:c>
      <x:c r="I1774" s="20" t="n">
        <x:f>VLOOKUP(C1774,'Governorate Master'!$A$2:$Q$13,15,FALSE)</x:f>
        <x:v>0.08710801393728224</x:v>
      </x:c>
      <x:c r="J1774" s="12" t="str">
        <x:v>Location model input - competition/saturation context</x:v>
      </x:c>
      <x:c r="K1774" s="12" t="str">
        <x:v>Business count is from 2018 while population/context indicators are newer; use as a historical proxy, not a current market count.</x:v>
      </x:c>
    </x:row>
    <x:row r="1775">
      <x:c r="A1775" s="12" t="str">
        <x:v>4711</x:v>
      </x:c>
      <x:c r="B1775" s="12" t="str">
        <x:v>Retail sale in non-specialized stores with food, beverages or tobacco predominating</x:v>
      </x:c>
      <x:c r="C1775" s="12" t="str">
        <x:v>الطفيلة</x:v>
      </x:c>
      <x:c r="D1775" s="14" t="n">
        <x:v>307</x:v>
      </x:c>
      <x:c r="E1775" s="14" t="n">
        <x:f>VLOOKUP(C1775,'Governorate Master'!$A$2:$Q$13,3,FALSE)</x:f>
        <x:v>120300</x:v>
      </x:c>
      <x:c r="F1775" s="66" t="n">
        <x:f>IF(E1775=0,0,D1775/E1775*10000)</x:f>
        <x:v>25.519534497090607</x:v>
      </x:c>
      <x:c r="G1775" s="67" t="n">
        <x:f>VLOOKUP(C1775,'Governorate Master'!$A$2:$Q$13,7,FALSE)</x:f>
        <x:v>54.4</x:v>
      </x:c>
      <x:c r="H1775" s="20" t="n">
        <x:f>VLOOKUP(C1775,'Governorate Master'!$A$2:$Q$13,6,FALSE)</x:f>
        <x:v>0.7797173732335827</x:v>
      </x:c>
      <x:c r="I1775" s="20" t="n">
        <x:f>VLOOKUP(C1775,'Governorate Master'!$A$2:$Q$13,15,FALSE)</x:f>
        <x:v>0.18452380952380953</x:v>
      </x:c>
      <x:c r="J1775" s="12" t="str">
        <x:v>Location model input - competition/saturation context</x:v>
      </x:c>
      <x:c r="K1775" s="12" t="str">
        <x:v>Business count is from 2018 while population/context indicators are newer; use as a historical proxy, not a current market count.</x:v>
      </x:c>
    </x:row>
    <x:row r="1776">
      <x:c r="A1776" s="12" t="str">
        <x:v>4711</x:v>
      </x:c>
      <x:c r="B1776" s="12" t="str">
        <x:v>Retail sale in non-specialized stores with food, beverages or tobacco predominating</x:v>
      </x:c>
      <x:c r="C1776" s="12" t="str">
        <x:v>معان</x:v>
      </x:c>
      <x:c r="D1776" s="14" t="n">
        <x:v>427</x:v>
      </x:c>
      <x:c r="E1776" s="14" t="n">
        <x:f>VLOOKUP(C1776,'Governorate Master'!$A$2:$Q$13,3,FALSE)</x:f>
        <x:v>197900</x:v>
      </x:c>
      <x:c r="F1776" s="66" t="n">
        <x:f>IF(E1776=0,0,D1776/E1776*10000)</x:f>
        <x:v>21.57655381505811</x:v>
      </x:c>
      <x:c r="G1776" s="67" t="n">
        <x:f>VLOOKUP(C1776,'Governorate Master'!$A$2:$Q$13,7,FALSE)</x:f>
        <x:v>6</x:v>
      </x:c>
      <x:c r="H1776" s="20" t="n">
        <x:f>VLOOKUP(C1776,'Governorate Master'!$A$2:$Q$13,6,FALSE)</x:f>
        <x:v>0.5406771096513391</x:v>
      </x:c>
      <x:c r="I1776" s="20" t="n">
        <x:f>VLOOKUP(C1776,'Governorate Master'!$A$2:$Q$13,15,FALSE)</x:f>
        <x:v>0.026845637583892617</x:v>
      </x:c>
      <x:c r="J1776" s="12" t="str">
        <x:v>Location model input - competition/saturation context</x:v>
      </x:c>
      <x:c r="K1776" s="12" t="str">
        <x:v>Business count is from 2018 while population/context indicators are newer; use as a historical proxy, not a current market count.</x:v>
      </x:c>
    </x:row>
    <x:row r="1777">
      <x:c r="A1777" s="12" t="str">
        <x:v>4711</x:v>
      </x:c>
      <x:c r="B1777" s="12" t="str">
        <x:v>Retail sale in non-specialized stores with food, beverages or tobacco predominating</x:v>
      </x:c>
      <x:c r="C1777" s="12" t="str">
        <x:v>العقبة</x:v>
      </x:c>
      <x:c r="D1777" s="14" t="n">
        <x:v>396</x:v>
      </x:c>
      <x:c r="E1777" s="14" t="n">
        <x:f>VLOOKUP(C1777,'Governorate Master'!$A$2:$Q$13,3,FALSE)</x:f>
        <x:v>250900</x:v>
      </x:c>
      <x:c r="F1777" s="66" t="n">
        <x:f>IF(E1777=0,0,D1777/E1777*10000)</x:f>
        <x:v>15.783180550019928</x:v>
      </x:c>
      <x:c r="G1777" s="67" t="n">
        <x:f>VLOOKUP(C1777,'Governorate Master'!$A$2:$Q$13,7,FALSE)</x:f>
        <x:v>36.3</x:v>
      </x:c>
      <x:c r="H1777" s="20" t="n">
        <x:f>VLOOKUP(C1777,'Governorate Master'!$A$2:$Q$13,6,FALSE)</x:f>
        <x:v>0.882024711040255</x:v>
      </x:c>
      <x:c r="I1777" s="20" t="n">
        <x:f>VLOOKUP(C1777,'Governorate Master'!$A$2:$Q$13,15,FALSE)</x:f>
        <x:v>-0.09</x:v>
      </x:c>
      <x:c r="J1777" s="12" t="str">
        <x:v>Location model input - competition/saturation context</x:v>
      </x:c>
      <x:c r="K1777" s="12" t="str">
        <x:v>Business count is from 2018 while population/context indicators are newer; use as a historical proxy, not a current market count.</x:v>
      </x:c>
    </x:row>
    <x:row r="1778">
      <x:c r="A1778" s="12" t="str">
        <x:v>4719</x:v>
      </x:c>
      <x:c r="B1778" s="12" t="str">
        <x:v>Other retail sale in non-specialized stores</x:v>
      </x:c>
      <x:c r="C1778" s="12" t="str">
        <x:v>عمان</x:v>
      </x:c>
      <x:c r="D1778" s="14" t="n">
        <x:v>51</x:v>
      </x:c>
      <x:c r="E1778" s="14" t="n">
        <x:f>VLOOKUP(C1778,'Governorate Master'!$A$2:$Q$13,3,FALSE)</x:f>
        <x:v>5004600</x:v>
      </x:c>
      <x:c r="F1778" s="66" t="n">
        <x:f>IF(E1778=0,0,D1778/E1778*10000)</x:f>
        <x:v>0.10190624625344684</x:v>
      </x:c>
      <x:c r="G1778" s="67" t="n">
        <x:f>VLOOKUP(C1778,'Governorate Master'!$A$2:$Q$13,7,FALSE)</x:f>
        <x:v>660.3</x:v>
      </x:c>
      <x:c r="H1778" s="20" t="n">
        <x:f>VLOOKUP(C1778,'Governorate Master'!$A$2:$Q$13,6,FALSE)</x:f>
        <x:v>0.9721656076409703</x:v>
      </x:c>
      <x:c r="I1778" s="20" t="n">
        <x:f>VLOOKUP(C1778,'Governorate Master'!$A$2:$Q$13,15,FALSE)</x:f>
        <x:v>0.06367041198501873</x:v>
      </x:c>
      <x:c r="J1778" s="12" t="str">
        <x:v>Location model input - competition/saturation context</x:v>
      </x:c>
      <x:c r="K1778" s="12" t="str">
        <x:v>Business count is from 2018 while population/context indicators are newer; use as a historical proxy, not a current market count.</x:v>
      </x:c>
    </x:row>
    <x:row r="1779">
      <x:c r="A1779" s="12" t="str">
        <x:v>4719</x:v>
      </x:c>
      <x:c r="B1779" s="12" t="str">
        <x:v>Other retail sale in non-specialized stores</x:v>
      </x:c>
      <x:c r="C1779" s="12" t="str">
        <x:v>البلقاء</x:v>
      </x:c>
      <x:c r="D1779" s="14" t="n">
        <x:v>1</x:v>
      </x:c>
      <x:c r="E1779" s="14" t="n">
        <x:f>VLOOKUP(C1779,'Governorate Master'!$A$2:$Q$13,3,FALSE)</x:f>
        <x:v>614000</x:v>
      </x:c>
      <x:c r="F1779" s="66" t="n">
        <x:f>IF(E1779=0,0,D1779/E1779*10000)</x:f>
        <x:v>0.016286644951140065</x:v>
      </x:c>
      <x:c r="G1779" s="67" t="n">
        <x:f>VLOOKUP(C1779,'Governorate Master'!$A$2:$Q$13,7,FALSE)</x:f>
        <x:v>548</x:v>
      </x:c>
      <x:c r="H1779" s="20" t="n">
        <x:f>VLOOKUP(C1779,'Governorate Master'!$A$2:$Q$13,6,FALSE)</x:f>
        <x:v>0.8210097719869707</x:v>
      </x:c>
      <x:c r="I1779" s="20" t="n">
        <x:f>VLOOKUP(C1779,'Governorate Master'!$A$2:$Q$13,15,FALSE)</x:f>
        <x:v>0.10794044665012408</x:v>
      </x:c>
      <x:c r="J1779" s="12" t="str">
        <x:v>Location model input - competition/saturation context</x:v>
      </x:c>
      <x:c r="K1779" s="12" t="str">
        <x:v>Business count is from 2018 while population/context indicators are newer; use as a historical proxy, not a current market count.</x:v>
      </x:c>
    </x:row>
    <x:row r="1780">
      <x:c r="A1780" s="12" t="str">
        <x:v>4719</x:v>
      </x:c>
      <x:c r="B1780" s="12" t="str">
        <x:v>Other retail sale in non-specialized stores</x:v>
      </x:c>
      <x:c r="C1780" s="12" t="str">
        <x:v>الزرقاء</x:v>
      </x:c>
      <x:c r="D1780" s="14" t="n">
        <x:v>26</x:v>
      </x:c>
      <x:c r="E1780" s="14" t="n">
        <x:f>VLOOKUP(C1780,'Governorate Master'!$A$2:$Q$13,3,FALSE)</x:f>
        <x:v>1704500</x:v>
      </x:c>
      <x:c r="F1780" s="66" t="n">
        <x:f>IF(E1780=0,0,D1780/E1780*10000)</x:f>
        <x:v>0.15253740099735993</x:v>
      </x:c>
      <x:c r="G1780" s="67" t="n">
        <x:f>VLOOKUP(C1780,'Governorate Master'!$A$2:$Q$13,7,FALSE)</x:f>
        <x:v>358</x:v>
      </x:c>
      <x:c r="H1780" s="20" t="n">
        <x:f>VLOOKUP(C1780,'Governorate Master'!$A$2:$Q$13,6,FALSE)</x:f>
        <x:v>0.9636256966852449</x:v>
      </x:c>
      <x:c r="I1780" s="20" t="n">
        <x:f>VLOOKUP(C1780,'Governorate Master'!$A$2:$Q$13,15,FALSE)</x:f>
        <x:v>-0.06808762581409118</x:v>
      </x:c>
      <x:c r="J1780" s="12" t="str">
        <x:v>Location model input - competition/saturation context</x:v>
      </x:c>
      <x:c r="K1780" s="12" t="str">
        <x:v>Business count is from 2018 while population/context indicators are newer; use as a historical proxy, not a current market count.</x:v>
      </x:c>
    </x:row>
    <x:row r="1781">
      <x:c r="A1781" s="12" t="str">
        <x:v>4719</x:v>
      </x:c>
      <x:c r="B1781" s="12" t="str">
        <x:v>Other retail sale in non-specialized stores</x:v>
      </x:c>
      <x:c r="C1781" s="12" t="str">
        <x:v>مادبا</x:v>
      </x:c>
      <x:c r="D1781" s="14" t="n">
        <x:v>0</x:v>
      </x:c>
      <x:c r="E1781" s="14" t="n">
        <x:f>VLOOKUP(C1781,'Governorate Master'!$A$2:$Q$13,3,FALSE)</x:f>
        <x:v>236200</x:v>
      </x:c>
      <x:c r="F1781" s="66" t="n">
        <x:f>IF(E1781=0,0,D1781/E1781*10000)</x:f>
        <x:v>0</x:v>
      </x:c>
      <x:c r="G1781" s="67" t="n">
        <x:f>VLOOKUP(C1781,'Governorate Master'!$A$2:$Q$13,7,FALSE)</x:f>
        <x:v>251.4</x:v>
      </x:c>
      <x:c r="H1781" s="20" t="n">
        <x:f>VLOOKUP(C1781,'Governorate Master'!$A$2:$Q$13,6,FALSE)</x:f>
        <x:v>0.7823878069432684</x:v>
      </x:c>
      <x:c r="I1781" s="20" t="n">
        <x:f>VLOOKUP(C1781,'Governorate Master'!$A$2:$Q$13,15,FALSE)</x:f>
        <x:v>-0.18823529411764706</x:v>
      </x:c>
      <x:c r="J1781" s="12" t="str">
        <x:v>Location model input - competition/saturation context</x:v>
      </x:c>
      <x:c r="K1781" s="12" t="str">
        <x:v>Business count is from 2018 while population/context indicators are newer; use as a historical proxy, not a current market count.</x:v>
      </x:c>
    </x:row>
    <x:row r="1782">
      <x:c r="A1782" s="12" t="str">
        <x:v>4719</x:v>
      </x:c>
      <x:c r="B1782" s="12" t="str">
        <x:v>Other retail sale in non-specialized stores</x:v>
      </x:c>
      <x:c r="C1782" s="12" t="str">
        <x:v>إربد</x:v>
      </x:c>
      <x:c r="D1782" s="14" t="n">
        <x:v>15</x:v>
      </x:c>
      <x:c r="E1782" s="14" t="n">
        <x:f>VLOOKUP(C1782,'Governorate Master'!$A$2:$Q$13,3,FALSE)</x:f>
        <x:v>2210500</x:v>
      </x:c>
      <x:c r="F1782" s="66" t="n">
        <x:f>IF(E1782=0,0,D1782/E1782*10000)</x:f>
        <x:v>0.06785795068988917</x:v>
      </x:c>
      <x:c r="G1782" s="67" t="n">
        <x:f>VLOOKUP(C1782,'Governorate Master'!$A$2:$Q$13,7,FALSE)</x:f>
        <x:v>1406.4</x:v>
      </x:c>
      <x:c r="H1782" s="20" t="n">
        <x:f>VLOOKUP(C1782,'Governorate Master'!$A$2:$Q$13,6,FALSE)</x:f>
        <x:v>0.9235014702555983</x:v>
      </x:c>
      <x:c r="I1782" s="20" t="n">
        <x:f>VLOOKUP(C1782,'Governorate Master'!$A$2:$Q$13,15,FALSE)</x:f>
        <x:v>0.07086922474549726</x:v>
      </x:c>
      <x:c r="J1782" s="12" t="str">
        <x:v>Location model input - competition/saturation context</x:v>
      </x:c>
      <x:c r="K1782" s="12" t="str">
        <x:v>Business count is from 2018 while population/context indicators are newer; use as a historical proxy, not a current market count.</x:v>
      </x:c>
    </x:row>
    <x:row r="1783">
      <x:c r="A1783" s="12" t="str">
        <x:v>4719</x:v>
      </x:c>
      <x:c r="B1783" s="12" t="str">
        <x:v>Other retail sale in non-specialized stores</x:v>
      </x:c>
      <x:c r="C1783" s="12" t="str">
        <x:v>المفرق</x:v>
      </x:c>
      <x:c r="D1783" s="14" t="n">
        <x:v>18</x:v>
      </x:c>
      <x:c r="E1783" s="14" t="n">
        <x:f>VLOOKUP(C1783,'Governorate Master'!$A$2:$Q$13,3,FALSE)</x:f>
        <x:v>686800</x:v>
      </x:c>
      <x:c r="F1783" s="66" t="n">
        <x:f>IF(E1783=0,0,D1783/E1783*10000)</x:f>
        <x:v>0.262085032032615</x:v>
      </x:c>
      <x:c r="G1783" s="67" t="n">
        <x:f>VLOOKUP(C1783,'Governorate Master'!$A$2:$Q$13,7,FALSE)</x:f>
        <x:v>25.9</x:v>
      </x:c>
      <x:c r="H1783" s="20" t="n">
        <x:f>VLOOKUP(C1783,'Governorate Master'!$A$2:$Q$13,6,FALSE)</x:f>
        <x:v>0.6965637740244612</x:v>
      </x:c>
      <x:c r="I1783" s="20" t="n">
        <x:f>VLOOKUP(C1783,'Governorate Master'!$A$2:$Q$13,15,FALSE)</x:f>
        <x:v>-0.016638935108153077</x:v>
      </x:c>
      <x:c r="J1783" s="12" t="str">
        <x:v>Location model input - competition/saturation context</x:v>
      </x:c>
      <x:c r="K1783" s="12" t="str">
        <x:v>Business count is from 2018 while population/context indicators are newer; use as a historical proxy, not a current market count.</x:v>
      </x:c>
    </x:row>
    <x:row r="1784">
      <x:c r="A1784" s="12" t="str">
        <x:v>4719</x:v>
      </x:c>
      <x:c r="B1784" s="12" t="str">
        <x:v>Other retail sale in non-specialized stores</x:v>
      </x:c>
      <x:c r="C1784" s="12" t="str">
        <x:v>جرش</x:v>
      </x:c>
      <x:c r="D1784" s="14" t="n">
        <x:v>5</x:v>
      </x:c>
      <x:c r="E1784" s="14" t="n">
        <x:f>VLOOKUP(C1784,'Governorate Master'!$A$2:$Q$13,3,FALSE)</x:f>
        <x:v>296000</x:v>
      </x:c>
      <x:c r="F1784" s="66" t="n">
        <x:f>IF(E1784=0,0,D1784/E1784*10000)</x:f>
        <x:v>0.16891891891891891</x:v>
      </x:c>
      <x:c r="G1784" s="67" t="n">
        <x:f>VLOOKUP(C1784,'Governorate Master'!$A$2:$Q$13,7,FALSE)</x:f>
        <x:v>722.3</x:v>
      </x:c>
      <x:c r="H1784" s="20" t="n">
        <x:f>VLOOKUP(C1784,'Governorate Master'!$A$2:$Q$13,6,FALSE)</x:f>
        <x:v>0.7695945945945946</x:v>
      </x:c>
      <x:c r="I1784" s="20" t="n">
        <x:f>VLOOKUP(C1784,'Governorate Master'!$A$2:$Q$13,15,FALSE)</x:f>
        <x:v>-0.06527415143603134</x:v>
      </x:c>
      <x:c r="J1784" s="12" t="str">
        <x:v>Location model input - competition/saturation context</x:v>
      </x:c>
      <x:c r="K1784" s="12" t="str">
        <x:v>Business count is from 2018 while population/context indicators are newer; use as a historical proxy, not a current market count.</x:v>
      </x:c>
    </x:row>
    <x:row r="1785">
      <x:c r="A1785" s="12" t="str">
        <x:v>4719</x:v>
      </x:c>
      <x:c r="B1785" s="12" t="str">
        <x:v>Other retail sale in non-specialized stores</x:v>
      </x:c>
      <x:c r="C1785" s="12" t="str">
        <x:v>عجلون</x:v>
      </x:c>
      <x:c r="D1785" s="14" t="n">
        <x:v>3</x:v>
      </x:c>
      <x:c r="E1785" s="14" t="n">
        <x:f>VLOOKUP(C1785,'Governorate Master'!$A$2:$Q$13,3,FALSE)</x:f>
        <x:v>219900</x:v>
      </x:c>
      <x:c r="F1785" s="66" t="n">
        <x:f>IF(E1785=0,0,D1785/E1785*10000)</x:f>
        <x:v>0.1364256480218281</x:v>
      </x:c>
      <x:c r="G1785" s="67" t="n">
        <x:f>VLOOKUP(C1785,'Governorate Master'!$A$2:$Q$13,7,FALSE)</x:f>
        <x:v>524</x:v>
      </x:c>
      <x:c r="H1785" s="20" t="n">
        <x:f>VLOOKUP(C1785,'Governorate Master'!$A$2:$Q$13,6,FALSE)</x:f>
        <x:v>0.8390177353342428</x:v>
      </x:c>
      <x:c r="I1785" s="20" t="n">
        <x:f>VLOOKUP(C1785,'Governorate Master'!$A$2:$Q$13,15,FALSE)</x:f>
        <x:v>0.03614457831325301</x:v>
      </x:c>
      <x:c r="J1785" s="12" t="str">
        <x:v>Location model input - competition/saturation context</x:v>
      </x:c>
      <x:c r="K1785" s="12" t="str">
        <x:v>Business count is from 2018 while population/context indicators are newer; use as a historical proxy, not a current market count.</x:v>
      </x:c>
    </x:row>
    <x:row r="1786">
      <x:c r="A1786" s="12" t="str">
        <x:v>4719</x:v>
      </x:c>
      <x:c r="B1786" s="12" t="str">
        <x:v>Other retail sale in non-specialized stores</x:v>
      </x:c>
      <x:c r="C1786" s="12" t="str">
        <x:v>الكرك</x:v>
      </x:c>
      <x:c r="D1786" s="14" t="n">
        <x:v>8</x:v>
      </x:c>
      <x:c r="E1786" s="14" t="n">
        <x:f>VLOOKUP(C1786,'Governorate Master'!$A$2:$Q$13,3,FALSE)</x:f>
        <x:v>395400</x:v>
      </x:c>
      <x:c r="F1786" s="66" t="n">
        <x:f>IF(E1786=0,0,D1786/E1786*10000)</x:f>
        <x:v>0.20232675771370762</x:v>
      </x:c>
      <x:c r="G1786" s="67" t="n">
        <x:f>VLOOKUP(C1786,'Governorate Master'!$A$2:$Q$13,7,FALSE)</x:f>
        <x:v>113.1</x:v>
      </x:c>
      <x:c r="H1786" s="20" t="n">
        <x:f>VLOOKUP(C1786,'Governorate Master'!$A$2:$Q$13,6,FALSE)</x:f>
        <x:v>0.5912999494183105</x:v>
      </x:c>
      <x:c r="I1786" s="20" t="n">
        <x:f>VLOOKUP(C1786,'Governorate Master'!$A$2:$Q$13,15,FALSE)</x:f>
        <x:v>0.08710801393728224</x:v>
      </x:c>
      <x:c r="J1786" s="12" t="str">
        <x:v>Location model input - competition/saturation context</x:v>
      </x:c>
      <x:c r="K1786" s="12" t="str">
        <x:v>Business count is from 2018 while population/context indicators are newer; use as a historical proxy, not a current market count.</x:v>
      </x:c>
    </x:row>
    <x:row r="1787">
      <x:c r="A1787" s="12" t="str">
        <x:v>4719</x:v>
      </x:c>
      <x:c r="B1787" s="12" t="str">
        <x:v>Other retail sale in non-specialized stores</x:v>
      </x:c>
      <x:c r="C1787" s="12" t="str">
        <x:v>الطفيلة</x:v>
      </x:c>
      <x:c r="D1787" s="14" t="n">
        <x:v>4</x:v>
      </x:c>
      <x:c r="E1787" s="14" t="n">
        <x:f>VLOOKUP(C1787,'Governorate Master'!$A$2:$Q$13,3,FALSE)</x:f>
        <x:v>120300</x:v>
      </x:c>
      <x:c r="F1787" s="66" t="n">
        <x:f>IF(E1787=0,0,D1787/E1787*10000)</x:f>
        <x:v>0.3325020781379884</x:v>
      </x:c>
      <x:c r="G1787" s="67" t="n">
        <x:f>VLOOKUP(C1787,'Governorate Master'!$A$2:$Q$13,7,FALSE)</x:f>
        <x:v>54.4</x:v>
      </x:c>
      <x:c r="H1787" s="20" t="n">
        <x:f>VLOOKUP(C1787,'Governorate Master'!$A$2:$Q$13,6,FALSE)</x:f>
        <x:v>0.7797173732335827</x:v>
      </x:c>
      <x:c r="I1787" s="20" t="n">
        <x:f>VLOOKUP(C1787,'Governorate Master'!$A$2:$Q$13,15,FALSE)</x:f>
        <x:v>0.18452380952380953</x:v>
      </x:c>
      <x:c r="J1787" s="12" t="str">
        <x:v>Location model input - competition/saturation context</x:v>
      </x:c>
      <x:c r="K1787" s="12" t="str">
        <x:v>Business count is from 2018 while population/context indicators are newer; use as a historical proxy, not a current market count.</x:v>
      </x:c>
    </x:row>
    <x:row r="1788">
      <x:c r="A1788" s="12" t="str">
        <x:v>4719</x:v>
      </x:c>
      <x:c r="B1788" s="12" t="str">
        <x:v>Other retail sale in non-specialized stores</x:v>
      </x:c>
      <x:c r="C1788" s="12" t="str">
        <x:v>معان</x:v>
      </x:c>
      <x:c r="D1788" s="14" t="n">
        <x:v>5</x:v>
      </x:c>
      <x:c r="E1788" s="14" t="n">
        <x:f>VLOOKUP(C1788,'Governorate Master'!$A$2:$Q$13,3,FALSE)</x:f>
        <x:v>197900</x:v>
      </x:c>
      <x:c r="F1788" s="66" t="n">
        <x:f>IF(E1788=0,0,D1788/E1788*10000)</x:f>
        <x:v>0.25265285497726125</x:v>
      </x:c>
      <x:c r="G1788" s="67" t="n">
        <x:f>VLOOKUP(C1788,'Governorate Master'!$A$2:$Q$13,7,FALSE)</x:f>
        <x:v>6</x:v>
      </x:c>
      <x:c r="H1788" s="20" t="n">
        <x:f>VLOOKUP(C1788,'Governorate Master'!$A$2:$Q$13,6,FALSE)</x:f>
        <x:v>0.5406771096513391</x:v>
      </x:c>
      <x:c r="I1788" s="20" t="n">
        <x:f>VLOOKUP(C1788,'Governorate Master'!$A$2:$Q$13,15,FALSE)</x:f>
        <x:v>0.026845637583892617</x:v>
      </x:c>
      <x:c r="J1788" s="12" t="str">
        <x:v>Location model input - competition/saturation context</x:v>
      </x:c>
      <x:c r="K1788" s="12" t="str">
        <x:v>Business count is from 2018 while population/context indicators are newer; use as a historical proxy, not a current market count.</x:v>
      </x:c>
    </x:row>
    <x:row r="1789">
      <x:c r="A1789" s="12" t="str">
        <x:v>4719</x:v>
      </x:c>
      <x:c r="B1789" s="12" t="str">
        <x:v>Other retail sale in non-specialized stores</x:v>
      </x:c>
      <x:c r="C1789" s="12" t="str">
        <x:v>العقبة</x:v>
      </x:c>
      <x:c r="D1789" s="14" t="n">
        <x:v>3</x:v>
      </x:c>
      <x:c r="E1789" s="14" t="n">
        <x:f>VLOOKUP(C1789,'Governorate Master'!$A$2:$Q$13,3,FALSE)</x:f>
        <x:v>250900</x:v>
      </x:c>
      <x:c r="F1789" s="66" t="n">
        <x:f>IF(E1789=0,0,D1789/E1789*10000)</x:f>
        <x:v>0.11956954962136308</x:v>
      </x:c>
      <x:c r="G1789" s="67" t="n">
        <x:f>VLOOKUP(C1789,'Governorate Master'!$A$2:$Q$13,7,FALSE)</x:f>
        <x:v>36.3</x:v>
      </x:c>
      <x:c r="H1789" s="20" t="n">
        <x:f>VLOOKUP(C1789,'Governorate Master'!$A$2:$Q$13,6,FALSE)</x:f>
        <x:v>0.882024711040255</x:v>
      </x:c>
      <x:c r="I1789" s="20" t="n">
        <x:f>VLOOKUP(C1789,'Governorate Master'!$A$2:$Q$13,15,FALSE)</x:f>
        <x:v>-0.09</x:v>
      </x:c>
      <x:c r="J1789" s="12" t="str">
        <x:v>Location model input - competition/saturation context</x:v>
      </x:c>
      <x:c r="K1789" s="12" t="str">
        <x:v>Business count is from 2018 while population/context indicators are newer; use as a historical proxy, not a current market count.</x:v>
      </x:c>
    </x:row>
    <x:row r="1790">
      <x:c r="A1790" s="12" t="str">
        <x:v>4721</x:v>
      </x:c>
      <x:c r="B1790" s="12" t="str">
        <x:v>Retail sale of food in specialized stores</x:v>
      </x:c>
      <x:c r="C1790" s="12" t="str">
        <x:v>عمان</x:v>
      </x:c>
      <x:c r="D1790" s="14" t="n">
        <x:v>2731</x:v>
      </x:c>
      <x:c r="E1790" s="14" t="n">
        <x:f>VLOOKUP(C1790,'Governorate Master'!$A$2:$Q$13,3,FALSE)</x:f>
        <x:v>5004600</x:v>
      </x:c>
      <x:c r="F1790" s="66" t="n">
        <x:f>IF(E1790=0,0,D1790/E1790*10000)</x:f>
        <x:v>5.456979578787515</x:v>
      </x:c>
      <x:c r="G1790" s="67" t="n">
        <x:f>VLOOKUP(C1790,'Governorate Master'!$A$2:$Q$13,7,FALSE)</x:f>
        <x:v>660.3</x:v>
      </x:c>
      <x:c r="H1790" s="20" t="n">
        <x:f>VLOOKUP(C1790,'Governorate Master'!$A$2:$Q$13,6,FALSE)</x:f>
        <x:v>0.9721656076409703</x:v>
      </x:c>
      <x:c r="I1790" s="20" t="n">
        <x:f>VLOOKUP(C1790,'Governorate Master'!$A$2:$Q$13,15,FALSE)</x:f>
        <x:v>0.06367041198501873</x:v>
      </x:c>
      <x:c r="J1790" s="12" t="str">
        <x:v>Location model input - competition/saturation context</x:v>
      </x:c>
      <x:c r="K1790" s="12" t="str">
        <x:v>Business count is from 2018 while population/context indicators are newer; use as a historical proxy, not a current market count.</x:v>
      </x:c>
    </x:row>
    <x:row r="1791">
      <x:c r="A1791" s="12" t="str">
        <x:v>4721</x:v>
      </x:c>
      <x:c r="B1791" s="12" t="str">
        <x:v>Retail sale of food in specialized stores</x:v>
      </x:c>
      <x:c r="C1791" s="12" t="str">
        <x:v>البلقاء</x:v>
      </x:c>
      <x:c r="D1791" s="14" t="n">
        <x:v>826</x:v>
      </x:c>
      <x:c r="E1791" s="14" t="n">
        <x:f>VLOOKUP(C1791,'Governorate Master'!$A$2:$Q$13,3,FALSE)</x:f>
        <x:v>614000</x:v>
      </x:c>
      <x:c r="F1791" s="66" t="n">
        <x:f>IF(E1791=0,0,D1791/E1791*10000)</x:f>
        <x:v>13.452768729641694</x:v>
      </x:c>
      <x:c r="G1791" s="67" t="n">
        <x:f>VLOOKUP(C1791,'Governorate Master'!$A$2:$Q$13,7,FALSE)</x:f>
        <x:v>548</x:v>
      </x:c>
      <x:c r="H1791" s="20" t="n">
        <x:f>VLOOKUP(C1791,'Governorate Master'!$A$2:$Q$13,6,FALSE)</x:f>
        <x:v>0.8210097719869707</x:v>
      </x:c>
      <x:c r="I1791" s="20" t="n">
        <x:f>VLOOKUP(C1791,'Governorate Master'!$A$2:$Q$13,15,FALSE)</x:f>
        <x:v>0.10794044665012408</x:v>
      </x:c>
      <x:c r="J1791" s="12" t="str">
        <x:v>Location model input - competition/saturation context</x:v>
      </x:c>
      <x:c r="K1791" s="12" t="str">
        <x:v>Business count is from 2018 while population/context indicators are newer; use as a historical proxy, not a current market count.</x:v>
      </x:c>
    </x:row>
    <x:row r="1792">
      <x:c r="A1792" s="12" t="str">
        <x:v>4721</x:v>
      </x:c>
      <x:c r="B1792" s="12" t="str">
        <x:v>Retail sale of food in specialized stores</x:v>
      </x:c>
      <x:c r="C1792" s="12" t="str">
        <x:v>الزرقاء</x:v>
      </x:c>
      <x:c r="D1792" s="14" t="n">
        <x:v>1312</x:v>
      </x:c>
      <x:c r="E1792" s="14" t="n">
        <x:f>VLOOKUP(C1792,'Governorate Master'!$A$2:$Q$13,3,FALSE)</x:f>
        <x:v>1704500</x:v>
      </x:c>
      <x:c r="F1792" s="66" t="n">
        <x:f>IF(E1792=0,0,D1792/E1792*10000)</x:f>
        <x:v>7.697271927251394</x:v>
      </x:c>
      <x:c r="G1792" s="67" t="n">
        <x:f>VLOOKUP(C1792,'Governorate Master'!$A$2:$Q$13,7,FALSE)</x:f>
        <x:v>358</x:v>
      </x:c>
      <x:c r="H1792" s="20" t="n">
        <x:f>VLOOKUP(C1792,'Governorate Master'!$A$2:$Q$13,6,FALSE)</x:f>
        <x:v>0.9636256966852449</x:v>
      </x:c>
      <x:c r="I1792" s="20" t="n">
        <x:f>VLOOKUP(C1792,'Governorate Master'!$A$2:$Q$13,15,FALSE)</x:f>
        <x:v>-0.06808762581409118</x:v>
      </x:c>
      <x:c r="J1792" s="12" t="str">
        <x:v>Location model input - competition/saturation context</x:v>
      </x:c>
      <x:c r="K1792" s="12" t="str">
        <x:v>Business count is from 2018 while population/context indicators are newer; use as a historical proxy, not a current market count.</x:v>
      </x:c>
    </x:row>
    <x:row r="1793">
      <x:c r="A1793" s="12" t="str">
        <x:v>4721</x:v>
      </x:c>
      <x:c r="B1793" s="12" t="str">
        <x:v>Retail sale of food in specialized stores</x:v>
      </x:c>
      <x:c r="C1793" s="12" t="str">
        <x:v>مادبا</x:v>
      </x:c>
      <x:c r="D1793" s="14" t="n">
        <x:v>266</x:v>
      </x:c>
      <x:c r="E1793" s="14" t="n">
        <x:f>VLOOKUP(C1793,'Governorate Master'!$A$2:$Q$13,3,FALSE)</x:f>
        <x:v>236200</x:v>
      </x:c>
      <x:c r="F1793" s="66" t="n">
        <x:f>IF(E1793=0,0,D1793/E1793*10000)</x:f>
        <x:v>11.26164267569856</x:v>
      </x:c>
      <x:c r="G1793" s="67" t="n">
        <x:f>VLOOKUP(C1793,'Governorate Master'!$A$2:$Q$13,7,FALSE)</x:f>
        <x:v>251.4</x:v>
      </x:c>
      <x:c r="H1793" s="20" t="n">
        <x:f>VLOOKUP(C1793,'Governorate Master'!$A$2:$Q$13,6,FALSE)</x:f>
        <x:v>0.7823878069432684</x:v>
      </x:c>
      <x:c r="I1793" s="20" t="n">
        <x:f>VLOOKUP(C1793,'Governorate Master'!$A$2:$Q$13,15,FALSE)</x:f>
        <x:v>-0.18823529411764706</x:v>
      </x:c>
      <x:c r="J1793" s="12" t="str">
        <x:v>Location model input - competition/saturation context</x:v>
      </x:c>
      <x:c r="K1793" s="12" t="str">
        <x:v>Business count is from 2018 while population/context indicators are newer; use as a historical proxy, not a current market count.</x:v>
      </x:c>
    </x:row>
    <x:row r="1794">
      <x:c r="A1794" s="12" t="str">
        <x:v>4721</x:v>
      </x:c>
      <x:c r="B1794" s="12" t="str">
        <x:v>Retail sale of food in specialized stores</x:v>
      </x:c>
      <x:c r="C1794" s="12" t="str">
        <x:v>إربد</x:v>
      </x:c>
      <x:c r="D1794" s="14" t="n">
        <x:v>1976</x:v>
      </x:c>
      <x:c r="E1794" s="14" t="n">
        <x:f>VLOOKUP(C1794,'Governorate Master'!$A$2:$Q$13,3,FALSE)</x:f>
        <x:v>2210500</x:v>
      </x:c>
      <x:c r="F1794" s="66" t="n">
        <x:f>IF(E1794=0,0,D1794/E1794*10000)</x:f>
        <x:v>8.939154037548066</x:v>
      </x:c>
      <x:c r="G1794" s="67" t="n">
        <x:f>VLOOKUP(C1794,'Governorate Master'!$A$2:$Q$13,7,FALSE)</x:f>
        <x:v>1406.4</x:v>
      </x:c>
      <x:c r="H1794" s="20" t="n">
        <x:f>VLOOKUP(C1794,'Governorate Master'!$A$2:$Q$13,6,FALSE)</x:f>
        <x:v>0.9235014702555983</x:v>
      </x:c>
      <x:c r="I1794" s="20" t="n">
        <x:f>VLOOKUP(C1794,'Governorate Master'!$A$2:$Q$13,15,FALSE)</x:f>
        <x:v>0.07086922474549726</x:v>
      </x:c>
      <x:c r="J1794" s="12" t="str">
        <x:v>Location model input - competition/saturation context</x:v>
      </x:c>
      <x:c r="K1794" s="12" t="str">
        <x:v>Business count is from 2018 while population/context indicators are newer; use as a historical proxy, not a current market count.</x:v>
      </x:c>
    </x:row>
    <x:row r="1795">
      <x:c r="A1795" s="12" t="str">
        <x:v>4721</x:v>
      </x:c>
      <x:c r="B1795" s="12" t="str">
        <x:v>Retail sale of food in specialized stores</x:v>
      </x:c>
      <x:c r="C1795" s="12" t="str">
        <x:v>المفرق</x:v>
      </x:c>
      <x:c r="D1795" s="14" t="n">
        <x:v>393</x:v>
      </x:c>
      <x:c r="E1795" s="14" t="n">
        <x:f>VLOOKUP(C1795,'Governorate Master'!$A$2:$Q$13,3,FALSE)</x:f>
        <x:v>686800</x:v>
      </x:c>
      <x:c r="F1795" s="66" t="n">
        <x:f>IF(E1795=0,0,D1795/E1795*10000)</x:f>
        <x:v>5.7221898660454285</x:v>
      </x:c>
      <x:c r="G1795" s="67" t="n">
        <x:f>VLOOKUP(C1795,'Governorate Master'!$A$2:$Q$13,7,FALSE)</x:f>
        <x:v>25.9</x:v>
      </x:c>
      <x:c r="H1795" s="20" t="n">
        <x:f>VLOOKUP(C1795,'Governorate Master'!$A$2:$Q$13,6,FALSE)</x:f>
        <x:v>0.6965637740244612</x:v>
      </x:c>
      <x:c r="I1795" s="20" t="n">
        <x:f>VLOOKUP(C1795,'Governorate Master'!$A$2:$Q$13,15,FALSE)</x:f>
        <x:v>-0.016638935108153077</x:v>
      </x:c>
      <x:c r="J1795" s="12" t="str">
        <x:v>Location model input - competition/saturation context</x:v>
      </x:c>
      <x:c r="K1795" s="12" t="str">
        <x:v>Business count is from 2018 while population/context indicators are newer; use as a historical proxy, not a current market count.</x:v>
      </x:c>
    </x:row>
    <x:row r="1796">
      <x:c r="A1796" s="12" t="str">
        <x:v>4721</x:v>
      </x:c>
      <x:c r="B1796" s="12" t="str">
        <x:v>Retail sale of food in specialized stores</x:v>
      </x:c>
      <x:c r="C1796" s="12" t="str">
        <x:v>جرش</x:v>
      </x:c>
      <x:c r="D1796" s="14" t="n">
        <x:v>300</x:v>
      </x:c>
      <x:c r="E1796" s="14" t="n">
        <x:f>VLOOKUP(C1796,'Governorate Master'!$A$2:$Q$13,3,FALSE)</x:f>
        <x:v>296000</x:v>
      </x:c>
      <x:c r="F1796" s="66" t="n">
        <x:f>IF(E1796=0,0,D1796/E1796*10000)</x:f>
        <x:v>10.135135135135135</x:v>
      </x:c>
      <x:c r="G1796" s="67" t="n">
        <x:f>VLOOKUP(C1796,'Governorate Master'!$A$2:$Q$13,7,FALSE)</x:f>
        <x:v>722.3</x:v>
      </x:c>
      <x:c r="H1796" s="20" t="n">
        <x:f>VLOOKUP(C1796,'Governorate Master'!$A$2:$Q$13,6,FALSE)</x:f>
        <x:v>0.7695945945945946</x:v>
      </x:c>
      <x:c r="I1796" s="20" t="n">
        <x:f>VLOOKUP(C1796,'Governorate Master'!$A$2:$Q$13,15,FALSE)</x:f>
        <x:v>-0.06527415143603134</x:v>
      </x:c>
      <x:c r="J1796" s="12" t="str">
        <x:v>Location model input - competition/saturation context</x:v>
      </x:c>
      <x:c r="K1796" s="12" t="str">
        <x:v>Business count is from 2018 while population/context indicators are newer; use as a historical proxy, not a current market count.</x:v>
      </x:c>
    </x:row>
    <x:row r="1797">
      <x:c r="A1797" s="12" t="str">
        <x:v>4721</x:v>
      </x:c>
      <x:c r="B1797" s="12" t="str">
        <x:v>Retail sale of food in specialized stores</x:v>
      </x:c>
      <x:c r="C1797" s="12" t="str">
        <x:v>عجلون</x:v>
      </x:c>
      <x:c r="D1797" s="14" t="n">
        <x:v>311</x:v>
      </x:c>
      <x:c r="E1797" s="14" t="n">
        <x:f>VLOOKUP(C1797,'Governorate Master'!$A$2:$Q$13,3,FALSE)</x:f>
        <x:v>219900</x:v>
      </x:c>
      <x:c r="F1797" s="66" t="n">
        <x:f>IF(E1797=0,0,D1797/E1797*10000)</x:f>
        <x:v>14.142792178262846</x:v>
      </x:c>
      <x:c r="G1797" s="67" t="n">
        <x:f>VLOOKUP(C1797,'Governorate Master'!$A$2:$Q$13,7,FALSE)</x:f>
        <x:v>524</x:v>
      </x:c>
      <x:c r="H1797" s="20" t="n">
        <x:f>VLOOKUP(C1797,'Governorate Master'!$A$2:$Q$13,6,FALSE)</x:f>
        <x:v>0.8390177353342428</x:v>
      </x:c>
      <x:c r="I1797" s="20" t="n">
        <x:f>VLOOKUP(C1797,'Governorate Master'!$A$2:$Q$13,15,FALSE)</x:f>
        <x:v>0.03614457831325301</x:v>
      </x:c>
      <x:c r="J1797" s="12" t="str">
        <x:v>Location model input - competition/saturation context</x:v>
      </x:c>
      <x:c r="K1797" s="12" t="str">
        <x:v>Business count is from 2018 while population/context indicators are newer; use as a historical proxy, not a current market count.</x:v>
      </x:c>
    </x:row>
    <x:row r="1798">
      <x:c r="A1798" s="12" t="str">
        <x:v>4721</x:v>
      </x:c>
      <x:c r="B1798" s="12" t="str">
        <x:v>Retail sale of food in specialized stores</x:v>
      </x:c>
      <x:c r="C1798" s="12" t="str">
        <x:v>الكرك</x:v>
      </x:c>
      <x:c r="D1798" s="14" t="n">
        <x:v>493</x:v>
      </x:c>
      <x:c r="E1798" s="14" t="n">
        <x:f>VLOOKUP(C1798,'Governorate Master'!$A$2:$Q$13,3,FALSE)</x:f>
        <x:v>395400</x:v>
      </x:c>
      <x:c r="F1798" s="66" t="n">
        <x:f>IF(E1798=0,0,D1798/E1798*10000)</x:f>
        <x:v>12.468386444107232</x:v>
      </x:c>
      <x:c r="G1798" s="67" t="n">
        <x:f>VLOOKUP(C1798,'Governorate Master'!$A$2:$Q$13,7,FALSE)</x:f>
        <x:v>113.1</x:v>
      </x:c>
      <x:c r="H1798" s="20" t="n">
        <x:f>VLOOKUP(C1798,'Governorate Master'!$A$2:$Q$13,6,FALSE)</x:f>
        <x:v>0.5912999494183105</x:v>
      </x:c>
      <x:c r="I1798" s="20" t="n">
        <x:f>VLOOKUP(C1798,'Governorate Master'!$A$2:$Q$13,15,FALSE)</x:f>
        <x:v>0.08710801393728224</x:v>
      </x:c>
      <x:c r="J1798" s="12" t="str">
        <x:v>Location model input - competition/saturation context</x:v>
      </x:c>
      <x:c r="K1798" s="12" t="str">
        <x:v>Business count is from 2018 while population/context indicators are newer; use as a historical proxy, not a current market count.</x:v>
      </x:c>
    </x:row>
    <x:row r="1799">
      <x:c r="A1799" s="12" t="str">
        <x:v>4721</x:v>
      </x:c>
      <x:c r="B1799" s="12" t="str">
        <x:v>Retail sale of food in specialized stores</x:v>
      </x:c>
      <x:c r="C1799" s="12" t="str">
        <x:v>الطفيلة</x:v>
      </x:c>
      <x:c r="D1799" s="14" t="n">
        <x:v>215</x:v>
      </x:c>
      <x:c r="E1799" s="14" t="n">
        <x:f>VLOOKUP(C1799,'Governorate Master'!$A$2:$Q$13,3,FALSE)</x:f>
        <x:v>120300</x:v>
      </x:c>
      <x:c r="F1799" s="66" t="n">
        <x:f>IF(E1799=0,0,D1799/E1799*10000)</x:f>
        <x:v>17.871986699916874</x:v>
      </x:c>
      <x:c r="G1799" s="67" t="n">
        <x:f>VLOOKUP(C1799,'Governorate Master'!$A$2:$Q$13,7,FALSE)</x:f>
        <x:v>54.4</x:v>
      </x:c>
      <x:c r="H1799" s="20" t="n">
        <x:f>VLOOKUP(C1799,'Governorate Master'!$A$2:$Q$13,6,FALSE)</x:f>
        <x:v>0.7797173732335827</x:v>
      </x:c>
      <x:c r="I1799" s="20" t="n">
        <x:f>VLOOKUP(C1799,'Governorate Master'!$A$2:$Q$13,15,FALSE)</x:f>
        <x:v>0.18452380952380953</x:v>
      </x:c>
      <x:c r="J1799" s="12" t="str">
        <x:v>Location model input - competition/saturation context</x:v>
      </x:c>
      <x:c r="K1799" s="12" t="str">
        <x:v>Business count is from 2018 while population/context indicators are newer; use as a historical proxy, not a current market count.</x:v>
      </x:c>
    </x:row>
    <x:row r="1800">
      <x:c r="A1800" s="12" t="str">
        <x:v>4721</x:v>
      </x:c>
      <x:c r="B1800" s="12" t="str">
        <x:v>Retail sale of food in specialized stores</x:v>
      </x:c>
      <x:c r="C1800" s="12" t="str">
        <x:v>معان</x:v>
      </x:c>
      <x:c r="D1800" s="14" t="n">
        <x:v>166</x:v>
      </x:c>
      <x:c r="E1800" s="14" t="n">
        <x:f>VLOOKUP(C1800,'Governorate Master'!$A$2:$Q$13,3,FALSE)</x:f>
        <x:v>197900</x:v>
      </x:c>
      <x:c r="F1800" s="66" t="n">
        <x:f>IF(E1800=0,0,D1800/E1800*10000)</x:f>
        <x:v>8.388074785245074</x:v>
      </x:c>
      <x:c r="G1800" s="67" t="n">
        <x:f>VLOOKUP(C1800,'Governorate Master'!$A$2:$Q$13,7,FALSE)</x:f>
        <x:v>6</x:v>
      </x:c>
      <x:c r="H1800" s="20" t="n">
        <x:f>VLOOKUP(C1800,'Governorate Master'!$A$2:$Q$13,6,FALSE)</x:f>
        <x:v>0.5406771096513391</x:v>
      </x:c>
      <x:c r="I1800" s="20" t="n">
        <x:f>VLOOKUP(C1800,'Governorate Master'!$A$2:$Q$13,15,FALSE)</x:f>
        <x:v>0.026845637583892617</x:v>
      </x:c>
      <x:c r="J1800" s="12" t="str">
        <x:v>Location model input - competition/saturation context</x:v>
      </x:c>
      <x:c r="K1800" s="12" t="str">
        <x:v>Business count is from 2018 while population/context indicators are newer; use as a historical proxy, not a current market count.</x:v>
      </x:c>
    </x:row>
    <x:row r="1801">
      <x:c r="A1801" s="12" t="str">
        <x:v>4721</x:v>
      </x:c>
      <x:c r="B1801" s="12" t="str">
        <x:v>Retail sale of food in specialized stores</x:v>
      </x:c>
      <x:c r="C1801" s="12" t="str">
        <x:v>العقبة</x:v>
      </x:c>
      <x:c r="D1801" s="14" t="n">
        <x:v>189</x:v>
      </x:c>
      <x:c r="E1801" s="14" t="n">
        <x:f>VLOOKUP(C1801,'Governorate Master'!$A$2:$Q$13,3,FALSE)</x:f>
        <x:v>250900</x:v>
      </x:c>
      <x:c r="F1801" s="66" t="n">
        <x:f>IF(E1801=0,0,D1801/E1801*10000)</x:f>
        <x:v>7.532881626145874</x:v>
      </x:c>
      <x:c r="G1801" s="67" t="n">
        <x:f>VLOOKUP(C1801,'Governorate Master'!$A$2:$Q$13,7,FALSE)</x:f>
        <x:v>36.3</x:v>
      </x:c>
      <x:c r="H1801" s="20" t="n">
        <x:f>VLOOKUP(C1801,'Governorate Master'!$A$2:$Q$13,6,FALSE)</x:f>
        <x:v>0.882024711040255</x:v>
      </x:c>
      <x:c r="I1801" s="20" t="n">
        <x:f>VLOOKUP(C1801,'Governorate Master'!$A$2:$Q$13,15,FALSE)</x:f>
        <x:v>-0.09</x:v>
      </x:c>
      <x:c r="J1801" s="12" t="str">
        <x:v>Location model input - competition/saturation context</x:v>
      </x:c>
      <x:c r="K1801" s="12" t="str">
        <x:v>Business count is from 2018 while population/context indicators are newer; use as a historical proxy, not a current market count.</x:v>
      </x:c>
    </x:row>
    <x:row r="1802">
      <x:c r="A1802" s="12" t="str">
        <x:v>4722</x:v>
      </x:c>
      <x:c r="B1802" s="12" t="str">
        <x:v>Retail sale of beverages in specialized stores</x:v>
      </x:c>
      <x:c r="C1802" s="12" t="str">
        <x:v>عمان</x:v>
      </x:c>
      <x:c r="D1802" s="14" t="n">
        <x:v>691</x:v>
      </x:c>
      <x:c r="E1802" s="14" t="n">
        <x:f>VLOOKUP(C1802,'Governorate Master'!$A$2:$Q$13,3,FALSE)</x:f>
        <x:v>5004600</x:v>
      </x:c>
      <x:c r="F1802" s="66" t="n">
        <x:f>IF(E1802=0,0,D1802/E1802*10000)</x:f>
        <x:v>1.3807297286496423</x:v>
      </x:c>
      <x:c r="G1802" s="67" t="n">
        <x:f>VLOOKUP(C1802,'Governorate Master'!$A$2:$Q$13,7,FALSE)</x:f>
        <x:v>660.3</x:v>
      </x:c>
      <x:c r="H1802" s="20" t="n">
        <x:f>VLOOKUP(C1802,'Governorate Master'!$A$2:$Q$13,6,FALSE)</x:f>
        <x:v>0.9721656076409703</x:v>
      </x:c>
      <x:c r="I1802" s="20" t="n">
        <x:f>VLOOKUP(C1802,'Governorate Master'!$A$2:$Q$13,15,FALSE)</x:f>
        <x:v>0.06367041198501873</x:v>
      </x:c>
      <x:c r="J1802" s="12" t="str">
        <x:v>Location model input - competition/saturation context</x:v>
      </x:c>
      <x:c r="K1802" s="12" t="str">
        <x:v>Business count is from 2018 while population/context indicators are newer; use as a historical proxy, not a current market count.</x:v>
      </x:c>
    </x:row>
    <x:row r="1803">
      <x:c r="A1803" s="12" t="str">
        <x:v>4722</x:v>
      </x:c>
      <x:c r="B1803" s="12" t="str">
        <x:v>Retail sale of beverages in specialized stores</x:v>
      </x:c>
      <x:c r="C1803" s="12" t="str">
        <x:v>البلقاء</x:v>
      </x:c>
      <x:c r="D1803" s="14" t="n">
        <x:v>169</x:v>
      </x:c>
      <x:c r="E1803" s="14" t="n">
        <x:f>VLOOKUP(C1803,'Governorate Master'!$A$2:$Q$13,3,FALSE)</x:f>
        <x:v>614000</x:v>
      </x:c>
      <x:c r="F1803" s="66" t="n">
        <x:f>IF(E1803=0,0,D1803/E1803*10000)</x:f>
        <x:v>2.7524429967426713</x:v>
      </x:c>
      <x:c r="G1803" s="67" t="n">
        <x:f>VLOOKUP(C1803,'Governorate Master'!$A$2:$Q$13,7,FALSE)</x:f>
        <x:v>548</x:v>
      </x:c>
      <x:c r="H1803" s="20" t="n">
        <x:f>VLOOKUP(C1803,'Governorate Master'!$A$2:$Q$13,6,FALSE)</x:f>
        <x:v>0.8210097719869707</x:v>
      </x:c>
      <x:c r="I1803" s="20" t="n">
        <x:f>VLOOKUP(C1803,'Governorate Master'!$A$2:$Q$13,15,FALSE)</x:f>
        <x:v>0.10794044665012408</x:v>
      </x:c>
      <x:c r="J1803" s="12" t="str">
        <x:v>Location model input - competition/saturation context</x:v>
      </x:c>
      <x:c r="K1803" s="12" t="str">
        <x:v>Business count is from 2018 while population/context indicators are newer; use as a historical proxy, not a current market count.</x:v>
      </x:c>
    </x:row>
    <x:row r="1804">
      <x:c r="A1804" s="12" t="str">
        <x:v>4722</x:v>
      </x:c>
      <x:c r="B1804" s="12" t="str">
        <x:v>Retail sale of beverages in specialized stores</x:v>
      </x:c>
      <x:c r="C1804" s="12" t="str">
        <x:v>الزرقاء</x:v>
      </x:c>
      <x:c r="D1804" s="14" t="n">
        <x:v>226</x:v>
      </x:c>
      <x:c r="E1804" s="14" t="n">
        <x:f>VLOOKUP(C1804,'Governorate Master'!$A$2:$Q$13,3,FALSE)</x:f>
        <x:v>1704500</x:v>
      </x:c>
      <x:c r="F1804" s="66" t="n">
        <x:f>IF(E1804=0,0,D1804/E1804*10000)</x:f>
        <x:v>1.325902024053975</x:v>
      </x:c>
      <x:c r="G1804" s="67" t="n">
        <x:f>VLOOKUP(C1804,'Governorate Master'!$A$2:$Q$13,7,FALSE)</x:f>
        <x:v>358</x:v>
      </x:c>
      <x:c r="H1804" s="20" t="n">
        <x:f>VLOOKUP(C1804,'Governorate Master'!$A$2:$Q$13,6,FALSE)</x:f>
        <x:v>0.9636256966852449</x:v>
      </x:c>
      <x:c r="I1804" s="20" t="n">
        <x:f>VLOOKUP(C1804,'Governorate Master'!$A$2:$Q$13,15,FALSE)</x:f>
        <x:v>-0.06808762581409118</x:v>
      </x:c>
      <x:c r="J1804" s="12" t="str">
        <x:v>Location model input - competition/saturation context</x:v>
      </x:c>
      <x:c r="K1804" s="12" t="str">
        <x:v>Business count is from 2018 while population/context indicators are newer; use as a historical proxy, not a current market count.</x:v>
      </x:c>
    </x:row>
    <x:row r="1805">
      <x:c r="A1805" s="12" t="str">
        <x:v>4722</x:v>
      </x:c>
      <x:c r="B1805" s="12" t="str">
        <x:v>Retail sale of beverages in specialized stores</x:v>
      </x:c>
      <x:c r="C1805" s="12" t="str">
        <x:v>مادبا</x:v>
      </x:c>
      <x:c r="D1805" s="14" t="n">
        <x:v>67</x:v>
      </x:c>
      <x:c r="E1805" s="14" t="n">
        <x:f>VLOOKUP(C1805,'Governorate Master'!$A$2:$Q$13,3,FALSE)</x:f>
        <x:v>236200</x:v>
      </x:c>
      <x:c r="F1805" s="66" t="n">
        <x:f>IF(E1805=0,0,D1805/E1805*10000)</x:f>
        <x:v>2.8365791701947503</x:v>
      </x:c>
      <x:c r="G1805" s="67" t="n">
        <x:f>VLOOKUP(C1805,'Governorate Master'!$A$2:$Q$13,7,FALSE)</x:f>
        <x:v>251.4</x:v>
      </x:c>
      <x:c r="H1805" s="20" t="n">
        <x:f>VLOOKUP(C1805,'Governorate Master'!$A$2:$Q$13,6,FALSE)</x:f>
        <x:v>0.7823878069432684</x:v>
      </x:c>
      <x:c r="I1805" s="20" t="n">
        <x:f>VLOOKUP(C1805,'Governorate Master'!$A$2:$Q$13,15,FALSE)</x:f>
        <x:v>-0.18823529411764706</x:v>
      </x:c>
      <x:c r="J1805" s="12" t="str">
        <x:v>Location model input - competition/saturation context</x:v>
      </x:c>
      <x:c r="K1805" s="12" t="str">
        <x:v>Business count is from 2018 while population/context indicators are newer; use as a historical proxy, not a current market count.</x:v>
      </x:c>
    </x:row>
    <x:row r="1806">
      <x:c r="A1806" s="12" t="str">
        <x:v>4722</x:v>
      </x:c>
      <x:c r="B1806" s="12" t="str">
        <x:v>Retail sale of beverages in specialized stores</x:v>
      </x:c>
      <x:c r="C1806" s="12" t="str">
        <x:v>إربد</x:v>
      </x:c>
      <x:c r="D1806" s="14" t="n">
        <x:v>316</x:v>
      </x:c>
      <x:c r="E1806" s="14" t="n">
        <x:f>VLOOKUP(C1806,'Governorate Master'!$A$2:$Q$13,3,FALSE)</x:f>
        <x:v>2210500</x:v>
      </x:c>
      <x:c r="F1806" s="66" t="n">
        <x:f>IF(E1806=0,0,D1806/E1806*10000)</x:f>
        <x:v>1.4295408278669985</x:v>
      </x:c>
      <x:c r="G1806" s="67" t="n">
        <x:f>VLOOKUP(C1806,'Governorate Master'!$A$2:$Q$13,7,FALSE)</x:f>
        <x:v>1406.4</x:v>
      </x:c>
      <x:c r="H1806" s="20" t="n">
        <x:f>VLOOKUP(C1806,'Governorate Master'!$A$2:$Q$13,6,FALSE)</x:f>
        <x:v>0.9235014702555983</x:v>
      </x:c>
      <x:c r="I1806" s="20" t="n">
        <x:f>VLOOKUP(C1806,'Governorate Master'!$A$2:$Q$13,15,FALSE)</x:f>
        <x:v>0.07086922474549726</x:v>
      </x:c>
      <x:c r="J1806" s="12" t="str">
        <x:v>Location model input - competition/saturation context</x:v>
      </x:c>
      <x:c r="K1806" s="12" t="str">
        <x:v>Business count is from 2018 while population/context indicators are newer; use as a historical proxy, not a current market count.</x:v>
      </x:c>
    </x:row>
    <x:row r="1807">
      <x:c r="A1807" s="12" t="str">
        <x:v>4722</x:v>
      </x:c>
      <x:c r="B1807" s="12" t="str">
        <x:v>Retail sale of beverages in specialized stores</x:v>
      </x:c>
      <x:c r="C1807" s="12" t="str">
        <x:v>المفرق</x:v>
      </x:c>
      <x:c r="D1807" s="14" t="n">
        <x:v>68</x:v>
      </x:c>
      <x:c r="E1807" s="14" t="n">
        <x:f>VLOOKUP(C1807,'Governorate Master'!$A$2:$Q$13,3,FALSE)</x:f>
        <x:v>686800</x:v>
      </x:c>
      <x:c r="F1807" s="66" t="n">
        <x:f>IF(E1807=0,0,D1807/E1807*10000)</x:f>
        <x:v>0.9900990099009902</x:v>
      </x:c>
      <x:c r="G1807" s="67" t="n">
        <x:f>VLOOKUP(C1807,'Governorate Master'!$A$2:$Q$13,7,FALSE)</x:f>
        <x:v>25.9</x:v>
      </x:c>
      <x:c r="H1807" s="20" t="n">
        <x:f>VLOOKUP(C1807,'Governorate Master'!$A$2:$Q$13,6,FALSE)</x:f>
        <x:v>0.6965637740244612</x:v>
      </x:c>
      <x:c r="I1807" s="20" t="n">
        <x:f>VLOOKUP(C1807,'Governorate Master'!$A$2:$Q$13,15,FALSE)</x:f>
        <x:v>-0.016638935108153077</x:v>
      </x:c>
      <x:c r="J1807" s="12" t="str">
        <x:v>Location model input - competition/saturation context</x:v>
      </x:c>
      <x:c r="K1807" s="12" t="str">
        <x:v>Business count is from 2018 while population/context indicators are newer; use as a historical proxy, not a current market count.</x:v>
      </x:c>
    </x:row>
    <x:row r="1808">
      <x:c r="A1808" s="12" t="str">
        <x:v>4722</x:v>
      </x:c>
      <x:c r="B1808" s="12" t="str">
        <x:v>Retail sale of beverages in specialized stores</x:v>
      </x:c>
      <x:c r="C1808" s="12" t="str">
        <x:v>جرش</x:v>
      </x:c>
      <x:c r="D1808" s="14" t="n">
        <x:v>70</x:v>
      </x:c>
      <x:c r="E1808" s="14" t="n">
        <x:f>VLOOKUP(C1808,'Governorate Master'!$A$2:$Q$13,3,FALSE)</x:f>
        <x:v>296000</x:v>
      </x:c>
      <x:c r="F1808" s="66" t="n">
        <x:f>IF(E1808=0,0,D1808/E1808*10000)</x:f>
        <x:v>2.364864864864865</x:v>
      </x:c>
      <x:c r="G1808" s="67" t="n">
        <x:f>VLOOKUP(C1808,'Governorate Master'!$A$2:$Q$13,7,FALSE)</x:f>
        <x:v>722.3</x:v>
      </x:c>
      <x:c r="H1808" s="20" t="n">
        <x:f>VLOOKUP(C1808,'Governorate Master'!$A$2:$Q$13,6,FALSE)</x:f>
        <x:v>0.7695945945945946</x:v>
      </x:c>
      <x:c r="I1808" s="20" t="n">
        <x:f>VLOOKUP(C1808,'Governorate Master'!$A$2:$Q$13,15,FALSE)</x:f>
        <x:v>-0.06527415143603134</x:v>
      </x:c>
      <x:c r="J1808" s="12" t="str">
        <x:v>Location model input - competition/saturation context</x:v>
      </x:c>
      <x:c r="K1808" s="12" t="str">
        <x:v>Business count is from 2018 while population/context indicators are newer; use as a historical proxy, not a current market count.</x:v>
      </x:c>
    </x:row>
    <x:row r="1809">
      <x:c r="A1809" s="12" t="str">
        <x:v>4722</x:v>
      </x:c>
      <x:c r="B1809" s="12" t="str">
        <x:v>Retail sale of beverages in specialized stores</x:v>
      </x:c>
      <x:c r="C1809" s="12" t="str">
        <x:v>عجلون</x:v>
      </x:c>
      <x:c r="D1809" s="14" t="n">
        <x:v>53</x:v>
      </x:c>
      <x:c r="E1809" s="14" t="n">
        <x:f>VLOOKUP(C1809,'Governorate Master'!$A$2:$Q$13,3,FALSE)</x:f>
        <x:v>219900</x:v>
      </x:c>
      <x:c r="F1809" s="66" t="n">
        <x:f>IF(E1809=0,0,D1809/E1809*10000)</x:f>
        <x:v>2.41018644838563</x:v>
      </x:c>
      <x:c r="G1809" s="67" t="n">
        <x:f>VLOOKUP(C1809,'Governorate Master'!$A$2:$Q$13,7,FALSE)</x:f>
        <x:v>524</x:v>
      </x:c>
      <x:c r="H1809" s="20" t="n">
        <x:f>VLOOKUP(C1809,'Governorate Master'!$A$2:$Q$13,6,FALSE)</x:f>
        <x:v>0.8390177353342428</x:v>
      </x:c>
      <x:c r="I1809" s="20" t="n">
        <x:f>VLOOKUP(C1809,'Governorate Master'!$A$2:$Q$13,15,FALSE)</x:f>
        <x:v>0.03614457831325301</x:v>
      </x:c>
      <x:c r="J1809" s="12" t="str">
        <x:v>Location model input - competition/saturation context</x:v>
      </x:c>
      <x:c r="K1809" s="12" t="str">
        <x:v>Business count is from 2018 while population/context indicators are newer; use as a historical proxy, not a current market count.</x:v>
      </x:c>
    </x:row>
    <x:row r="1810">
      <x:c r="A1810" s="12" t="str">
        <x:v>4722</x:v>
      </x:c>
      <x:c r="B1810" s="12" t="str">
        <x:v>Retail sale of beverages in specialized stores</x:v>
      </x:c>
      <x:c r="C1810" s="12" t="str">
        <x:v>الكرك</x:v>
      </x:c>
      <x:c r="D1810" s="14" t="n">
        <x:v>134</x:v>
      </x:c>
      <x:c r="E1810" s="14" t="n">
        <x:f>VLOOKUP(C1810,'Governorate Master'!$A$2:$Q$13,3,FALSE)</x:f>
        <x:v>395400</x:v>
      </x:c>
      <x:c r="F1810" s="66" t="n">
        <x:f>IF(E1810=0,0,D1810/E1810*10000)</x:f>
        <x:v>3.388973191704603</x:v>
      </x:c>
      <x:c r="G1810" s="67" t="n">
        <x:f>VLOOKUP(C1810,'Governorate Master'!$A$2:$Q$13,7,FALSE)</x:f>
        <x:v>113.1</x:v>
      </x:c>
      <x:c r="H1810" s="20" t="n">
        <x:f>VLOOKUP(C1810,'Governorate Master'!$A$2:$Q$13,6,FALSE)</x:f>
        <x:v>0.5912999494183105</x:v>
      </x:c>
      <x:c r="I1810" s="20" t="n">
        <x:f>VLOOKUP(C1810,'Governorate Master'!$A$2:$Q$13,15,FALSE)</x:f>
        <x:v>0.08710801393728224</x:v>
      </x:c>
      <x:c r="J1810" s="12" t="str">
        <x:v>Location model input - competition/saturation context</x:v>
      </x:c>
      <x:c r="K1810" s="12" t="str">
        <x:v>Business count is from 2018 while population/context indicators are newer; use as a historical proxy, not a current market count.</x:v>
      </x:c>
    </x:row>
    <x:row r="1811">
      <x:c r="A1811" s="12" t="str">
        <x:v>4722</x:v>
      </x:c>
      <x:c r="B1811" s="12" t="str">
        <x:v>Retail sale of beverages in specialized stores</x:v>
      </x:c>
      <x:c r="C1811" s="12" t="str">
        <x:v>الطفيلة</x:v>
      </x:c>
      <x:c r="D1811" s="14" t="n">
        <x:v>17</x:v>
      </x:c>
      <x:c r="E1811" s="14" t="n">
        <x:f>VLOOKUP(C1811,'Governorate Master'!$A$2:$Q$13,3,FALSE)</x:f>
        <x:v>120300</x:v>
      </x:c>
      <x:c r="F1811" s="66" t="n">
        <x:f>IF(E1811=0,0,D1811/E1811*10000)</x:f>
        <x:v>1.4131338320864506</x:v>
      </x:c>
      <x:c r="G1811" s="67" t="n">
        <x:f>VLOOKUP(C1811,'Governorate Master'!$A$2:$Q$13,7,FALSE)</x:f>
        <x:v>54.4</x:v>
      </x:c>
      <x:c r="H1811" s="20" t="n">
        <x:f>VLOOKUP(C1811,'Governorate Master'!$A$2:$Q$13,6,FALSE)</x:f>
        <x:v>0.7797173732335827</x:v>
      </x:c>
      <x:c r="I1811" s="20" t="n">
        <x:f>VLOOKUP(C1811,'Governorate Master'!$A$2:$Q$13,15,FALSE)</x:f>
        <x:v>0.18452380952380953</x:v>
      </x:c>
      <x:c r="J1811" s="12" t="str">
        <x:v>Location model input - competition/saturation context</x:v>
      </x:c>
      <x:c r="K1811" s="12" t="str">
        <x:v>Business count is from 2018 while population/context indicators are newer; use as a historical proxy, not a current market count.</x:v>
      </x:c>
    </x:row>
    <x:row r="1812">
      <x:c r="A1812" s="12" t="str">
        <x:v>4722</x:v>
      </x:c>
      <x:c r="B1812" s="12" t="str">
        <x:v>Retail sale of beverages in specialized stores</x:v>
      </x:c>
      <x:c r="C1812" s="12" t="str">
        <x:v>معان</x:v>
      </x:c>
      <x:c r="D1812" s="14" t="n">
        <x:v>44</x:v>
      </x:c>
      <x:c r="E1812" s="14" t="n">
        <x:f>VLOOKUP(C1812,'Governorate Master'!$A$2:$Q$13,3,FALSE)</x:f>
        <x:v>197900</x:v>
      </x:c>
      <x:c r="F1812" s="66" t="n">
        <x:f>IF(E1812=0,0,D1812/E1812*10000)</x:f>
        <x:v>2.223345123799899</x:v>
      </x:c>
      <x:c r="G1812" s="67" t="n">
        <x:f>VLOOKUP(C1812,'Governorate Master'!$A$2:$Q$13,7,FALSE)</x:f>
        <x:v>6</x:v>
      </x:c>
      <x:c r="H1812" s="20" t="n">
        <x:f>VLOOKUP(C1812,'Governorate Master'!$A$2:$Q$13,6,FALSE)</x:f>
        <x:v>0.5406771096513391</x:v>
      </x:c>
      <x:c r="I1812" s="20" t="n">
        <x:f>VLOOKUP(C1812,'Governorate Master'!$A$2:$Q$13,15,FALSE)</x:f>
        <x:v>0.026845637583892617</x:v>
      </x:c>
      <x:c r="J1812" s="12" t="str">
        <x:v>Location model input - competition/saturation context</x:v>
      </x:c>
      <x:c r="K1812" s="12" t="str">
        <x:v>Business count is from 2018 while population/context indicators are newer; use as a historical proxy, not a current market count.</x:v>
      </x:c>
    </x:row>
    <x:row r="1813">
      <x:c r="A1813" s="12" t="str">
        <x:v>4722</x:v>
      </x:c>
      <x:c r="B1813" s="12" t="str">
        <x:v>Retail sale of beverages in specialized stores</x:v>
      </x:c>
      <x:c r="C1813" s="12" t="str">
        <x:v>العقبة</x:v>
      </x:c>
      <x:c r="D1813" s="14" t="n">
        <x:v>33</x:v>
      </x:c>
      <x:c r="E1813" s="14" t="n">
        <x:f>VLOOKUP(C1813,'Governorate Master'!$A$2:$Q$13,3,FALSE)</x:f>
        <x:v>250900</x:v>
      </x:c>
      <x:c r="F1813" s="66" t="n">
        <x:f>IF(E1813=0,0,D1813/E1813*10000)</x:f>
        <x:v>1.3152650458349942</x:v>
      </x:c>
      <x:c r="G1813" s="67" t="n">
        <x:f>VLOOKUP(C1813,'Governorate Master'!$A$2:$Q$13,7,FALSE)</x:f>
        <x:v>36.3</x:v>
      </x:c>
      <x:c r="H1813" s="20" t="n">
        <x:f>VLOOKUP(C1813,'Governorate Master'!$A$2:$Q$13,6,FALSE)</x:f>
        <x:v>0.882024711040255</x:v>
      </x:c>
      <x:c r="I1813" s="20" t="n">
        <x:f>VLOOKUP(C1813,'Governorate Master'!$A$2:$Q$13,15,FALSE)</x:f>
        <x:v>-0.09</x:v>
      </x:c>
      <x:c r="J1813" s="12" t="str">
        <x:v>Location model input - competition/saturation context</x:v>
      </x:c>
      <x:c r="K1813" s="12" t="str">
        <x:v>Business count is from 2018 while population/context indicators are newer; use as a historical proxy, not a current market count.</x:v>
      </x:c>
    </x:row>
    <x:row r="1814">
      <x:c r="A1814" s="12" t="str">
        <x:v>4723</x:v>
      </x:c>
      <x:c r="B1814" s="12" t="str">
        <x:v>Retail sale of tobacco products in specialized stores</x:v>
      </x:c>
      <x:c r="C1814" s="12" t="str">
        <x:v>عمان</x:v>
      </x:c>
      <x:c r="D1814" s="14" t="n">
        <x:v>596</x:v>
      </x:c>
      <x:c r="E1814" s="14" t="n">
        <x:f>VLOOKUP(C1814,'Governorate Master'!$A$2:$Q$13,3,FALSE)</x:f>
        <x:v>5004600</x:v>
      </x:c>
      <x:c r="F1814" s="66" t="n">
        <x:f>IF(E1814=0,0,D1814/E1814*10000)</x:f>
        <x:v>1.190904367981457</x:v>
      </x:c>
      <x:c r="G1814" s="67" t="n">
        <x:f>VLOOKUP(C1814,'Governorate Master'!$A$2:$Q$13,7,FALSE)</x:f>
        <x:v>660.3</x:v>
      </x:c>
      <x:c r="H1814" s="20" t="n">
        <x:f>VLOOKUP(C1814,'Governorate Master'!$A$2:$Q$13,6,FALSE)</x:f>
        <x:v>0.9721656076409703</x:v>
      </x:c>
      <x:c r="I1814" s="20" t="n">
        <x:f>VLOOKUP(C1814,'Governorate Master'!$A$2:$Q$13,15,FALSE)</x:f>
        <x:v>0.06367041198501873</x:v>
      </x:c>
      <x:c r="J1814" s="12" t="str">
        <x:v>Location model input - competition/saturation context</x:v>
      </x:c>
      <x:c r="K1814" s="12" t="str">
        <x:v>Business count is from 2018 while population/context indicators are newer; use as a historical proxy, not a current market count.</x:v>
      </x:c>
    </x:row>
    <x:row r="1815">
      <x:c r="A1815" s="12" t="str">
        <x:v>4723</x:v>
      </x:c>
      <x:c r="B1815" s="12" t="str">
        <x:v>Retail sale of tobacco products in specialized stores</x:v>
      </x:c>
      <x:c r="C1815" s="12" t="str">
        <x:v>البلقاء</x:v>
      </x:c>
      <x:c r="D1815" s="14" t="n">
        <x:v>94</x:v>
      </x:c>
      <x:c r="E1815" s="14" t="n">
        <x:f>VLOOKUP(C1815,'Governorate Master'!$A$2:$Q$13,3,FALSE)</x:f>
        <x:v>614000</x:v>
      </x:c>
      <x:c r="F1815" s="66" t="n">
        <x:f>IF(E1815=0,0,D1815/E1815*10000)</x:f>
        <x:v>1.5309446254071661</x:v>
      </x:c>
      <x:c r="G1815" s="67" t="n">
        <x:f>VLOOKUP(C1815,'Governorate Master'!$A$2:$Q$13,7,FALSE)</x:f>
        <x:v>548</x:v>
      </x:c>
      <x:c r="H1815" s="20" t="n">
        <x:f>VLOOKUP(C1815,'Governorate Master'!$A$2:$Q$13,6,FALSE)</x:f>
        <x:v>0.8210097719869707</x:v>
      </x:c>
      <x:c r="I1815" s="20" t="n">
        <x:f>VLOOKUP(C1815,'Governorate Master'!$A$2:$Q$13,15,FALSE)</x:f>
        <x:v>0.10794044665012408</x:v>
      </x:c>
      <x:c r="J1815" s="12" t="str">
        <x:v>Location model input - competition/saturation context</x:v>
      </x:c>
      <x:c r="K1815" s="12" t="str">
        <x:v>Business count is from 2018 while population/context indicators are newer; use as a historical proxy, not a current market count.</x:v>
      </x:c>
    </x:row>
    <x:row r="1816">
      <x:c r="A1816" s="12" t="str">
        <x:v>4723</x:v>
      </x:c>
      <x:c r="B1816" s="12" t="str">
        <x:v>Retail sale of tobacco products in specialized stores</x:v>
      </x:c>
      <x:c r="C1816" s="12" t="str">
        <x:v>الزرقاء</x:v>
      </x:c>
      <x:c r="D1816" s="14" t="n">
        <x:v>303</x:v>
      </x:c>
      <x:c r="E1816" s="14" t="n">
        <x:f>VLOOKUP(C1816,'Governorate Master'!$A$2:$Q$13,3,FALSE)</x:f>
        <x:v>1704500</x:v>
      </x:c>
      <x:c r="F1816" s="66" t="n">
        <x:f>IF(E1816=0,0,D1816/E1816*10000)</x:f>
        <x:v>1.7776474039307715</x:v>
      </x:c>
      <x:c r="G1816" s="67" t="n">
        <x:f>VLOOKUP(C1816,'Governorate Master'!$A$2:$Q$13,7,FALSE)</x:f>
        <x:v>358</x:v>
      </x:c>
      <x:c r="H1816" s="20" t="n">
        <x:f>VLOOKUP(C1816,'Governorate Master'!$A$2:$Q$13,6,FALSE)</x:f>
        <x:v>0.9636256966852449</x:v>
      </x:c>
      <x:c r="I1816" s="20" t="n">
        <x:f>VLOOKUP(C1816,'Governorate Master'!$A$2:$Q$13,15,FALSE)</x:f>
        <x:v>-0.06808762581409118</x:v>
      </x:c>
      <x:c r="J1816" s="12" t="str">
        <x:v>Location model input - competition/saturation context</x:v>
      </x:c>
      <x:c r="K1816" s="12" t="str">
        <x:v>Business count is from 2018 while population/context indicators are newer; use as a historical proxy, not a current market count.</x:v>
      </x:c>
    </x:row>
    <x:row r="1817">
      <x:c r="A1817" s="12" t="str">
        <x:v>4723</x:v>
      </x:c>
      <x:c r="B1817" s="12" t="str">
        <x:v>Retail sale of tobacco products in specialized stores</x:v>
      </x:c>
      <x:c r="C1817" s="12" t="str">
        <x:v>مادبا</x:v>
      </x:c>
      <x:c r="D1817" s="14" t="n">
        <x:v>34</x:v>
      </x:c>
      <x:c r="E1817" s="14" t="n">
        <x:f>VLOOKUP(C1817,'Governorate Master'!$A$2:$Q$13,3,FALSE)</x:f>
        <x:v>236200</x:v>
      </x:c>
      <x:c r="F1817" s="66" t="n">
        <x:f>IF(E1817=0,0,D1817/E1817*10000)</x:f>
        <x:v>1.4394580863674853</x:v>
      </x:c>
      <x:c r="G1817" s="67" t="n">
        <x:f>VLOOKUP(C1817,'Governorate Master'!$A$2:$Q$13,7,FALSE)</x:f>
        <x:v>251.4</x:v>
      </x:c>
      <x:c r="H1817" s="20" t="n">
        <x:f>VLOOKUP(C1817,'Governorate Master'!$A$2:$Q$13,6,FALSE)</x:f>
        <x:v>0.7823878069432684</x:v>
      </x:c>
      <x:c r="I1817" s="20" t="n">
        <x:f>VLOOKUP(C1817,'Governorate Master'!$A$2:$Q$13,15,FALSE)</x:f>
        <x:v>-0.18823529411764706</x:v>
      </x:c>
      <x:c r="J1817" s="12" t="str">
        <x:v>Location model input - competition/saturation context</x:v>
      </x:c>
      <x:c r="K1817" s="12" t="str">
        <x:v>Business count is from 2018 while population/context indicators are newer; use as a historical proxy, not a current market count.</x:v>
      </x:c>
    </x:row>
    <x:row r="1818">
      <x:c r="A1818" s="12" t="str">
        <x:v>4723</x:v>
      </x:c>
      <x:c r="B1818" s="12" t="str">
        <x:v>Retail sale of tobacco products in specialized stores</x:v>
      </x:c>
      <x:c r="C1818" s="12" t="str">
        <x:v>إربد</x:v>
      </x:c>
      <x:c r="D1818" s="14" t="n">
        <x:v>271</x:v>
      </x:c>
      <x:c r="E1818" s="14" t="n">
        <x:f>VLOOKUP(C1818,'Governorate Master'!$A$2:$Q$13,3,FALSE)</x:f>
        <x:v>2210500</x:v>
      </x:c>
      <x:c r="F1818" s="66" t="n">
        <x:f>IF(E1818=0,0,D1818/E1818*10000)</x:f>
        <x:v>1.2259669757973308</x:v>
      </x:c>
      <x:c r="G1818" s="67" t="n">
        <x:f>VLOOKUP(C1818,'Governorate Master'!$A$2:$Q$13,7,FALSE)</x:f>
        <x:v>1406.4</x:v>
      </x:c>
      <x:c r="H1818" s="20" t="n">
        <x:f>VLOOKUP(C1818,'Governorate Master'!$A$2:$Q$13,6,FALSE)</x:f>
        <x:v>0.9235014702555983</x:v>
      </x:c>
      <x:c r="I1818" s="20" t="n">
        <x:f>VLOOKUP(C1818,'Governorate Master'!$A$2:$Q$13,15,FALSE)</x:f>
        <x:v>0.07086922474549726</x:v>
      </x:c>
      <x:c r="J1818" s="12" t="str">
        <x:v>Location model input - competition/saturation context</x:v>
      </x:c>
      <x:c r="K1818" s="12" t="str">
        <x:v>Business count is from 2018 while population/context indicators are newer; use as a historical proxy, not a current market count.</x:v>
      </x:c>
    </x:row>
    <x:row r="1819">
      <x:c r="A1819" s="12" t="str">
        <x:v>4723</x:v>
      </x:c>
      <x:c r="B1819" s="12" t="str">
        <x:v>Retail sale of tobacco products in specialized stores</x:v>
      </x:c>
      <x:c r="C1819" s="12" t="str">
        <x:v>المفرق</x:v>
      </x:c>
      <x:c r="D1819" s="14" t="n">
        <x:v>46</x:v>
      </x:c>
      <x:c r="E1819" s="14" t="n">
        <x:f>VLOOKUP(C1819,'Governorate Master'!$A$2:$Q$13,3,FALSE)</x:f>
        <x:v>686800</x:v>
      </x:c>
      <x:c r="F1819" s="66" t="n">
        <x:f>IF(E1819=0,0,D1819/E1819*10000)</x:f>
        <x:v>0.6697728596389051</x:v>
      </x:c>
      <x:c r="G1819" s="67" t="n">
        <x:f>VLOOKUP(C1819,'Governorate Master'!$A$2:$Q$13,7,FALSE)</x:f>
        <x:v>25.9</x:v>
      </x:c>
      <x:c r="H1819" s="20" t="n">
        <x:f>VLOOKUP(C1819,'Governorate Master'!$A$2:$Q$13,6,FALSE)</x:f>
        <x:v>0.6965637740244612</x:v>
      </x:c>
      <x:c r="I1819" s="20" t="n">
        <x:f>VLOOKUP(C1819,'Governorate Master'!$A$2:$Q$13,15,FALSE)</x:f>
        <x:v>-0.016638935108153077</x:v>
      </x:c>
      <x:c r="J1819" s="12" t="str">
        <x:v>Location model input - competition/saturation context</x:v>
      </x:c>
      <x:c r="K1819" s="12" t="str">
        <x:v>Business count is from 2018 while population/context indicators are newer; use as a historical proxy, not a current market count.</x:v>
      </x:c>
    </x:row>
    <x:row r="1820">
      <x:c r="A1820" s="12" t="str">
        <x:v>4723</x:v>
      </x:c>
      <x:c r="B1820" s="12" t="str">
        <x:v>Retail sale of tobacco products in specialized stores</x:v>
      </x:c>
      <x:c r="C1820" s="12" t="str">
        <x:v>جرش</x:v>
      </x:c>
      <x:c r="D1820" s="14" t="n">
        <x:v>28</x:v>
      </x:c>
      <x:c r="E1820" s="14" t="n">
        <x:f>VLOOKUP(C1820,'Governorate Master'!$A$2:$Q$13,3,FALSE)</x:f>
        <x:v>296000</x:v>
      </x:c>
      <x:c r="F1820" s="66" t="n">
        <x:f>IF(E1820=0,0,D1820/E1820*10000)</x:f>
        <x:v>0.9459459459459459</x:v>
      </x:c>
      <x:c r="G1820" s="67" t="n">
        <x:f>VLOOKUP(C1820,'Governorate Master'!$A$2:$Q$13,7,FALSE)</x:f>
        <x:v>722.3</x:v>
      </x:c>
      <x:c r="H1820" s="20" t="n">
        <x:f>VLOOKUP(C1820,'Governorate Master'!$A$2:$Q$13,6,FALSE)</x:f>
        <x:v>0.7695945945945946</x:v>
      </x:c>
      <x:c r="I1820" s="20" t="n">
        <x:f>VLOOKUP(C1820,'Governorate Master'!$A$2:$Q$13,15,FALSE)</x:f>
        <x:v>-0.06527415143603134</x:v>
      </x:c>
      <x:c r="J1820" s="12" t="str">
        <x:v>Location model input - competition/saturation context</x:v>
      </x:c>
      <x:c r="K1820" s="12" t="str">
        <x:v>Business count is from 2018 while population/context indicators are newer; use as a historical proxy, not a current market count.</x:v>
      </x:c>
    </x:row>
    <x:row r="1821">
      <x:c r="A1821" s="12" t="str">
        <x:v>4723</x:v>
      </x:c>
      <x:c r="B1821" s="12" t="str">
        <x:v>Retail sale of tobacco products in specialized stores</x:v>
      </x:c>
      <x:c r="C1821" s="12" t="str">
        <x:v>عجلون</x:v>
      </x:c>
      <x:c r="D1821" s="14" t="n">
        <x:v>11</x:v>
      </x:c>
      <x:c r="E1821" s="14" t="n">
        <x:f>VLOOKUP(C1821,'Governorate Master'!$A$2:$Q$13,3,FALSE)</x:f>
        <x:v>219900</x:v>
      </x:c>
      <x:c r="F1821" s="66" t="n">
        <x:f>IF(E1821=0,0,D1821/E1821*10000)</x:f>
        <x:v>0.5002273760800364</x:v>
      </x:c>
      <x:c r="G1821" s="67" t="n">
        <x:f>VLOOKUP(C1821,'Governorate Master'!$A$2:$Q$13,7,FALSE)</x:f>
        <x:v>524</x:v>
      </x:c>
      <x:c r="H1821" s="20" t="n">
        <x:f>VLOOKUP(C1821,'Governorate Master'!$A$2:$Q$13,6,FALSE)</x:f>
        <x:v>0.8390177353342428</x:v>
      </x:c>
      <x:c r="I1821" s="20" t="n">
        <x:f>VLOOKUP(C1821,'Governorate Master'!$A$2:$Q$13,15,FALSE)</x:f>
        <x:v>0.03614457831325301</x:v>
      </x:c>
      <x:c r="J1821" s="12" t="str">
        <x:v>Location model input - competition/saturation context</x:v>
      </x:c>
      <x:c r="K1821" s="12" t="str">
        <x:v>Business count is from 2018 while population/context indicators are newer; use as a historical proxy, not a current market count.</x:v>
      </x:c>
    </x:row>
    <x:row r="1822">
      <x:c r="A1822" s="12" t="str">
        <x:v>4723</x:v>
      </x:c>
      <x:c r="B1822" s="12" t="str">
        <x:v>Retail sale of tobacco products in specialized stores</x:v>
      </x:c>
      <x:c r="C1822" s="12" t="str">
        <x:v>الكرك</x:v>
      </x:c>
      <x:c r="D1822" s="14" t="n">
        <x:v>32</x:v>
      </x:c>
      <x:c r="E1822" s="14" t="n">
        <x:f>VLOOKUP(C1822,'Governorate Master'!$A$2:$Q$13,3,FALSE)</x:f>
        <x:v>395400</x:v>
      </x:c>
      <x:c r="F1822" s="66" t="n">
        <x:f>IF(E1822=0,0,D1822/E1822*10000)</x:f>
        <x:v>0.8093070308548305</x:v>
      </x:c>
      <x:c r="G1822" s="67" t="n">
        <x:f>VLOOKUP(C1822,'Governorate Master'!$A$2:$Q$13,7,FALSE)</x:f>
        <x:v>113.1</x:v>
      </x:c>
      <x:c r="H1822" s="20" t="n">
        <x:f>VLOOKUP(C1822,'Governorate Master'!$A$2:$Q$13,6,FALSE)</x:f>
        <x:v>0.5912999494183105</x:v>
      </x:c>
      <x:c r="I1822" s="20" t="n">
        <x:f>VLOOKUP(C1822,'Governorate Master'!$A$2:$Q$13,15,FALSE)</x:f>
        <x:v>0.08710801393728224</x:v>
      </x:c>
      <x:c r="J1822" s="12" t="str">
        <x:v>Location model input - competition/saturation context</x:v>
      </x:c>
      <x:c r="K1822" s="12" t="str">
        <x:v>Business count is from 2018 while population/context indicators are newer; use as a historical proxy, not a current market count.</x:v>
      </x:c>
    </x:row>
    <x:row r="1823">
      <x:c r="A1823" s="12" t="str">
        <x:v>4723</x:v>
      </x:c>
      <x:c r="B1823" s="12" t="str">
        <x:v>Retail sale of tobacco products in specialized stores</x:v>
      </x:c>
      <x:c r="C1823" s="12" t="str">
        <x:v>الطفيلة</x:v>
      </x:c>
      <x:c r="D1823" s="14" t="n">
        <x:v>11</x:v>
      </x:c>
      <x:c r="E1823" s="14" t="n">
        <x:f>VLOOKUP(C1823,'Governorate Master'!$A$2:$Q$13,3,FALSE)</x:f>
        <x:v>120300</x:v>
      </x:c>
      <x:c r="F1823" s="66" t="n">
        <x:f>IF(E1823=0,0,D1823/E1823*10000)</x:f>
        <x:v>0.914380714879468</x:v>
      </x:c>
      <x:c r="G1823" s="67" t="n">
        <x:f>VLOOKUP(C1823,'Governorate Master'!$A$2:$Q$13,7,FALSE)</x:f>
        <x:v>54.4</x:v>
      </x:c>
      <x:c r="H1823" s="20" t="n">
        <x:f>VLOOKUP(C1823,'Governorate Master'!$A$2:$Q$13,6,FALSE)</x:f>
        <x:v>0.7797173732335827</x:v>
      </x:c>
      <x:c r="I1823" s="20" t="n">
        <x:f>VLOOKUP(C1823,'Governorate Master'!$A$2:$Q$13,15,FALSE)</x:f>
        <x:v>0.18452380952380953</x:v>
      </x:c>
      <x:c r="J1823" s="12" t="str">
        <x:v>Location model input - competition/saturation context</x:v>
      </x:c>
      <x:c r="K1823" s="12" t="str">
        <x:v>Business count is from 2018 while population/context indicators are newer; use as a historical proxy, not a current market count.</x:v>
      </x:c>
    </x:row>
    <x:row r="1824">
      <x:c r="A1824" s="12" t="str">
        <x:v>4723</x:v>
      </x:c>
      <x:c r="B1824" s="12" t="str">
        <x:v>Retail sale of tobacco products in specialized stores</x:v>
      </x:c>
      <x:c r="C1824" s="12" t="str">
        <x:v>معان</x:v>
      </x:c>
      <x:c r="D1824" s="14" t="n">
        <x:v>15</x:v>
      </x:c>
      <x:c r="E1824" s="14" t="n">
        <x:f>VLOOKUP(C1824,'Governorate Master'!$A$2:$Q$13,3,FALSE)</x:f>
        <x:v>197900</x:v>
      </x:c>
      <x:c r="F1824" s="66" t="n">
        <x:f>IF(E1824=0,0,D1824/E1824*10000)</x:f>
        <x:v>0.7579585649317837</x:v>
      </x:c>
      <x:c r="G1824" s="67" t="n">
        <x:f>VLOOKUP(C1824,'Governorate Master'!$A$2:$Q$13,7,FALSE)</x:f>
        <x:v>6</x:v>
      </x:c>
      <x:c r="H1824" s="20" t="n">
        <x:f>VLOOKUP(C1824,'Governorate Master'!$A$2:$Q$13,6,FALSE)</x:f>
        <x:v>0.5406771096513391</x:v>
      </x:c>
      <x:c r="I1824" s="20" t="n">
        <x:f>VLOOKUP(C1824,'Governorate Master'!$A$2:$Q$13,15,FALSE)</x:f>
        <x:v>0.026845637583892617</x:v>
      </x:c>
      <x:c r="J1824" s="12" t="str">
        <x:v>Location model input - competition/saturation context</x:v>
      </x:c>
      <x:c r="K1824" s="12" t="str">
        <x:v>Business count is from 2018 while population/context indicators are newer; use as a historical proxy, not a current market count.</x:v>
      </x:c>
    </x:row>
    <x:row r="1825">
      <x:c r="A1825" s="12" t="str">
        <x:v>4723</x:v>
      </x:c>
      <x:c r="B1825" s="12" t="str">
        <x:v>Retail sale of tobacco products in specialized stores</x:v>
      </x:c>
      <x:c r="C1825" s="12" t="str">
        <x:v>العقبة</x:v>
      </x:c>
      <x:c r="D1825" s="14" t="n">
        <x:v>17</x:v>
      </x:c>
      <x:c r="E1825" s="14" t="n">
        <x:f>VLOOKUP(C1825,'Governorate Master'!$A$2:$Q$13,3,FALSE)</x:f>
        <x:v>250900</x:v>
      </x:c>
      <x:c r="F1825" s="66" t="n">
        <x:f>IF(E1825=0,0,D1825/E1825*10000)</x:f>
        <x:v>0.6775607811877241</x:v>
      </x:c>
      <x:c r="G1825" s="67" t="n">
        <x:f>VLOOKUP(C1825,'Governorate Master'!$A$2:$Q$13,7,FALSE)</x:f>
        <x:v>36.3</x:v>
      </x:c>
      <x:c r="H1825" s="20" t="n">
        <x:f>VLOOKUP(C1825,'Governorate Master'!$A$2:$Q$13,6,FALSE)</x:f>
        <x:v>0.882024711040255</x:v>
      </x:c>
      <x:c r="I1825" s="20" t="n">
        <x:f>VLOOKUP(C1825,'Governorate Master'!$A$2:$Q$13,15,FALSE)</x:f>
        <x:v>-0.09</x:v>
      </x:c>
      <x:c r="J1825" s="12" t="str">
        <x:v>Location model input - competition/saturation context</x:v>
      </x:c>
      <x:c r="K1825" s="12" t="str">
        <x:v>Business count is from 2018 while population/context indicators are newer; use as a historical proxy, not a current market count.</x:v>
      </x:c>
    </x:row>
    <x:row r="1826">
      <x:c r="A1826" s="12" t="str">
        <x:v>4730</x:v>
      </x:c>
      <x:c r="B1826" s="12" t="str">
        <x:v>Retail sale of automotive fuel in specialized stores</x:v>
      </x:c>
      <x:c r="C1826" s="12" t="str">
        <x:v>عمان</x:v>
      </x:c>
      <x:c r="D1826" s="14" t="n">
        <x:v>132</x:v>
      </x:c>
      <x:c r="E1826" s="14" t="n">
        <x:f>VLOOKUP(C1826,'Governorate Master'!$A$2:$Q$13,3,FALSE)</x:f>
        <x:v>5004600</x:v>
      </x:c>
      <x:c r="F1826" s="66" t="n">
        <x:f>IF(E1826=0,0,D1826/E1826*10000)</x:f>
        <x:v>0.26375734324421535</x:v>
      </x:c>
      <x:c r="G1826" s="67" t="n">
        <x:f>VLOOKUP(C1826,'Governorate Master'!$A$2:$Q$13,7,FALSE)</x:f>
        <x:v>660.3</x:v>
      </x:c>
      <x:c r="H1826" s="20" t="n">
        <x:f>VLOOKUP(C1826,'Governorate Master'!$A$2:$Q$13,6,FALSE)</x:f>
        <x:v>0.9721656076409703</x:v>
      </x:c>
      <x:c r="I1826" s="20" t="n">
        <x:f>VLOOKUP(C1826,'Governorate Master'!$A$2:$Q$13,15,FALSE)</x:f>
        <x:v>0.06367041198501873</x:v>
      </x:c>
      <x:c r="J1826" s="12" t="str">
        <x:v>Location model input - competition/saturation context</x:v>
      </x:c>
      <x:c r="K1826" s="12" t="str">
        <x:v>Business count is from 2018 while population/context indicators are newer; use as a historical proxy, not a current market count.</x:v>
      </x:c>
    </x:row>
    <x:row r="1827">
      <x:c r="A1827" s="12" t="str">
        <x:v>4730</x:v>
      </x:c>
      <x:c r="B1827" s="12" t="str">
        <x:v>Retail sale of automotive fuel in specialized stores</x:v>
      </x:c>
      <x:c r="C1827" s="12" t="str">
        <x:v>البلقاء</x:v>
      </x:c>
      <x:c r="D1827" s="14" t="n">
        <x:v>16</x:v>
      </x:c>
      <x:c r="E1827" s="14" t="n">
        <x:f>VLOOKUP(C1827,'Governorate Master'!$A$2:$Q$13,3,FALSE)</x:f>
        <x:v>614000</x:v>
      </x:c>
      <x:c r="F1827" s="66" t="n">
        <x:f>IF(E1827=0,0,D1827/E1827*10000)</x:f>
        <x:v>0.26058631921824105</x:v>
      </x:c>
      <x:c r="G1827" s="67" t="n">
        <x:f>VLOOKUP(C1827,'Governorate Master'!$A$2:$Q$13,7,FALSE)</x:f>
        <x:v>548</x:v>
      </x:c>
      <x:c r="H1827" s="20" t="n">
        <x:f>VLOOKUP(C1827,'Governorate Master'!$A$2:$Q$13,6,FALSE)</x:f>
        <x:v>0.8210097719869707</x:v>
      </x:c>
      <x:c r="I1827" s="20" t="n">
        <x:f>VLOOKUP(C1827,'Governorate Master'!$A$2:$Q$13,15,FALSE)</x:f>
        <x:v>0.10794044665012408</x:v>
      </x:c>
      <x:c r="J1827" s="12" t="str">
        <x:v>Location model input - competition/saturation context</x:v>
      </x:c>
      <x:c r="K1827" s="12" t="str">
        <x:v>Business count is from 2018 while population/context indicators are newer; use as a historical proxy, not a current market count.</x:v>
      </x:c>
    </x:row>
    <x:row r="1828">
      <x:c r="A1828" s="12" t="str">
        <x:v>4730</x:v>
      </x:c>
      <x:c r="B1828" s="12" t="str">
        <x:v>Retail sale of automotive fuel in specialized stores</x:v>
      </x:c>
      <x:c r="C1828" s="12" t="str">
        <x:v>الزرقاء</x:v>
      </x:c>
      <x:c r="D1828" s="14" t="n">
        <x:v>38</x:v>
      </x:c>
      <x:c r="E1828" s="14" t="n">
        <x:f>VLOOKUP(C1828,'Governorate Master'!$A$2:$Q$13,3,FALSE)</x:f>
        <x:v>1704500</x:v>
      </x:c>
      <x:c r="F1828" s="66" t="n">
        <x:f>IF(E1828=0,0,D1828/E1828*10000)</x:f>
        <x:v>0.22293927838075683</x:v>
      </x:c>
      <x:c r="G1828" s="67" t="n">
        <x:f>VLOOKUP(C1828,'Governorate Master'!$A$2:$Q$13,7,FALSE)</x:f>
        <x:v>358</x:v>
      </x:c>
      <x:c r="H1828" s="20" t="n">
        <x:f>VLOOKUP(C1828,'Governorate Master'!$A$2:$Q$13,6,FALSE)</x:f>
        <x:v>0.9636256966852449</x:v>
      </x:c>
      <x:c r="I1828" s="20" t="n">
        <x:f>VLOOKUP(C1828,'Governorate Master'!$A$2:$Q$13,15,FALSE)</x:f>
        <x:v>-0.06808762581409118</x:v>
      </x:c>
      <x:c r="J1828" s="12" t="str">
        <x:v>Location model input - competition/saturation context</x:v>
      </x:c>
      <x:c r="K1828" s="12" t="str">
        <x:v>Business count is from 2018 while population/context indicators are newer; use as a historical proxy, not a current market count.</x:v>
      </x:c>
    </x:row>
    <x:row r="1829">
      <x:c r="A1829" s="12" t="str">
        <x:v>4730</x:v>
      </x:c>
      <x:c r="B1829" s="12" t="str">
        <x:v>Retail sale of automotive fuel in specialized stores</x:v>
      </x:c>
      <x:c r="C1829" s="12" t="str">
        <x:v>مادبا</x:v>
      </x:c>
      <x:c r="D1829" s="14" t="n">
        <x:v>16</x:v>
      </x:c>
      <x:c r="E1829" s="14" t="n">
        <x:f>VLOOKUP(C1829,'Governorate Master'!$A$2:$Q$13,3,FALSE)</x:f>
        <x:v>236200</x:v>
      </x:c>
      <x:c r="F1829" s="66" t="n">
        <x:f>IF(E1829=0,0,D1829/E1829*10000)</x:f>
        <x:v>0.6773920406435224</x:v>
      </x:c>
      <x:c r="G1829" s="67" t="n">
        <x:f>VLOOKUP(C1829,'Governorate Master'!$A$2:$Q$13,7,FALSE)</x:f>
        <x:v>251.4</x:v>
      </x:c>
      <x:c r="H1829" s="20" t="n">
        <x:f>VLOOKUP(C1829,'Governorate Master'!$A$2:$Q$13,6,FALSE)</x:f>
        <x:v>0.7823878069432684</x:v>
      </x:c>
      <x:c r="I1829" s="20" t="n">
        <x:f>VLOOKUP(C1829,'Governorate Master'!$A$2:$Q$13,15,FALSE)</x:f>
        <x:v>-0.18823529411764706</x:v>
      </x:c>
      <x:c r="J1829" s="12" t="str">
        <x:v>Location model input - competition/saturation context</x:v>
      </x:c>
      <x:c r="K1829" s="12" t="str">
        <x:v>Business count is from 2018 while population/context indicators are newer; use as a historical proxy, not a current market count.</x:v>
      </x:c>
    </x:row>
    <x:row r="1830">
      <x:c r="A1830" s="12" t="str">
        <x:v>4730</x:v>
      </x:c>
      <x:c r="B1830" s="12" t="str">
        <x:v>Retail sale of automotive fuel in specialized stores</x:v>
      </x:c>
      <x:c r="C1830" s="12" t="str">
        <x:v>إربد</x:v>
      </x:c>
      <x:c r="D1830" s="14" t="n">
        <x:v>81</x:v>
      </x:c>
      <x:c r="E1830" s="14" t="n">
        <x:f>VLOOKUP(C1830,'Governorate Master'!$A$2:$Q$13,3,FALSE)</x:f>
        <x:v>2210500</x:v>
      </x:c>
      <x:c r="F1830" s="66" t="n">
        <x:f>IF(E1830=0,0,D1830/E1830*10000)</x:f>
        <x:v>0.3664329337254015</x:v>
      </x:c>
      <x:c r="G1830" s="67" t="n">
        <x:f>VLOOKUP(C1830,'Governorate Master'!$A$2:$Q$13,7,FALSE)</x:f>
        <x:v>1406.4</x:v>
      </x:c>
      <x:c r="H1830" s="20" t="n">
        <x:f>VLOOKUP(C1830,'Governorate Master'!$A$2:$Q$13,6,FALSE)</x:f>
        <x:v>0.9235014702555983</x:v>
      </x:c>
      <x:c r="I1830" s="20" t="n">
        <x:f>VLOOKUP(C1830,'Governorate Master'!$A$2:$Q$13,15,FALSE)</x:f>
        <x:v>0.07086922474549726</x:v>
      </x:c>
      <x:c r="J1830" s="12" t="str">
        <x:v>Location model input - competition/saturation context</x:v>
      </x:c>
      <x:c r="K1830" s="12" t="str">
        <x:v>Business count is from 2018 while population/context indicators are newer; use as a historical proxy, not a current market count.</x:v>
      </x:c>
    </x:row>
    <x:row r="1831">
      <x:c r="A1831" s="12" t="str">
        <x:v>4730</x:v>
      </x:c>
      <x:c r="B1831" s="12" t="str">
        <x:v>Retail sale of automotive fuel in specialized stores</x:v>
      </x:c>
      <x:c r="C1831" s="12" t="str">
        <x:v>المفرق</x:v>
      </x:c>
      <x:c r="D1831" s="14" t="n">
        <x:v>23</x:v>
      </x:c>
      <x:c r="E1831" s="14" t="n">
        <x:f>VLOOKUP(C1831,'Governorate Master'!$A$2:$Q$13,3,FALSE)</x:f>
        <x:v>686800</x:v>
      </x:c>
      <x:c r="F1831" s="66" t="n">
        <x:f>IF(E1831=0,0,D1831/E1831*10000)</x:f>
        <x:v>0.33488642981945255</x:v>
      </x:c>
      <x:c r="G1831" s="67" t="n">
        <x:f>VLOOKUP(C1831,'Governorate Master'!$A$2:$Q$13,7,FALSE)</x:f>
        <x:v>25.9</x:v>
      </x:c>
      <x:c r="H1831" s="20" t="n">
        <x:f>VLOOKUP(C1831,'Governorate Master'!$A$2:$Q$13,6,FALSE)</x:f>
        <x:v>0.6965637740244612</x:v>
      </x:c>
      <x:c r="I1831" s="20" t="n">
        <x:f>VLOOKUP(C1831,'Governorate Master'!$A$2:$Q$13,15,FALSE)</x:f>
        <x:v>-0.016638935108153077</x:v>
      </x:c>
      <x:c r="J1831" s="12" t="str">
        <x:v>Location model input - competition/saturation context</x:v>
      </x:c>
      <x:c r="K1831" s="12" t="str">
        <x:v>Business count is from 2018 while population/context indicators are newer; use as a historical proxy, not a current market count.</x:v>
      </x:c>
    </x:row>
    <x:row r="1832">
      <x:c r="A1832" s="12" t="str">
        <x:v>4730</x:v>
      </x:c>
      <x:c r="B1832" s="12" t="str">
        <x:v>Retail sale of automotive fuel in specialized stores</x:v>
      </x:c>
      <x:c r="C1832" s="12" t="str">
        <x:v>جرش</x:v>
      </x:c>
      <x:c r="D1832" s="14" t="n">
        <x:v>11</x:v>
      </x:c>
      <x:c r="E1832" s="14" t="n">
        <x:f>VLOOKUP(C1832,'Governorate Master'!$A$2:$Q$13,3,FALSE)</x:f>
        <x:v>296000</x:v>
      </x:c>
      <x:c r="F1832" s="66" t="n">
        <x:f>IF(E1832=0,0,D1832/E1832*10000)</x:f>
        <x:v>0.37162162162162166</x:v>
      </x:c>
      <x:c r="G1832" s="67" t="n">
        <x:f>VLOOKUP(C1832,'Governorate Master'!$A$2:$Q$13,7,FALSE)</x:f>
        <x:v>722.3</x:v>
      </x:c>
      <x:c r="H1832" s="20" t="n">
        <x:f>VLOOKUP(C1832,'Governorate Master'!$A$2:$Q$13,6,FALSE)</x:f>
        <x:v>0.7695945945945946</x:v>
      </x:c>
      <x:c r="I1832" s="20" t="n">
        <x:f>VLOOKUP(C1832,'Governorate Master'!$A$2:$Q$13,15,FALSE)</x:f>
        <x:v>-0.06527415143603134</x:v>
      </x:c>
      <x:c r="J1832" s="12" t="str">
        <x:v>Location model input - competition/saturation context</x:v>
      </x:c>
      <x:c r="K1832" s="12" t="str">
        <x:v>Business count is from 2018 while population/context indicators are newer; use as a historical proxy, not a current market count.</x:v>
      </x:c>
    </x:row>
    <x:row r="1833">
      <x:c r="A1833" s="12" t="str">
        <x:v>4730</x:v>
      </x:c>
      <x:c r="B1833" s="12" t="str">
        <x:v>Retail sale of automotive fuel in specialized stores</x:v>
      </x:c>
      <x:c r="C1833" s="12" t="str">
        <x:v>عجلون</x:v>
      </x:c>
      <x:c r="D1833" s="14" t="n">
        <x:v>7</x:v>
      </x:c>
      <x:c r="E1833" s="14" t="n">
        <x:f>VLOOKUP(C1833,'Governorate Master'!$A$2:$Q$13,3,FALSE)</x:f>
        <x:v>219900</x:v>
      </x:c>
      <x:c r="F1833" s="66" t="n">
        <x:f>IF(E1833=0,0,D1833/E1833*10000)</x:f>
        <x:v>0.3183265120509322</x:v>
      </x:c>
      <x:c r="G1833" s="67" t="n">
        <x:f>VLOOKUP(C1833,'Governorate Master'!$A$2:$Q$13,7,FALSE)</x:f>
        <x:v>524</x:v>
      </x:c>
      <x:c r="H1833" s="20" t="n">
        <x:f>VLOOKUP(C1833,'Governorate Master'!$A$2:$Q$13,6,FALSE)</x:f>
        <x:v>0.8390177353342428</x:v>
      </x:c>
      <x:c r="I1833" s="20" t="n">
        <x:f>VLOOKUP(C1833,'Governorate Master'!$A$2:$Q$13,15,FALSE)</x:f>
        <x:v>0.03614457831325301</x:v>
      </x:c>
      <x:c r="J1833" s="12" t="str">
        <x:v>Location model input - competition/saturation context</x:v>
      </x:c>
      <x:c r="K1833" s="12" t="str">
        <x:v>Business count is from 2018 while population/context indicators are newer; use as a historical proxy, not a current market count.</x:v>
      </x:c>
    </x:row>
    <x:row r="1834">
      <x:c r="A1834" s="12" t="str">
        <x:v>4730</x:v>
      </x:c>
      <x:c r="B1834" s="12" t="str">
        <x:v>Retail sale of automotive fuel in specialized stores</x:v>
      </x:c>
      <x:c r="C1834" s="12" t="str">
        <x:v>الكرك</x:v>
      </x:c>
      <x:c r="D1834" s="14" t="n">
        <x:v>10</x:v>
      </x:c>
      <x:c r="E1834" s="14" t="n">
        <x:f>VLOOKUP(C1834,'Governorate Master'!$A$2:$Q$13,3,FALSE)</x:f>
        <x:v>395400</x:v>
      </x:c>
      <x:c r="F1834" s="66" t="n">
        <x:f>IF(E1834=0,0,D1834/E1834*10000)</x:f>
        <x:v>0.25290844714213456</x:v>
      </x:c>
      <x:c r="G1834" s="67" t="n">
        <x:f>VLOOKUP(C1834,'Governorate Master'!$A$2:$Q$13,7,FALSE)</x:f>
        <x:v>113.1</x:v>
      </x:c>
      <x:c r="H1834" s="20" t="n">
        <x:f>VLOOKUP(C1834,'Governorate Master'!$A$2:$Q$13,6,FALSE)</x:f>
        <x:v>0.5912999494183105</x:v>
      </x:c>
      <x:c r="I1834" s="20" t="n">
        <x:f>VLOOKUP(C1834,'Governorate Master'!$A$2:$Q$13,15,FALSE)</x:f>
        <x:v>0.08710801393728224</x:v>
      </x:c>
      <x:c r="J1834" s="12" t="str">
        <x:v>Location model input - competition/saturation context</x:v>
      </x:c>
      <x:c r="K1834" s="12" t="str">
        <x:v>Business count is from 2018 while population/context indicators are newer; use as a historical proxy, not a current market count.</x:v>
      </x:c>
    </x:row>
    <x:row r="1835">
      <x:c r="A1835" s="12" t="str">
        <x:v>4730</x:v>
      </x:c>
      <x:c r="B1835" s="12" t="str">
        <x:v>Retail sale of automotive fuel in specialized stores</x:v>
      </x:c>
      <x:c r="C1835" s="12" t="str">
        <x:v>الطفيلة</x:v>
      </x:c>
      <x:c r="D1835" s="14" t="n">
        <x:v>3</x:v>
      </x:c>
      <x:c r="E1835" s="14" t="n">
        <x:f>VLOOKUP(C1835,'Governorate Master'!$A$2:$Q$13,3,FALSE)</x:f>
        <x:v>120300</x:v>
      </x:c>
      <x:c r="F1835" s="66" t="n">
        <x:f>IF(E1835=0,0,D1835/E1835*10000)</x:f>
        <x:v>0.24937655860349128</x:v>
      </x:c>
      <x:c r="G1835" s="67" t="n">
        <x:f>VLOOKUP(C1835,'Governorate Master'!$A$2:$Q$13,7,FALSE)</x:f>
        <x:v>54.4</x:v>
      </x:c>
      <x:c r="H1835" s="20" t="n">
        <x:f>VLOOKUP(C1835,'Governorate Master'!$A$2:$Q$13,6,FALSE)</x:f>
        <x:v>0.7797173732335827</x:v>
      </x:c>
      <x:c r="I1835" s="20" t="n">
        <x:f>VLOOKUP(C1835,'Governorate Master'!$A$2:$Q$13,15,FALSE)</x:f>
        <x:v>0.18452380952380953</x:v>
      </x:c>
      <x:c r="J1835" s="12" t="str">
        <x:v>Location model input - competition/saturation context</x:v>
      </x:c>
      <x:c r="K1835" s="12" t="str">
        <x:v>Business count is from 2018 while population/context indicators are newer; use as a historical proxy, not a current market count.</x:v>
      </x:c>
    </x:row>
    <x:row r="1836">
      <x:c r="A1836" s="12" t="str">
        <x:v>4730</x:v>
      </x:c>
      <x:c r="B1836" s="12" t="str">
        <x:v>Retail sale of automotive fuel in specialized stores</x:v>
      </x:c>
      <x:c r="C1836" s="12" t="str">
        <x:v>معان</x:v>
      </x:c>
      <x:c r="D1836" s="14" t="n">
        <x:v>10</x:v>
      </x:c>
      <x:c r="E1836" s="14" t="n">
        <x:f>VLOOKUP(C1836,'Governorate Master'!$A$2:$Q$13,3,FALSE)</x:f>
        <x:v>197900</x:v>
      </x:c>
      <x:c r="F1836" s="66" t="n">
        <x:f>IF(E1836=0,0,D1836/E1836*10000)</x:f>
        <x:v>0.5053057099545225</x:v>
      </x:c>
      <x:c r="G1836" s="67" t="n">
        <x:f>VLOOKUP(C1836,'Governorate Master'!$A$2:$Q$13,7,FALSE)</x:f>
        <x:v>6</x:v>
      </x:c>
      <x:c r="H1836" s="20" t="n">
        <x:f>VLOOKUP(C1836,'Governorate Master'!$A$2:$Q$13,6,FALSE)</x:f>
        <x:v>0.5406771096513391</x:v>
      </x:c>
      <x:c r="I1836" s="20" t="n">
        <x:f>VLOOKUP(C1836,'Governorate Master'!$A$2:$Q$13,15,FALSE)</x:f>
        <x:v>0.026845637583892617</x:v>
      </x:c>
      <x:c r="J1836" s="12" t="str">
        <x:v>Location model input - competition/saturation context</x:v>
      </x:c>
      <x:c r="K1836" s="12" t="str">
        <x:v>Business count is from 2018 while population/context indicators are newer; use as a historical proxy, not a current market count.</x:v>
      </x:c>
    </x:row>
    <x:row r="1837">
      <x:c r="A1837" s="12" t="str">
        <x:v>4730</x:v>
      </x:c>
      <x:c r="B1837" s="12" t="str">
        <x:v>Retail sale of automotive fuel in specialized stores</x:v>
      </x:c>
      <x:c r="C1837" s="12" t="str">
        <x:v>العقبة</x:v>
      </x:c>
      <x:c r="D1837" s="14" t="n">
        <x:v>19</x:v>
      </x:c>
      <x:c r="E1837" s="14" t="n">
        <x:f>VLOOKUP(C1837,'Governorate Master'!$A$2:$Q$13,3,FALSE)</x:f>
        <x:v>250900</x:v>
      </x:c>
      <x:c r="F1837" s="66" t="n">
        <x:f>IF(E1837=0,0,D1837/E1837*10000)</x:f>
        <x:v>0.7572738142686329</x:v>
      </x:c>
      <x:c r="G1837" s="67" t="n">
        <x:f>VLOOKUP(C1837,'Governorate Master'!$A$2:$Q$13,7,FALSE)</x:f>
        <x:v>36.3</x:v>
      </x:c>
      <x:c r="H1837" s="20" t="n">
        <x:f>VLOOKUP(C1837,'Governorate Master'!$A$2:$Q$13,6,FALSE)</x:f>
        <x:v>0.882024711040255</x:v>
      </x:c>
      <x:c r="I1837" s="20" t="n">
        <x:f>VLOOKUP(C1837,'Governorate Master'!$A$2:$Q$13,15,FALSE)</x:f>
        <x:v>-0.09</x:v>
      </x:c>
      <x:c r="J1837" s="12" t="str">
        <x:v>Location model input - competition/saturation context</x:v>
      </x:c>
      <x:c r="K1837" s="12" t="str">
        <x:v>Business count is from 2018 while population/context indicators are newer; use as a historical proxy, not a current market count.</x:v>
      </x:c>
    </x:row>
    <x:row r="1838">
      <x:c r="A1838" s="12" t="str">
        <x:v>4741</x:v>
      </x:c>
      <x:c r="B1838" s="12" t="str">
        <x:v>Retail sale of computers, peripheral units, software and telecommunications equipment in specialized stores</x:v>
      </x:c>
      <x:c r="C1838" s="12" t="str">
        <x:v>عمان</x:v>
      </x:c>
      <x:c r="D1838" s="14" t="n">
        <x:v>1522</x:v>
      </x:c>
      <x:c r="E1838" s="14" t="n">
        <x:f>VLOOKUP(C1838,'Governorate Master'!$A$2:$Q$13,3,FALSE)</x:f>
        <x:v>5004600</x:v>
      </x:c>
      <x:c r="F1838" s="66" t="n">
        <x:f>IF(E1838=0,0,D1838/E1838*10000)</x:f>
        <x:v>3.0412020940734528</x:v>
      </x:c>
      <x:c r="G1838" s="67" t="n">
        <x:f>VLOOKUP(C1838,'Governorate Master'!$A$2:$Q$13,7,FALSE)</x:f>
        <x:v>660.3</x:v>
      </x:c>
      <x:c r="H1838" s="20" t="n">
        <x:f>VLOOKUP(C1838,'Governorate Master'!$A$2:$Q$13,6,FALSE)</x:f>
        <x:v>0.9721656076409703</x:v>
      </x:c>
      <x:c r="I1838" s="20" t="n">
        <x:f>VLOOKUP(C1838,'Governorate Master'!$A$2:$Q$13,15,FALSE)</x:f>
        <x:v>0.06367041198501873</x:v>
      </x:c>
      <x:c r="J1838" s="12" t="str">
        <x:v>Location model input - competition/saturation context</x:v>
      </x:c>
      <x:c r="K1838" s="12" t="str">
        <x:v>Business count is from 2018 while population/context indicators are newer; use as a historical proxy, not a current market count.</x:v>
      </x:c>
    </x:row>
    <x:row r="1839">
      <x:c r="A1839" s="12" t="str">
        <x:v>4741</x:v>
      </x:c>
      <x:c r="B1839" s="12" t="str">
        <x:v>Retail sale of computers, peripheral units, software and telecommunications equipment in specialized stores</x:v>
      </x:c>
      <x:c r="C1839" s="12" t="str">
        <x:v>البلقاء</x:v>
      </x:c>
      <x:c r="D1839" s="14" t="n">
        <x:v>254</x:v>
      </x:c>
      <x:c r="E1839" s="14" t="n">
        <x:f>VLOOKUP(C1839,'Governorate Master'!$A$2:$Q$13,3,FALSE)</x:f>
        <x:v>614000</x:v>
      </x:c>
      <x:c r="F1839" s="66" t="n">
        <x:f>IF(E1839=0,0,D1839/E1839*10000)</x:f>
        <x:v>4.136807817589577</x:v>
      </x:c>
      <x:c r="G1839" s="67" t="n">
        <x:f>VLOOKUP(C1839,'Governorate Master'!$A$2:$Q$13,7,FALSE)</x:f>
        <x:v>548</x:v>
      </x:c>
      <x:c r="H1839" s="20" t="n">
        <x:f>VLOOKUP(C1839,'Governorate Master'!$A$2:$Q$13,6,FALSE)</x:f>
        <x:v>0.8210097719869707</x:v>
      </x:c>
      <x:c r="I1839" s="20" t="n">
        <x:f>VLOOKUP(C1839,'Governorate Master'!$A$2:$Q$13,15,FALSE)</x:f>
        <x:v>0.10794044665012408</x:v>
      </x:c>
      <x:c r="J1839" s="12" t="str">
        <x:v>Location model input - competition/saturation context</x:v>
      </x:c>
      <x:c r="K1839" s="12" t="str">
        <x:v>Business count is from 2018 while population/context indicators are newer; use as a historical proxy, not a current market count.</x:v>
      </x:c>
    </x:row>
    <x:row r="1840">
      <x:c r="A1840" s="12" t="str">
        <x:v>4741</x:v>
      </x:c>
      <x:c r="B1840" s="12" t="str">
        <x:v>Retail sale of computers, peripheral units, software and telecommunications equipment in specialized stores</x:v>
      </x:c>
      <x:c r="C1840" s="12" t="str">
        <x:v>الزرقاء</x:v>
      </x:c>
      <x:c r="D1840" s="14" t="n">
        <x:v>626</x:v>
      </x:c>
      <x:c r="E1840" s="14" t="n">
        <x:f>VLOOKUP(C1840,'Governorate Master'!$A$2:$Q$13,3,FALSE)</x:f>
        <x:v>1704500</x:v>
      </x:c>
      <x:c r="F1840" s="66" t="n">
        <x:f>IF(E1840=0,0,D1840/E1840*10000)</x:f>
        <x:v>3.672631270167204</x:v>
      </x:c>
      <x:c r="G1840" s="67" t="n">
        <x:f>VLOOKUP(C1840,'Governorate Master'!$A$2:$Q$13,7,FALSE)</x:f>
        <x:v>358</x:v>
      </x:c>
      <x:c r="H1840" s="20" t="n">
        <x:f>VLOOKUP(C1840,'Governorate Master'!$A$2:$Q$13,6,FALSE)</x:f>
        <x:v>0.9636256966852449</x:v>
      </x:c>
      <x:c r="I1840" s="20" t="n">
        <x:f>VLOOKUP(C1840,'Governorate Master'!$A$2:$Q$13,15,FALSE)</x:f>
        <x:v>-0.06808762581409118</x:v>
      </x:c>
      <x:c r="J1840" s="12" t="str">
        <x:v>Location model input - competition/saturation context</x:v>
      </x:c>
      <x:c r="K1840" s="12" t="str">
        <x:v>Business count is from 2018 while population/context indicators are newer; use as a historical proxy, not a current market count.</x:v>
      </x:c>
    </x:row>
    <x:row r="1841">
      <x:c r="A1841" s="12" t="str">
        <x:v>4741</x:v>
      </x:c>
      <x:c r="B1841" s="12" t="str">
        <x:v>Retail sale of computers, peripheral units, software and telecommunications equipment in specialized stores</x:v>
      </x:c>
      <x:c r="C1841" s="12" t="str">
        <x:v>مادبا</x:v>
      </x:c>
      <x:c r="D1841" s="14" t="n">
        <x:v>110</x:v>
      </x:c>
      <x:c r="E1841" s="14" t="n">
        <x:f>VLOOKUP(C1841,'Governorate Master'!$A$2:$Q$13,3,FALSE)</x:f>
        <x:v>236200</x:v>
      </x:c>
      <x:c r="F1841" s="66" t="n">
        <x:f>IF(E1841=0,0,D1841/E1841*10000)</x:f>
        <x:v>4.657070279424217</x:v>
      </x:c>
      <x:c r="G1841" s="67" t="n">
        <x:f>VLOOKUP(C1841,'Governorate Master'!$A$2:$Q$13,7,FALSE)</x:f>
        <x:v>251.4</x:v>
      </x:c>
      <x:c r="H1841" s="20" t="n">
        <x:f>VLOOKUP(C1841,'Governorate Master'!$A$2:$Q$13,6,FALSE)</x:f>
        <x:v>0.7823878069432684</x:v>
      </x:c>
      <x:c r="I1841" s="20" t="n">
        <x:f>VLOOKUP(C1841,'Governorate Master'!$A$2:$Q$13,15,FALSE)</x:f>
        <x:v>-0.18823529411764706</x:v>
      </x:c>
      <x:c r="J1841" s="12" t="str">
        <x:v>Location model input - competition/saturation context</x:v>
      </x:c>
      <x:c r="K1841" s="12" t="str">
        <x:v>Business count is from 2018 while population/context indicators are newer; use as a historical proxy, not a current market count.</x:v>
      </x:c>
    </x:row>
    <x:row r="1842">
      <x:c r="A1842" s="12" t="str">
        <x:v>4741</x:v>
      </x:c>
      <x:c r="B1842" s="12" t="str">
        <x:v>Retail sale of computers, peripheral units, software and telecommunications equipment in specialized stores</x:v>
      </x:c>
      <x:c r="C1842" s="12" t="str">
        <x:v>إربد</x:v>
      </x:c>
      <x:c r="D1842" s="14" t="n">
        <x:v>565</x:v>
      </x:c>
      <x:c r="E1842" s="14" t="n">
        <x:f>VLOOKUP(C1842,'Governorate Master'!$A$2:$Q$13,3,FALSE)</x:f>
        <x:v>2210500</x:v>
      </x:c>
      <x:c r="F1842" s="66" t="n">
        <x:f>IF(E1842=0,0,D1842/E1842*10000)</x:f>
        <x:v>2.5559828093191586</x:v>
      </x:c>
      <x:c r="G1842" s="67" t="n">
        <x:f>VLOOKUP(C1842,'Governorate Master'!$A$2:$Q$13,7,FALSE)</x:f>
        <x:v>1406.4</x:v>
      </x:c>
      <x:c r="H1842" s="20" t="n">
        <x:f>VLOOKUP(C1842,'Governorate Master'!$A$2:$Q$13,6,FALSE)</x:f>
        <x:v>0.9235014702555983</x:v>
      </x:c>
      <x:c r="I1842" s="20" t="n">
        <x:f>VLOOKUP(C1842,'Governorate Master'!$A$2:$Q$13,15,FALSE)</x:f>
        <x:v>0.07086922474549726</x:v>
      </x:c>
      <x:c r="J1842" s="12" t="str">
        <x:v>Location model input - competition/saturation context</x:v>
      </x:c>
      <x:c r="K1842" s="12" t="str">
        <x:v>Business count is from 2018 while population/context indicators are newer; use as a historical proxy, not a current market count.</x:v>
      </x:c>
    </x:row>
    <x:row r="1843">
      <x:c r="A1843" s="12" t="str">
        <x:v>4741</x:v>
      </x:c>
      <x:c r="B1843" s="12" t="str">
        <x:v>Retail sale of computers, peripheral units, software and telecommunications equipment in specialized stores</x:v>
      </x:c>
      <x:c r="C1843" s="12" t="str">
        <x:v>المفرق</x:v>
      </x:c>
      <x:c r="D1843" s="14" t="n">
        <x:v>125</x:v>
      </x:c>
      <x:c r="E1843" s="14" t="n">
        <x:f>VLOOKUP(C1843,'Governorate Master'!$A$2:$Q$13,3,FALSE)</x:f>
        <x:v>686800</x:v>
      </x:c>
      <x:c r="F1843" s="66" t="n">
        <x:f>IF(E1843=0,0,D1843/E1843*10000)</x:f>
        <x:v>1.8200349446709376</x:v>
      </x:c>
      <x:c r="G1843" s="67" t="n">
        <x:f>VLOOKUP(C1843,'Governorate Master'!$A$2:$Q$13,7,FALSE)</x:f>
        <x:v>25.9</x:v>
      </x:c>
      <x:c r="H1843" s="20" t="n">
        <x:f>VLOOKUP(C1843,'Governorate Master'!$A$2:$Q$13,6,FALSE)</x:f>
        <x:v>0.6965637740244612</x:v>
      </x:c>
      <x:c r="I1843" s="20" t="n">
        <x:f>VLOOKUP(C1843,'Governorate Master'!$A$2:$Q$13,15,FALSE)</x:f>
        <x:v>-0.016638935108153077</x:v>
      </x:c>
      <x:c r="J1843" s="12" t="str">
        <x:v>Location model input - competition/saturation context</x:v>
      </x:c>
      <x:c r="K1843" s="12" t="str">
        <x:v>Business count is from 2018 while population/context indicators are newer; use as a historical proxy, not a current market count.</x:v>
      </x:c>
    </x:row>
    <x:row r="1844">
      <x:c r="A1844" s="12" t="str">
        <x:v>4741</x:v>
      </x:c>
      <x:c r="B1844" s="12" t="str">
        <x:v>Retail sale of computers, peripheral units, software and telecommunications equipment in specialized stores</x:v>
      </x:c>
      <x:c r="C1844" s="12" t="str">
        <x:v>جرش</x:v>
      </x:c>
      <x:c r="D1844" s="14" t="n">
        <x:v>80</x:v>
      </x:c>
      <x:c r="E1844" s="14" t="n">
        <x:f>VLOOKUP(C1844,'Governorate Master'!$A$2:$Q$13,3,FALSE)</x:f>
        <x:v>296000</x:v>
      </x:c>
      <x:c r="F1844" s="66" t="n">
        <x:f>IF(E1844=0,0,D1844/E1844*10000)</x:f>
        <x:v>2.7027027027027026</x:v>
      </x:c>
      <x:c r="G1844" s="67" t="n">
        <x:f>VLOOKUP(C1844,'Governorate Master'!$A$2:$Q$13,7,FALSE)</x:f>
        <x:v>722.3</x:v>
      </x:c>
      <x:c r="H1844" s="20" t="n">
        <x:f>VLOOKUP(C1844,'Governorate Master'!$A$2:$Q$13,6,FALSE)</x:f>
        <x:v>0.7695945945945946</x:v>
      </x:c>
      <x:c r="I1844" s="20" t="n">
        <x:f>VLOOKUP(C1844,'Governorate Master'!$A$2:$Q$13,15,FALSE)</x:f>
        <x:v>-0.06527415143603134</x:v>
      </x:c>
      <x:c r="J1844" s="12" t="str">
        <x:v>Location model input - competition/saturation context</x:v>
      </x:c>
      <x:c r="K1844" s="12" t="str">
        <x:v>Business count is from 2018 while population/context indicators are newer; use as a historical proxy, not a current market count.</x:v>
      </x:c>
    </x:row>
    <x:row r="1845">
      <x:c r="A1845" s="12" t="str">
        <x:v>4741</x:v>
      </x:c>
      <x:c r="B1845" s="12" t="str">
        <x:v>Retail sale of computers, peripheral units, software and telecommunications equipment in specialized stores</x:v>
      </x:c>
      <x:c r="C1845" s="12" t="str">
        <x:v>عجلون</x:v>
      </x:c>
      <x:c r="D1845" s="14" t="n">
        <x:v>80</x:v>
      </x:c>
      <x:c r="E1845" s="14" t="n">
        <x:f>VLOOKUP(C1845,'Governorate Master'!$A$2:$Q$13,3,FALSE)</x:f>
        <x:v>219900</x:v>
      </x:c>
      <x:c r="F1845" s="66" t="n">
        <x:f>IF(E1845=0,0,D1845/E1845*10000)</x:f>
        <x:v>3.6380172805820825</x:v>
      </x:c>
      <x:c r="G1845" s="67" t="n">
        <x:f>VLOOKUP(C1845,'Governorate Master'!$A$2:$Q$13,7,FALSE)</x:f>
        <x:v>524</x:v>
      </x:c>
      <x:c r="H1845" s="20" t="n">
        <x:f>VLOOKUP(C1845,'Governorate Master'!$A$2:$Q$13,6,FALSE)</x:f>
        <x:v>0.8390177353342428</x:v>
      </x:c>
      <x:c r="I1845" s="20" t="n">
        <x:f>VLOOKUP(C1845,'Governorate Master'!$A$2:$Q$13,15,FALSE)</x:f>
        <x:v>0.03614457831325301</x:v>
      </x:c>
      <x:c r="J1845" s="12" t="str">
        <x:v>Location model input - competition/saturation context</x:v>
      </x:c>
      <x:c r="K1845" s="12" t="str">
        <x:v>Business count is from 2018 while population/context indicators are newer; use as a historical proxy, not a current market count.</x:v>
      </x:c>
    </x:row>
    <x:row r="1846">
      <x:c r="A1846" s="12" t="str">
        <x:v>4741</x:v>
      </x:c>
      <x:c r="B1846" s="12" t="str">
        <x:v>Retail sale of computers, peripheral units, software and telecommunications equipment in specialized stores</x:v>
      </x:c>
      <x:c r="C1846" s="12" t="str">
        <x:v>الكرك</x:v>
      </x:c>
      <x:c r="D1846" s="14" t="n">
        <x:v>139</x:v>
      </x:c>
      <x:c r="E1846" s="14" t="n">
        <x:f>VLOOKUP(C1846,'Governorate Master'!$A$2:$Q$13,3,FALSE)</x:f>
        <x:v>395400</x:v>
      </x:c>
      <x:c r="F1846" s="66" t="n">
        <x:f>IF(E1846=0,0,D1846/E1846*10000)</x:f>
        <x:v>3.5154274152756706</x:v>
      </x:c>
      <x:c r="G1846" s="67" t="n">
        <x:f>VLOOKUP(C1846,'Governorate Master'!$A$2:$Q$13,7,FALSE)</x:f>
        <x:v>113.1</x:v>
      </x:c>
      <x:c r="H1846" s="20" t="n">
        <x:f>VLOOKUP(C1846,'Governorate Master'!$A$2:$Q$13,6,FALSE)</x:f>
        <x:v>0.5912999494183105</x:v>
      </x:c>
      <x:c r="I1846" s="20" t="n">
        <x:f>VLOOKUP(C1846,'Governorate Master'!$A$2:$Q$13,15,FALSE)</x:f>
        <x:v>0.08710801393728224</x:v>
      </x:c>
      <x:c r="J1846" s="12" t="str">
        <x:v>Location model input - competition/saturation context</x:v>
      </x:c>
      <x:c r="K1846" s="12" t="str">
        <x:v>Business count is from 2018 while population/context indicators are newer; use as a historical proxy, not a current market count.</x:v>
      </x:c>
    </x:row>
    <x:row r="1847">
      <x:c r="A1847" s="12" t="str">
        <x:v>4741</x:v>
      </x:c>
      <x:c r="B1847" s="12" t="str">
        <x:v>Retail sale of computers, peripheral units, software and telecommunications equipment in specialized stores</x:v>
      </x:c>
      <x:c r="C1847" s="12" t="str">
        <x:v>الطفيلة</x:v>
      </x:c>
      <x:c r="D1847" s="14" t="n">
        <x:v>57</x:v>
      </x:c>
      <x:c r="E1847" s="14" t="n">
        <x:f>VLOOKUP(C1847,'Governorate Master'!$A$2:$Q$13,3,FALSE)</x:f>
        <x:v>120300</x:v>
      </x:c>
      <x:c r="F1847" s="66" t="n">
        <x:f>IF(E1847=0,0,D1847/E1847*10000)</x:f>
        <x:v>4.738154613466334</x:v>
      </x:c>
      <x:c r="G1847" s="67" t="n">
        <x:f>VLOOKUP(C1847,'Governorate Master'!$A$2:$Q$13,7,FALSE)</x:f>
        <x:v>54.4</x:v>
      </x:c>
      <x:c r="H1847" s="20" t="n">
        <x:f>VLOOKUP(C1847,'Governorate Master'!$A$2:$Q$13,6,FALSE)</x:f>
        <x:v>0.7797173732335827</x:v>
      </x:c>
      <x:c r="I1847" s="20" t="n">
        <x:f>VLOOKUP(C1847,'Governorate Master'!$A$2:$Q$13,15,FALSE)</x:f>
        <x:v>0.18452380952380953</x:v>
      </x:c>
      <x:c r="J1847" s="12" t="str">
        <x:v>Location model input - competition/saturation context</x:v>
      </x:c>
      <x:c r="K1847" s="12" t="str">
        <x:v>Business count is from 2018 while population/context indicators are newer; use as a historical proxy, not a current market count.</x:v>
      </x:c>
    </x:row>
    <x:row r="1848">
      <x:c r="A1848" s="12" t="str">
        <x:v>4741</x:v>
      </x:c>
      <x:c r="B1848" s="12" t="str">
        <x:v>Retail sale of computers, peripheral units, software and telecommunications equipment in specialized stores</x:v>
      </x:c>
      <x:c r="C1848" s="12" t="str">
        <x:v>معان</x:v>
      </x:c>
      <x:c r="D1848" s="14" t="n">
        <x:v>66</x:v>
      </x:c>
      <x:c r="E1848" s="14" t="n">
        <x:f>VLOOKUP(C1848,'Governorate Master'!$A$2:$Q$13,3,FALSE)</x:f>
        <x:v>197900</x:v>
      </x:c>
      <x:c r="F1848" s="66" t="n">
        <x:f>IF(E1848=0,0,D1848/E1848*10000)</x:f>
        <x:v>3.335017685699848</x:v>
      </x:c>
      <x:c r="G1848" s="67" t="n">
        <x:f>VLOOKUP(C1848,'Governorate Master'!$A$2:$Q$13,7,FALSE)</x:f>
        <x:v>6</x:v>
      </x:c>
      <x:c r="H1848" s="20" t="n">
        <x:f>VLOOKUP(C1848,'Governorate Master'!$A$2:$Q$13,6,FALSE)</x:f>
        <x:v>0.5406771096513391</x:v>
      </x:c>
      <x:c r="I1848" s="20" t="n">
        <x:f>VLOOKUP(C1848,'Governorate Master'!$A$2:$Q$13,15,FALSE)</x:f>
        <x:v>0.026845637583892617</x:v>
      </x:c>
      <x:c r="J1848" s="12" t="str">
        <x:v>Location model input - competition/saturation context</x:v>
      </x:c>
      <x:c r="K1848" s="12" t="str">
        <x:v>Business count is from 2018 while population/context indicators are newer; use as a historical proxy, not a current market count.</x:v>
      </x:c>
    </x:row>
    <x:row r="1849">
      <x:c r="A1849" s="12" t="str">
        <x:v>4741</x:v>
      </x:c>
      <x:c r="B1849" s="12" t="str">
        <x:v>Retail sale of computers, peripheral units, software and telecommunications equipment in specialized stores</x:v>
      </x:c>
      <x:c r="C1849" s="12" t="str">
        <x:v>العقبة</x:v>
      </x:c>
      <x:c r="D1849" s="14" t="n">
        <x:v>112</x:v>
      </x:c>
      <x:c r="E1849" s="14" t="n">
        <x:f>VLOOKUP(C1849,'Governorate Master'!$A$2:$Q$13,3,FALSE)</x:f>
        <x:v>250900</x:v>
      </x:c>
      <x:c r="F1849" s="66" t="n">
        <x:f>IF(E1849=0,0,D1849/E1849*10000)</x:f>
        <x:v>4.463929852530889</x:v>
      </x:c>
      <x:c r="G1849" s="67" t="n">
        <x:f>VLOOKUP(C1849,'Governorate Master'!$A$2:$Q$13,7,FALSE)</x:f>
        <x:v>36.3</x:v>
      </x:c>
      <x:c r="H1849" s="20" t="n">
        <x:f>VLOOKUP(C1849,'Governorate Master'!$A$2:$Q$13,6,FALSE)</x:f>
        <x:v>0.882024711040255</x:v>
      </x:c>
      <x:c r="I1849" s="20" t="n">
        <x:f>VLOOKUP(C1849,'Governorate Master'!$A$2:$Q$13,15,FALSE)</x:f>
        <x:v>-0.09</x:v>
      </x:c>
      <x:c r="J1849" s="12" t="str">
        <x:v>Location model input - competition/saturation context</x:v>
      </x:c>
      <x:c r="K1849" s="12" t="str">
        <x:v>Business count is from 2018 while population/context indicators are newer; use as a historical proxy, not a current market count.</x:v>
      </x:c>
    </x:row>
    <x:row r="1850">
      <x:c r="A1850" s="12" t="str">
        <x:v>4742</x:v>
      </x:c>
      <x:c r="B1850" s="12" t="str">
        <x:v>Retail sale of audio and video equipment in specialized stores</x:v>
      </x:c>
      <x:c r="C1850" s="12" t="str">
        <x:v>عمان</x:v>
      </x:c>
      <x:c r="D1850" s="14" t="n">
        <x:v>157</x:v>
      </x:c>
      <x:c r="E1850" s="14" t="n">
        <x:f>VLOOKUP(C1850,'Governorate Master'!$A$2:$Q$13,3,FALSE)</x:f>
        <x:v>5004600</x:v>
      </x:c>
      <x:c r="F1850" s="66" t="n">
        <x:f>IF(E1850=0,0,D1850/E1850*10000)</x:f>
        <x:v>0.31371138552531674</x:v>
      </x:c>
      <x:c r="G1850" s="67" t="n">
        <x:f>VLOOKUP(C1850,'Governorate Master'!$A$2:$Q$13,7,FALSE)</x:f>
        <x:v>660.3</x:v>
      </x:c>
      <x:c r="H1850" s="20" t="n">
        <x:f>VLOOKUP(C1850,'Governorate Master'!$A$2:$Q$13,6,FALSE)</x:f>
        <x:v>0.9721656076409703</x:v>
      </x:c>
      <x:c r="I1850" s="20" t="n">
        <x:f>VLOOKUP(C1850,'Governorate Master'!$A$2:$Q$13,15,FALSE)</x:f>
        <x:v>0.06367041198501873</x:v>
      </x:c>
      <x:c r="J1850" s="12" t="str">
        <x:v>Location model input - competition/saturation context</x:v>
      </x:c>
      <x:c r="K1850" s="12" t="str">
        <x:v>Business count is from 2018 while population/context indicators are newer; use as a historical proxy, not a current market count.</x:v>
      </x:c>
    </x:row>
    <x:row r="1851">
      <x:c r="A1851" s="12" t="str">
        <x:v>4742</x:v>
      </x:c>
      <x:c r="B1851" s="12" t="str">
        <x:v>Retail sale of audio and video equipment in specialized stores</x:v>
      </x:c>
      <x:c r="C1851" s="12" t="str">
        <x:v>البلقاء</x:v>
      </x:c>
      <x:c r="D1851" s="14" t="n">
        <x:v>27</x:v>
      </x:c>
      <x:c r="E1851" s="14" t="n">
        <x:f>VLOOKUP(C1851,'Governorate Master'!$A$2:$Q$13,3,FALSE)</x:f>
        <x:v>614000</x:v>
      </x:c>
      <x:c r="F1851" s="66" t="n">
        <x:f>IF(E1851=0,0,D1851/E1851*10000)</x:f>
        <x:v>0.43973941368078173</x:v>
      </x:c>
      <x:c r="G1851" s="67" t="n">
        <x:f>VLOOKUP(C1851,'Governorate Master'!$A$2:$Q$13,7,FALSE)</x:f>
        <x:v>548</x:v>
      </x:c>
      <x:c r="H1851" s="20" t="n">
        <x:f>VLOOKUP(C1851,'Governorate Master'!$A$2:$Q$13,6,FALSE)</x:f>
        <x:v>0.8210097719869707</x:v>
      </x:c>
      <x:c r="I1851" s="20" t="n">
        <x:f>VLOOKUP(C1851,'Governorate Master'!$A$2:$Q$13,15,FALSE)</x:f>
        <x:v>0.10794044665012408</x:v>
      </x:c>
      <x:c r="J1851" s="12" t="str">
        <x:v>Location model input - competition/saturation context</x:v>
      </x:c>
      <x:c r="K1851" s="12" t="str">
        <x:v>Business count is from 2018 while population/context indicators are newer; use as a historical proxy, not a current market count.</x:v>
      </x:c>
    </x:row>
    <x:row r="1852">
      <x:c r="A1852" s="12" t="str">
        <x:v>4742</x:v>
      </x:c>
      <x:c r="B1852" s="12" t="str">
        <x:v>Retail sale of audio and video equipment in specialized stores</x:v>
      </x:c>
      <x:c r="C1852" s="12" t="str">
        <x:v>الزرقاء</x:v>
      </x:c>
      <x:c r="D1852" s="14" t="n">
        <x:v>69</x:v>
      </x:c>
      <x:c r="E1852" s="14" t="n">
        <x:f>VLOOKUP(C1852,'Governorate Master'!$A$2:$Q$13,3,FALSE)</x:f>
        <x:v>1704500</x:v>
      </x:c>
      <x:c r="F1852" s="66" t="n">
        <x:f>IF(E1852=0,0,D1852/E1852*10000)</x:f>
        <x:v>0.4048107949545321</x:v>
      </x:c>
      <x:c r="G1852" s="67" t="n">
        <x:f>VLOOKUP(C1852,'Governorate Master'!$A$2:$Q$13,7,FALSE)</x:f>
        <x:v>358</x:v>
      </x:c>
      <x:c r="H1852" s="20" t="n">
        <x:f>VLOOKUP(C1852,'Governorate Master'!$A$2:$Q$13,6,FALSE)</x:f>
        <x:v>0.9636256966852449</x:v>
      </x:c>
      <x:c r="I1852" s="20" t="n">
        <x:f>VLOOKUP(C1852,'Governorate Master'!$A$2:$Q$13,15,FALSE)</x:f>
        <x:v>-0.06808762581409118</x:v>
      </x:c>
      <x:c r="J1852" s="12" t="str">
        <x:v>Location model input - competition/saturation context</x:v>
      </x:c>
      <x:c r="K1852" s="12" t="str">
        <x:v>Business count is from 2018 while population/context indicators are newer; use as a historical proxy, not a current market count.</x:v>
      </x:c>
    </x:row>
    <x:row r="1853">
      <x:c r="A1853" s="12" t="str">
        <x:v>4742</x:v>
      </x:c>
      <x:c r="B1853" s="12" t="str">
        <x:v>Retail sale of audio and video equipment in specialized stores</x:v>
      </x:c>
      <x:c r="C1853" s="12" t="str">
        <x:v>مادبا</x:v>
      </x:c>
      <x:c r="D1853" s="14" t="n">
        <x:v>12</x:v>
      </x:c>
      <x:c r="E1853" s="14" t="n">
        <x:f>VLOOKUP(C1853,'Governorate Master'!$A$2:$Q$13,3,FALSE)</x:f>
        <x:v>236200</x:v>
      </x:c>
      <x:c r="F1853" s="66" t="n">
        <x:f>IF(E1853=0,0,D1853/E1853*10000)</x:f>
        <x:v>0.5080440304826418</x:v>
      </x:c>
      <x:c r="G1853" s="67" t="n">
        <x:f>VLOOKUP(C1853,'Governorate Master'!$A$2:$Q$13,7,FALSE)</x:f>
        <x:v>251.4</x:v>
      </x:c>
      <x:c r="H1853" s="20" t="n">
        <x:f>VLOOKUP(C1853,'Governorate Master'!$A$2:$Q$13,6,FALSE)</x:f>
        <x:v>0.7823878069432684</x:v>
      </x:c>
      <x:c r="I1853" s="20" t="n">
        <x:f>VLOOKUP(C1853,'Governorate Master'!$A$2:$Q$13,15,FALSE)</x:f>
        <x:v>-0.18823529411764706</x:v>
      </x:c>
      <x:c r="J1853" s="12" t="str">
        <x:v>Location model input - competition/saturation context</x:v>
      </x:c>
      <x:c r="K1853" s="12" t="str">
        <x:v>Business count is from 2018 while population/context indicators are newer; use as a historical proxy, not a current market count.</x:v>
      </x:c>
    </x:row>
    <x:row r="1854">
      <x:c r="A1854" s="12" t="str">
        <x:v>4742</x:v>
      </x:c>
      <x:c r="B1854" s="12" t="str">
        <x:v>Retail sale of audio and video equipment in specialized stores</x:v>
      </x:c>
      <x:c r="C1854" s="12" t="str">
        <x:v>إربد</x:v>
      </x:c>
      <x:c r="D1854" s="14" t="n">
        <x:v>39</x:v>
      </x:c>
      <x:c r="E1854" s="14" t="n">
        <x:f>VLOOKUP(C1854,'Governorate Master'!$A$2:$Q$13,3,FALSE)</x:f>
        <x:v>2210500</x:v>
      </x:c>
      <x:c r="F1854" s="66" t="n">
        <x:f>IF(E1854=0,0,D1854/E1854*10000)</x:f>
        <x:v>0.17643067179371183</x:v>
      </x:c>
      <x:c r="G1854" s="67" t="n">
        <x:f>VLOOKUP(C1854,'Governorate Master'!$A$2:$Q$13,7,FALSE)</x:f>
        <x:v>1406.4</x:v>
      </x:c>
      <x:c r="H1854" s="20" t="n">
        <x:f>VLOOKUP(C1854,'Governorate Master'!$A$2:$Q$13,6,FALSE)</x:f>
        <x:v>0.9235014702555983</x:v>
      </x:c>
      <x:c r="I1854" s="20" t="n">
        <x:f>VLOOKUP(C1854,'Governorate Master'!$A$2:$Q$13,15,FALSE)</x:f>
        <x:v>0.07086922474549726</x:v>
      </x:c>
      <x:c r="J1854" s="12" t="str">
        <x:v>Location model input - competition/saturation context</x:v>
      </x:c>
      <x:c r="K1854" s="12" t="str">
        <x:v>Business count is from 2018 while population/context indicators are newer; use as a historical proxy, not a current market count.</x:v>
      </x:c>
    </x:row>
    <x:row r="1855">
      <x:c r="A1855" s="12" t="str">
        <x:v>4742</x:v>
      </x:c>
      <x:c r="B1855" s="12" t="str">
        <x:v>Retail sale of audio and video equipment in specialized stores</x:v>
      </x:c>
      <x:c r="C1855" s="12" t="str">
        <x:v>المفرق</x:v>
      </x:c>
      <x:c r="D1855" s="14" t="n">
        <x:v>9</x:v>
      </x:c>
      <x:c r="E1855" s="14" t="n">
        <x:f>VLOOKUP(C1855,'Governorate Master'!$A$2:$Q$13,3,FALSE)</x:f>
        <x:v>686800</x:v>
      </x:c>
      <x:c r="F1855" s="66" t="n">
        <x:f>IF(E1855=0,0,D1855/E1855*10000)</x:f>
        <x:v>0.1310425160163075</x:v>
      </x:c>
      <x:c r="G1855" s="67" t="n">
        <x:f>VLOOKUP(C1855,'Governorate Master'!$A$2:$Q$13,7,FALSE)</x:f>
        <x:v>25.9</x:v>
      </x:c>
      <x:c r="H1855" s="20" t="n">
        <x:f>VLOOKUP(C1855,'Governorate Master'!$A$2:$Q$13,6,FALSE)</x:f>
        <x:v>0.6965637740244612</x:v>
      </x:c>
      <x:c r="I1855" s="20" t="n">
        <x:f>VLOOKUP(C1855,'Governorate Master'!$A$2:$Q$13,15,FALSE)</x:f>
        <x:v>-0.016638935108153077</x:v>
      </x:c>
      <x:c r="J1855" s="12" t="str">
        <x:v>Location model input - competition/saturation context</x:v>
      </x:c>
      <x:c r="K1855" s="12" t="str">
        <x:v>Business count is from 2018 while population/context indicators are newer; use as a historical proxy, not a current market count.</x:v>
      </x:c>
    </x:row>
    <x:row r="1856">
      <x:c r="A1856" s="12" t="str">
        <x:v>4742</x:v>
      </x:c>
      <x:c r="B1856" s="12" t="str">
        <x:v>Retail sale of audio and video equipment in specialized stores</x:v>
      </x:c>
      <x:c r="C1856" s="12" t="str">
        <x:v>جرش</x:v>
      </x:c>
      <x:c r="D1856" s="14" t="n">
        <x:v>6</x:v>
      </x:c>
      <x:c r="E1856" s="14" t="n">
        <x:f>VLOOKUP(C1856,'Governorate Master'!$A$2:$Q$13,3,FALSE)</x:f>
        <x:v>296000</x:v>
      </x:c>
      <x:c r="F1856" s="66" t="n">
        <x:f>IF(E1856=0,0,D1856/E1856*10000)</x:f>
        <x:v>0.2027027027027027</x:v>
      </x:c>
      <x:c r="G1856" s="67" t="n">
        <x:f>VLOOKUP(C1856,'Governorate Master'!$A$2:$Q$13,7,FALSE)</x:f>
        <x:v>722.3</x:v>
      </x:c>
      <x:c r="H1856" s="20" t="n">
        <x:f>VLOOKUP(C1856,'Governorate Master'!$A$2:$Q$13,6,FALSE)</x:f>
        <x:v>0.7695945945945946</x:v>
      </x:c>
      <x:c r="I1856" s="20" t="n">
        <x:f>VLOOKUP(C1856,'Governorate Master'!$A$2:$Q$13,15,FALSE)</x:f>
        <x:v>-0.06527415143603134</x:v>
      </x:c>
      <x:c r="J1856" s="12" t="str">
        <x:v>Location model input - competition/saturation context</x:v>
      </x:c>
      <x:c r="K1856" s="12" t="str">
        <x:v>Business count is from 2018 while population/context indicators are newer; use as a historical proxy, not a current market count.</x:v>
      </x:c>
    </x:row>
    <x:row r="1857">
      <x:c r="A1857" s="12" t="str">
        <x:v>4742</x:v>
      </x:c>
      <x:c r="B1857" s="12" t="str">
        <x:v>Retail sale of audio and video equipment in specialized stores</x:v>
      </x:c>
      <x:c r="C1857" s="12" t="str">
        <x:v>عجلون</x:v>
      </x:c>
      <x:c r="D1857" s="14" t="n">
        <x:v>6</x:v>
      </x:c>
      <x:c r="E1857" s="14" t="n">
        <x:f>VLOOKUP(C1857,'Governorate Master'!$A$2:$Q$13,3,FALSE)</x:f>
        <x:v>219900</x:v>
      </x:c>
      <x:c r="F1857" s="66" t="n">
        <x:f>IF(E1857=0,0,D1857/E1857*10000)</x:f>
        <x:v>0.2728512960436562</x:v>
      </x:c>
      <x:c r="G1857" s="67" t="n">
        <x:f>VLOOKUP(C1857,'Governorate Master'!$A$2:$Q$13,7,FALSE)</x:f>
        <x:v>524</x:v>
      </x:c>
      <x:c r="H1857" s="20" t="n">
        <x:f>VLOOKUP(C1857,'Governorate Master'!$A$2:$Q$13,6,FALSE)</x:f>
        <x:v>0.8390177353342428</x:v>
      </x:c>
      <x:c r="I1857" s="20" t="n">
        <x:f>VLOOKUP(C1857,'Governorate Master'!$A$2:$Q$13,15,FALSE)</x:f>
        <x:v>0.03614457831325301</x:v>
      </x:c>
      <x:c r="J1857" s="12" t="str">
        <x:v>Location model input - competition/saturation context</x:v>
      </x:c>
      <x:c r="K1857" s="12" t="str">
        <x:v>Business count is from 2018 while population/context indicators are newer; use as a historical proxy, not a current market count.</x:v>
      </x:c>
    </x:row>
    <x:row r="1858">
      <x:c r="A1858" s="12" t="str">
        <x:v>4742</x:v>
      </x:c>
      <x:c r="B1858" s="12" t="str">
        <x:v>Retail sale of audio and video equipment in specialized stores</x:v>
      </x:c>
      <x:c r="C1858" s="12" t="str">
        <x:v>الكرك</x:v>
      </x:c>
      <x:c r="D1858" s="14" t="n">
        <x:v>21</x:v>
      </x:c>
      <x:c r="E1858" s="14" t="n">
        <x:f>VLOOKUP(C1858,'Governorate Master'!$A$2:$Q$13,3,FALSE)</x:f>
        <x:v>395400</x:v>
      </x:c>
      <x:c r="F1858" s="66" t="n">
        <x:f>IF(E1858=0,0,D1858/E1858*10000)</x:f>
        <x:v>0.5311077389984825</x:v>
      </x:c>
      <x:c r="G1858" s="67" t="n">
        <x:f>VLOOKUP(C1858,'Governorate Master'!$A$2:$Q$13,7,FALSE)</x:f>
        <x:v>113.1</x:v>
      </x:c>
      <x:c r="H1858" s="20" t="n">
        <x:f>VLOOKUP(C1858,'Governorate Master'!$A$2:$Q$13,6,FALSE)</x:f>
        <x:v>0.5912999494183105</x:v>
      </x:c>
      <x:c r="I1858" s="20" t="n">
        <x:f>VLOOKUP(C1858,'Governorate Master'!$A$2:$Q$13,15,FALSE)</x:f>
        <x:v>0.08710801393728224</x:v>
      </x:c>
      <x:c r="J1858" s="12" t="str">
        <x:v>Location model input - competition/saturation context</x:v>
      </x:c>
      <x:c r="K1858" s="12" t="str">
        <x:v>Business count is from 2018 while population/context indicators are newer; use as a historical proxy, not a current market count.</x:v>
      </x:c>
    </x:row>
    <x:row r="1859">
      <x:c r="A1859" s="12" t="str">
        <x:v>4742</x:v>
      </x:c>
      <x:c r="B1859" s="12" t="str">
        <x:v>Retail sale of audio and video equipment in specialized stores</x:v>
      </x:c>
      <x:c r="C1859" s="12" t="str">
        <x:v>الطفيلة</x:v>
      </x:c>
      <x:c r="D1859" s="14" t="n">
        <x:v>5</x:v>
      </x:c>
      <x:c r="E1859" s="14" t="n">
        <x:f>VLOOKUP(C1859,'Governorate Master'!$A$2:$Q$13,3,FALSE)</x:f>
        <x:v>120300</x:v>
      </x:c>
      <x:c r="F1859" s="66" t="n">
        <x:f>IF(E1859=0,0,D1859/E1859*10000)</x:f>
        <x:v>0.41562759767248547</x:v>
      </x:c>
      <x:c r="G1859" s="67" t="n">
        <x:f>VLOOKUP(C1859,'Governorate Master'!$A$2:$Q$13,7,FALSE)</x:f>
        <x:v>54.4</x:v>
      </x:c>
      <x:c r="H1859" s="20" t="n">
        <x:f>VLOOKUP(C1859,'Governorate Master'!$A$2:$Q$13,6,FALSE)</x:f>
        <x:v>0.7797173732335827</x:v>
      </x:c>
      <x:c r="I1859" s="20" t="n">
        <x:f>VLOOKUP(C1859,'Governorate Master'!$A$2:$Q$13,15,FALSE)</x:f>
        <x:v>0.18452380952380953</x:v>
      </x:c>
      <x:c r="J1859" s="12" t="str">
        <x:v>Location model input - competition/saturation context</x:v>
      </x:c>
      <x:c r="K1859" s="12" t="str">
        <x:v>Business count is from 2018 while population/context indicators are newer; use as a historical proxy, not a current market count.</x:v>
      </x:c>
    </x:row>
    <x:row r="1860">
      <x:c r="A1860" s="12" t="str">
        <x:v>4742</x:v>
      </x:c>
      <x:c r="B1860" s="12" t="str">
        <x:v>Retail sale of audio and video equipment in specialized stores</x:v>
      </x:c>
      <x:c r="C1860" s="12" t="str">
        <x:v>معان</x:v>
      </x:c>
      <x:c r="D1860" s="14" t="n">
        <x:v>8</x:v>
      </x:c>
      <x:c r="E1860" s="14" t="n">
        <x:f>VLOOKUP(C1860,'Governorate Master'!$A$2:$Q$13,3,FALSE)</x:f>
        <x:v>197900</x:v>
      </x:c>
      <x:c r="F1860" s="66" t="n">
        <x:f>IF(E1860=0,0,D1860/E1860*10000)</x:f>
        <x:v>0.404244567963618</x:v>
      </x:c>
      <x:c r="G1860" s="67" t="n">
        <x:f>VLOOKUP(C1860,'Governorate Master'!$A$2:$Q$13,7,FALSE)</x:f>
        <x:v>6</x:v>
      </x:c>
      <x:c r="H1860" s="20" t="n">
        <x:f>VLOOKUP(C1860,'Governorate Master'!$A$2:$Q$13,6,FALSE)</x:f>
        <x:v>0.5406771096513391</x:v>
      </x:c>
      <x:c r="I1860" s="20" t="n">
        <x:f>VLOOKUP(C1860,'Governorate Master'!$A$2:$Q$13,15,FALSE)</x:f>
        <x:v>0.026845637583892617</x:v>
      </x:c>
      <x:c r="J1860" s="12" t="str">
        <x:v>Location model input - competition/saturation context</x:v>
      </x:c>
      <x:c r="K1860" s="12" t="str">
        <x:v>Business count is from 2018 while population/context indicators are newer; use as a historical proxy, not a current market count.</x:v>
      </x:c>
    </x:row>
    <x:row r="1861">
      <x:c r="A1861" s="12" t="str">
        <x:v>4742</x:v>
      </x:c>
      <x:c r="B1861" s="12" t="str">
        <x:v>Retail sale of audio and video equipment in specialized stores</x:v>
      </x:c>
      <x:c r="C1861" s="12" t="str">
        <x:v>العقبة</x:v>
      </x:c>
      <x:c r="D1861" s="14" t="n">
        <x:v>2</x:v>
      </x:c>
      <x:c r="E1861" s="14" t="n">
        <x:f>VLOOKUP(C1861,'Governorate Master'!$A$2:$Q$13,3,FALSE)</x:f>
        <x:v>250900</x:v>
      </x:c>
      <x:c r="F1861" s="66" t="n">
        <x:f>IF(E1861=0,0,D1861/E1861*10000)</x:f>
        <x:v>0.07971303308090873</x:v>
      </x:c>
      <x:c r="G1861" s="67" t="n">
        <x:f>VLOOKUP(C1861,'Governorate Master'!$A$2:$Q$13,7,FALSE)</x:f>
        <x:v>36.3</x:v>
      </x:c>
      <x:c r="H1861" s="20" t="n">
        <x:f>VLOOKUP(C1861,'Governorate Master'!$A$2:$Q$13,6,FALSE)</x:f>
        <x:v>0.882024711040255</x:v>
      </x:c>
      <x:c r="I1861" s="20" t="n">
        <x:f>VLOOKUP(C1861,'Governorate Master'!$A$2:$Q$13,15,FALSE)</x:f>
        <x:v>-0.09</x:v>
      </x:c>
      <x:c r="J1861" s="12" t="str">
        <x:v>Location model input - competition/saturation context</x:v>
      </x:c>
      <x:c r="K1861" s="12" t="str">
        <x:v>Business count is from 2018 while population/context indicators are newer; use as a historical proxy, not a current market count.</x:v>
      </x:c>
    </x:row>
    <x:row r="1862">
      <x:c r="A1862" s="12" t="str">
        <x:v>4751</x:v>
      </x:c>
      <x:c r="B1862" s="12" t="str">
        <x:v>Retail sale of textiles in specialized stores</x:v>
      </x:c>
      <x:c r="C1862" s="12" t="str">
        <x:v>عمان</x:v>
      </x:c>
      <x:c r="D1862" s="14" t="n">
        <x:v>407</x:v>
      </x:c>
      <x:c r="E1862" s="14" t="n">
        <x:f>VLOOKUP(C1862,'Governorate Master'!$A$2:$Q$13,3,FALSE)</x:f>
        <x:v>5004600</x:v>
      </x:c>
      <x:c r="F1862" s="66" t="n">
        <x:f>IF(E1862=0,0,D1862/E1862*10000)</x:f>
        <x:v>0.8132518083363306</x:v>
      </x:c>
      <x:c r="G1862" s="67" t="n">
        <x:f>VLOOKUP(C1862,'Governorate Master'!$A$2:$Q$13,7,FALSE)</x:f>
        <x:v>660.3</x:v>
      </x:c>
      <x:c r="H1862" s="20" t="n">
        <x:f>VLOOKUP(C1862,'Governorate Master'!$A$2:$Q$13,6,FALSE)</x:f>
        <x:v>0.9721656076409703</x:v>
      </x:c>
      <x:c r="I1862" s="20" t="n">
        <x:f>VLOOKUP(C1862,'Governorate Master'!$A$2:$Q$13,15,FALSE)</x:f>
        <x:v>0.06367041198501873</x:v>
      </x:c>
      <x:c r="J1862" s="12" t="str">
        <x:v>Location model input - competition/saturation context</x:v>
      </x:c>
      <x:c r="K1862" s="12" t="str">
        <x:v>Business count is from 2018 while population/context indicators are newer; use as a historical proxy, not a current market count.</x:v>
      </x:c>
    </x:row>
    <x:row r="1863">
      <x:c r="A1863" s="12" t="str">
        <x:v>4751</x:v>
      </x:c>
      <x:c r="B1863" s="12" t="str">
        <x:v>Retail sale of textiles in specialized stores</x:v>
      </x:c>
      <x:c r="C1863" s="12" t="str">
        <x:v>البلقاء</x:v>
      </x:c>
      <x:c r="D1863" s="14" t="n">
        <x:v>24</x:v>
      </x:c>
      <x:c r="E1863" s="14" t="n">
        <x:f>VLOOKUP(C1863,'Governorate Master'!$A$2:$Q$13,3,FALSE)</x:f>
        <x:v>614000</x:v>
      </x:c>
      <x:c r="F1863" s="66" t="n">
        <x:f>IF(E1863=0,0,D1863/E1863*10000)</x:f>
        <x:v>0.39087947882736157</x:v>
      </x:c>
      <x:c r="G1863" s="67" t="n">
        <x:f>VLOOKUP(C1863,'Governorate Master'!$A$2:$Q$13,7,FALSE)</x:f>
        <x:v>548</x:v>
      </x:c>
      <x:c r="H1863" s="20" t="n">
        <x:f>VLOOKUP(C1863,'Governorate Master'!$A$2:$Q$13,6,FALSE)</x:f>
        <x:v>0.8210097719869707</x:v>
      </x:c>
      <x:c r="I1863" s="20" t="n">
        <x:f>VLOOKUP(C1863,'Governorate Master'!$A$2:$Q$13,15,FALSE)</x:f>
        <x:v>0.10794044665012408</x:v>
      </x:c>
      <x:c r="J1863" s="12" t="str">
        <x:v>Location model input - competition/saturation context</x:v>
      </x:c>
      <x:c r="K1863" s="12" t="str">
        <x:v>Business count is from 2018 while population/context indicators are newer; use as a historical proxy, not a current market count.</x:v>
      </x:c>
    </x:row>
    <x:row r="1864">
      <x:c r="A1864" s="12" t="str">
        <x:v>4751</x:v>
      </x:c>
      <x:c r="B1864" s="12" t="str">
        <x:v>Retail sale of textiles in specialized stores</x:v>
      </x:c>
      <x:c r="C1864" s="12" t="str">
        <x:v>الزرقاء</x:v>
      </x:c>
      <x:c r="D1864" s="14" t="n">
        <x:v>119</x:v>
      </x:c>
      <x:c r="E1864" s="14" t="n">
        <x:f>VLOOKUP(C1864,'Governorate Master'!$A$2:$Q$13,3,FALSE)</x:f>
        <x:v>1704500</x:v>
      </x:c>
      <x:c r="F1864" s="66" t="n">
        <x:f>IF(E1864=0,0,D1864/E1864*10000)</x:f>
        <x:v>0.6981519507186857</x:v>
      </x:c>
      <x:c r="G1864" s="67" t="n">
        <x:f>VLOOKUP(C1864,'Governorate Master'!$A$2:$Q$13,7,FALSE)</x:f>
        <x:v>358</x:v>
      </x:c>
      <x:c r="H1864" s="20" t="n">
        <x:f>VLOOKUP(C1864,'Governorate Master'!$A$2:$Q$13,6,FALSE)</x:f>
        <x:v>0.9636256966852449</x:v>
      </x:c>
      <x:c r="I1864" s="20" t="n">
        <x:f>VLOOKUP(C1864,'Governorate Master'!$A$2:$Q$13,15,FALSE)</x:f>
        <x:v>-0.06808762581409118</x:v>
      </x:c>
      <x:c r="J1864" s="12" t="str">
        <x:v>Location model input - competition/saturation context</x:v>
      </x:c>
      <x:c r="K1864" s="12" t="str">
        <x:v>Business count is from 2018 while population/context indicators are newer; use as a historical proxy, not a current market count.</x:v>
      </x:c>
    </x:row>
    <x:row r="1865">
      <x:c r="A1865" s="12" t="str">
        <x:v>4751</x:v>
      </x:c>
      <x:c r="B1865" s="12" t="str">
        <x:v>Retail sale of textiles in specialized stores</x:v>
      </x:c>
      <x:c r="C1865" s="12" t="str">
        <x:v>مادبا</x:v>
      </x:c>
      <x:c r="D1865" s="14" t="n">
        <x:v>26</x:v>
      </x:c>
      <x:c r="E1865" s="14" t="n">
        <x:f>VLOOKUP(C1865,'Governorate Master'!$A$2:$Q$13,3,FALSE)</x:f>
        <x:v>236200</x:v>
      </x:c>
      <x:c r="F1865" s="66" t="n">
        <x:f>IF(E1865=0,0,D1865/E1865*10000)</x:f>
        <x:v>1.100762066045724</x:v>
      </x:c>
      <x:c r="G1865" s="67" t="n">
        <x:f>VLOOKUP(C1865,'Governorate Master'!$A$2:$Q$13,7,FALSE)</x:f>
        <x:v>251.4</x:v>
      </x:c>
      <x:c r="H1865" s="20" t="n">
        <x:f>VLOOKUP(C1865,'Governorate Master'!$A$2:$Q$13,6,FALSE)</x:f>
        <x:v>0.7823878069432684</x:v>
      </x:c>
      <x:c r="I1865" s="20" t="n">
        <x:f>VLOOKUP(C1865,'Governorate Master'!$A$2:$Q$13,15,FALSE)</x:f>
        <x:v>-0.18823529411764706</x:v>
      </x:c>
      <x:c r="J1865" s="12" t="str">
        <x:v>Location model input - competition/saturation context</x:v>
      </x:c>
      <x:c r="K1865" s="12" t="str">
        <x:v>Business count is from 2018 while population/context indicators are newer; use as a historical proxy, not a current market count.</x:v>
      </x:c>
    </x:row>
    <x:row r="1866">
      <x:c r="A1866" s="12" t="str">
        <x:v>4751</x:v>
      </x:c>
      <x:c r="B1866" s="12" t="str">
        <x:v>Retail sale of textiles in specialized stores</x:v>
      </x:c>
      <x:c r="C1866" s="12" t="str">
        <x:v>إربد</x:v>
      </x:c>
      <x:c r="D1866" s="14" t="n">
        <x:v>142</x:v>
      </x:c>
      <x:c r="E1866" s="14" t="n">
        <x:f>VLOOKUP(C1866,'Governorate Master'!$A$2:$Q$13,3,FALSE)</x:f>
        <x:v>2210500</x:v>
      </x:c>
      <x:c r="F1866" s="66" t="n">
        <x:f>IF(E1866=0,0,D1866/E1866*10000)</x:f>
        <x:v>0.6423885998642841</x:v>
      </x:c>
      <x:c r="G1866" s="67" t="n">
        <x:f>VLOOKUP(C1866,'Governorate Master'!$A$2:$Q$13,7,FALSE)</x:f>
        <x:v>1406.4</x:v>
      </x:c>
      <x:c r="H1866" s="20" t="n">
        <x:f>VLOOKUP(C1866,'Governorate Master'!$A$2:$Q$13,6,FALSE)</x:f>
        <x:v>0.9235014702555983</x:v>
      </x:c>
      <x:c r="I1866" s="20" t="n">
        <x:f>VLOOKUP(C1866,'Governorate Master'!$A$2:$Q$13,15,FALSE)</x:f>
        <x:v>0.07086922474549726</x:v>
      </x:c>
      <x:c r="J1866" s="12" t="str">
        <x:v>Location model input - competition/saturation context</x:v>
      </x:c>
      <x:c r="K1866" s="12" t="str">
        <x:v>Business count is from 2018 while population/context indicators are newer; use as a historical proxy, not a current market count.</x:v>
      </x:c>
    </x:row>
    <x:row r="1867">
      <x:c r="A1867" s="12" t="str">
        <x:v>4751</x:v>
      </x:c>
      <x:c r="B1867" s="12" t="str">
        <x:v>Retail sale of textiles in specialized stores</x:v>
      </x:c>
      <x:c r="C1867" s="12" t="str">
        <x:v>المفرق</x:v>
      </x:c>
      <x:c r="D1867" s="14" t="n">
        <x:v>20</x:v>
      </x:c>
      <x:c r="E1867" s="14" t="n">
        <x:f>VLOOKUP(C1867,'Governorate Master'!$A$2:$Q$13,3,FALSE)</x:f>
        <x:v>686800</x:v>
      </x:c>
      <x:c r="F1867" s="66" t="n">
        <x:f>IF(E1867=0,0,D1867/E1867*10000)</x:f>
        <x:v>0.29120559114735</x:v>
      </x:c>
      <x:c r="G1867" s="67" t="n">
        <x:f>VLOOKUP(C1867,'Governorate Master'!$A$2:$Q$13,7,FALSE)</x:f>
        <x:v>25.9</x:v>
      </x:c>
      <x:c r="H1867" s="20" t="n">
        <x:f>VLOOKUP(C1867,'Governorate Master'!$A$2:$Q$13,6,FALSE)</x:f>
        <x:v>0.6965637740244612</x:v>
      </x:c>
      <x:c r="I1867" s="20" t="n">
        <x:f>VLOOKUP(C1867,'Governorate Master'!$A$2:$Q$13,15,FALSE)</x:f>
        <x:v>-0.016638935108153077</x:v>
      </x:c>
      <x:c r="J1867" s="12" t="str">
        <x:v>Location model input - competition/saturation context</x:v>
      </x:c>
      <x:c r="K1867" s="12" t="str">
        <x:v>Business count is from 2018 while population/context indicators are newer; use as a historical proxy, not a current market count.</x:v>
      </x:c>
    </x:row>
    <x:row r="1868">
      <x:c r="A1868" s="12" t="str">
        <x:v>4751</x:v>
      </x:c>
      <x:c r="B1868" s="12" t="str">
        <x:v>Retail sale of textiles in specialized stores</x:v>
      </x:c>
      <x:c r="C1868" s="12" t="str">
        <x:v>جرش</x:v>
      </x:c>
      <x:c r="D1868" s="14" t="n">
        <x:v>12</x:v>
      </x:c>
      <x:c r="E1868" s="14" t="n">
        <x:f>VLOOKUP(C1868,'Governorate Master'!$A$2:$Q$13,3,FALSE)</x:f>
        <x:v>296000</x:v>
      </x:c>
      <x:c r="F1868" s="66" t="n">
        <x:f>IF(E1868=0,0,D1868/E1868*10000)</x:f>
        <x:v>0.4054054054054054</x:v>
      </x:c>
      <x:c r="G1868" s="67" t="n">
        <x:f>VLOOKUP(C1868,'Governorate Master'!$A$2:$Q$13,7,FALSE)</x:f>
        <x:v>722.3</x:v>
      </x:c>
      <x:c r="H1868" s="20" t="n">
        <x:f>VLOOKUP(C1868,'Governorate Master'!$A$2:$Q$13,6,FALSE)</x:f>
        <x:v>0.7695945945945946</x:v>
      </x:c>
      <x:c r="I1868" s="20" t="n">
        <x:f>VLOOKUP(C1868,'Governorate Master'!$A$2:$Q$13,15,FALSE)</x:f>
        <x:v>-0.06527415143603134</x:v>
      </x:c>
      <x:c r="J1868" s="12" t="str">
        <x:v>Location model input - competition/saturation context</x:v>
      </x:c>
      <x:c r="K1868" s="12" t="str">
        <x:v>Business count is from 2018 while population/context indicators are newer; use as a historical proxy, not a current market count.</x:v>
      </x:c>
    </x:row>
    <x:row r="1869">
      <x:c r="A1869" s="12" t="str">
        <x:v>4751</x:v>
      </x:c>
      <x:c r="B1869" s="12" t="str">
        <x:v>Retail sale of textiles in specialized stores</x:v>
      </x:c>
      <x:c r="C1869" s="12" t="str">
        <x:v>عجلون</x:v>
      </x:c>
      <x:c r="D1869" s="14" t="n">
        <x:v>7</x:v>
      </x:c>
      <x:c r="E1869" s="14" t="n">
        <x:f>VLOOKUP(C1869,'Governorate Master'!$A$2:$Q$13,3,FALSE)</x:f>
        <x:v>219900</x:v>
      </x:c>
      <x:c r="F1869" s="66" t="n">
        <x:f>IF(E1869=0,0,D1869/E1869*10000)</x:f>
        <x:v>0.3183265120509322</x:v>
      </x:c>
      <x:c r="G1869" s="67" t="n">
        <x:f>VLOOKUP(C1869,'Governorate Master'!$A$2:$Q$13,7,FALSE)</x:f>
        <x:v>524</x:v>
      </x:c>
      <x:c r="H1869" s="20" t="n">
        <x:f>VLOOKUP(C1869,'Governorate Master'!$A$2:$Q$13,6,FALSE)</x:f>
        <x:v>0.8390177353342428</x:v>
      </x:c>
      <x:c r="I1869" s="20" t="n">
        <x:f>VLOOKUP(C1869,'Governorate Master'!$A$2:$Q$13,15,FALSE)</x:f>
        <x:v>0.03614457831325301</x:v>
      </x:c>
      <x:c r="J1869" s="12" t="str">
        <x:v>Location model input - competition/saturation context</x:v>
      </x:c>
      <x:c r="K1869" s="12" t="str">
        <x:v>Business count is from 2018 while population/context indicators are newer; use as a historical proxy, not a current market count.</x:v>
      </x:c>
    </x:row>
    <x:row r="1870">
      <x:c r="A1870" s="12" t="str">
        <x:v>4751</x:v>
      </x:c>
      <x:c r="B1870" s="12" t="str">
        <x:v>Retail sale of textiles in specialized stores</x:v>
      </x:c>
      <x:c r="C1870" s="12" t="str">
        <x:v>الكرك</x:v>
      </x:c>
      <x:c r="D1870" s="14" t="n">
        <x:v>17</x:v>
      </x:c>
      <x:c r="E1870" s="14" t="n">
        <x:f>VLOOKUP(C1870,'Governorate Master'!$A$2:$Q$13,3,FALSE)</x:f>
        <x:v>395400</x:v>
      </x:c>
      <x:c r="F1870" s="66" t="n">
        <x:f>IF(E1870=0,0,D1870/E1870*10000)</x:f>
        <x:v>0.42994436014162873</x:v>
      </x:c>
      <x:c r="G1870" s="67" t="n">
        <x:f>VLOOKUP(C1870,'Governorate Master'!$A$2:$Q$13,7,FALSE)</x:f>
        <x:v>113.1</x:v>
      </x:c>
      <x:c r="H1870" s="20" t="n">
        <x:f>VLOOKUP(C1870,'Governorate Master'!$A$2:$Q$13,6,FALSE)</x:f>
        <x:v>0.5912999494183105</x:v>
      </x:c>
      <x:c r="I1870" s="20" t="n">
        <x:f>VLOOKUP(C1870,'Governorate Master'!$A$2:$Q$13,15,FALSE)</x:f>
        <x:v>0.08710801393728224</x:v>
      </x:c>
      <x:c r="J1870" s="12" t="str">
        <x:v>Location model input - competition/saturation context</x:v>
      </x:c>
      <x:c r="K1870" s="12" t="str">
        <x:v>Business count is from 2018 while population/context indicators are newer; use as a historical proxy, not a current market count.</x:v>
      </x:c>
    </x:row>
    <x:row r="1871">
      <x:c r="A1871" s="12" t="str">
        <x:v>4751</x:v>
      </x:c>
      <x:c r="B1871" s="12" t="str">
        <x:v>Retail sale of textiles in specialized stores</x:v>
      </x:c>
      <x:c r="C1871" s="12" t="str">
        <x:v>الطفيلة</x:v>
      </x:c>
      <x:c r="D1871" s="14" t="n">
        <x:v>2</x:v>
      </x:c>
      <x:c r="E1871" s="14" t="n">
        <x:f>VLOOKUP(C1871,'Governorate Master'!$A$2:$Q$13,3,FALSE)</x:f>
        <x:v>120300</x:v>
      </x:c>
      <x:c r="F1871" s="66" t="n">
        <x:f>IF(E1871=0,0,D1871/E1871*10000)</x:f>
        <x:v>0.1662510390689942</x:v>
      </x:c>
      <x:c r="G1871" s="67" t="n">
        <x:f>VLOOKUP(C1871,'Governorate Master'!$A$2:$Q$13,7,FALSE)</x:f>
        <x:v>54.4</x:v>
      </x:c>
      <x:c r="H1871" s="20" t="n">
        <x:f>VLOOKUP(C1871,'Governorate Master'!$A$2:$Q$13,6,FALSE)</x:f>
        <x:v>0.7797173732335827</x:v>
      </x:c>
      <x:c r="I1871" s="20" t="n">
        <x:f>VLOOKUP(C1871,'Governorate Master'!$A$2:$Q$13,15,FALSE)</x:f>
        <x:v>0.18452380952380953</x:v>
      </x:c>
      <x:c r="J1871" s="12" t="str">
        <x:v>Location model input - competition/saturation context</x:v>
      </x:c>
      <x:c r="K1871" s="12" t="str">
        <x:v>Business count is from 2018 while population/context indicators are newer; use as a historical proxy, not a current market count.</x:v>
      </x:c>
    </x:row>
    <x:row r="1872">
      <x:c r="A1872" s="12" t="str">
        <x:v>4751</x:v>
      </x:c>
      <x:c r="B1872" s="12" t="str">
        <x:v>Retail sale of textiles in specialized stores</x:v>
      </x:c>
      <x:c r="C1872" s="12" t="str">
        <x:v>معان</x:v>
      </x:c>
      <x:c r="D1872" s="14" t="n">
        <x:v>5</x:v>
      </x:c>
      <x:c r="E1872" s="14" t="n">
        <x:f>VLOOKUP(C1872,'Governorate Master'!$A$2:$Q$13,3,FALSE)</x:f>
        <x:v>197900</x:v>
      </x:c>
      <x:c r="F1872" s="66" t="n">
        <x:f>IF(E1872=0,0,D1872/E1872*10000)</x:f>
        <x:v>0.25265285497726125</x:v>
      </x:c>
      <x:c r="G1872" s="67" t="n">
        <x:f>VLOOKUP(C1872,'Governorate Master'!$A$2:$Q$13,7,FALSE)</x:f>
        <x:v>6</x:v>
      </x:c>
      <x:c r="H1872" s="20" t="n">
        <x:f>VLOOKUP(C1872,'Governorate Master'!$A$2:$Q$13,6,FALSE)</x:f>
        <x:v>0.5406771096513391</x:v>
      </x:c>
      <x:c r="I1872" s="20" t="n">
        <x:f>VLOOKUP(C1872,'Governorate Master'!$A$2:$Q$13,15,FALSE)</x:f>
        <x:v>0.026845637583892617</x:v>
      </x:c>
      <x:c r="J1872" s="12" t="str">
        <x:v>Location model input - competition/saturation context</x:v>
      </x:c>
      <x:c r="K1872" s="12" t="str">
        <x:v>Business count is from 2018 while population/context indicators are newer; use as a historical proxy, not a current market count.</x:v>
      </x:c>
    </x:row>
    <x:row r="1873">
      <x:c r="A1873" s="12" t="str">
        <x:v>4751</x:v>
      </x:c>
      <x:c r="B1873" s="12" t="str">
        <x:v>Retail sale of textiles in specialized stores</x:v>
      </x:c>
      <x:c r="C1873" s="12" t="str">
        <x:v>العقبة</x:v>
      </x:c>
      <x:c r="D1873" s="14" t="n">
        <x:v>57</x:v>
      </x:c>
      <x:c r="E1873" s="14" t="n">
        <x:f>VLOOKUP(C1873,'Governorate Master'!$A$2:$Q$13,3,FALSE)</x:f>
        <x:v>250900</x:v>
      </x:c>
      <x:c r="F1873" s="66" t="n">
        <x:f>IF(E1873=0,0,D1873/E1873*10000)</x:f>
        <x:v>2.2718214428058987</x:v>
      </x:c>
      <x:c r="G1873" s="67" t="n">
        <x:f>VLOOKUP(C1873,'Governorate Master'!$A$2:$Q$13,7,FALSE)</x:f>
        <x:v>36.3</x:v>
      </x:c>
      <x:c r="H1873" s="20" t="n">
        <x:f>VLOOKUP(C1873,'Governorate Master'!$A$2:$Q$13,6,FALSE)</x:f>
        <x:v>0.882024711040255</x:v>
      </x:c>
      <x:c r="I1873" s="20" t="n">
        <x:f>VLOOKUP(C1873,'Governorate Master'!$A$2:$Q$13,15,FALSE)</x:f>
        <x:v>-0.09</x:v>
      </x:c>
      <x:c r="J1873" s="12" t="str">
        <x:v>Location model input - competition/saturation context</x:v>
      </x:c>
      <x:c r="K1873" s="12" t="str">
        <x:v>Business count is from 2018 while population/context indicators are newer; use as a historical proxy, not a current market count.</x:v>
      </x:c>
    </x:row>
    <x:row r="1874">
      <x:c r="A1874" s="12" t="str">
        <x:v>4752</x:v>
      </x:c>
      <x:c r="B1874" s="12" t="str">
        <x:v>Retail sale of hardware, paints and glass in specialized stores</x:v>
      </x:c>
      <x:c r="C1874" s="12" t="str">
        <x:v>عمان</x:v>
      </x:c>
      <x:c r="D1874" s="14" t="n">
        <x:v>1813</x:v>
      </x:c>
      <x:c r="E1874" s="14" t="n">
        <x:f>VLOOKUP(C1874,'Governorate Master'!$A$2:$Q$13,3,FALSE)</x:f>
        <x:v>5004600</x:v>
      </x:c>
      <x:c r="F1874" s="66" t="n">
        <x:f>IF(E1874=0,0,D1874/E1874*10000)</x:f>
        <x:v>3.6226671462254725</x:v>
      </x:c>
      <x:c r="G1874" s="67" t="n">
        <x:f>VLOOKUP(C1874,'Governorate Master'!$A$2:$Q$13,7,FALSE)</x:f>
        <x:v>660.3</x:v>
      </x:c>
      <x:c r="H1874" s="20" t="n">
        <x:f>VLOOKUP(C1874,'Governorate Master'!$A$2:$Q$13,6,FALSE)</x:f>
        <x:v>0.9721656076409703</x:v>
      </x:c>
      <x:c r="I1874" s="20" t="n">
        <x:f>VLOOKUP(C1874,'Governorate Master'!$A$2:$Q$13,15,FALSE)</x:f>
        <x:v>0.06367041198501873</x:v>
      </x:c>
      <x:c r="J1874" s="12" t="str">
        <x:v>Location model input - competition/saturation context</x:v>
      </x:c>
      <x:c r="K1874" s="12" t="str">
        <x:v>Business count is from 2018 while population/context indicators are newer; use as a historical proxy, not a current market count.</x:v>
      </x:c>
    </x:row>
    <x:row r="1875">
      <x:c r="A1875" s="12" t="str">
        <x:v>4752</x:v>
      </x:c>
      <x:c r="B1875" s="12" t="str">
        <x:v>Retail sale of hardware, paints and glass in specialized stores</x:v>
      </x:c>
      <x:c r="C1875" s="12" t="str">
        <x:v>البلقاء</x:v>
      </x:c>
      <x:c r="D1875" s="14" t="n">
        <x:v>242</x:v>
      </x:c>
      <x:c r="E1875" s="14" t="n">
        <x:f>VLOOKUP(C1875,'Governorate Master'!$A$2:$Q$13,3,FALSE)</x:f>
        <x:v>614000</x:v>
      </x:c>
      <x:c r="F1875" s="66" t="n">
        <x:f>IF(E1875=0,0,D1875/E1875*10000)</x:f>
        <x:v>3.9413680781758957</x:v>
      </x:c>
      <x:c r="G1875" s="67" t="n">
        <x:f>VLOOKUP(C1875,'Governorate Master'!$A$2:$Q$13,7,FALSE)</x:f>
        <x:v>548</x:v>
      </x:c>
      <x:c r="H1875" s="20" t="n">
        <x:f>VLOOKUP(C1875,'Governorate Master'!$A$2:$Q$13,6,FALSE)</x:f>
        <x:v>0.8210097719869707</x:v>
      </x:c>
      <x:c r="I1875" s="20" t="n">
        <x:f>VLOOKUP(C1875,'Governorate Master'!$A$2:$Q$13,15,FALSE)</x:f>
        <x:v>0.10794044665012408</x:v>
      </x:c>
      <x:c r="J1875" s="12" t="str">
        <x:v>Location model input - competition/saturation context</x:v>
      </x:c>
      <x:c r="K1875" s="12" t="str">
        <x:v>Business count is from 2018 while population/context indicators are newer; use as a historical proxy, not a current market count.</x:v>
      </x:c>
    </x:row>
    <x:row r="1876">
      <x:c r="A1876" s="12" t="str">
        <x:v>4752</x:v>
      </x:c>
      <x:c r="B1876" s="12" t="str">
        <x:v>Retail sale of hardware, paints and glass in specialized stores</x:v>
      </x:c>
      <x:c r="C1876" s="12" t="str">
        <x:v>الزرقاء</x:v>
      </x:c>
      <x:c r="D1876" s="14" t="n">
        <x:v>626</x:v>
      </x:c>
      <x:c r="E1876" s="14" t="n">
        <x:f>VLOOKUP(C1876,'Governorate Master'!$A$2:$Q$13,3,FALSE)</x:f>
        <x:v>1704500</x:v>
      </x:c>
      <x:c r="F1876" s="66" t="n">
        <x:f>IF(E1876=0,0,D1876/E1876*10000)</x:f>
        <x:v>3.672631270167204</x:v>
      </x:c>
      <x:c r="G1876" s="67" t="n">
        <x:f>VLOOKUP(C1876,'Governorate Master'!$A$2:$Q$13,7,FALSE)</x:f>
        <x:v>358</x:v>
      </x:c>
      <x:c r="H1876" s="20" t="n">
        <x:f>VLOOKUP(C1876,'Governorate Master'!$A$2:$Q$13,6,FALSE)</x:f>
        <x:v>0.9636256966852449</x:v>
      </x:c>
      <x:c r="I1876" s="20" t="n">
        <x:f>VLOOKUP(C1876,'Governorate Master'!$A$2:$Q$13,15,FALSE)</x:f>
        <x:v>-0.06808762581409118</x:v>
      </x:c>
      <x:c r="J1876" s="12" t="str">
        <x:v>Location model input - competition/saturation context</x:v>
      </x:c>
      <x:c r="K1876" s="12" t="str">
        <x:v>Business count is from 2018 while population/context indicators are newer; use as a historical proxy, not a current market count.</x:v>
      </x:c>
    </x:row>
    <x:row r="1877">
      <x:c r="A1877" s="12" t="str">
        <x:v>4752</x:v>
      </x:c>
      <x:c r="B1877" s="12" t="str">
        <x:v>Retail sale of hardware, paints and glass in specialized stores</x:v>
      </x:c>
      <x:c r="C1877" s="12" t="str">
        <x:v>مادبا</x:v>
      </x:c>
      <x:c r="D1877" s="14" t="n">
        <x:v>120</x:v>
      </x:c>
      <x:c r="E1877" s="14" t="n">
        <x:f>VLOOKUP(C1877,'Governorate Master'!$A$2:$Q$13,3,FALSE)</x:f>
        <x:v>236200</x:v>
      </x:c>
      <x:c r="F1877" s="66" t="n">
        <x:f>IF(E1877=0,0,D1877/E1877*10000)</x:f>
        <x:v>5.080440304826419</x:v>
      </x:c>
      <x:c r="G1877" s="67" t="n">
        <x:f>VLOOKUP(C1877,'Governorate Master'!$A$2:$Q$13,7,FALSE)</x:f>
        <x:v>251.4</x:v>
      </x:c>
      <x:c r="H1877" s="20" t="n">
        <x:f>VLOOKUP(C1877,'Governorate Master'!$A$2:$Q$13,6,FALSE)</x:f>
        <x:v>0.7823878069432684</x:v>
      </x:c>
      <x:c r="I1877" s="20" t="n">
        <x:f>VLOOKUP(C1877,'Governorate Master'!$A$2:$Q$13,15,FALSE)</x:f>
        <x:v>-0.18823529411764706</x:v>
      </x:c>
      <x:c r="J1877" s="12" t="str">
        <x:v>Location model input - competition/saturation context</x:v>
      </x:c>
      <x:c r="K1877" s="12" t="str">
        <x:v>Business count is from 2018 while population/context indicators are newer; use as a historical proxy, not a current market count.</x:v>
      </x:c>
    </x:row>
    <x:row r="1878">
      <x:c r="A1878" s="12" t="str">
        <x:v>4752</x:v>
      </x:c>
      <x:c r="B1878" s="12" t="str">
        <x:v>Retail sale of hardware, paints and glass in specialized stores</x:v>
      </x:c>
      <x:c r="C1878" s="12" t="str">
        <x:v>إربد</x:v>
      </x:c>
      <x:c r="D1878" s="14" t="n">
        <x:v>767</x:v>
      </x:c>
      <x:c r="E1878" s="14" t="n">
        <x:f>VLOOKUP(C1878,'Governorate Master'!$A$2:$Q$13,3,FALSE)</x:f>
        <x:v>2210500</x:v>
      </x:c>
      <x:c r="F1878" s="66" t="n">
        <x:f>IF(E1878=0,0,D1878/E1878*10000)</x:f>
        <x:v>3.4698032119429993</x:v>
      </x:c>
      <x:c r="G1878" s="67" t="n">
        <x:f>VLOOKUP(C1878,'Governorate Master'!$A$2:$Q$13,7,FALSE)</x:f>
        <x:v>1406.4</x:v>
      </x:c>
      <x:c r="H1878" s="20" t="n">
        <x:f>VLOOKUP(C1878,'Governorate Master'!$A$2:$Q$13,6,FALSE)</x:f>
        <x:v>0.9235014702555983</x:v>
      </x:c>
      <x:c r="I1878" s="20" t="n">
        <x:f>VLOOKUP(C1878,'Governorate Master'!$A$2:$Q$13,15,FALSE)</x:f>
        <x:v>0.07086922474549726</x:v>
      </x:c>
      <x:c r="J1878" s="12" t="str">
        <x:v>Location model input - competition/saturation context</x:v>
      </x:c>
      <x:c r="K1878" s="12" t="str">
        <x:v>Business count is from 2018 while population/context indicators are newer; use as a historical proxy, not a current market count.</x:v>
      </x:c>
    </x:row>
    <x:row r="1879">
      <x:c r="A1879" s="12" t="str">
        <x:v>4752</x:v>
      </x:c>
      <x:c r="B1879" s="12" t="str">
        <x:v>Retail sale of hardware, paints and glass in specialized stores</x:v>
      </x:c>
      <x:c r="C1879" s="12" t="str">
        <x:v>المفرق</x:v>
      </x:c>
      <x:c r="D1879" s="14" t="n">
        <x:v>160</x:v>
      </x:c>
      <x:c r="E1879" s="14" t="n">
        <x:f>VLOOKUP(C1879,'Governorate Master'!$A$2:$Q$13,3,FALSE)</x:f>
        <x:v>686800</x:v>
      </x:c>
      <x:c r="F1879" s="66" t="n">
        <x:f>IF(E1879=0,0,D1879/E1879*10000)</x:f>
        <x:v>2.3296447291788</x:v>
      </x:c>
      <x:c r="G1879" s="67" t="n">
        <x:f>VLOOKUP(C1879,'Governorate Master'!$A$2:$Q$13,7,FALSE)</x:f>
        <x:v>25.9</x:v>
      </x:c>
      <x:c r="H1879" s="20" t="n">
        <x:f>VLOOKUP(C1879,'Governorate Master'!$A$2:$Q$13,6,FALSE)</x:f>
        <x:v>0.6965637740244612</x:v>
      </x:c>
      <x:c r="I1879" s="20" t="n">
        <x:f>VLOOKUP(C1879,'Governorate Master'!$A$2:$Q$13,15,FALSE)</x:f>
        <x:v>-0.016638935108153077</x:v>
      </x:c>
      <x:c r="J1879" s="12" t="str">
        <x:v>Location model input - competition/saturation context</x:v>
      </x:c>
      <x:c r="K1879" s="12" t="str">
        <x:v>Business count is from 2018 while population/context indicators are newer; use as a historical proxy, not a current market count.</x:v>
      </x:c>
    </x:row>
    <x:row r="1880">
      <x:c r="A1880" s="12" t="str">
        <x:v>4752</x:v>
      </x:c>
      <x:c r="B1880" s="12" t="str">
        <x:v>Retail sale of hardware, paints and glass in specialized stores</x:v>
      </x:c>
      <x:c r="C1880" s="12" t="str">
        <x:v>جرش</x:v>
      </x:c>
      <x:c r="D1880" s="14" t="n">
        <x:v>113</x:v>
      </x:c>
      <x:c r="E1880" s="14" t="n">
        <x:f>VLOOKUP(C1880,'Governorate Master'!$A$2:$Q$13,3,FALSE)</x:f>
        <x:v>296000</x:v>
      </x:c>
      <x:c r="F1880" s="66" t="n">
        <x:f>IF(E1880=0,0,D1880/E1880*10000)</x:f>
        <x:v>3.817567567567568</x:v>
      </x:c>
      <x:c r="G1880" s="67" t="n">
        <x:f>VLOOKUP(C1880,'Governorate Master'!$A$2:$Q$13,7,FALSE)</x:f>
        <x:v>722.3</x:v>
      </x:c>
      <x:c r="H1880" s="20" t="n">
        <x:f>VLOOKUP(C1880,'Governorate Master'!$A$2:$Q$13,6,FALSE)</x:f>
        <x:v>0.7695945945945946</x:v>
      </x:c>
      <x:c r="I1880" s="20" t="n">
        <x:f>VLOOKUP(C1880,'Governorate Master'!$A$2:$Q$13,15,FALSE)</x:f>
        <x:v>-0.06527415143603134</x:v>
      </x:c>
      <x:c r="J1880" s="12" t="str">
        <x:v>Location model input - competition/saturation context</x:v>
      </x:c>
      <x:c r="K1880" s="12" t="str">
        <x:v>Business count is from 2018 while population/context indicators are newer; use as a historical proxy, not a current market count.</x:v>
      </x:c>
    </x:row>
    <x:row r="1881">
      <x:c r="A1881" s="12" t="str">
        <x:v>4752</x:v>
      </x:c>
      <x:c r="B1881" s="12" t="str">
        <x:v>Retail sale of hardware, paints and glass in specialized stores</x:v>
      </x:c>
      <x:c r="C1881" s="12" t="str">
        <x:v>عجلون</x:v>
      </x:c>
      <x:c r="D1881" s="14" t="n">
        <x:v>108</x:v>
      </x:c>
      <x:c r="E1881" s="14" t="n">
        <x:f>VLOOKUP(C1881,'Governorate Master'!$A$2:$Q$13,3,FALSE)</x:f>
        <x:v>219900</x:v>
      </x:c>
      <x:c r="F1881" s="66" t="n">
        <x:f>IF(E1881=0,0,D1881/E1881*10000)</x:f>
        <x:v>4.911323328785811</x:v>
      </x:c>
      <x:c r="G1881" s="67" t="n">
        <x:f>VLOOKUP(C1881,'Governorate Master'!$A$2:$Q$13,7,FALSE)</x:f>
        <x:v>524</x:v>
      </x:c>
      <x:c r="H1881" s="20" t="n">
        <x:f>VLOOKUP(C1881,'Governorate Master'!$A$2:$Q$13,6,FALSE)</x:f>
        <x:v>0.8390177353342428</x:v>
      </x:c>
      <x:c r="I1881" s="20" t="n">
        <x:f>VLOOKUP(C1881,'Governorate Master'!$A$2:$Q$13,15,FALSE)</x:f>
        <x:v>0.03614457831325301</x:v>
      </x:c>
      <x:c r="J1881" s="12" t="str">
        <x:v>Location model input - competition/saturation context</x:v>
      </x:c>
      <x:c r="K1881" s="12" t="str">
        <x:v>Business count is from 2018 while population/context indicators are newer; use as a historical proxy, not a current market count.</x:v>
      </x:c>
    </x:row>
    <x:row r="1882">
      <x:c r="A1882" s="12" t="str">
        <x:v>4752</x:v>
      </x:c>
      <x:c r="B1882" s="12" t="str">
        <x:v>Retail sale of hardware, paints and glass in specialized stores</x:v>
      </x:c>
      <x:c r="C1882" s="12" t="str">
        <x:v>الكرك</x:v>
      </x:c>
      <x:c r="D1882" s="14" t="n">
        <x:v>149</x:v>
      </x:c>
      <x:c r="E1882" s="14" t="n">
        <x:f>VLOOKUP(C1882,'Governorate Master'!$A$2:$Q$13,3,FALSE)</x:f>
        <x:v>395400</x:v>
      </x:c>
      <x:c r="F1882" s="66" t="n">
        <x:f>IF(E1882=0,0,D1882/E1882*10000)</x:f>
        <x:v>3.7683358624178047</x:v>
      </x:c>
      <x:c r="G1882" s="67" t="n">
        <x:f>VLOOKUP(C1882,'Governorate Master'!$A$2:$Q$13,7,FALSE)</x:f>
        <x:v>113.1</x:v>
      </x:c>
      <x:c r="H1882" s="20" t="n">
        <x:f>VLOOKUP(C1882,'Governorate Master'!$A$2:$Q$13,6,FALSE)</x:f>
        <x:v>0.5912999494183105</x:v>
      </x:c>
      <x:c r="I1882" s="20" t="n">
        <x:f>VLOOKUP(C1882,'Governorate Master'!$A$2:$Q$13,15,FALSE)</x:f>
        <x:v>0.08710801393728224</x:v>
      </x:c>
      <x:c r="J1882" s="12" t="str">
        <x:v>Location model input - competition/saturation context</x:v>
      </x:c>
      <x:c r="K1882" s="12" t="str">
        <x:v>Business count is from 2018 while population/context indicators are newer; use as a historical proxy, not a current market count.</x:v>
      </x:c>
    </x:row>
    <x:row r="1883">
      <x:c r="A1883" s="12" t="str">
        <x:v>4752</x:v>
      </x:c>
      <x:c r="B1883" s="12" t="str">
        <x:v>Retail sale of hardware, paints and glass in specialized stores</x:v>
      </x:c>
      <x:c r="C1883" s="12" t="str">
        <x:v>الطفيلة</x:v>
      </x:c>
      <x:c r="D1883" s="14" t="n">
        <x:v>73</x:v>
      </x:c>
      <x:c r="E1883" s="14" t="n">
        <x:f>VLOOKUP(C1883,'Governorate Master'!$A$2:$Q$13,3,FALSE)</x:f>
        <x:v>120300</x:v>
      </x:c>
      <x:c r="F1883" s="66" t="n">
        <x:f>IF(E1883=0,0,D1883/E1883*10000)</x:f>
        <x:v>6.068162926018288</x:v>
      </x:c>
      <x:c r="G1883" s="67" t="n">
        <x:f>VLOOKUP(C1883,'Governorate Master'!$A$2:$Q$13,7,FALSE)</x:f>
        <x:v>54.4</x:v>
      </x:c>
      <x:c r="H1883" s="20" t="n">
        <x:f>VLOOKUP(C1883,'Governorate Master'!$A$2:$Q$13,6,FALSE)</x:f>
        <x:v>0.7797173732335827</x:v>
      </x:c>
      <x:c r="I1883" s="20" t="n">
        <x:f>VLOOKUP(C1883,'Governorate Master'!$A$2:$Q$13,15,FALSE)</x:f>
        <x:v>0.18452380952380953</x:v>
      </x:c>
      <x:c r="J1883" s="12" t="str">
        <x:v>Location model input - competition/saturation context</x:v>
      </x:c>
      <x:c r="K1883" s="12" t="str">
        <x:v>Business count is from 2018 while population/context indicators are newer; use as a historical proxy, not a current market count.</x:v>
      </x:c>
    </x:row>
    <x:row r="1884">
      <x:c r="A1884" s="12" t="str">
        <x:v>4752</x:v>
      </x:c>
      <x:c r="B1884" s="12" t="str">
        <x:v>Retail sale of hardware, paints and glass in specialized stores</x:v>
      </x:c>
      <x:c r="C1884" s="12" t="str">
        <x:v>معان</x:v>
      </x:c>
      <x:c r="D1884" s="14" t="n">
        <x:v>65</x:v>
      </x:c>
      <x:c r="E1884" s="14" t="n">
        <x:f>VLOOKUP(C1884,'Governorate Master'!$A$2:$Q$13,3,FALSE)</x:f>
        <x:v>197900</x:v>
      </x:c>
      <x:c r="F1884" s="66" t="n">
        <x:f>IF(E1884=0,0,D1884/E1884*10000)</x:f>
        <x:v>3.284487114704396</x:v>
      </x:c>
      <x:c r="G1884" s="67" t="n">
        <x:f>VLOOKUP(C1884,'Governorate Master'!$A$2:$Q$13,7,FALSE)</x:f>
        <x:v>6</x:v>
      </x:c>
      <x:c r="H1884" s="20" t="n">
        <x:f>VLOOKUP(C1884,'Governorate Master'!$A$2:$Q$13,6,FALSE)</x:f>
        <x:v>0.5406771096513391</x:v>
      </x:c>
      <x:c r="I1884" s="20" t="n">
        <x:f>VLOOKUP(C1884,'Governorate Master'!$A$2:$Q$13,15,FALSE)</x:f>
        <x:v>0.026845637583892617</x:v>
      </x:c>
      <x:c r="J1884" s="12" t="str">
        <x:v>Location model input - competition/saturation context</x:v>
      </x:c>
      <x:c r="K1884" s="12" t="str">
        <x:v>Business count is from 2018 while population/context indicators are newer; use as a historical proxy, not a current market count.</x:v>
      </x:c>
    </x:row>
    <x:row r="1885">
      <x:c r="A1885" s="12" t="str">
        <x:v>4752</x:v>
      </x:c>
      <x:c r="B1885" s="12" t="str">
        <x:v>Retail sale of hardware, paints and glass in specialized stores</x:v>
      </x:c>
      <x:c r="C1885" s="12" t="str">
        <x:v>العقبة</x:v>
      </x:c>
      <x:c r="D1885" s="14" t="n">
        <x:v>87</x:v>
      </x:c>
      <x:c r="E1885" s="14" t="n">
        <x:f>VLOOKUP(C1885,'Governorate Master'!$A$2:$Q$13,3,FALSE)</x:f>
        <x:v>250900</x:v>
      </x:c>
      <x:c r="F1885" s="66" t="n">
        <x:f>IF(E1885=0,0,D1885/E1885*10000)</x:f>
        <x:v>3.4675169390195295</x:v>
      </x:c>
      <x:c r="G1885" s="67" t="n">
        <x:f>VLOOKUP(C1885,'Governorate Master'!$A$2:$Q$13,7,FALSE)</x:f>
        <x:v>36.3</x:v>
      </x:c>
      <x:c r="H1885" s="20" t="n">
        <x:f>VLOOKUP(C1885,'Governorate Master'!$A$2:$Q$13,6,FALSE)</x:f>
        <x:v>0.882024711040255</x:v>
      </x:c>
      <x:c r="I1885" s="20" t="n">
        <x:f>VLOOKUP(C1885,'Governorate Master'!$A$2:$Q$13,15,FALSE)</x:f>
        <x:v>-0.09</x:v>
      </x:c>
      <x:c r="J1885" s="12" t="str">
        <x:v>Location model input - competition/saturation context</x:v>
      </x:c>
      <x:c r="K1885" s="12" t="str">
        <x:v>Business count is from 2018 while population/context indicators are newer; use as a historical proxy, not a current market count.</x:v>
      </x:c>
    </x:row>
    <x:row r="1886">
      <x:c r="A1886" s="12" t="str">
        <x:v>4753</x:v>
      </x:c>
      <x:c r="B1886" s="12" t="str">
        <x:v>Retail sale of carpets, rugs, wall and floor coverings in specialized stores</x:v>
      </x:c>
      <x:c r="C1886" s="12" t="str">
        <x:v>عمان</x:v>
      </x:c>
      <x:c r="D1886" s="14" t="n">
        <x:v>331</x:v>
      </x:c>
      <x:c r="E1886" s="14" t="n">
        <x:f>VLOOKUP(C1886,'Governorate Master'!$A$2:$Q$13,3,FALSE)</x:f>
        <x:v>5004600</x:v>
      </x:c>
      <x:c r="F1886" s="66" t="n">
        <x:f>IF(E1886=0,0,D1886/E1886*10000)</x:f>
        <x:v>0.6613915198017823</x:v>
      </x:c>
      <x:c r="G1886" s="67" t="n">
        <x:f>VLOOKUP(C1886,'Governorate Master'!$A$2:$Q$13,7,FALSE)</x:f>
        <x:v>660.3</x:v>
      </x:c>
      <x:c r="H1886" s="20" t="n">
        <x:f>VLOOKUP(C1886,'Governorate Master'!$A$2:$Q$13,6,FALSE)</x:f>
        <x:v>0.9721656076409703</x:v>
      </x:c>
      <x:c r="I1886" s="20" t="n">
        <x:f>VLOOKUP(C1886,'Governorate Master'!$A$2:$Q$13,15,FALSE)</x:f>
        <x:v>0.06367041198501873</x:v>
      </x:c>
      <x:c r="J1886" s="12" t="str">
        <x:v>Location model input - competition/saturation context</x:v>
      </x:c>
      <x:c r="K1886" s="12" t="str">
        <x:v>Business count is from 2018 while population/context indicators are newer; use as a historical proxy, not a current market count.</x:v>
      </x:c>
    </x:row>
    <x:row r="1887">
      <x:c r="A1887" s="12" t="str">
        <x:v>4753</x:v>
      </x:c>
      <x:c r="B1887" s="12" t="str">
        <x:v>Retail sale of carpets, rugs, wall and floor coverings in specialized stores</x:v>
      </x:c>
      <x:c r="C1887" s="12" t="str">
        <x:v>البلقاء</x:v>
      </x:c>
      <x:c r="D1887" s="14" t="n">
        <x:v>26</x:v>
      </x:c>
      <x:c r="E1887" s="14" t="n">
        <x:f>VLOOKUP(C1887,'Governorate Master'!$A$2:$Q$13,3,FALSE)</x:f>
        <x:v>614000</x:v>
      </x:c>
      <x:c r="F1887" s="66" t="n">
        <x:f>IF(E1887=0,0,D1887/E1887*10000)</x:f>
        <x:v>0.42345276872964166</x:v>
      </x:c>
      <x:c r="G1887" s="67" t="n">
        <x:f>VLOOKUP(C1887,'Governorate Master'!$A$2:$Q$13,7,FALSE)</x:f>
        <x:v>548</x:v>
      </x:c>
      <x:c r="H1887" s="20" t="n">
        <x:f>VLOOKUP(C1887,'Governorate Master'!$A$2:$Q$13,6,FALSE)</x:f>
        <x:v>0.8210097719869707</x:v>
      </x:c>
      <x:c r="I1887" s="20" t="n">
        <x:f>VLOOKUP(C1887,'Governorate Master'!$A$2:$Q$13,15,FALSE)</x:f>
        <x:v>0.10794044665012408</x:v>
      </x:c>
      <x:c r="J1887" s="12" t="str">
        <x:v>Location model input - competition/saturation context</x:v>
      </x:c>
      <x:c r="K1887" s="12" t="str">
        <x:v>Business count is from 2018 while population/context indicators are newer; use as a historical proxy, not a current market count.</x:v>
      </x:c>
    </x:row>
    <x:row r="1888">
      <x:c r="A1888" s="12" t="str">
        <x:v>4753</x:v>
      </x:c>
      <x:c r="B1888" s="12" t="str">
        <x:v>Retail sale of carpets, rugs, wall and floor coverings in specialized stores</x:v>
      </x:c>
      <x:c r="C1888" s="12" t="str">
        <x:v>الزرقاء</x:v>
      </x:c>
      <x:c r="D1888" s="14" t="n">
        <x:v>83</x:v>
      </x:c>
      <x:c r="E1888" s="14" t="n">
        <x:f>VLOOKUP(C1888,'Governorate Master'!$A$2:$Q$13,3,FALSE)</x:f>
        <x:v>1704500</x:v>
      </x:c>
      <x:c r="F1888" s="66" t="n">
        <x:f>IF(E1888=0,0,D1888/E1888*10000)</x:f>
        <x:v>0.48694631856849513</x:v>
      </x:c>
      <x:c r="G1888" s="67" t="n">
        <x:f>VLOOKUP(C1888,'Governorate Master'!$A$2:$Q$13,7,FALSE)</x:f>
        <x:v>358</x:v>
      </x:c>
      <x:c r="H1888" s="20" t="n">
        <x:f>VLOOKUP(C1888,'Governorate Master'!$A$2:$Q$13,6,FALSE)</x:f>
        <x:v>0.9636256966852449</x:v>
      </x:c>
      <x:c r="I1888" s="20" t="n">
        <x:f>VLOOKUP(C1888,'Governorate Master'!$A$2:$Q$13,15,FALSE)</x:f>
        <x:v>-0.06808762581409118</x:v>
      </x:c>
      <x:c r="J1888" s="12" t="str">
        <x:v>Location model input - competition/saturation context</x:v>
      </x:c>
      <x:c r="K1888" s="12" t="str">
        <x:v>Business count is from 2018 while population/context indicators are newer; use as a historical proxy, not a current market count.</x:v>
      </x:c>
    </x:row>
    <x:row r="1889">
      <x:c r="A1889" s="12" t="str">
        <x:v>4753</x:v>
      </x:c>
      <x:c r="B1889" s="12" t="str">
        <x:v>Retail sale of carpets, rugs, wall and floor coverings in specialized stores</x:v>
      </x:c>
      <x:c r="C1889" s="12" t="str">
        <x:v>مادبا</x:v>
      </x:c>
      <x:c r="D1889" s="14" t="n">
        <x:v>27</x:v>
      </x:c>
      <x:c r="E1889" s="14" t="n">
        <x:f>VLOOKUP(C1889,'Governorate Master'!$A$2:$Q$13,3,FALSE)</x:f>
        <x:v>236200</x:v>
      </x:c>
      <x:c r="F1889" s="66" t="n">
        <x:f>IF(E1889=0,0,D1889/E1889*10000)</x:f>
        <x:v>1.1430990685859441</x:v>
      </x:c>
      <x:c r="G1889" s="67" t="n">
        <x:f>VLOOKUP(C1889,'Governorate Master'!$A$2:$Q$13,7,FALSE)</x:f>
        <x:v>251.4</x:v>
      </x:c>
      <x:c r="H1889" s="20" t="n">
        <x:f>VLOOKUP(C1889,'Governorate Master'!$A$2:$Q$13,6,FALSE)</x:f>
        <x:v>0.7823878069432684</x:v>
      </x:c>
      <x:c r="I1889" s="20" t="n">
        <x:f>VLOOKUP(C1889,'Governorate Master'!$A$2:$Q$13,15,FALSE)</x:f>
        <x:v>-0.18823529411764706</x:v>
      </x:c>
      <x:c r="J1889" s="12" t="str">
        <x:v>Location model input - competition/saturation context</x:v>
      </x:c>
      <x:c r="K1889" s="12" t="str">
        <x:v>Business count is from 2018 while population/context indicators are newer; use as a historical proxy, not a current market count.</x:v>
      </x:c>
    </x:row>
    <x:row r="1890">
      <x:c r="A1890" s="12" t="str">
        <x:v>4753</x:v>
      </x:c>
      <x:c r="B1890" s="12" t="str">
        <x:v>Retail sale of carpets, rugs, wall and floor coverings in specialized stores</x:v>
      </x:c>
      <x:c r="C1890" s="12" t="str">
        <x:v>إربد</x:v>
      </x:c>
      <x:c r="D1890" s="14" t="n">
        <x:v>129</x:v>
      </x:c>
      <x:c r="E1890" s="14" t="n">
        <x:f>VLOOKUP(C1890,'Governorate Master'!$A$2:$Q$13,3,FALSE)</x:f>
        <x:v>2210500</x:v>
      </x:c>
      <x:c r="F1890" s="66" t="n">
        <x:f>IF(E1890=0,0,D1890/E1890*10000)</x:f>
        <x:v>0.5835783759330468</x:v>
      </x:c>
      <x:c r="G1890" s="67" t="n">
        <x:f>VLOOKUP(C1890,'Governorate Master'!$A$2:$Q$13,7,FALSE)</x:f>
        <x:v>1406.4</x:v>
      </x:c>
      <x:c r="H1890" s="20" t="n">
        <x:f>VLOOKUP(C1890,'Governorate Master'!$A$2:$Q$13,6,FALSE)</x:f>
        <x:v>0.9235014702555983</x:v>
      </x:c>
      <x:c r="I1890" s="20" t="n">
        <x:f>VLOOKUP(C1890,'Governorate Master'!$A$2:$Q$13,15,FALSE)</x:f>
        <x:v>0.07086922474549726</x:v>
      </x:c>
      <x:c r="J1890" s="12" t="str">
        <x:v>Location model input - competition/saturation context</x:v>
      </x:c>
      <x:c r="K1890" s="12" t="str">
        <x:v>Business count is from 2018 while population/context indicators are newer; use as a historical proxy, not a current market count.</x:v>
      </x:c>
    </x:row>
    <x:row r="1891">
      <x:c r="A1891" s="12" t="str">
        <x:v>4753</x:v>
      </x:c>
      <x:c r="B1891" s="12" t="str">
        <x:v>Retail sale of carpets, rugs, wall and floor coverings in specialized stores</x:v>
      </x:c>
      <x:c r="C1891" s="12" t="str">
        <x:v>المفرق</x:v>
      </x:c>
      <x:c r="D1891" s="14" t="n">
        <x:v>13</x:v>
      </x:c>
      <x:c r="E1891" s="14" t="n">
        <x:f>VLOOKUP(C1891,'Governorate Master'!$A$2:$Q$13,3,FALSE)</x:f>
        <x:v>686800</x:v>
      </x:c>
      <x:c r="F1891" s="66" t="n">
        <x:f>IF(E1891=0,0,D1891/E1891*10000)</x:f>
        <x:v>0.18928363424577752</x:v>
      </x:c>
      <x:c r="G1891" s="67" t="n">
        <x:f>VLOOKUP(C1891,'Governorate Master'!$A$2:$Q$13,7,FALSE)</x:f>
        <x:v>25.9</x:v>
      </x:c>
      <x:c r="H1891" s="20" t="n">
        <x:f>VLOOKUP(C1891,'Governorate Master'!$A$2:$Q$13,6,FALSE)</x:f>
        <x:v>0.6965637740244612</x:v>
      </x:c>
      <x:c r="I1891" s="20" t="n">
        <x:f>VLOOKUP(C1891,'Governorate Master'!$A$2:$Q$13,15,FALSE)</x:f>
        <x:v>-0.016638935108153077</x:v>
      </x:c>
      <x:c r="J1891" s="12" t="str">
        <x:v>Location model input - competition/saturation context</x:v>
      </x:c>
      <x:c r="K1891" s="12" t="str">
        <x:v>Business count is from 2018 while population/context indicators are newer; use as a historical proxy, not a current market count.</x:v>
      </x:c>
    </x:row>
    <x:row r="1892">
      <x:c r="A1892" s="12" t="str">
        <x:v>4753</x:v>
      </x:c>
      <x:c r="B1892" s="12" t="str">
        <x:v>Retail sale of carpets, rugs, wall and floor coverings in specialized stores</x:v>
      </x:c>
      <x:c r="C1892" s="12" t="str">
        <x:v>جرش</x:v>
      </x:c>
      <x:c r="D1892" s="14" t="n">
        <x:v>8</x:v>
      </x:c>
      <x:c r="E1892" s="14" t="n">
        <x:f>VLOOKUP(C1892,'Governorate Master'!$A$2:$Q$13,3,FALSE)</x:f>
        <x:v>296000</x:v>
      </x:c>
      <x:c r="F1892" s="66" t="n">
        <x:f>IF(E1892=0,0,D1892/E1892*10000)</x:f>
        <x:v>0.2702702702702703</x:v>
      </x:c>
      <x:c r="G1892" s="67" t="n">
        <x:f>VLOOKUP(C1892,'Governorate Master'!$A$2:$Q$13,7,FALSE)</x:f>
        <x:v>722.3</x:v>
      </x:c>
      <x:c r="H1892" s="20" t="n">
        <x:f>VLOOKUP(C1892,'Governorate Master'!$A$2:$Q$13,6,FALSE)</x:f>
        <x:v>0.7695945945945946</x:v>
      </x:c>
      <x:c r="I1892" s="20" t="n">
        <x:f>VLOOKUP(C1892,'Governorate Master'!$A$2:$Q$13,15,FALSE)</x:f>
        <x:v>-0.06527415143603134</x:v>
      </x:c>
      <x:c r="J1892" s="12" t="str">
        <x:v>Location model input - competition/saturation context</x:v>
      </x:c>
      <x:c r="K1892" s="12" t="str">
        <x:v>Business count is from 2018 while population/context indicators are newer; use as a historical proxy, not a current market count.</x:v>
      </x:c>
    </x:row>
    <x:row r="1893">
      <x:c r="A1893" s="12" t="str">
        <x:v>4753</x:v>
      </x:c>
      <x:c r="B1893" s="12" t="str">
        <x:v>Retail sale of carpets, rugs, wall and floor coverings in specialized stores</x:v>
      </x:c>
      <x:c r="C1893" s="12" t="str">
        <x:v>عجلون</x:v>
      </x:c>
      <x:c r="D1893" s="14" t="n">
        <x:v>14</x:v>
      </x:c>
      <x:c r="E1893" s="14" t="n">
        <x:f>VLOOKUP(C1893,'Governorate Master'!$A$2:$Q$13,3,FALSE)</x:f>
        <x:v>219900</x:v>
      </x:c>
      <x:c r="F1893" s="66" t="n">
        <x:f>IF(E1893=0,0,D1893/E1893*10000)</x:f>
        <x:v>0.6366530241018644</x:v>
      </x:c>
      <x:c r="G1893" s="67" t="n">
        <x:f>VLOOKUP(C1893,'Governorate Master'!$A$2:$Q$13,7,FALSE)</x:f>
        <x:v>524</x:v>
      </x:c>
      <x:c r="H1893" s="20" t="n">
        <x:f>VLOOKUP(C1893,'Governorate Master'!$A$2:$Q$13,6,FALSE)</x:f>
        <x:v>0.8390177353342428</x:v>
      </x:c>
      <x:c r="I1893" s="20" t="n">
        <x:f>VLOOKUP(C1893,'Governorate Master'!$A$2:$Q$13,15,FALSE)</x:f>
        <x:v>0.03614457831325301</x:v>
      </x:c>
      <x:c r="J1893" s="12" t="str">
        <x:v>Location model input - competition/saturation context</x:v>
      </x:c>
      <x:c r="K1893" s="12" t="str">
        <x:v>Business count is from 2018 while population/context indicators are newer; use as a historical proxy, not a current market count.</x:v>
      </x:c>
    </x:row>
    <x:row r="1894">
      <x:c r="A1894" s="12" t="str">
        <x:v>4753</x:v>
      </x:c>
      <x:c r="B1894" s="12" t="str">
        <x:v>Retail sale of carpets, rugs, wall and floor coverings in specialized stores</x:v>
      </x:c>
      <x:c r="C1894" s="12" t="str">
        <x:v>الكرك</x:v>
      </x:c>
      <x:c r="D1894" s="14" t="n">
        <x:v>21</x:v>
      </x:c>
      <x:c r="E1894" s="14" t="n">
        <x:f>VLOOKUP(C1894,'Governorate Master'!$A$2:$Q$13,3,FALSE)</x:f>
        <x:v>395400</x:v>
      </x:c>
      <x:c r="F1894" s="66" t="n">
        <x:f>IF(E1894=0,0,D1894/E1894*10000)</x:f>
        <x:v>0.5311077389984825</x:v>
      </x:c>
      <x:c r="G1894" s="67" t="n">
        <x:f>VLOOKUP(C1894,'Governorate Master'!$A$2:$Q$13,7,FALSE)</x:f>
        <x:v>113.1</x:v>
      </x:c>
      <x:c r="H1894" s="20" t="n">
        <x:f>VLOOKUP(C1894,'Governorate Master'!$A$2:$Q$13,6,FALSE)</x:f>
        <x:v>0.5912999494183105</x:v>
      </x:c>
      <x:c r="I1894" s="20" t="n">
        <x:f>VLOOKUP(C1894,'Governorate Master'!$A$2:$Q$13,15,FALSE)</x:f>
        <x:v>0.08710801393728224</x:v>
      </x:c>
      <x:c r="J1894" s="12" t="str">
        <x:v>Location model input - competition/saturation context</x:v>
      </x:c>
      <x:c r="K1894" s="12" t="str">
        <x:v>Business count is from 2018 while population/context indicators are newer; use as a historical proxy, not a current market count.</x:v>
      </x:c>
    </x:row>
    <x:row r="1895">
      <x:c r="A1895" s="12" t="str">
        <x:v>4753</x:v>
      </x:c>
      <x:c r="B1895" s="12" t="str">
        <x:v>Retail sale of carpets, rugs, wall and floor coverings in specialized stores</x:v>
      </x:c>
      <x:c r="C1895" s="12" t="str">
        <x:v>الطفيلة</x:v>
      </x:c>
      <x:c r="D1895" s="14" t="n">
        <x:v>8</x:v>
      </x:c>
      <x:c r="E1895" s="14" t="n">
        <x:f>VLOOKUP(C1895,'Governorate Master'!$A$2:$Q$13,3,FALSE)</x:f>
        <x:v>120300</x:v>
      </x:c>
      <x:c r="F1895" s="66" t="n">
        <x:f>IF(E1895=0,0,D1895/E1895*10000)</x:f>
        <x:v>0.6650041562759768</x:v>
      </x:c>
      <x:c r="G1895" s="67" t="n">
        <x:f>VLOOKUP(C1895,'Governorate Master'!$A$2:$Q$13,7,FALSE)</x:f>
        <x:v>54.4</x:v>
      </x:c>
      <x:c r="H1895" s="20" t="n">
        <x:f>VLOOKUP(C1895,'Governorate Master'!$A$2:$Q$13,6,FALSE)</x:f>
        <x:v>0.7797173732335827</x:v>
      </x:c>
      <x:c r="I1895" s="20" t="n">
        <x:f>VLOOKUP(C1895,'Governorate Master'!$A$2:$Q$13,15,FALSE)</x:f>
        <x:v>0.18452380952380953</x:v>
      </x:c>
      <x:c r="J1895" s="12" t="str">
        <x:v>Location model input - competition/saturation context</x:v>
      </x:c>
      <x:c r="K1895" s="12" t="str">
        <x:v>Business count is from 2018 while population/context indicators are newer; use as a historical proxy, not a current market count.</x:v>
      </x:c>
    </x:row>
    <x:row r="1896">
      <x:c r="A1896" s="12" t="str">
        <x:v>4753</x:v>
      </x:c>
      <x:c r="B1896" s="12" t="str">
        <x:v>Retail sale of carpets, rugs, wall and floor coverings in specialized stores</x:v>
      </x:c>
      <x:c r="C1896" s="12" t="str">
        <x:v>معان</x:v>
      </x:c>
      <x:c r="D1896" s="14" t="n">
        <x:v>14</x:v>
      </x:c>
      <x:c r="E1896" s="14" t="n">
        <x:f>VLOOKUP(C1896,'Governorate Master'!$A$2:$Q$13,3,FALSE)</x:f>
        <x:v>197900</x:v>
      </x:c>
      <x:c r="F1896" s="66" t="n">
        <x:f>IF(E1896=0,0,D1896/E1896*10000)</x:f>
        <x:v>0.7074279939363315</x:v>
      </x:c>
      <x:c r="G1896" s="67" t="n">
        <x:f>VLOOKUP(C1896,'Governorate Master'!$A$2:$Q$13,7,FALSE)</x:f>
        <x:v>6</x:v>
      </x:c>
      <x:c r="H1896" s="20" t="n">
        <x:f>VLOOKUP(C1896,'Governorate Master'!$A$2:$Q$13,6,FALSE)</x:f>
        <x:v>0.5406771096513391</x:v>
      </x:c>
      <x:c r="I1896" s="20" t="n">
        <x:f>VLOOKUP(C1896,'Governorate Master'!$A$2:$Q$13,15,FALSE)</x:f>
        <x:v>0.026845637583892617</x:v>
      </x:c>
      <x:c r="J1896" s="12" t="str">
        <x:v>Location model input - competition/saturation context</x:v>
      </x:c>
      <x:c r="K1896" s="12" t="str">
        <x:v>Business count is from 2018 while population/context indicators are newer; use as a historical proxy, not a current market count.</x:v>
      </x:c>
    </x:row>
    <x:row r="1897">
      <x:c r="A1897" s="12" t="str">
        <x:v>4753</x:v>
      </x:c>
      <x:c r="B1897" s="12" t="str">
        <x:v>Retail sale of carpets, rugs, wall and floor coverings in specialized stores</x:v>
      </x:c>
      <x:c r="C1897" s="12" t="str">
        <x:v>العقبة</x:v>
      </x:c>
      <x:c r="D1897" s="14" t="n">
        <x:v>19</x:v>
      </x:c>
      <x:c r="E1897" s="14" t="n">
        <x:f>VLOOKUP(C1897,'Governorate Master'!$A$2:$Q$13,3,FALSE)</x:f>
        <x:v>250900</x:v>
      </x:c>
      <x:c r="F1897" s="66" t="n">
        <x:f>IF(E1897=0,0,D1897/E1897*10000)</x:f>
        <x:v>0.7572738142686329</x:v>
      </x:c>
      <x:c r="G1897" s="67" t="n">
        <x:f>VLOOKUP(C1897,'Governorate Master'!$A$2:$Q$13,7,FALSE)</x:f>
        <x:v>36.3</x:v>
      </x:c>
      <x:c r="H1897" s="20" t="n">
        <x:f>VLOOKUP(C1897,'Governorate Master'!$A$2:$Q$13,6,FALSE)</x:f>
        <x:v>0.882024711040255</x:v>
      </x:c>
      <x:c r="I1897" s="20" t="n">
        <x:f>VLOOKUP(C1897,'Governorate Master'!$A$2:$Q$13,15,FALSE)</x:f>
        <x:v>-0.09</x:v>
      </x:c>
      <x:c r="J1897" s="12" t="str">
        <x:v>Location model input - competition/saturation context</x:v>
      </x:c>
      <x:c r="K1897" s="12" t="str">
        <x:v>Business count is from 2018 while population/context indicators are newer; use as a historical proxy, not a current market count.</x:v>
      </x:c>
    </x:row>
    <x:row r="1898">
      <x:c r="A1898" s="12" t="str">
        <x:v>4759</x:v>
      </x:c>
      <x:c r="B1898" s="12" t="str">
        <x:v>Retail sale of electrical household appliances, furniture, lighting equipment and other household articles in specialized stores</x:v>
      </x:c>
      <x:c r="C1898" s="12" t="str">
        <x:v>عمان</x:v>
      </x:c>
      <x:c r="D1898" s="14" t="n">
        <x:v>2267</x:v>
      </x:c>
      <x:c r="E1898" s="14" t="n">
        <x:f>VLOOKUP(C1898,'Governorate Master'!$A$2:$Q$13,3,FALSE)</x:f>
        <x:v>5004600</x:v>
      </x:c>
      <x:c r="F1898" s="66" t="n">
        <x:f>IF(E1898=0,0,D1898/E1898*10000)</x:f>
        <x:v>4.529832554050274</x:v>
      </x:c>
      <x:c r="G1898" s="67" t="n">
        <x:f>VLOOKUP(C1898,'Governorate Master'!$A$2:$Q$13,7,FALSE)</x:f>
        <x:v>660.3</x:v>
      </x:c>
      <x:c r="H1898" s="20" t="n">
        <x:f>VLOOKUP(C1898,'Governorate Master'!$A$2:$Q$13,6,FALSE)</x:f>
        <x:v>0.9721656076409703</x:v>
      </x:c>
      <x:c r="I1898" s="20" t="n">
        <x:f>VLOOKUP(C1898,'Governorate Master'!$A$2:$Q$13,15,FALSE)</x:f>
        <x:v>0.06367041198501873</x:v>
      </x:c>
      <x:c r="J1898" s="12" t="str">
        <x:v>Location model input - competition/saturation context</x:v>
      </x:c>
      <x:c r="K1898" s="12" t="str">
        <x:v>Business count is from 2018 while population/context indicators are newer; use as a historical proxy, not a current market count.</x:v>
      </x:c>
    </x:row>
    <x:row r="1899">
      <x:c r="A1899" s="12" t="str">
        <x:v>4759</x:v>
      </x:c>
      <x:c r="B1899" s="12" t="str">
        <x:v>Retail sale of electrical household appliances, furniture, lighting equipment and other household articles in specialized stores</x:v>
      </x:c>
      <x:c r="C1899" s="12" t="str">
        <x:v>البلقاء</x:v>
      </x:c>
      <x:c r="D1899" s="14" t="n">
        <x:v>328</x:v>
      </x:c>
      <x:c r="E1899" s="14" t="n">
        <x:f>VLOOKUP(C1899,'Governorate Master'!$A$2:$Q$13,3,FALSE)</x:f>
        <x:v>614000</x:v>
      </x:c>
      <x:c r="F1899" s="66" t="n">
        <x:f>IF(E1899=0,0,D1899/E1899*10000)</x:f>
        <x:v>5.342019543973941</x:v>
      </x:c>
      <x:c r="G1899" s="67" t="n">
        <x:f>VLOOKUP(C1899,'Governorate Master'!$A$2:$Q$13,7,FALSE)</x:f>
        <x:v>548</x:v>
      </x:c>
      <x:c r="H1899" s="20" t="n">
        <x:f>VLOOKUP(C1899,'Governorate Master'!$A$2:$Q$13,6,FALSE)</x:f>
        <x:v>0.8210097719869707</x:v>
      </x:c>
      <x:c r="I1899" s="20" t="n">
        <x:f>VLOOKUP(C1899,'Governorate Master'!$A$2:$Q$13,15,FALSE)</x:f>
        <x:v>0.10794044665012408</x:v>
      </x:c>
      <x:c r="J1899" s="12" t="str">
        <x:v>Location model input - competition/saturation context</x:v>
      </x:c>
      <x:c r="K1899" s="12" t="str">
        <x:v>Business count is from 2018 while population/context indicators are newer; use as a historical proxy, not a current market count.</x:v>
      </x:c>
    </x:row>
    <x:row r="1900">
      <x:c r="A1900" s="12" t="str">
        <x:v>4759</x:v>
      </x:c>
      <x:c r="B1900" s="12" t="str">
        <x:v>Retail sale of electrical household appliances, furniture, lighting equipment and other household articles in specialized stores</x:v>
      </x:c>
      <x:c r="C1900" s="12" t="str">
        <x:v>الزرقاء</x:v>
      </x:c>
      <x:c r="D1900" s="14" t="n">
        <x:v>732</x:v>
      </x:c>
      <x:c r="E1900" s="14" t="n">
        <x:f>VLOOKUP(C1900,'Governorate Master'!$A$2:$Q$13,3,FALSE)</x:f>
        <x:v>1704500</x:v>
      </x:c>
      <x:c r="F1900" s="66" t="n">
        <x:f>IF(E1900=0,0,D1900/E1900*10000)</x:f>
        <x:v>4.29451452038721</x:v>
      </x:c>
      <x:c r="G1900" s="67" t="n">
        <x:f>VLOOKUP(C1900,'Governorate Master'!$A$2:$Q$13,7,FALSE)</x:f>
        <x:v>358</x:v>
      </x:c>
      <x:c r="H1900" s="20" t="n">
        <x:f>VLOOKUP(C1900,'Governorate Master'!$A$2:$Q$13,6,FALSE)</x:f>
        <x:v>0.9636256966852449</x:v>
      </x:c>
      <x:c r="I1900" s="20" t="n">
        <x:f>VLOOKUP(C1900,'Governorate Master'!$A$2:$Q$13,15,FALSE)</x:f>
        <x:v>-0.06808762581409118</x:v>
      </x:c>
      <x:c r="J1900" s="12" t="str">
        <x:v>Location model input - competition/saturation context</x:v>
      </x:c>
      <x:c r="K1900" s="12" t="str">
        <x:v>Business count is from 2018 while population/context indicators are newer; use as a historical proxy, not a current market count.</x:v>
      </x:c>
    </x:row>
    <x:row r="1901">
      <x:c r="A1901" s="12" t="str">
        <x:v>4759</x:v>
      </x:c>
      <x:c r="B1901" s="12" t="str">
        <x:v>Retail sale of electrical household appliances, furniture, lighting equipment and other household articles in specialized stores</x:v>
      </x:c>
      <x:c r="C1901" s="12" t="str">
        <x:v>مادبا</x:v>
      </x:c>
      <x:c r="D1901" s="14" t="n">
        <x:v>145</x:v>
      </x:c>
      <x:c r="E1901" s="14" t="n">
        <x:f>VLOOKUP(C1901,'Governorate Master'!$A$2:$Q$13,3,FALSE)</x:f>
        <x:v>236200</x:v>
      </x:c>
      <x:c r="F1901" s="66" t="n">
        <x:f>IF(E1901=0,0,D1901/E1901*10000)</x:f>
        <x:v>6.138865368331921</x:v>
      </x:c>
      <x:c r="G1901" s="67" t="n">
        <x:f>VLOOKUP(C1901,'Governorate Master'!$A$2:$Q$13,7,FALSE)</x:f>
        <x:v>251.4</x:v>
      </x:c>
      <x:c r="H1901" s="20" t="n">
        <x:f>VLOOKUP(C1901,'Governorate Master'!$A$2:$Q$13,6,FALSE)</x:f>
        <x:v>0.7823878069432684</x:v>
      </x:c>
      <x:c r="I1901" s="20" t="n">
        <x:f>VLOOKUP(C1901,'Governorate Master'!$A$2:$Q$13,15,FALSE)</x:f>
        <x:v>-0.18823529411764706</x:v>
      </x:c>
      <x:c r="J1901" s="12" t="str">
        <x:v>Location model input - competition/saturation context</x:v>
      </x:c>
      <x:c r="K1901" s="12" t="str">
        <x:v>Business count is from 2018 while population/context indicators are newer; use as a historical proxy, not a current market count.</x:v>
      </x:c>
    </x:row>
    <x:row r="1902">
      <x:c r="A1902" s="12" t="str">
        <x:v>4759</x:v>
      </x:c>
      <x:c r="B1902" s="12" t="str">
        <x:v>Retail sale of electrical household appliances, furniture, lighting equipment and other household articles in specialized stores</x:v>
      </x:c>
      <x:c r="C1902" s="12" t="str">
        <x:v>إربد</x:v>
      </x:c>
      <x:c r="D1902" s="14" t="n">
        <x:v>884</x:v>
      </x:c>
      <x:c r="E1902" s="14" t="n">
        <x:f>VLOOKUP(C1902,'Governorate Master'!$A$2:$Q$13,3,FALSE)</x:f>
        <x:v>2210500</x:v>
      </x:c>
      <x:c r="F1902" s="66" t="n">
        <x:f>IF(E1902=0,0,D1902/E1902*10000)</x:f>
        <x:v>3.999095227324135</x:v>
      </x:c>
      <x:c r="G1902" s="67" t="n">
        <x:f>VLOOKUP(C1902,'Governorate Master'!$A$2:$Q$13,7,FALSE)</x:f>
        <x:v>1406.4</x:v>
      </x:c>
      <x:c r="H1902" s="20" t="n">
        <x:f>VLOOKUP(C1902,'Governorate Master'!$A$2:$Q$13,6,FALSE)</x:f>
        <x:v>0.9235014702555983</x:v>
      </x:c>
      <x:c r="I1902" s="20" t="n">
        <x:f>VLOOKUP(C1902,'Governorate Master'!$A$2:$Q$13,15,FALSE)</x:f>
        <x:v>0.07086922474549726</x:v>
      </x:c>
      <x:c r="J1902" s="12" t="str">
        <x:v>Location model input - competition/saturation context</x:v>
      </x:c>
      <x:c r="K1902" s="12" t="str">
        <x:v>Business count is from 2018 while population/context indicators are newer; use as a historical proxy, not a current market count.</x:v>
      </x:c>
    </x:row>
    <x:row r="1903">
      <x:c r="A1903" s="12" t="str">
        <x:v>4759</x:v>
      </x:c>
      <x:c r="B1903" s="12" t="str">
        <x:v>Retail sale of electrical household appliances, furniture, lighting equipment and other household articles in specialized stores</x:v>
      </x:c>
      <x:c r="C1903" s="12" t="str">
        <x:v>المفرق</x:v>
      </x:c>
      <x:c r="D1903" s="14" t="n">
        <x:v>157</x:v>
      </x:c>
      <x:c r="E1903" s="14" t="n">
        <x:f>VLOOKUP(C1903,'Governorate Master'!$A$2:$Q$13,3,FALSE)</x:f>
        <x:v>686800</x:v>
      </x:c>
      <x:c r="F1903" s="66" t="n">
        <x:f>IF(E1903=0,0,D1903/E1903*10000)</x:f>
        <x:v>2.2859638905066975</x:v>
      </x:c>
      <x:c r="G1903" s="67" t="n">
        <x:f>VLOOKUP(C1903,'Governorate Master'!$A$2:$Q$13,7,FALSE)</x:f>
        <x:v>25.9</x:v>
      </x:c>
      <x:c r="H1903" s="20" t="n">
        <x:f>VLOOKUP(C1903,'Governorate Master'!$A$2:$Q$13,6,FALSE)</x:f>
        <x:v>0.6965637740244612</x:v>
      </x:c>
      <x:c r="I1903" s="20" t="n">
        <x:f>VLOOKUP(C1903,'Governorate Master'!$A$2:$Q$13,15,FALSE)</x:f>
        <x:v>-0.016638935108153077</x:v>
      </x:c>
      <x:c r="J1903" s="12" t="str">
        <x:v>Location model input - competition/saturation context</x:v>
      </x:c>
      <x:c r="K1903" s="12" t="str">
        <x:v>Business count is from 2018 while population/context indicators are newer; use as a historical proxy, not a current market count.</x:v>
      </x:c>
    </x:row>
    <x:row r="1904">
      <x:c r="A1904" s="12" t="str">
        <x:v>4759</x:v>
      </x:c>
      <x:c r="B1904" s="12" t="str">
        <x:v>Retail sale of electrical household appliances, furniture, lighting equipment and other household articles in specialized stores</x:v>
      </x:c>
      <x:c r="C1904" s="12" t="str">
        <x:v>جرش</x:v>
      </x:c>
      <x:c r="D1904" s="14" t="n">
        <x:v>108</x:v>
      </x:c>
      <x:c r="E1904" s="14" t="n">
        <x:f>VLOOKUP(C1904,'Governorate Master'!$A$2:$Q$13,3,FALSE)</x:f>
        <x:v>296000</x:v>
      </x:c>
      <x:c r="F1904" s="66" t="n">
        <x:f>IF(E1904=0,0,D1904/E1904*10000)</x:f>
        <x:v>3.6486486486486482</x:v>
      </x:c>
      <x:c r="G1904" s="67" t="n">
        <x:f>VLOOKUP(C1904,'Governorate Master'!$A$2:$Q$13,7,FALSE)</x:f>
        <x:v>722.3</x:v>
      </x:c>
      <x:c r="H1904" s="20" t="n">
        <x:f>VLOOKUP(C1904,'Governorate Master'!$A$2:$Q$13,6,FALSE)</x:f>
        <x:v>0.7695945945945946</x:v>
      </x:c>
      <x:c r="I1904" s="20" t="n">
        <x:f>VLOOKUP(C1904,'Governorate Master'!$A$2:$Q$13,15,FALSE)</x:f>
        <x:v>-0.06527415143603134</x:v>
      </x:c>
      <x:c r="J1904" s="12" t="str">
        <x:v>Location model input - competition/saturation context</x:v>
      </x:c>
      <x:c r="K1904" s="12" t="str">
        <x:v>Business count is from 2018 while population/context indicators are newer; use as a historical proxy, not a current market count.</x:v>
      </x:c>
    </x:row>
    <x:row r="1905">
      <x:c r="A1905" s="12" t="str">
        <x:v>4759</x:v>
      </x:c>
      <x:c r="B1905" s="12" t="str">
        <x:v>Retail sale of electrical household appliances, furniture, lighting equipment and other household articles in specialized stores</x:v>
      </x:c>
      <x:c r="C1905" s="12" t="str">
        <x:v>عجلون</x:v>
      </x:c>
      <x:c r="D1905" s="14" t="n">
        <x:v>114</x:v>
      </x:c>
      <x:c r="E1905" s="14" t="n">
        <x:f>VLOOKUP(C1905,'Governorate Master'!$A$2:$Q$13,3,FALSE)</x:f>
        <x:v>219900</x:v>
      </x:c>
      <x:c r="F1905" s="66" t="n">
        <x:f>IF(E1905=0,0,D1905/E1905*10000)</x:f>
        <x:v>5.184174624829468</x:v>
      </x:c>
      <x:c r="G1905" s="67" t="n">
        <x:f>VLOOKUP(C1905,'Governorate Master'!$A$2:$Q$13,7,FALSE)</x:f>
        <x:v>524</x:v>
      </x:c>
      <x:c r="H1905" s="20" t="n">
        <x:f>VLOOKUP(C1905,'Governorate Master'!$A$2:$Q$13,6,FALSE)</x:f>
        <x:v>0.8390177353342428</x:v>
      </x:c>
      <x:c r="I1905" s="20" t="n">
        <x:f>VLOOKUP(C1905,'Governorate Master'!$A$2:$Q$13,15,FALSE)</x:f>
        <x:v>0.03614457831325301</x:v>
      </x:c>
      <x:c r="J1905" s="12" t="str">
        <x:v>Location model input - competition/saturation context</x:v>
      </x:c>
      <x:c r="K1905" s="12" t="str">
        <x:v>Business count is from 2018 while population/context indicators are newer; use as a historical proxy, not a current market count.</x:v>
      </x:c>
    </x:row>
    <x:row r="1906">
      <x:c r="A1906" s="12" t="str">
        <x:v>4759</x:v>
      </x:c>
      <x:c r="B1906" s="12" t="str">
        <x:v>Retail sale of electrical household appliances, furniture, lighting equipment and other household articles in specialized stores</x:v>
      </x:c>
      <x:c r="C1906" s="12" t="str">
        <x:v>الكرك</x:v>
      </x:c>
      <x:c r="D1906" s="14" t="n">
        <x:v>225</x:v>
      </x:c>
      <x:c r="E1906" s="14" t="n">
        <x:f>VLOOKUP(C1906,'Governorate Master'!$A$2:$Q$13,3,FALSE)</x:f>
        <x:v>395400</x:v>
      </x:c>
      <x:c r="F1906" s="66" t="n">
        <x:f>IF(E1906=0,0,D1906/E1906*10000)</x:f>
        <x:v>5.690440060698028</x:v>
      </x:c>
      <x:c r="G1906" s="67" t="n">
        <x:f>VLOOKUP(C1906,'Governorate Master'!$A$2:$Q$13,7,FALSE)</x:f>
        <x:v>113.1</x:v>
      </x:c>
      <x:c r="H1906" s="20" t="n">
        <x:f>VLOOKUP(C1906,'Governorate Master'!$A$2:$Q$13,6,FALSE)</x:f>
        <x:v>0.5912999494183105</x:v>
      </x:c>
      <x:c r="I1906" s="20" t="n">
        <x:f>VLOOKUP(C1906,'Governorate Master'!$A$2:$Q$13,15,FALSE)</x:f>
        <x:v>0.08710801393728224</x:v>
      </x:c>
      <x:c r="J1906" s="12" t="str">
        <x:v>Location model input - competition/saturation context</x:v>
      </x:c>
      <x:c r="K1906" s="12" t="str">
        <x:v>Business count is from 2018 while population/context indicators are newer; use as a historical proxy, not a current market count.</x:v>
      </x:c>
    </x:row>
    <x:row r="1907">
      <x:c r="A1907" s="12" t="str">
        <x:v>4759</x:v>
      </x:c>
      <x:c r="B1907" s="12" t="str">
        <x:v>Retail sale of electrical household appliances, furniture, lighting equipment and other household articles in specialized stores</x:v>
      </x:c>
      <x:c r="C1907" s="12" t="str">
        <x:v>الطفيلة</x:v>
      </x:c>
      <x:c r="D1907" s="14" t="n">
        <x:v>66</x:v>
      </x:c>
      <x:c r="E1907" s="14" t="n">
        <x:f>VLOOKUP(C1907,'Governorate Master'!$A$2:$Q$13,3,FALSE)</x:f>
        <x:v>120300</x:v>
      </x:c>
      <x:c r="F1907" s="66" t="n">
        <x:f>IF(E1907=0,0,D1907/E1907*10000)</x:f>
        <x:v>5.486284289276808</x:v>
      </x:c>
      <x:c r="G1907" s="67" t="n">
        <x:f>VLOOKUP(C1907,'Governorate Master'!$A$2:$Q$13,7,FALSE)</x:f>
        <x:v>54.4</x:v>
      </x:c>
      <x:c r="H1907" s="20" t="n">
        <x:f>VLOOKUP(C1907,'Governorate Master'!$A$2:$Q$13,6,FALSE)</x:f>
        <x:v>0.7797173732335827</x:v>
      </x:c>
      <x:c r="I1907" s="20" t="n">
        <x:f>VLOOKUP(C1907,'Governorate Master'!$A$2:$Q$13,15,FALSE)</x:f>
        <x:v>0.18452380952380953</x:v>
      </x:c>
      <x:c r="J1907" s="12" t="str">
        <x:v>Location model input - competition/saturation context</x:v>
      </x:c>
      <x:c r="K1907" s="12" t="str">
        <x:v>Business count is from 2018 while population/context indicators are newer; use as a historical proxy, not a current market count.</x:v>
      </x:c>
    </x:row>
    <x:row r="1908">
      <x:c r="A1908" s="12" t="str">
        <x:v>4759</x:v>
      </x:c>
      <x:c r="B1908" s="12" t="str">
        <x:v>Retail sale of electrical household appliances, furniture, lighting equipment and other household articles in specialized stores</x:v>
      </x:c>
      <x:c r="C1908" s="12" t="str">
        <x:v>معان</x:v>
      </x:c>
      <x:c r="D1908" s="14" t="n">
        <x:v>80</x:v>
      </x:c>
      <x:c r="E1908" s="14" t="n">
        <x:f>VLOOKUP(C1908,'Governorate Master'!$A$2:$Q$13,3,FALSE)</x:f>
        <x:v>197900</x:v>
      </x:c>
      <x:c r="F1908" s="66" t="n">
        <x:f>IF(E1908=0,0,D1908/E1908*10000)</x:f>
        <x:v>4.04244567963618</x:v>
      </x:c>
      <x:c r="G1908" s="67" t="n">
        <x:f>VLOOKUP(C1908,'Governorate Master'!$A$2:$Q$13,7,FALSE)</x:f>
        <x:v>6</x:v>
      </x:c>
      <x:c r="H1908" s="20" t="n">
        <x:f>VLOOKUP(C1908,'Governorate Master'!$A$2:$Q$13,6,FALSE)</x:f>
        <x:v>0.5406771096513391</x:v>
      </x:c>
      <x:c r="I1908" s="20" t="n">
        <x:f>VLOOKUP(C1908,'Governorate Master'!$A$2:$Q$13,15,FALSE)</x:f>
        <x:v>0.026845637583892617</x:v>
      </x:c>
      <x:c r="J1908" s="12" t="str">
        <x:v>Location model input - competition/saturation context</x:v>
      </x:c>
      <x:c r="K1908" s="12" t="str">
        <x:v>Business count is from 2018 while population/context indicators are newer; use as a historical proxy, not a current market count.</x:v>
      </x:c>
    </x:row>
    <x:row r="1909">
      <x:c r="A1909" s="12" t="str">
        <x:v>4759</x:v>
      </x:c>
      <x:c r="B1909" s="12" t="str">
        <x:v>Retail sale of electrical household appliances, furniture, lighting equipment and other household articles in specialized stores</x:v>
      </x:c>
      <x:c r="C1909" s="12" t="str">
        <x:v>العقبة</x:v>
      </x:c>
      <x:c r="D1909" s="14" t="n">
        <x:v>128</x:v>
      </x:c>
      <x:c r="E1909" s="14" t="n">
        <x:f>VLOOKUP(C1909,'Governorate Master'!$A$2:$Q$13,3,FALSE)</x:f>
        <x:v>250900</x:v>
      </x:c>
      <x:c r="F1909" s="66" t="n">
        <x:f>IF(E1909=0,0,D1909/E1909*10000)</x:f>
        <x:v>5.1016341171781585</x:v>
      </x:c>
      <x:c r="G1909" s="67" t="n">
        <x:f>VLOOKUP(C1909,'Governorate Master'!$A$2:$Q$13,7,FALSE)</x:f>
        <x:v>36.3</x:v>
      </x:c>
      <x:c r="H1909" s="20" t="n">
        <x:f>VLOOKUP(C1909,'Governorate Master'!$A$2:$Q$13,6,FALSE)</x:f>
        <x:v>0.882024711040255</x:v>
      </x:c>
      <x:c r="I1909" s="20" t="n">
        <x:f>VLOOKUP(C1909,'Governorate Master'!$A$2:$Q$13,15,FALSE)</x:f>
        <x:v>-0.09</x:v>
      </x:c>
      <x:c r="J1909" s="12" t="str">
        <x:v>Location model input - competition/saturation context</x:v>
      </x:c>
      <x:c r="K1909" s="12" t="str">
        <x:v>Business count is from 2018 while population/context indicators are newer; use as a historical proxy, not a current market count.</x:v>
      </x:c>
    </x:row>
    <x:row r="1910">
      <x:c r="A1910" s="12" t="str">
        <x:v>4761</x:v>
      </x:c>
      <x:c r="B1910" s="12" t="str">
        <x:v>Retail sale of books, newspapers and stationary in specialized stores</x:v>
      </x:c>
      <x:c r="C1910" s="12" t="str">
        <x:v>عمان</x:v>
      </x:c>
      <x:c r="D1910" s="14" t="n">
        <x:v>946</x:v>
      </x:c>
      <x:c r="E1910" s="14" t="n">
        <x:f>VLOOKUP(C1910,'Governorate Master'!$A$2:$Q$13,3,FALSE)</x:f>
        <x:v>5004600</x:v>
      </x:c>
      <x:c r="F1910" s="66" t="n">
        <x:f>IF(E1910=0,0,D1910/E1910*10000)</x:f>
        <x:v>1.8902609599168765</x:v>
      </x:c>
      <x:c r="G1910" s="67" t="n">
        <x:f>VLOOKUP(C1910,'Governorate Master'!$A$2:$Q$13,7,FALSE)</x:f>
        <x:v>660.3</x:v>
      </x:c>
      <x:c r="H1910" s="20" t="n">
        <x:f>VLOOKUP(C1910,'Governorate Master'!$A$2:$Q$13,6,FALSE)</x:f>
        <x:v>0.9721656076409703</x:v>
      </x:c>
      <x:c r="I1910" s="20" t="n">
        <x:f>VLOOKUP(C1910,'Governorate Master'!$A$2:$Q$13,15,FALSE)</x:f>
        <x:v>0.06367041198501873</x:v>
      </x:c>
      <x:c r="J1910" s="12" t="str">
        <x:v>Location model input - competition/saturation context</x:v>
      </x:c>
      <x:c r="K1910" s="12" t="str">
        <x:v>Business count is from 2018 while population/context indicators are newer; use as a historical proxy, not a current market count.</x:v>
      </x:c>
    </x:row>
    <x:row r="1911">
      <x:c r="A1911" s="12" t="str">
        <x:v>4761</x:v>
      </x:c>
      <x:c r="B1911" s="12" t="str">
        <x:v>Retail sale of books, newspapers and stationary in specialized stores</x:v>
      </x:c>
      <x:c r="C1911" s="12" t="str">
        <x:v>البلقاء</x:v>
      </x:c>
      <x:c r="D1911" s="14" t="n">
        <x:v>148</x:v>
      </x:c>
      <x:c r="E1911" s="14" t="n">
        <x:f>VLOOKUP(C1911,'Governorate Master'!$A$2:$Q$13,3,FALSE)</x:f>
        <x:v>614000</x:v>
      </x:c>
      <x:c r="F1911" s="66" t="n">
        <x:f>IF(E1911=0,0,D1911/E1911*10000)</x:f>
        <x:v>2.41042345276873</x:v>
      </x:c>
      <x:c r="G1911" s="67" t="n">
        <x:f>VLOOKUP(C1911,'Governorate Master'!$A$2:$Q$13,7,FALSE)</x:f>
        <x:v>548</x:v>
      </x:c>
      <x:c r="H1911" s="20" t="n">
        <x:f>VLOOKUP(C1911,'Governorate Master'!$A$2:$Q$13,6,FALSE)</x:f>
        <x:v>0.8210097719869707</x:v>
      </x:c>
      <x:c r="I1911" s="20" t="n">
        <x:f>VLOOKUP(C1911,'Governorate Master'!$A$2:$Q$13,15,FALSE)</x:f>
        <x:v>0.10794044665012408</x:v>
      </x:c>
      <x:c r="J1911" s="12" t="str">
        <x:v>Location model input - competition/saturation context</x:v>
      </x:c>
      <x:c r="K1911" s="12" t="str">
        <x:v>Business count is from 2018 while population/context indicators are newer; use as a historical proxy, not a current market count.</x:v>
      </x:c>
    </x:row>
    <x:row r="1912">
      <x:c r="A1912" s="12" t="str">
        <x:v>4761</x:v>
      </x:c>
      <x:c r="B1912" s="12" t="str">
        <x:v>Retail sale of books, newspapers and stationary in specialized stores</x:v>
      </x:c>
      <x:c r="C1912" s="12" t="str">
        <x:v>الزرقاء</x:v>
      </x:c>
      <x:c r="D1912" s="14" t="n">
        <x:v>335</x:v>
      </x:c>
      <x:c r="E1912" s="14" t="n">
        <x:f>VLOOKUP(C1912,'Governorate Master'!$A$2:$Q$13,3,FALSE)</x:f>
        <x:v>1704500</x:v>
      </x:c>
      <x:c r="F1912" s="66" t="n">
        <x:f>IF(E1912=0,0,D1912/E1912*10000)</x:f>
        <x:v>1.9653857436198299</x:v>
      </x:c>
      <x:c r="G1912" s="67" t="n">
        <x:f>VLOOKUP(C1912,'Governorate Master'!$A$2:$Q$13,7,FALSE)</x:f>
        <x:v>358</x:v>
      </x:c>
      <x:c r="H1912" s="20" t="n">
        <x:f>VLOOKUP(C1912,'Governorate Master'!$A$2:$Q$13,6,FALSE)</x:f>
        <x:v>0.9636256966852449</x:v>
      </x:c>
      <x:c r="I1912" s="20" t="n">
        <x:f>VLOOKUP(C1912,'Governorate Master'!$A$2:$Q$13,15,FALSE)</x:f>
        <x:v>-0.06808762581409118</x:v>
      </x:c>
      <x:c r="J1912" s="12" t="str">
        <x:v>Location model input - competition/saturation context</x:v>
      </x:c>
      <x:c r="K1912" s="12" t="str">
        <x:v>Business count is from 2018 while population/context indicators are newer; use as a historical proxy, not a current market count.</x:v>
      </x:c>
    </x:row>
    <x:row r="1913">
      <x:c r="A1913" s="12" t="str">
        <x:v>4761</x:v>
      </x:c>
      <x:c r="B1913" s="12" t="str">
        <x:v>Retail sale of books, newspapers and stationary in specialized stores</x:v>
      </x:c>
      <x:c r="C1913" s="12" t="str">
        <x:v>مادبا</x:v>
      </x:c>
      <x:c r="D1913" s="14" t="n">
        <x:v>45</x:v>
      </x:c>
      <x:c r="E1913" s="14" t="n">
        <x:f>VLOOKUP(C1913,'Governorate Master'!$A$2:$Q$13,3,FALSE)</x:f>
        <x:v>236200</x:v>
      </x:c>
      <x:c r="F1913" s="66" t="n">
        <x:f>IF(E1913=0,0,D1913/E1913*10000)</x:f>
        <x:v>1.9051651143099069</x:v>
      </x:c>
      <x:c r="G1913" s="67" t="n">
        <x:f>VLOOKUP(C1913,'Governorate Master'!$A$2:$Q$13,7,FALSE)</x:f>
        <x:v>251.4</x:v>
      </x:c>
      <x:c r="H1913" s="20" t="n">
        <x:f>VLOOKUP(C1913,'Governorate Master'!$A$2:$Q$13,6,FALSE)</x:f>
        <x:v>0.7823878069432684</x:v>
      </x:c>
      <x:c r="I1913" s="20" t="n">
        <x:f>VLOOKUP(C1913,'Governorate Master'!$A$2:$Q$13,15,FALSE)</x:f>
        <x:v>-0.18823529411764706</x:v>
      </x:c>
      <x:c r="J1913" s="12" t="str">
        <x:v>Location model input - competition/saturation context</x:v>
      </x:c>
      <x:c r="K1913" s="12" t="str">
        <x:v>Business count is from 2018 while population/context indicators are newer; use as a historical proxy, not a current market count.</x:v>
      </x:c>
    </x:row>
    <x:row r="1914">
      <x:c r="A1914" s="12" t="str">
        <x:v>4761</x:v>
      </x:c>
      <x:c r="B1914" s="12" t="str">
        <x:v>Retail sale of books, newspapers and stationary in specialized stores</x:v>
      </x:c>
      <x:c r="C1914" s="12" t="str">
        <x:v>إربد</x:v>
      </x:c>
      <x:c r="D1914" s="14" t="n">
        <x:v>358</x:v>
      </x:c>
      <x:c r="E1914" s="14" t="n">
        <x:f>VLOOKUP(C1914,'Governorate Master'!$A$2:$Q$13,3,FALSE)</x:f>
        <x:v>2210500</x:v>
      </x:c>
      <x:c r="F1914" s="66" t="n">
        <x:f>IF(E1914=0,0,D1914/E1914*10000)</x:f>
        <x:v>1.619543089798688</x:v>
      </x:c>
      <x:c r="G1914" s="67" t="n">
        <x:f>VLOOKUP(C1914,'Governorate Master'!$A$2:$Q$13,7,FALSE)</x:f>
        <x:v>1406.4</x:v>
      </x:c>
      <x:c r="H1914" s="20" t="n">
        <x:f>VLOOKUP(C1914,'Governorate Master'!$A$2:$Q$13,6,FALSE)</x:f>
        <x:v>0.9235014702555983</x:v>
      </x:c>
      <x:c r="I1914" s="20" t="n">
        <x:f>VLOOKUP(C1914,'Governorate Master'!$A$2:$Q$13,15,FALSE)</x:f>
        <x:v>0.07086922474549726</x:v>
      </x:c>
      <x:c r="J1914" s="12" t="str">
        <x:v>Location model input - competition/saturation context</x:v>
      </x:c>
      <x:c r="K1914" s="12" t="str">
        <x:v>Business count is from 2018 while population/context indicators are newer; use as a historical proxy, not a current market count.</x:v>
      </x:c>
    </x:row>
    <x:row r="1915">
      <x:c r="A1915" s="12" t="str">
        <x:v>4761</x:v>
      </x:c>
      <x:c r="B1915" s="12" t="str">
        <x:v>Retail sale of books, newspapers and stationary in specialized stores</x:v>
      </x:c>
      <x:c r="C1915" s="12" t="str">
        <x:v>المفرق</x:v>
      </x:c>
      <x:c r="D1915" s="14" t="n">
        <x:v>62</x:v>
      </x:c>
      <x:c r="E1915" s="14" t="n">
        <x:f>VLOOKUP(C1915,'Governorate Master'!$A$2:$Q$13,3,FALSE)</x:f>
        <x:v>686800</x:v>
      </x:c>
      <x:c r="F1915" s="66" t="n">
        <x:f>IF(E1915=0,0,D1915/E1915*10000)</x:f>
        <x:v>0.9027373325567851</x:v>
      </x:c>
      <x:c r="G1915" s="67" t="n">
        <x:f>VLOOKUP(C1915,'Governorate Master'!$A$2:$Q$13,7,FALSE)</x:f>
        <x:v>25.9</x:v>
      </x:c>
      <x:c r="H1915" s="20" t="n">
        <x:f>VLOOKUP(C1915,'Governorate Master'!$A$2:$Q$13,6,FALSE)</x:f>
        <x:v>0.6965637740244612</x:v>
      </x:c>
      <x:c r="I1915" s="20" t="n">
        <x:f>VLOOKUP(C1915,'Governorate Master'!$A$2:$Q$13,15,FALSE)</x:f>
        <x:v>-0.016638935108153077</x:v>
      </x:c>
      <x:c r="J1915" s="12" t="str">
        <x:v>Location model input - competition/saturation context</x:v>
      </x:c>
      <x:c r="K1915" s="12" t="str">
        <x:v>Business count is from 2018 while population/context indicators are newer; use as a historical proxy, not a current market count.</x:v>
      </x:c>
    </x:row>
    <x:row r="1916">
      <x:c r="A1916" s="12" t="str">
        <x:v>4761</x:v>
      </x:c>
      <x:c r="B1916" s="12" t="str">
        <x:v>Retail sale of books, newspapers and stationary in specialized stores</x:v>
      </x:c>
      <x:c r="C1916" s="12" t="str">
        <x:v>جرش</x:v>
      </x:c>
      <x:c r="D1916" s="14" t="n">
        <x:v>59</x:v>
      </x:c>
      <x:c r="E1916" s="14" t="n">
        <x:f>VLOOKUP(C1916,'Governorate Master'!$A$2:$Q$13,3,FALSE)</x:f>
        <x:v>296000</x:v>
      </x:c>
      <x:c r="F1916" s="66" t="n">
        <x:f>IF(E1916=0,0,D1916/E1916*10000)</x:f>
        <x:v>1.9932432432432434</x:v>
      </x:c>
      <x:c r="G1916" s="67" t="n">
        <x:f>VLOOKUP(C1916,'Governorate Master'!$A$2:$Q$13,7,FALSE)</x:f>
        <x:v>722.3</x:v>
      </x:c>
      <x:c r="H1916" s="20" t="n">
        <x:f>VLOOKUP(C1916,'Governorate Master'!$A$2:$Q$13,6,FALSE)</x:f>
        <x:v>0.7695945945945946</x:v>
      </x:c>
      <x:c r="I1916" s="20" t="n">
        <x:f>VLOOKUP(C1916,'Governorate Master'!$A$2:$Q$13,15,FALSE)</x:f>
        <x:v>-0.06527415143603134</x:v>
      </x:c>
      <x:c r="J1916" s="12" t="str">
        <x:v>Location model input - competition/saturation context</x:v>
      </x:c>
      <x:c r="K1916" s="12" t="str">
        <x:v>Business count is from 2018 while population/context indicators are newer; use as a historical proxy, not a current market count.</x:v>
      </x:c>
    </x:row>
    <x:row r="1917">
      <x:c r="A1917" s="12" t="str">
        <x:v>4761</x:v>
      </x:c>
      <x:c r="B1917" s="12" t="str">
        <x:v>Retail sale of books, newspapers and stationary in specialized stores</x:v>
      </x:c>
      <x:c r="C1917" s="12" t="str">
        <x:v>عجلون</x:v>
      </x:c>
      <x:c r="D1917" s="14" t="n">
        <x:v>41</x:v>
      </x:c>
      <x:c r="E1917" s="14" t="n">
        <x:f>VLOOKUP(C1917,'Governorate Master'!$A$2:$Q$13,3,FALSE)</x:f>
        <x:v>219900</x:v>
      </x:c>
      <x:c r="F1917" s="66" t="n">
        <x:f>IF(E1917=0,0,D1917/E1917*10000)</x:f>
        <x:v>1.8644838562983175</x:v>
      </x:c>
      <x:c r="G1917" s="67" t="n">
        <x:f>VLOOKUP(C1917,'Governorate Master'!$A$2:$Q$13,7,FALSE)</x:f>
        <x:v>524</x:v>
      </x:c>
      <x:c r="H1917" s="20" t="n">
        <x:f>VLOOKUP(C1917,'Governorate Master'!$A$2:$Q$13,6,FALSE)</x:f>
        <x:v>0.8390177353342428</x:v>
      </x:c>
      <x:c r="I1917" s="20" t="n">
        <x:f>VLOOKUP(C1917,'Governorate Master'!$A$2:$Q$13,15,FALSE)</x:f>
        <x:v>0.03614457831325301</x:v>
      </x:c>
      <x:c r="J1917" s="12" t="str">
        <x:v>Location model input - competition/saturation context</x:v>
      </x:c>
      <x:c r="K1917" s="12" t="str">
        <x:v>Business count is from 2018 while population/context indicators are newer; use as a historical proxy, not a current market count.</x:v>
      </x:c>
    </x:row>
    <x:row r="1918">
      <x:c r="A1918" s="12" t="str">
        <x:v>4761</x:v>
      </x:c>
      <x:c r="B1918" s="12" t="str">
        <x:v>Retail sale of books, newspapers and stationary in specialized stores</x:v>
      </x:c>
      <x:c r="C1918" s="12" t="str">
        <x:v>الكرك</x:v>
      </x:c>
      <x:c r="D1918" s="14" t="n">
        <x:v>99</x:v>
      </x:c>
      <x:c r="E1918" s="14" t="n">
        <x:f>VLOOKUP(C1918,'Governorate Master'!$A$2:$Q$13,3,FALSE)</x:f>
        <x:v>395400</x:v>
      </x:c>
      <x:c r="F1918" s="66" t="n">
        <x:f>IF(E1918=0,0,D1918/E1918*10000)</x:f>
        <x:v>2.503793626707132</x:v>
      </x:c>
      <x:c r="G1918" s="67" t="n">
        <x:f>VLOOKUP(C1918,'Governorate Master'!$A$2:$Q$13,7,FALSE)</x:f>
        <x:v>113.1</x:v>
      </x:c>
      <x:c r="H1918" s="20" t="n">
        <x:f>VLOOKUP(C1918,'Governorate Master'!$A$2:$Q$13,6,FALSE)</x:f>
        <x:v>0.5912999494183105</x:v>
      </x:c>
      <x:c r="I1918" s="20" t="n">
        <x:f>VLOOKUP(C1918,'Governorate Master'!$A$2:$Q$13,15,FALSE)</x:f>
        <x:v>0.08710801393728224</x:v>
      </x:c>
      <x:c r="J1918" s="12" t="str">
        <x:v>Location model input - competition/saturation context</x:v>
      </x:c>
      <x:c r="K1918" s="12" t="str">
        <x:v>Business count is from 2018 while population/context indicators are newer; use as a historical proxy, not a current market count.</x:v>
      </x:c>
    </x:row>
    <x:row r="1919">
      <x:c r="A1919" s="12" t="str">
        <x:v>4761</x:v>
      </x:c>
      <x:c r="B1919" s="12" t="str">
        <x:v>Retail sale of books, newspapers and stationary in specialized stores</x:v>
      </x:c>
      <x:c r="C1919" s="12" t="str">
        <x:v>الطفيلة</x:v>
      </x:c>
      <x:c r="D1919" s="14" t="n">
        <x:v>38</x:v>
      </x:c>
      <x:c r="E1919" s="14" t="n">
        <x:f>VLOOKUP(C1919,'Governorate Master'!$A$2:$Q$13,3,FALSE)</x:f>
        <x:v>120300</x:v>
      </x:c>
      <x:c r="F1919" s="66" t="n">
        <x:f>IF(E1919=0,0,D1919/E1919*10000)</x:f>
        <x:v>3.1587697423108896</x:v>
      </x:c>
      <x:c r="G1919" s="67" t="n">
        <x:f>VLOOKUP(C1919,'Governorate Master'!$A$2:$Q$13,7,FALSE)</x:f>
        <x:v>54.4</x:v>
      </x:c>
      <x:c r="H1919" s="20" t="n">
        <x:f>VLOOKUP(C1919,'Governorate Master'!$A$2:$Q$13,6,FALSE)</x:f>
        <x:v>0.7797173732335827</x:v>
      </x:c>
      <x:c r="I1919" s="20" t="n">
        <x:f>VLOOKUP(C1919,'Governorate Master'!$A$2:$Q$13,15,FALSE)</x:f>
        <x:v>0.18452380952380953</x:v>
      </x:c>
      <x:c r="J1919" s="12" t="str">
        <x:v>Location model input - competition/saturation context</x:v>
      </x:c>
      <x:c r="K1919" s="12" t="str">
        <x:v>Business count is from 2018 while population/context indicators are newer; use as a historical proxy, not a current market count.</x:v>
      </x:c>
    </x:row>
    <x:row r="1920">
      <x:c r="A1920" s="12" t="str">
        <x:v>4761</x:v>
      </x:c>
      <x:c r="B1920" s="12" t="str">
        <x:v>Retail sale of books, newspapers and stationary in specialized stores</x:v>
      </x:c>
      <x:c r="C1920" s="12" t="str">
        <x:v>معان</x:v>
      </x:c>
      <x:c r="D1920" s="14" t="n">
        <x:v>30</x:v>
      </x:c>
      <x:c r="E1920" s="14" t="n">
        <x:f>VLOOKUP(C1920,'Governorate Master'!$A$2:$Q$13,3,FALSE)</x:f>
        <x:v>197900</x:v>
      </x:c>
      <x:c r="F1920" s="66" t="n">
        <x:f>IF(E1920=0,0,D1920/E1920*10000)</x:f>
        <x:v>1.5159171298635674</x:v>
      </x:c>
      <x:c r="G1920" s="67" t="n">
        <x:f>VLOOKUP(C1920,'Governorate Master'!$A$2:$Q$13,7,FALSE)</x:f>
        <x:v>6</x:v>
      </x:c>
      <x:c r="H1920" s="20" t="n">
        <x:f>VLOOKUP(C1920,'Governorate Master'!$A$2:$Q$13,6,FALSE)</x:f>
        <x:v>0.5406771096513391</x:v>
      </x:c>
      <x:c r="I1920" s="20" t="n">
        <x:f>VLOOKUP(C1920,'Governorate Master'!$A$2:$Q$13,15,FALSE)</x:f>
        <x:v>0.026845637583892617</x:v>
      </x:c>
      <x:c r="J1920" s="12" t="str">
        <x:v>Location model input - competition/saturation context</x:v>
      </x:c>
      <x:c r="K1920" s="12" t="str">
        <x:v>Business count is from 2018 while population/context indicators are newer; use as a historical proxy, not a current market count.</x:v>
      </x:c>
    </x:row>
    <x:row r="1921">
      <x:c r="A1921" s="12" t="str">
        <x:v>4761</x:v>
      </x:c>
      <x:c r="B1921" s="12" t="str">
        <x:v>Retail sale of books, newspapers and stationary in specialized stores</x:v>
      </x:c>
      <x:c r="C1921" s="12" t="str">
        <x:v>العقبة</x:v>
      </x:c>
      <x:c r="D1921" s="14" t="n">
        <x:v>40</x:v>
      </x:c>
      <x:c r="E1921" s="14" t="n">
        <x:f>VLOOKUP(C1921,'Governorate Master'!$A$2:$Q$13,3,FALSE)</x:f>
        <x:v>250900</x:v>
      </x:c>
      <x:c r="F1921" s="66" t="n">
        <x:f>IF(E1921=0,0,D1921/E1921*10000)</x:f>
        <x:v>1.5942606616181745</x:v>
      </x:c>
      <x:c r="G1921" s="67" t="n">
        <x:f>VLOOKUP(C1921,'Governorate Master'!$A$2:$Q$13,7,FALSE)</x:f>
        <x:v>36.3</x:v>
      </x:c>
      <x:c r="H1921" s="20" t="n">
        <x:f>VLOOKUP(C1921,'Governorate Master'!$A$2:$Q$13,6,FALSE)</x:f>
        <x:v>0.882024711040255</x:v>
      </x:c>
      <x:c r="I1921" s="20" t="n">
        <x:f>VLOOKUP(C1921,'Governorate Master'!$A$2:$Q$13,15,FALSE)</x:f>
        <x:v>-0.09</x:v>
      </x:c>
      <x:c r="J1921" s="12" t="str">
        <x:v>Location model input - competition/saturation context</x:v>
      </x:c>
      <x:c r="K1921" s="12" t="str">
        <x:v>Business count is from 2018 while population/context indicators are newer; use as a historical proxy, not a current market count.</x:v>
      </x:c>
    </x:row>
    <x:row r="1922">
      <x:c r="A1922" s="12" t="str">
        <x:v>4762</x:v>
      </x:c>
      <x:c r="B1922" s="12" t="str">
        <x:v>Retail sale of music and video recordings in specialized stores</x:v>
      </x:c>
      <x:c r="C1922" s="12" t="str">
        <x:v>عمان</x:v>
      </x:c>
      <x:c r="D1922" s="14" t="n">
        <x:v>73</x:v>
      </x:c>
      <x:c r="E1922" s="14" t="n">
        <x:f>VLOOKUP(C1922,'Governorate Master'!$A$2:$Q$13,3,FALSE)</x:f>
        <x:v>5004600</x:v>
      </x:c>
      <x:c r="F1922" s="66" t="n">
        <x:f>IF(E1922=0,0,D1922/E1922*10000)</x:f>
        <x:v>0.14586580346081604</x:v>
      </x:c>
      <x:c r="G1922" s="67" t="n">
        <x:f>VLOOKUP(C1922,'Governorate Master'!$A$2:$Q$13,7,FALSE)</x:f>
        <x:v>660.3</x:v>
      </x:c>
      <x:c r="H1922" s="20" t="n">
        <x:f>VLOOKUP(C1922,'Governorate Master'!$A$2:$Q$13,6,FALSE)</x:f>
        <x:v>0.9721656076409703</x:v>
      </x:c>
      <x:c r="I1922" s="20" t="n">
        <x:f>VLOOKUP(C1922,'Governorate Master'!$A$2:$Q$13,15,FALSE)</x:f>
        <x:v>0.06367041198501873</x:v>
      </x:c>
      <x:c r="J1922" s="12" t="str">
        <x:v>Location model input - competition/saturation context</x:v>
      </x:c>
      <x:c r="K1922" s="12" t="str">
        <x:v>Business count is from 2018 while population/context indicators are newer; use as a historical proxy, not a current market count.</x:v>
      </x:c>
    </x:row>
    <x:row r="1923">
      <x:c r="A1923" s="12" t="str">
        <x:v>4762</x:v>
      </x:c>
      <x:c r="B1923" s="12" t="str">
        <x:v>Retail sale of music and video recordings in specialized stores</x:v>
      </x:c>
      <x:c r="C1923" s="12" t="str">
        <x:v>البلقاء</x:v>
      </x:c>
      <x:c r="D1923" s="14" t="n">
        <x:v>9</x:v>
      </x:c>
      <x:c r="E1923" s="14" t="n">
        <x:f>VLOOKUP(C1923,'Governorate Master'!$A$2:$Q$13,3,FALSE)</x:f>
        <x:v>614000</x:v>
      </x:c>
      <x:c r="F1923" s="66" t="n">
        <x:f>IF(E1923=0,0,D1923/E1923*10000)</x:f>
        <x:v>0.1465798045602606</x:v>
      </x:c>
      <x:c r="G1923" s="67" t="n">
        <x:f>VLOOKUP(C1923,'Governorate Master'!$A$2:$Q$13,7,FALSE)</x:f>
        <x:v>548</x:v>
      </x:c>
      <x:c r="H1923" s="20" t="n">
        <x:f>VLOOKUP(C1923,'Governorate Master'!$A$2:$Q$13,6,FALSE)</x:f>
        <x:v>0.8210097719869707</x:v>
      </x:c>
      <x:c r="I1923" s="20" t="n">
        <x:f>VLOOKUP(C1923,'Governorate Master'!$A$2:$Q$13,15,FALSE)</x:f>
        <x:v>0.10794044665012408</x:v>
      </x:c>
      <x:c r="J1923" s="12" t="str">
        <x:v>Location model input - competition/saturation context</x:v>
      </x:c>
      <x:c r="K1923" s="12" t="str">
        <x:v>Business count is from 2018 while population/context indicators are newer; use as a historical proxy, not a current market count.</x:v>
      </x:c>
    </x:row>
    <x:row r="1924">
      <x:c r="A1924" s="12" t="str">
        <x:v>4762</x:v>
      </x:c>
      <x:c r="B1924" s="12" t="str">
        <x:v>Retail sale of music and video recordings in specialized stores</x:v>
      </x:c>
      <x:c r="C1924" s="12" t="str">
        <x:v>الزرقاء</x:v>
      </x:c>
      <x:c r="D1924" s="14" t="n">
        <x:v>21</x:v>
      </x:c>
      <x:c r="E1924" s="14" t="n">
        <x:f>VLOOKUP(C1924,'Governorate Master'!$A$2:$Q$13,3,FALSE)</x:f>
        <x:v>1704500</x:v>
      </x:c>
      <x:c r="F1924" s="66" t="n">
        <x:f>IF(E1924=0,0,D1924/E1924*10000)</x:f>
        <x:v>0.12320328542094455</x:v>
      </x:c>
      <x:c r="G1924" s="67" t="n">
        <x:f>VLOOKUP(C1924,'Governorate Master'!$A$2:$Q$13,7,FALSE)</x:f>
        <x:v>358</x:v>
      </x:c>
      <x:c r="H1924" s="20" t="n">
        <x:f>VLOOKUP(C1924,'Governorate Master'!$A$2:$Q$13,6,FALSE)</x:f>
        <x:v>0.9636256966852449</x:v>
      </x:c>
      <x:c r="I1924" s="20" t="n">
        <x:f>VLOOKUP(C1924,'Governorate Master'!$A$2:$Q$13,15,FALSE)</x:f>
        <x:v>-0.06808762581409118</x:v>
      </x:c>
      <x:c r="J1924" s="12" t="str">
        <x:v>Location model input - competition/saturation context</x:v>
      </x:c>
      <x:c r="K1924" s="12" t="str">
        <x:v>Business count is from 2018 while population/context indicators are newer; use as a historical proxy, not a current market count.</x:v>
      </x:c>
    </x:row>
    <x:row r="1925">
      <x:c r="A1925" s="12" t="str">
        <x:v>4762</x:v>
      </x:c>
      <x:c r="B1925" s="12" t="str">
        <x:v>Retail sale of music and video recordings in specialized stores</x:v>
      </x:c>
      <x:c r="C1925" s="12" t="str">
        <x:v>مادبا</x:v>
      </x:c>
      <x:c r="D1925" s="14" t="n">
        <x:v>2</x:v>
      </x:c>
      <x:c r="E1925" s="14" t="n">
        <x:f>VLOOKUP(C1925,'Governorate Master'!$A$2:$Q$13,3,FALSE)</x:f>
        <x:v>236200</x:v>
      </x:c>
      <x:c r="F1925" s="66" t="n">
        <x:f>IF(E1925=0,0,D1925/E1925*10000)</x:f>
        <x:v>0.0846740050804403</x:v>
      </x:c>
      <x:c r="G1925" s="67" t="n">
        <x:f>VLOOKUP(C1925,'Governorate Master'!$A$2:$Q$13,7,FALSE)</x:f>
        <x:v>251.4</x:v>
      </x:c>
      <x:c r="H1925" s="20" t="n">
        <x:f>VLOOKUP(C1925,'Governorate Master'!$A$2:$Q$13,6,FALSE)</x:f>
        <x:v>0.7823878069432684</x:v>
      </x:c>
      <x:c r="I1925" s="20" t="n">
        <x:f>VLOOKUP(C1925,'Governorate Master'!$A$2:$Q$13,15,FALSE)</x:f>
        <x:v>-0.18823529411764706</x:v>
      </x:c>
      <x:c r="J1925" s="12" t="str">
        <x:v>Location model input - competition/saturation context</x:v>
      </x:c>
      <x:c r="K1925" s="12" t="str">
        <x:v>Business count is from 2018 while population/context indicators are newer; use as a historical proxy, not a current market count.</x:v>
      </x:c>
    </x:row>
    <x:row r="1926">
      <x:c r="A1926" s="12" t="str">
        <x:v>4762</x:v>
      </x:c>
      <x:c r="B1926" s="12" t="str">
        <x:v>Retail sale of music and video recordings in specialized stores</x:v>
      </x:c>
      <x:c r="C1926" s="12" t="str">
        <x:v>إربد</x:v>
      </x:c>
      <x:c r="D1926" s="14" t="n">
        <x:v>13</x:v>
      </x:c>
      <x:c r="E1926" s="14" t="n">
        <x:f>VLOOKUP(C1926,'Governorate Master'!$A$2:$Q$13,3,FALSE)</x:f>
        <x:v>2210500</x:v>
      </x:c>
      <x:c r="F1926" s="66" t="n">
        <x:f>IF(E1926=0,0,D1926/E1926*10000)</x:f>
        <x:v>0.05881022393123727</x:v>
      </x:c>
      <x:c r="G1926" s="67" t="n">
        <x:f>VLOOKUP(C1926,'Governorate Master'!$A$2:$Q$13,7,FALSE)</x:f>
        <x:v>1406.4</x:v>
      </x:c>
      <x:c r="H1926" s="20" t="n">
        <x:f>VLOOKUP(C1926,'Governorate Master'!$A$2:$Q$13,6,FALSE)</x:f>
        <x:v>0.9235014702555983</x:v>
      </x:c>
      <x:c r="I1926" s="20" t="n">
        <x:f>VLOOKUP(C1926,'Governorate Master'!$A$2:$Q$13,15,FALSE)</x:f>
        <x:v>0.07086922474549726</x:v>
      </x:c>
      <x:c r="J1926" s="12" t="str">
        <x:v>Location model input - competition/saturation context</x:v>
      </x:c>
      <x:c r="K1926" s="12" t="str">
        <x:v>Business count is from 2018 while population/context indicators are newer; use as a historical proxy, not a current market count.</x:v>
      </x:c>
    </x:row>
    <x:row r="1927">
      <x:c r="A1927" s="12" t="str">
        <x:v>4762</x:v>
      </x:c>
      <x:c r="B1927" s="12" t="str">
        <x:v>Retail sale of music and video recordings in specialized stores</x:v>
      </x:c>
      <x:c r="C1927" s="12" t="str">
        <x:v>المفرق</x:v>
      </x:c>
      <x:c r="D1927" s="14" t="n">
        <x:v>1</x:v>
      </x:c>
      <x:c r="E1927" s="14" t="n">
        <x:f>VLOOKUP(C1927,'Governorate Master'!$A$2:$Q$13,3,FALSE)</x:f>
        <x:v>686800</x:v>
      </x:c>
      <x:c r="F1927" s="66" t="n">
        <x:f>IF(E1927=0,0,D1927/E1927*10000)</x:f>
        <x:v>0.014560279557367502</x:v>
      </x:c>
      <x:c r="G1927" s="67" t="n">
        <x:f>VLOOKUP(C1927,'Governorate Master'!$A$2:$Q$13,7,FALSE)</x:f>
        <x:v>25.9</x:v>
      </x:c>
      <x:c r="H1927" s="20" t="n">
        <x:f>VLOOKUP(C1927,'Governorate Master'!$A$2:$Q$13,6,FALSE)</x:f>
        <x:v>0.6965637740244612</x:v>
      </x:c>
      <x:c r="I1927" s="20" t="n">
        <x:f>VLOOKUP(C1927,'Governorate Master'!$A$2:$Q$13,15,FALSE)</x:f>
        <x:v>-0.016638935108153077</x:v>
      </x:c>
      <x:c r="J1927" s="12" t="str">
        <x:v>Location model input - competition/saturation context</x:v>
      </x:c>
      <x:c r="K1927" s="12" t="str">
        <x:v>Business count is from 2018 while population/context indicators are newer; use as a historical proxy, not a current market count.</x:v>
      </x:c>
    </x:row>
    <x:row r="1928">
      <x:c r="A1928" s="12" t="str">
        <x:v>4762</x:v>
      </x:c>
      <x:c r="B1928" s="12" t="str">
        <x:v>Retail sale of music and video recordings in specialized stores</x:v>
      </x:c>
      <x:c r="C1928" s="12" t="str">
        <x:v>جرش</x:v>
      </x:c>
      <x:c r="D1928" s="14" t="n">
        <x:v>0</x:v>
      </x:c>
      <x:c r="E1928" s="14" t="n">
        <x:f>VLOOKUP(C1928,'Governorate Master'!$A$2:$Q$13,3,FALSE)</x:f>
        <x:v>296000</x:v>
      </x:c>
      <x:c r="F1928" s="66" t="n">
        <x:f>IF(E1928=0,0,D1928/E1928*10000)</x:f>
        <x:v>0</x:v>
      </x:c>
      <x:c r="G1928" s="67" t="n">
        <x:f>VLOOKUP(C1928,'Governorate Master'!$A$2:$Q$13,7,FALSE)</x:f>
        <x:v>722.3</x:v>
      </x:c>
      <x:c r="H1928" s="20" t="n">
        <x:f>VLOOKUP(C1928,'Governorate Master'!$A$2:$Q$13,6,FALSE)</x:f>
        <x:v>0.7695945945945946</x:v>
      </x:c>
      <x:c r="I1928" s="20" t="n">
        <x:f>VLOOKUP(C1928,'Governorate Master'!$A$2:$Q$13,15,FALSE)</x:f>
        <x:v>-0.06527415143603134</x:v>
      </x:c>
      <x:c r="J1928" s="12" t="str">
        <x:v>Location model input - competition/saturation context</x:v>
      </x:c>
      <x:c r="K1928" s="12" t="str">
        <x:v>Business count is from 2018 while population/context indicators are newer; use as a historical proxy, not a current market count.</x:v>
      </x:c>
    </x:row>
    <x:row r="1929">
      <x:c r="A1929" s="12" t="str">
        <x:v>4762</x:v>
      </x:c>
      <x:c r="B1929" s="12" t="str">
        <x:v>Retail sale of music and video recordings in specialized stores</x:v>
      </x:c>
      <x:c r="C1929" s="12" t="str">
        <x:v>عجلون</x:v>
      </x:c>
      <x:c r="D1929" s="14" t="n">
        <x:v>0</x:v>
      </x:c>
      <x:c r="E1929" s="14" t="n">
        <x:f>VLOOKUP(C1929,'Governorate Master'!$A$2:$Q$13,3,FALSE)</x:f>
        <x:v>219900</x:v>
      </x:c>
      <x:c r="F1929" s="66" t="n">
        <x:f>IF(E1929=0,0,D1929/E1929*10000)</x:f>
        <x:v>0</x:v>
      </x:c>
      <x:c r="G1929" s="67" t="n">
        <x:f>VLOOKUP(C1929,'Governorate Master'!$A$2:$Q$13,7,FALSE)</x:f>
        <x:v>524</x:v>
      </x:c>
      <x:c r="H1929" s="20" t="n">
        <x:f>VLOOKUP(C1929,'Governorate Master'!$A$2:$Q$13,6,FALSE)</x:f>
        <x:v>0.8390177353342428</x:v>
      </x:c>
      <x:c r="I1929" s="20" t="n">
        <x:f>VLOOKUP(C1929,'Governorate Master'!$A$2:$Q$13,15,FALSE)</x:f>
        <x:v>0.03614457831325301</x:v>
      </x:c>
      <x:c r="J1929" s="12" t="str">
        <x:v>Location model input - competition/saturation context</x:v>
      </x:c>
      <x:c r="K1929" s="12" t="str">
        <x:v>Business count is from 2018 while population/context indicators are newer; use as a historical proxy, not a current market count.</x:v>
      </x:c>
    </x:row>
    <x:row r="1930">
      <x:c r="A1930" s="12" t="str">
        <x:v>4762</x:v>
      </x:c>
      <x:c r="B1930" s="12" t="str">
        <x:v>Retail sale of music and video recordings in specialized stores</x:v>
      </x:c>
      <x:c r="C1930" s="12" t="str">
        <x:v>الكرك</x:v>
      </x:c>
      <x:c r="D1930" s="14" t="n">
        <x:v>2</x:v>
      </x:c>
      <x:c r="E1930" s="14" t="n">
        <x:f>VLOOKUP(C1930,'Governorate Master'!$A$2:$Q$13,3,FALSE)</x:f>
        <x:v>395400</x:v>
      </x:c>
      <x:c r="F1930" s="66" t="n">
        <x:f>IF(E1930=0,0,D1930/E1930*10000)</x:f>
        <x:v>0.050581689428426904</x:v>
      </x:c>
      <x:c r="G1930" s="67" t="n">
        <x:f>VLOOKUP(C1930,'Governorate Master'!$A$2:$Q$13,7,FALSE)</x:f>
        <x:v>113.1</x:v>
      </x:c>
      <x:c r="H1930" s="20" t="n">
        <x:f>VLOOKUP(C1930,'Governorate Master'!$A$2:$Q$13,6,FALSE)</x:f>
        <x:v>0.5912999494183105</x:v>
      </x:c>
      <x:c r="I1930" s="20" t="n">
        <x:f>VLOOKUP(C1930,'Governorate Master'!$A$2:$Q$13,15,FALSE)</x:f>
        <x:v>0.08710801393728224</x:v>
      </x:c>
      <x:c r="J1930" s="12" t="str">
        <x:v>Location model input - competition/saturation context</x:v>
      </x:c>
      <x:c r="K1930" s="12" t="str">
        <x:v>Business count is from 2018 while population/context indicators are newer; use as a historical proxy, not a current market count.</x:v>
      </x:c>
    </x:row>
    <x:row r="1931">
      <x:c r="A1931" s="12" t="str">
        <x:v>4762</x:v>
      </x:c>
      <x:c r="B1931" s="12" t="str">
        <x:v>Retail sale of music and video recordings in specialized stores</x:v>
      </x:c>
      <x:c r="C1931" s="12" t="str">
        <x:v>الطفيلة</x:v>
      </x:c>
      <x:c r="D1931" s="14" t="n">
        <x:v>0</x:v>
      </x:c>
      <x:c r="E1931" s="14" t="n">
        <x:f>VLOOKUP(C1931,'Governorate Master'!$A$2:$Q$13,3,FALSE)</x:f>
        <x:v>120300</x:v>
      </x:c>
      <x:c r="F1931" s="66" t="n">
        <x:f>IF(E1931=0,0,D1931/E1931*10000)</x:f>
        <x:v>0</x:v>
      </x:c>
      <x:c r="G1931" s="67" t="n">
        <x:f>VLOOKUP(C1931,'Governorate Master'!$A$2:$Q$13,7,FALSE)</x:f>
        <x:v>54.4</x:v>
      </x:c>
      <x:c r="H1931" s="20" t="n">
        <x:f>VLOOKUP(C1931,'Governorate Master'!$A$2:$Q$13,6,FALSE)</x:f>
        <x:v>0.7797173732335827</x:v>
      </x:c>
      <x:c r="I1931" s="20" t="n">
        <x:f>VLOOKUP(C1931,'Governorate Master'!$A$2:$Q$13,15,FALSE)</x:f>
        <x:v>0.18452380952380953</x:v>
      </x:c>
      <x:c r="J1931" s="12" t="str">
        <x:v>Location model input - competition/saturation context</x:v>
      </x:c>
      <x:c r="K1931" s="12" t="str">
        <x:v>Business count is from 2018 while population/context indicators are newer; use as a historical proxy, not a current market count.</x:v>
      </x:c>
    </x:row>
    <x:row r="1932">
      <x:c r="A1932" s="12" t="str">
        <x:v>4762</x:v>
      </x:c>
      <x:c r="B1932" s="12" t="str">
        <x:v>Retail sale of music and video recordings in specialized stores</x:v>
      </x:c>
      <x:c r="C1932" s="12" t="str">
        <x:v>معان</x:v>
      </x:c>
      <x:c r="D1932" s="14" t="n">
        <x:v>1</x:v>
      </x:c>
      <x:c r="E1932" s="14" t="n">
        <x:f>VLOOKUP(C1932,'Governorate Master'!$A$2:$Q$13,3,FALSE)</x:f>
        <x:v>197900</x:v>
      </x:c>
      <x:c r="F1932" s="66" t="n">
        <x:f>IF(E1932=0,0,D1932/E1932*10000)</x:f>
        <x:v>0.05053057099545225</x:v>
      </x:c>
      <x:c r="G1932" s="67" t="n">
        <x:f>VLOOKUP(C1932,'Governorate Master'!$A$2:$Q$13,7,FALSE)</x:f>
        <x:v>6</x:v>
      </x:c>
      <x:c r="H1932" s="20" t="n">
        <x:f>VLOOKUP(C1932,'Governorate Master'!$A$2:$Q$13,6,FALSE)</x:f>
        <x:v>0.5406771096513391</x:v>
      </x:c>
      <x:c r="I1932" s="20" t="n">
        <x:f>VLOOKUP(C1932,'Governorate Master'!$A$2:$Q$13,15,FALSE)</x:f>
        <x:v>0.026845637583892617</x:v>
      </x:c>
      <x:c r="J1932" s="12" t="str">
        <x:v>Location model input - competition/saturation context</x:v>
      </x:c>
      <x:c r="K1932" s="12" t="str">
        <x:v>Business count is from 2018 while population/context indicators are newer; use as a historical proxy, not a current market count.</x:v>
      </x:c>
    </x:row>
    <x:row r="1933">
      <x:c r="A1933" s="12" t="str">
        <x:v>4762</x:v>
      </x:c>
      <x:c r="B1933" s="12" t="str">
        <x:v>Retail sale of music and video recordings in specialized stores</x:v>
      </x:c>
      <x:c r="C1933" s="12" t="str">
        <x:v>العقبة</x:v>
      </x:c>
      <x:c r="D1933" s="14" t="n">
        <x:v>1</x:v>
      </x:c>
      <x:c r="E1933" s="14" t="n">
        <x:f>VLOOKUP(C1933,'Governorate Master'!$A$2:$Q$13,3,FALSE)</x:f>
        <x:v>250900</x:v>
      </x:c>
      <x:c r="F1933" s="66" t="n">
        <x:f>IF(E1933=0,0,D1933/E1933*10000)</x:f>
        <x:v>0.03985651654045436</x:v>
      </x:c>
      <x:c r="G1933" s="67" t="n">
        <x:f>VLOOKUP(C1933,'Governorate Master'!$A$2:$Q$13,7,FALSE)</x:f>
        <x:v>36.3</x:v>
      </x:c>
      <x:c r="H1933" s="20" t="n">
        <x:f>VLOOKUP(C1933,'Governorate Master'!$A$2:$Q$13,6,FALSE)</x:f>
        <x:v>0.882024711040255</x:v>
      </x:c>
      <x:c r="I1933" s="20" t="n">
        <x:f>VLOOKUP(C1933,'Governorate Master'!$A$2:$Q$13,15,FALSE)</x:f>
        <x:v>-0.09</x:v>
      </x:c>
      <x:c r="J1933" s="12" t="str">
        <x:v>Location model input - competition/saturation context</x:v>
      </x:c>
      <x:c r="K1933" s="12" t="str">
        <x:v>Business count is from 2018 while population/context indicators are newer; use as a historical proxy, not a current market count.</x:v>
      </x:c>
    </x:row>
    <x:row r="1934">
      <x:c r="A1934" s="12" t="str">
        <x:v>4763</x:v>
      </x:c>
      <x:c r="B1934" s="12" t="str">
        <x:v>Retail sale of sporting equipment in specialized stores</x:v>
      </x:c>
      <x:c r="C1934" s="12" t="str">
        <x:v>عمان</x:v>
      </x:c>
      <x:c r="D1934" s="14" t="n">
        <x:v>103</x:v>
      </x:c>
      <x:c r="E1934" s="14" t="n">
        <x:f>VLOOKUP(C1934,'Governorate Master'!$A$2:$Q$13,3,FALSE)</x:f>
        <x:v>5004600</x:v>
      </x:c>
      <x:c r="F1934" s="66" t="n">
        <x:f>IF(E1934=0,0,D1934/E1934*10000)</x:f>
        <x:v>0.2058106541981377</x:v>
      </x:c>
      <x:c r="G1934" s="67" t="n">
        <x:f>VLOOKUP(C1934,'Governorate Master'!$A$2:$Q$13,7,FALSE)</x:f>
        <x:v>660.3</x:v>
      </x:c>
      <x:c r="H1934" s="20" t="n">
        <x:f>VLOOKUP(C1934,'Governorate Master'!$A$2:$Q$13,6,FALSE)</x:f>
        <x:v>0.9721656076409703</x:v>
      </x:c>
      <x:c r="I1934" s="20" t="n">
        <x:f>VLOOKUP(C1934,'Governorate Master'!$A$2:$Q$13,15,FALSE)</x:f>
        <x:v>0.06367041198501873</x:v>
      </x:c>
      <x:c r="J1934" s="12" t="str">
        <x:v>Location model input - competition/saturation context</x:v>
      </x:c>
      <x:c r="K1934" s="12" t="str">
        <x:v>Business count is from 2018 while population/context indicators are newer; use as a historical proxy, not a current market count.</x:v>
      </x:c>
    </x:row>
    <x:row r="1935">
      <x:c r="A1935" s="12" t="str">
        <x:v>4763</x:v>
      </x:c>
      <x:c r="B1935" s="12" t="str">
        <x:v>Retail sale of sporting equipment in specialized stores</x:v>
      </x:c>
      <x:c r="C1935" s="12" t="str">
        <x:v>البلقاء</x:v>
      </x:c>
      <x:c r="D1935" s="14" t="n">
        <x:v>9</x:v>
      </x:c>
      <x:c r="E1935" s="14" t="n">
        <x:f>VLOOKUP(C1935,'Governorate Master'!$A$2:$Q$13,3,FALSE)</x:f>
        <x:v>614000</x:v>
      </x:c>
      <x:c r="F1935" s="66" t="n">
        <x:f>IF(E1935=0,0,D1935/E1935*10000)</x:f>
        <x:v>0.1465798045602606</x:v>
      </x:c>
      <x:c r="G1935" s="67" t="n">
        <x:f>VLOOKUP(C1935,'Governorate Master'!$A$2:$Q$13,7,FALSE)</x:f>
        <x:v>548</x:v>
      </x:c>
      <x:c r="H1935" s="20" t="n">
        <x:f>VLOOKUP(C1935,'Governorate Master'!$A$2:$Q$13,6,FALSE)</x:f>
        <x:v>0.8210097719869707</x:v>
      </x:c>
      <x:c r="I1935" s="20" t="n">
        <x:f>VLOOKUP(C1935,'Governorate Master'!$A$2:$Q$13,15,FALSE)</x:f>
        <x:v>0.10794044665012408</x:v>
      </x:c>
      <x:c r="J1935" s="12" t="str">
        <x:v>Location model input - competition/saturation context</x:v>
      </x:c>
      <x:c r="K1935" s="12" t="str">
        <x:v>Business count is from 2018 while population/context indicators are newer; use as a historical proxy, not a current market count.</x:v>
      </x:c>
    </x:row>
    <x:row r="1936">
      <x:c r="A1936" s="12" t="str">
        <x:v>4763</x:v>
      </x:c>
      <x:c r="B1936" s="12" t="str">
        <x:v>Retail sale of sporting equipment in specialized stores</x:v>
      </x:c>
      <x:c r="C1936" s="12" t="str">
        <x:v>الزرقاء</x:v>
      </x:c>
      <x:c r="D1936" s="14" t="n">
        <x:v>22</x:v>
      </x:c>
      <x:c r="E1936" s="14" t="n">
        <x:f>VLOOKUP(C1936,'Governorate Master'!$A$2:$Q$13,3,FALSE)</x:f>
        <x:v>1704500</x:v>
      </x:c>
      <x:c r="F1936" s="66" t="n">
        <x:f>IF(E1936=0,0,D1936/E1936*10000)</x:f>
        <x:v>0.12907010853622763</x:v>
      </x:c>
      <x:c r="G1936" s="67" t="n">
        <x:f>VLOOKUP(C1936,'Governorate Master'!$A$2:$Q$13,7,FALSE)</x:f>
        <x:v>358</x:v>
      </x:c>
      <x:c r="H1936" s="20" t="n">
        <x:f>VLOOKUP(C1936,'Governorate Master'!$A$2:$Q$13,6,FALSE)</x:f>
        <x:v>0.9636256966852449</x:v>
      </x:c>
      <x:c r="I1936" s="20" t="n">
        <x:f>VLOOKUP(C1936,'Governorate Master'!$A$2:$Q$13,15,FALSE)</x:f>
        <x:v>-0.06808762581409118</x:v>
      </x:c>
      <x:c r="J1936" s="12" t="str">
        <x:v>Location model input - competition/saturation context</x:v>
      </x:c>
      <x:c r="K1936" s="12" t="str">
        <x:v>Business count is from 2018 while population/context indicators are newer; use as a historical proxy, not a current market count.</x:v>
      </x:c>
    </x:row>
    <x:row r="1937">
      <x:c r="A1937" s="12" t="str">
        <x:v>4763</x:v>
      </x:c>
      <x:c r="B1937" s="12" t="str">
        <x:v>Retail sale of sporting equipment in specialized stores</x:v>
      </x:c>
      <x:c r="C1937" s="12" t="str">
        <x:v>مادبا</x:v>
      </x:c>
      <x:c r="D1937" s="14" t="n">
        <x:v>0</x:v>
      </x:c>
      <x:c r="E1937" s="14" t="n">
        <x:f>VLOOKUP(C1937,'Governorate Master'!$A$2:$Q$13,3,FALSE)</x:f>
        <x:v>236200</x:v>
      </x:c>
      <x:c r="F1937" s="66" t="n">
        <x:f>IF(E1937=0,0,D1937/E1937*10000)</x:f>
        <x:v>0</x:v>
      </x:c>
      <x:c r="G1937" s="67" t="n">
        <x:f>VLOOKUP(C1937,'Governorate Master'!$A$2:$Q$13,7,FALSE)</x:f>
        <x:v>251.4</x:v>
      </x:c>
      <x:c r="H1937" s="20" t="n">
        <x:f>VLOOKUP(C1937,'Governorate Master'!$A$2:$Q$13,6,FALSE)</x:f>
        <x:v>0.7823878069432684</x:v>
      </x:c>
      <x:c r="I1937" s="20" t="n">
        <x:f>VLOOKUP(C1937,'Governorate Master'!$A$2:$Q$13,15,FALSE)</x:f>
        <x:v>-0.18823529411764706</x:v>
      </x:c>
      <x:c r="J1937" s="12" t="str">
        <x:v>Location model input - competition/saturation context</x:v>
      </x:c>
      <x:c r="K1937" s="12" t="str">
        <x:v>Business count is from 2018 while population/context indicators are newer; use as a historical proxy, not a current market count.</x:v>
      </x:c>
    </x:row>
    <x:row r="1938">
      <x:c r="A1938" s="12" t="str">
        <x:v>4763</x:v>
      </x:c>
      <x:c r="B1938" s="12" t="str">
        <x:v>Retail sale of sporting equipment in specialized stores</x:v>
      </x:c>
      <x:c r="C1938" s="12" t="str">
        <x:v>إربد</x:v>
      </x:c>
      <x:c r="D1938" s="14" t="n">
        <x:v>21</x:v>
      </x:c>
      <x:c r="E1938" s="14" t="n">
        <x:f>VLOOKUP(C1938,'Governorate Master'!$A$2:$Q$13,3,FALSE)</x:f>
        <x:v>2210500</x:v>
      </x:c>
      <x:c r="F1938" s="66" t="n">
        <x:f>IF(E1938=0,0,D1938/E1938*10000)</x:f>
        <x:v>0.09500113096584484</x:v>
      </x:c>
      <x:c r="G1938" s="67" t="n">
        <x:f>VLOOKUP(C1938,'Governorate Master'!$A$2:$Q$13,7,FALSE)</x:f>
        <x:v>1406.4</x:v>
      </x:c>
      <x:c r="H1938" s="20" t="n">
        <x:f>VLOOKUP(C1938,'Governorate Master'!$A$2:$Q$13,6,FALSE)</x:f>
        <x:v>0.9235014702555983</x:v>
      </x:c>
      <x:c r="I1938" s="20" t="n">
        <x:f>VLOOKUP(C1938,'Governorate Master'!$A$2:$Q$13,15,FALSE)</x:f>
        <x:v>0.07086922474549726</x:v>
      </x:c>
      <x:c r="J1938" s="12" t="str">
        <x:v>Location model input - competition/saturation context</x:v>
      </x:c>
      <x:c r="K1938" s="12" t="str">
        <x:v>Business count is from 2018 while population/context indicators are newer; use as a historical proxy, not a current market count.</x:v>
      </x:c>
    </x:row>
    <x:row r="1939">
      <x:c r="A1939" s="12" t="str">
        <x:v>4763</x:v>
      </x:c>
      <x:c r="B1939" s="12" t="str">
        <x:v>Retail sale of sporting equipment in specialized stores</x:v>
      </x:c>
      <x:c r="C1939" s="12" t="str">
        <x:v>المفرق</x:v>
      </x:c>
      <x:c r="D1939" s="14" t="n">
        <x:v>13</x:v>
      </x:c>
      <x:c r="E1939" s="14" t="n">
        <x:f>VLOOKUP(C1939,'Governorate Master'!$A$2:$Q$13,3,FALSE)</x:f>
        <x:v>686800</x:v>
      </x:c>
      <x:c r="F1939" s="66" t="n">
        <x:f>IF(E1939=0,0,D1939/E1939*10000)</x:f>
        <x:v>0.18928363424577752</x:v>
      </x:c>
      <x:c r="G1939" s="67" t="n">
        <x:f>VLOOKUP(C1939,'Governorate Master'!$A$2:$Q$13,7,FALSE)</x:f>
        <x:v>25.9</x:v>
      </x:c>
      <x:c r="H1939" s="20" t="n">
        <x:f>VLOOKUP(C1939,'Governorate Master'!$A$2:$Q$13,6,FALSE)</x:f>
        <x:v>0.6965637740244612</x:v>
      </x:c>
      <x:c r="I1939" s="20" t="n">
        <x:f>VLOOKUP(C1939,'Governorate Master'!$A$2:$Q$13,15,FALSE)</x:f>
        <x:v>-0.016638935108153077</x:v>
      </x:c>
      <x:c r="J1939" s="12" t="str">
        <x:v>Location model input - competition/saturation context</x:v>
      </x:c>
      <x:c r="K1939" s="12" t="str">
        <x:v>Business count is from 2018 while population/context indicators are newer; use as a historical proxy, not a current market count.</x:v>
      </x:c>
    </x:row>
    <x:row r="1940">
      <x:c r="A1940" s="12" t="str">
        <x:v>4763</x:v>
      </x:c>
      <x:c r="B1940" s="12" t="str">
        <x:v>Retail sale of sporting equipment in specialized stores</x:v>
      </x:c>
      <x:c r="C1940" s="12" t="str">
        <x:v>جرش</x:v>
      </x:c>
      <x:c r="D1940" s="14" t="n">
        <x:v>2</x:v>
      </x:c>
      <x:c r="E1940" s="14" t="n">
        <x:f>VLOOKUP(C1940,'Governorate Master'!$A$2:$Q$13,3,FALSE)</x:f>
        <x:v>296000</x:v>
      </x:c>
      <x:c r="F1940" s="66" t="n">
        <x:f>IF(E1940=0,0,D1940/E1940*10000)</x:f>
        <x:v>0.06756756756756757</x:v>
      </x:c>
      <x:c r="G1940" s="67" t="n">
        <x:f>VLOOKUP(C1940,'Governorate Master'!$A$2:$Q$13,7,FALSE)</x:f>
        <x:v>722.3</x:v>
      </x:c>
      <x:c r="H1940" s="20" t="n">
        <x:f>VLOOKUP(C1940,'Governorate Master'!$A$2:$Q$13,6,FALSE)</x:f>
        <x:v>0.7695945945945946</x:v>
      </x:c>
      <x:c r="I1940" s="20" t="n">
        <x:f>VLOOKUP(C1940,'Governorate Master'!$A$2:$Q$13,15,FALSE)</x:f>
        <x:v>-0.06527415143603134</x:v>
      </x:c>
      <x:c r="J1940" s="12" t="str">
        <x:v>Location model input - competition/saturation context</x:v>
      </x:c>
      <x:c r="K1940" s="12" t="str">
        <x:v>Business count is from 2018 while population/context indicators are newer; use as a historical proxy, not a current market count.</x:v>
      </x:c>
    </x:row>
    <x:row r="1941">
      <x:c r="A1941" s="12" t="str">
        <x:v>4763</x:v>
      </x:c>
      <x:c r="B1941" s="12" t="str">
        <x:v>Retail sale of sporting equipment in specialized stores</x:v>
      </x:c>
      <x:c r="C1941" s="12" t="str">
        <x:v>عجلون</x:v>
      </x:c>
      <x:c r="D1941" s="14" t="n">
        <x:v>2</x:v>
      </x:c>
      <x:c r="E1941" s="14" t="n">
        <x:f>VLOOKUP(C1941,'Governorate Master'!$A$2:$Q$13,3,FALSE)</x:f>
        <x:v>219900</x:v>
      </x:c>
      <x:c r="F1941" s="66" t="n">
        <x:f>IF(E1941=0,0,D1941/E1941*10000)</x:f>
        <x:v>0.09095043201455207</x:v>
      </x:c>
      <x:c r="G1941" s="67" t="n">
        <x:f>VLOOKUP(C1941,'Governorate Master'!$A$2:$Q$13,7,FALSE)</x:f>
        <x:v>524</x:v>
      </x:c>
      <x:c r="H1941" s="20" t="n">
        <x:f>VLOOKUP(C1941,'Governorate Master'!$A$2:$Q$13,6,FALSE)</x:f>
        <x:v>0.8390177353342428</x:v>
      </x:c>
      <x:c r="I1941" s="20" t="n">
        <x:f>VLOOKUP(C1941,'Governorate Master'!$A$2:$Q$13,15,FALSE)</x:f>
        <x:v>0.03614457831325301</x:v>
      </x:c>
      <x:c r="J1941" s="12" t="str">
        <x:v>Location model input - competition/saturation context</x:v>
      </x:c>
      <x:c r="K1941" s="12" t="str">
        <x:v>Business count is from 2018 while population/context indicators are newer; use as a historical proxy, not a current market count.</x:v>
      </x:c>
    </x:row>
    <x:row r="1942">
      <x:c r="A1942" s="12" t="str">
        <x:v>4763</x:v>
      </x:c>
      <x:c r="B1942" s="12" t="str">
        <x:v>Retail sale of sporting equipment in specialized stores</x:v>
      </x:c>
      <x:c r="C1942" s="12" t="str">
        <x:v>الكرك</x:v>
      </x:c>
      <x:c r="D1942" s="14" t="n">
        <x:v>5</x:v>
      </x:c>
      <x:c r="E1942" s="14" t="n">
        <x:f>VLOOKUP(C1942,'Governorate Master'!$A$2:$Q$13,3,FALSE)</x:f>
        <x:v>395400</x:v>
      </x:c>
      <x:c r="F1942" s="66" t="n">
        <x:f>IF(E1942=0,0,D1942/E1942*10000)</x:f>
        <x:v>0.12645422357106728</x:v>
      </x:c>
      <x:c r="G1942" s="67" t="n">
        <x:f>VLOOKUP(C1942,'Governorate Master'!$A$2:$Q$13,7,FALSE)</x:f>
        <x:v>113.1</x:v>
      </x:c>
      <x:c r="H1942" s="20" t="n">
        <x:f>VLOOKUP(C1942,'Governorate Master'!$A$2:$Q$13,6,FALSE)</x:f>
        <x:v>0.5912999494183105</x:v>
      </x:c>
      <x:c r="I1942" s="20" t="n">
        <x:f>VLOOKUP(C1942,'Governorate Master'!$A$2:$Q$13,15,FALSE)</x:f>
        <x:v>0.08710801393728224</x:v>
      </x:c>
      <x:c r="J1942" s="12" t="str">
        <x:v>Location model input - competition/saturation context</x:v>
      </x:c>
      <x:c r="K1942" s="12" t="str">
        <x:v>Business count is from 2018 while population/context indicators are newer; use as a historical proxy, not a current market count.</x:v>
      </x:c>
    </x:row>
    <x:row r="1943">
      <x:c r="A1943" s="12" t="str">
        <x:v>4763</x:v>
      </x:c>
      <x:c r="B1943" s="12" t="str">
        <x:v>Retail sale of sporting equipment in specialized stores</x:v>
      </x:c>
      <x:c r="C1943" s="12" t="str">
        <x:v>الطفيلة</x:v>
      </x:c>
      <x:c r="D1943" s="14" t="n">
        <x:v>2</x:v>
      </x:c>
      <x:c r="E1943" s="14" t="n">
        <x:f>VLOOKUP(C1943,'Governorate Master'!$A$2:$Q$13,3,FALSE)</x:f>
        <x:v>120300</x:v>
      </x:c>
      <x:c r="F1943" s="66" t="n">
        <x:f>IF(E1943=0,0,D1943/E1943*10000)</x:f>
        <x:v>0.1662510390689942</x:v>
      </x:c>
      <x:c r="G1943" s="67" t="n">
        <x:f>VLOOKUP(C1943,'Governorate Master'!$A$2:$Q$13,7,FALSE)</x:f>
        <x:v>54.4</x:v>
      </x:c>
      <x:c r="H1943" s="20" t="n">
        <x:f>VLOOKUP(C1943,'Governorate Master'!$A$2:$Q$13,6,FALSE)</x:f>
        <x:v>0.7797173732335827</x:v>
      </x:c>
      <x:c r="I1943" s="20" t="n">
        <x:f>VLOOKUP(C1943,'Governorate Master'!$A$2:$Q$13,15,FALSE)</x:f>
        <x:v>0.18452380952380953</x:v>
      </x:c>
      <x:c r="J1943" s="12" t="str">
        <x:v>Location model input - competition/saturation context</x:v>
      </x:c>
      <x:c r="K1943" s="12" t="str">
        <x:v>Business count is from 2018 while population/context indicators are newer; use as a historical proxy, not a current market count.</x:v>
      </x:c>
    </x:row>
    <x:row r="1944">
      <x:c r="A1944" s="12" t="str">
        <x:v>4763</x:v>
      </x:c>
      <x:c r="B1944" s="12" t="str">
        <x:v>Retail sale of sporting equipment in specialized stores</x:v>
      </x:c>
      <x:c r="C1944" s="12" t="str">
        <x:v>معان</x:v>
      </x:c>
      <x:c r="D1944" s="14" t="n">
        <x:v>1</x:v>
      </x:c>
      <x:c r="E1944" s="14" t="n">
        <x:f>VLOOKUP(C1944,'Governorate Master'!$A$2:$Q$13,3,FALSE)</x:f>
        <x:v>197900</x:v>
      </x:c>
      <x:c r="F1944" s="66" t="n">
        <x:f>IF(E1944=0,0,D1944/E1944*10000)</x:f>
        <x:v>0.05053057099545225</x:v>
      </x:c>
      <x:c r="G1944" s="67" t="n">
        <x:f>VLOOKUP(C1944,'Governorate Master'!$A$2:$Q$13,7,FALSE)</x:f>
        <x:v>6</x:v>
      </x:c>
      <x:c r="H1944" s="20" t="n">
        <x:f>VLOOKUP(C1944,'Governorate Master'!$A$2:$Q$13,6,FALSE)</x:f>
        <x:v>0.5406771096513391</x:v>
      </x:c>
      <x:c r="I1944" s="20" t="n">
        <x:f>VLOOKUP(C1944,'Governorate Master'!$A$2:$Q$13,15,FALSE)</x:f>
        <x:v>0.026845637583892617</x:v>
      </x:c>
      <x:c r="J1944" s="12" t="str">
        <x:v>Location model input - competition/saturation context</x:v>
      </x:c>
      <x:c r="K1944" s="12" t="str">
        <x:v>Business count is from 2018 while population/context indicators are newer; use as a historical proxy, not a current market count.</x:v>
      </x:c>
    </x:row>
    <x:row r="1945">
      <x:c r="A1945" s="12" t="str">
        <x:v>4763</x:v>
      </x:c>
      <x:c r="B1945" s="12" t="str">
        <x:v>Retail sale of sporting equipment in specialized stores</x:v>
      </x:c>
      <x:c r="C1945" s="12" t="str">
        <x:v>العقبة</x:v>
      </x:c>
      <x:c r="D1945" s="14" t="n">
        <x:v>4</x:v>
      </x:c>
      <x:c r="E1945" s="14" t="n">
        <x:f>VLOOKUP(C1945,'Governorate Master'!$A$2:$Q$13,3,FALSE)</x:f>
        <x:v>250900</x:v>
      </x:c>
      <x:c r="F1945" s="66" t="n">
        <x:f>IF(E1945=0,0,D1945/E1945*10000)</x:f>
        <x:v>0.15942606616181745</x:v>
      </x:c>
      <x:c r="G1945" s="67" t="n">
        <x:f>VLOOKUP(C1945,'Governorate Master'!$A$2:$Q$13,7,FALSE)</x:f>
        <x:v>36.3</x:v>
      </x:c>
      <x:c r="H1945" s="20" t="n">
        <x:f>VLOOKUP(C1945,'Governorate Master'!$A$2:$Q$13,6,FALSE)</x:f>
        <x:v>0.882024711040255</x:v>
      </x:c>
      <x:c r="I1945" s="20" t="n">
        <x:f>VLOOKUP(C1945,'Governorate Master'!$A$2:$Q$13,15,FALSE)</x:f>
        <x:v>-0.09</x:v>
      </x:c>
      <x:c r="J1945" s="12" t="str">
        <x:v>Location model input - competition/saturation context</x:v>
      </x:c>
      <x:c r="K1945" s="12" t="str">
        <x:v>Business count is from 2018 while population/context indicators are newer; use as a historical proxy, not a current market count.</x:v>
      </x:c>
    </x:row>
    <x:row r="1946">
      <x:c r="A1946" s="12" t="str">
        <x:v>4764</x:v>
      </x:c>
      <x:c r="B1946" s="12" t="str">
        <x:v>Retail sale of games and toys in specialized stores</x:v>
      </x:c>
      <x:c r="C1946" s="12" t="str">
        <x:v>عمان</x:v>
      </x:c>
      <x:c r="D1946" s="14" t="n">
        <x:v>177</x:v>
      </x:c>
      <x:c r="E1946" s="14" t="n">
        <x:f>VLOOKUP(C1946,'Governorate Master'!$A$2:$Q$13,3,FALSE)</x:f>
        <x:v>5004600</x:v>
      </x:c>
      <x:c r="F1946" s="66" t="n">
        <x:f>IF(E1946=0,0,D1946/E1946*10000)</x:f>
        <x:v>0.3536746193501978</x:v>
      </x:c>
      <x:c r="G1946" s="67" t="n">
        <x:f>VLOOKUP(C1946,'Governorate Master'!$A$2:$Q$13,7,FALSE)</x:f>
        <x:v>660.3</x:v>
      </x:c>
      <x:c r="H1946" s="20" t="n">
        <x:f>VLOOKUP(C1946,'Governorate Master'!$A$2:$Q$13,6,FALSE)</x:f>
        <x:v>0.9721656076409703</x:v>
      </x:c>
      <x:c r="I1946" s="20" t="n">
        <x:f>VLOOKUP(C1946,'Governorate Master'!$A$2:$Q$13,15,FALSE)</x:f>
        <x:v>0.06367041198501873</x:v>
      </x:c>
      <x:c r="J1946" s="12" t="str">
        <x:v>Location model input - competition/saturation context</x:v>
      </x:c>
      <x:c r="K1946" s="12" t="str">
        <x:v>Business count is from 2018 while population/context indicators are newer; use as a historical proxy, not a current market count.</x:v>
      </x:c>
    </x:row>
    <x:row r="1947">
      <x:c r="A1947" s="12" t="str">
        <x:v>4764</x:v>
      </x:c>
      <x:c r="B1947" s="12" t="str">
        <x:v>Retail sale of games and toys in specialized stores</x:v>
      </x:c>
      <x:c r="C1947" s="12" t="str">
        <x:v>البلقاء</x:v>
      </x:c>
      <x:c r="D1947" s="14" t="n">
        <x:v>18</x:v>
      </x:c>
      <x:c r="E1947" s="14" t="n">
        <x:f>VLOOKUP(C1947,'Governorate Master'!$A$2:$Q$13,3,FALSE)</x:f>
        <x:v>614000</x:v>
      </x:c>
      <x:c r="F1947" s="66" t="n">
        <x:f>IF(E1947=0,0,D1947/E1947*10000)</x:f>
        <x:v>0.2931596091205212</x:v>
      </x:c>
      <x:c r="G1947" s="67" t="n">
        <x:f>VLOOKUP(C1947,'Governorate Master'!$A$2:$Q$13,7,FALSE)</x:f>
        <x:v>548</x:v>
      </x:c>
      <x:c r="H1947" s="20" t="n">
        <x:f>VLOOKUP(C1947,'Governorate Master'!$A$2:$Q$13,6,FALSE)</x:f>
        <x:v>0.8210097719869707</x:v>
      </x:c>
      <x:c r="I1947" s="20" t="n">
        <x:f>VLOOKUP(C1947,'Governorate Master'!$A$2:$Q$13,15,FALSE)</x:f>
        <x:v>0.10794044665012408</x:v>
      </x:c>
      <x:c r="J1947" s="12" t="str">
        <x:v>Location model input - competition/saturation context</x:v>
      </x:c>
      <x:c r="K1947" s="12" t="str">
        <x:v>Business count is from 2018 while population/context indicators are newer; use as a historical proxy, not a current market count.</x:v>
      </x:c>
    </x:row>
    <x:row r="1948">
      <x:c r="A1948" s="12" t="str">
        <x:v>4764</x:v>
      </x:c>
      <x:c r="B1948" s="12" t="str">
        <x:v>Retail sale of games and toys in specialized stores</x:v>
      </x:c>
      <x:c r="C1948" s="12" t="str">
        <x:v>الزرقاء</x:v>
      </x:c>
      <x:c r="D1948" s="14" t="n">
        <x:v>50</x:v>
      </x:c>
      <x:c r="E1948" s="14" t="n">
        <x:f>VLOOKUP(C1948,'Governorate Master'!$A$2:$Q$13,3,FALSE)</x:f>
        <x:v>1704500</x:v>
      </x:c>
      <x:c r="F1948" s="66" t="n">
        <x:f>IF(E1948=0,0,D1948/E1948*10000)</x:f>
        <x:v>0.2933411557641537</x:v>
      </x:c>
      <x:c r="G1948" s="67" t="n">
        <x:f>VLOOKUP(C1948,'Governorate Master'!$A$2:$Q$13,7,FALSE)</x:f>
        <x:v>358</x:v>
      </x:c>
      <x:c r="H1948" s="20" t="n">
        <x:f>VLOOKUP(C1948,'Governorate Master'!$A$2:$Q$13,6,FALSE)</x:f>
        <x:v>0.9636256966852449</x:v>
      </x:c>
      <x:c r="I1948" s="20" t="n">
        <x:f>VLOOKUP(C1948,'Governorate Master'!$A$2:$Q$13,15,FALSE)</x:f>
        <x:v>-0.06808762581409118</x:v>
      </x:c>
      <x:c r="J1948" s="12" t="str">
        <x:v>Location model input - competition/saturation context</x:v>
      </x:c>
      <x:c r="K1948" s="12" t="str">
        <x:v>Business count is from 2018 while population/context indicators are newer; use as a historical proxy, not a current market count.</x:v>
      </x:c>
    </x:row>
    <x:row r="1949">
      <x:c r="A1949" s="12" t="str">
        <x:v>4764</x:v>
      </x:c>
      <x:c r="B1949" s="12" t="str">
        <x:v>Retail sale of games and toys in specialized stores</x:v>
      </x:c>
      <x:c r="C1949" s="12" t="str">
        <x:v>مادبا</x:v>
      </x:c>
      <x:c r="D1949" s="14" t="n">
        <x:v>8</x:v>
      </x:c>
      <x:c r="E1949" s="14" t="n">
        <x:f>VLOOKUP(C1949,'Governorate Master'!$A$2:$Q$13,3,FALSE)</x:f>
        <x:v>236200</x:v>
      </x:c>
      <x:c r="F1949" s="66" t="n">
        <x:f>IF(E1949=0,0,D1949/E1949*10000)</x:f>
        <x:v>0.3386960203217612</x:v>
      </x:c>
      <x:c r="G1949" s="67" t="n">
        <x:f>VLOOKUP(C1949,'Governorate Master'!$A$2:$Q$13,7,FALSE)</x:f>
        <x:v>251.4</x:v>
      </x:c>
      <x:c r="H1949" s="20" t="n">
        <x:f>VLOOKUP(C1949,'Governorate Master'!$A$2:$Q$13,6,FALSE)</x:f>
        <x:v>0.7823878069432684</x:v>
      </x:c>
      <x:c r="I1949" s="20" t="n">
        <x:f>VLOOKUP(C1949,'Governorate Master'!$A$2:$Q$13,15,FALSE)</x:f>
        <x:v>-0.18823529411764706</x:v>
      </x:c>
      <x:c r="J1949" s="12" t="str">
        <x:v>Location model input - competition/saturation context</x:v>
      </x:c>
      <x:c r="K1949" s="12" t="str">
        <x:v>Business count is from 2018 while population/context indicators are newer; use as a historical proxy, not a current market count.</x:v>
      </x:c>
    </x:row>
    <x:row r="1950">
      <x:c r="A1950" s="12" t="str">
        <x:v>4764</x:v>
      </x:c>
      <x:c r="B1950" s="12" t="str">
        <x:v>Retail sale of games and toys in specialized stores</x:v>
      </x:c>
      <x:c r="C1950" s="12" t="str">
        <x:v>إربد</x:v>
      </x:c>
      <x:c r="D1950" s="14" t="n">
        <x:v>55</x:v>
      </x:c>
      <x:c r="E1950" s="14" t="n">
        <x:f>VLOOKUP(C1950,'Governorate Master'!$A$2:$Q$13,3,FALSE)</x:f>
        <x:v>2210500</x:v>
      </x:c>
      <x:c r="F1950" s="66" t="n">
        <x:f>IF(E1950=0,0,D1950/E1950*10000)</x:f>
        <x:v>0.24881248586292695</x:v>
      </x:c>
      <x:c r="G1950" s="67" t="n">
        <x:f>VLOOKUP(C1950,'Governorate Master'!$A$2:$Q$13,7,FALSE)</x:f>
        <x:v>1406.4</x:v>
      </x:c>
      <x:c r="H1950" s="20" t="n">
        <x:f>VLOOKUP(C1950,'Governorate Master'!$A$2:$Q$13,6,FALSE)</x:f>
        <x:v>0.9235014702555983</x:v>
      </x:c>
      <x:c r="I1950" s="20" t="n">
        <x:f>VLOOKUP(C1950,'Governorate Master'!$A$2:$Q$13,15,FALSE)</x:f>
        <x:v>0.07086922474549726</x:v>
      </x:c>
      <x:c r="J1950" s="12" t="str">
        <x:v>Location model input - competition/saturation context</x:v>
      </x:c>
      <x:c r="K1950" s="12" t="str">
        <x:v>Business count is from 2018 while population/context indicators are newer; use as a historical proxy, not a current market count.</x:v>
      </x:c>
    </x:row>
    <x:row r="1951">
      <x:c r="A1951" s="12" t="str">
        <x:v>4764</x:v>
      </x:c>
      <x:c r="B1951" s="12" t="str">
        <x:v>Retail sale of games and toys in specialized stores</x:v>
      </x:c>
      <x:c r="C1951" s="12" t="str">
        <x:v>المفرق</x:v>
      </x:c>
      <x:c r="D1951" s="14" t="n">
        <x:v>14</x:v>
      </x:c>
      <x:c r="E1951" s="14" t="n">
        <x:f>VLOOKUP(C1951,'Governorate Master'!$A$2:$Q$13,3,FALSE)</x:f>
        <x:v>686800</x:v>
      </x:c>
      <x:c r="F1951" s="66" t="n">
        <x:f>IF(E1951=0,0,D1951/E1951*10000)</x:f>
        <x:v>0.20384391380314504</x:v>
      </x:c>
      <x:c r="G1951" s="67" t="n">
        <x:f>VLOOKUP(C1951,'Governorate Master'!$A$2:$Q$13,7,FALSE)</x:f>
        <x:v>25.9</x:v>
      </x:c>
      <x:c r="H1951" s="20" t="n">
        <x:f>VLOOKUP(C1951,'Governorate Master'!$A$2:$Q$13,6,FALSE)</x:f>
        <x:v>0.6965637740244612</x:v>
      </x:c>
      <x:c r="I1951" s="20" t="n">
        <x:f>VLOOKUP(C1951,'Governorate Master'!$A$2:$Q$13,15,FALSE)</x:f>
        <x:v>-0.016638935108153077</x:v>
      </x:c>
      <x:c r="J1951" s="12" t="str">
        <x:v>Location model input - competition/saturation context</x:v>
      </x:c>
      <x:c r="K1951" s="12" t="str">
        <x:v>Business count is from 2018 while population/context indicators are newer; use as a historical proxy, not a current market count.</x:v>
      </x:c>
    </x:row>
    <x:row r="1952">
      <x:c r="A1952" s="12" t="str">
        <x:v>4764</x:v>
      </x:c>
      <x:c r="B1952" s="12" t="str">
        <x:v>Retail sale of games and toys in specialized stores</x:v>
      </x:c>
      <x:c r="C1952" s="12" t="str">
        <x:v>جرش</x:v>
      </x:c>
      <x:c r="D1952" s="14" t="n">
        <x:v>3</x:v>
      </x:c>
      <x:c r="E1952" s="14" t="n">
        <x:f>VLOOKUP(C1952,'Governorate Master'!$A$2:$Q$13,3,FALSE)</x:f>
        <x:v>296000</x:v>
      </x:c>
      <x:c r="F1952" s="66" t="n">
        <x:f>IF(E1952=0,0,D1952/E1952*10000)</x:f>
        <x:v>0.10135135135135134</x:v>
      </x:c>
      <x:c r="G1952" s="67" t="n">
        <x:f>VLOOKUP(C1952,'Governorate Master'!$A$2:$Q$13,7,FALSE)</x:f>
        <x:v>722.3</x:v>
      </x:c>
      <x:c r="H1952" s="20" t="n">
        <x:f>VLOOKUP(C1952,'Governorate Master'!$A$2:$Q$13,6,FALSE)</x:f>
        <x:v>0.7695945945945946</x:v>
      </x:c>
      <x:c r="I1952" s="20" t="n">
        <x:f>VLOOKUP(C1952,'Governorate Master'!$A$2:$Q$13,15,FALSE)</x:f>
        <x:v>-0.06527415143603134</x:v>
      </x:c>
      <x:c r="J1952" s="12" t="str">
        <x:v>Location model input - competition/saturation context</x:v>
      </x:c>
      <x:c r="K1952" s="12" t="str">
        <x:v>Business count is from 2018 while population/context indicators are newer; use as a historical proxy, not a current market count.</x:v>
      </x:c>
    </x:row>
    <x:row r="1953">
      <x:c r="A1953" s="12" t="str">
        <x:v>4764</x:v>
      </x:c>
      <x:c r="B1953" s="12" t="str">
        <x:v>Retail sale of games and toys in specialized stores</x:v>
      </x:c>
      <x:c r="C1953" s="12" t="str">
        <x:v>عجلون</x:v>
      </x:c>
      <x:c r="D1953" s="14" t="n">
        <x:v>5</x:v>
      </x:c>
      <x:c r="E1953" s="14" t="n">
        <x:f>VLOOKUP(C1953,'Governorate Master'!$A$2:$Q$13,3,FALSE)</x:f>
        <x:v>219900</x:v>
      </x:c>
      <x:c r="F1953" s="66" t="n">
        <x:f>IF(E1953=0,0,D1953/E1953*10000)</x:f>
        <x:v>0.22737608003638016</x:v>
      </x:c>
      <x:c r="G1953" s="67" t="n">
        <x:f>VLOOKUP(C1953,'Governorate Master'!$A$2:$Q$13,7,FALSE)</x:f>
        <x:v>524</x:v>
      </x:c>
      <x:c r="H1953" s="20" t="n">
        <x:f>VLOOKUP(C1953,'Governorate Master'!$A$2:$Q$13,6,FALSE)</x:f>
        <x:v>0.8390177353342428</x:v>
      </x:c>
      <x:c r="I1953" s="20" t="n">
        <x:f>VLOOKUP(C1953,'Governorate Master'!$A$2:$Q$13,15,FALSE)</x:f>
        <x:v>0.03614457831325301</x:v>
      </x:c>
      <x:c r="J1953" s="12" t="str">
        <x:v>Location model input - competition/saturation context</x:v>
      </x:c>
      <x:c r="K1953" s="12" t="str">
        <x:v>Business count is from 2018 while population/context indicators are newer; use as a historical proxy, not a current market count.</x:v>
      </x:c>
    </x:row>
    <x:row r="1954">
      <x:c r="A1954" s="12" t="str">
        <x:v>4764</x:v>
      </x:c>
      <x:c r="B1954" s="12" t="str">
        <x:v>Retail sale of games and toys in specialized stores</x:v>
      </x:c>
      <x:c r="C1954" s="12" t="str">
        <x:v>الكرك</x:v>
      </x:c>
      <x:c r="D1954" s="14" t="n">
        <x:v>14</x:v>
      </x:c>
      <x:c r="E1954" s="14" t="n">
        <x:f>VLOOKUP(C1954,'Governorate Master'!$A$2:$Q$13,3,FALSE)</x:f>
        <x:v>395400</x:v>
      </x:c>
      <x:c r="F1954" s="66" t="n">
        <x:f>IF(E1954=0,0,D1954/E1954*10000)</x:f>
        <x:v>0.3540718259989884</x:v>
      </x:c>
      <x:c r="G1954" s="67" t="n">
        <x:f>VLOOKUP(C1954,'Governorate Master'!$A$2:$Q$13,7,FALSE)</x:f>
        <x:v>113.1</x:v>
      </x:c>
      <x:c r="H1954" s="20" t="n">
        <x:f>VLOOKUP(C1954,'Governorate Master'!$A$2:$Q$13,6,FALSE)</x:f>
        <x:v>0.5912999494183105</x:v>
      </x:c>
      <x:c r="I1954" s="20" t="n">
        <x:f>VLOOKUP(C1954,'Governorate Master'!$A$2:$Q$13,15,FALSE)</x:f>
        <x:v>0.08710801393728224</x:v>
      </x:c>
      <x:c r="J1954" s="12" t="str">
        <x:v>Location model input - competition/saturation context</x:v>
      </x:c>
      <x:c r="K1954" s="12" t="str">
        <x:v>Business count is from 2018 while population/context indicators are newer; use as a historical proxy, not a current market count.</x:v>
      </x:c>
    </x:row>
    <x:row r="1955">
      <x:c r="A1955" s="12" t="str">
        <x:v>4764</x:v>
      </x:c>
      <x:c r="B1955" s="12" t="str">
        <x:v>Retail sale of games and toys in specialized stores</x:v>
      </x:c>
      <x:c r="C1955" s="12" t="str">
        <x:v>الطفيلة</x:v>
      </x:c>
      <x:c r="D1955" s="14" t="n">
        <x:v>4</x:v>
      </x:c>
      <x:c r="E1955" s="14" t="n">
        <x:f>VLOOKUP(C1955,'Governorate Master'!$A$2:$Q$13,3,FALSE)</x:f>
        <x:v>120300</x:v>
      </x:c>
      <x:c r="F1955" s="66" t="n">
        <x:f>IF(E1955=0,0,D1955/E1955*10000)</x:f>
        <x:v>0.3325020781379884</x:v>
      </x:c>
      <x:c r="G1955" s="67" t="n">
        <x:f>VLOOKUP(C1955,'Governorate Master'!$A$2:$Q$13,7,FALSE)</x:f>
        <x:v>54.4</x:v>
      </x:c>
      <x:c r="H1955" s="20" t="n">
        <x:f>VLOOKUP(C1955,'Governorate Master'!$A$2:$Q$13,6,FALSE)</x:f>
        <x:v>0.7797173732335827</x:v>
      </x:c>
      <x:c r="I1955" s="20" t="n">
        <x:f>VLOOKUP(C1955,'Governorate Master'!$A$2:$Q$13,15,FALSE)</x:f>
        <x:v>0.18452380952380953</x:v>
      </x:c>
      <x:c r="J1955" s="12" t="str">
        <x:v>Location model input - competition/saturation context</x:v>
      </x:c>
      <x:c r="K1955" s="12" t="str">
        <x:v>Business count is from 2018 while population/context indicators are newer; use as a historical proxy, not a current market count.</x:v>
      </x:c>
    </x:row>
    <x:row r="1956">
      <x:c r="A1956" s="12" t="str">
        <x:v>4764</x:v>
      </x:c>
      <x:c r="B1956" s="12" t="str">
        <x:v>Retail sale of games and toys in specialized stores</x:v>
      </x:c>
      <x:c r="C1956" s="12" t="str">
        <x:v>معان</x:v>
      </x:c>
      <x:c r="D1956" s="14" t="n">
        <x:v>1</x:v>
      </x:c>
      <x:c r="E1956" s="14" t="n">
        <x:f>VLOOKUP(C1956,'Governorate Master'!$A$2:$Q$13,3,FALSE)</x:f>
        <x:v>197900</x:v>
      </x:c>
      <x:c r="F1956" s="66" t="n">
        <x:f>IF(E1956=0,0,D1956/E1956*10000)</x:f>
        <x:v>0.05053057099545225</x:v>
      </x:c>
      <x:c r="G1956" s="67" t="n">
        <x:f>VLOOKUP(C1956,'Governorate Master'!$A$2:$Q$13,7,FALSE)</x:f>
        <x:v>6</x:v>
      </x:c>
      <x:c r="H1956" s="20" t="n">
        <x:f>VLOOKUP(C1956,'Governorate Master'!$A$2:$Q$13,6,FALSE)</x:f>
        <x:v>0.5406771096513391</x:v>
      </x:c>
      <x:c r="I1956" s="20" t="n">
        <x:f>VLOOKUP(C1956,'Governorate Master'!$A$2:$Q$13,15,FALSE)</x:f>
        <x:v>0.026845637583892617</x:v>
      </x:c>
      <x:c r="J1956" s="12" t="str">
        <x:v>Location model input - competition/saturation context</x:v>
      </x:c>
      <x:c r="K1956" s="12" t="str">
        <x:v>Business count is from 2018 while population/context indicators are newer; use as a historical proxy, not a current market count.</x:v>
      </x:c>
    </x:row>
    <x:row r="1957">
      <x:c r="A1957" s="12" t="str">
        <x:v>4764</x:v>
      </x:c>
      <x:c r="B1957" s="12" t="str">
        <x:v>Retail sale of games and toys in specialized stores</x:v>
      </x:c>
      <x:c r="C1957" s="12" t="str">
        <x:v>العقبة</x:v>
      </x:c>
      <x:c r="D1957" s="14" t="n">
        <x:v>16</x:v>
      </x:c>
      <x:c r="E1957" s="14" t="n">
        <x:f>VLOOKUP(C1957,'Governorate Master'!$A$2:$Q$13,3,FALSE)</x:f>
        <x:v>250900</x:v>
      </x:c>
      <x:c r="F1957" s="66" t="n">
        <x:f>IF(E1957=0,0,D1957/E1957*10000)</x:f>
        <x:v>0.6377042646472698</x:v>
      </x:c>
      <x:c r="G1957" s="67" t="n">
        <x:f>VLOOKUP(C1957,'Governorate Master'!$A$2:$Q$13,7,FALSE)</x:f>
        <x:v>36.3</x:v>
      </x:c>
      <x:c r="H1957" s="20" t="n">
        <x:f>VLOOKUP(C1957,'Governorate Master'!$A$2:$Q$13,6,FALSE)</x:f>
        <x:v>0.882024711040255</x:v>
      </x:c>
      <x:c r="I1957" s="20" t="n">
        <x:f>VLOOKUP(C1957,'Governorate Master'!$A$2:$Q$13,15,FALSE)</x:f>
        <x:v>-0.09</x:v>
      </x:c>
      <x:c r="J1957" s="12" t="str">
        <x:v>Location model input - competition/saturation context</x:v>
      </x:c>
      <x:c r="K1957" s="12" t="str">
        <x:v>Business count is from 2018 while population/context indicators are newer; use as a historical proxy, not a current market count.</x:v>
      </x:c>
    </x:row>
    <x:row r="1958">
      <x:c r="A1958" s="12" t="str">
        <x:v>4771</x:v>
      </x:c>
      <x:c r="B1958" s="12" t="str">
        <x:v>Retail sale of clothing, footwear and leather articles in specialized stores</x:v>
      </x:c>
      <x:c r="C1958" s="12" t="str">
        <x:v>عمان</x:v>
      </x:c>
      <x:c r="D1958" s="14" t="n">
        <x:v>3798</x:v>
      </x:c>
      <x:c r="E1958" s="14" t="n">
        <x:f>VLOOKUP(C1958,'Governorate Master'!$A$2:$Q$13,3,FALSE)</x:f>
        <x:v>5004600</x:v>
      </x:c>
      <x:c r="F1958" s="66" t="n">
        <x:f>IF(E1958=0,0,D1958/E1958*10000)</x:f>
        <x:v>7.589018103344923</x:v>
      </x:c>
      <x:c r="G1958" s="67" t="n">
        <x:f>VLOOKUP(C1958,'Governorate Master'!$A$2:$Q$13,7,FALSE)</x:f>
        <x:v>660.3</x:v>
      </x:c>
      <x:c r="H1958" s="20" t="n">
        <x:f>VLOOKUP(C1958,'Governorate Master'!$A$2:$Q$13,6,FALSE)</x:f>
        <x:v>0.9721656076409703</x:v>
      </x:c>
      <x:c r="I1958" s="20" t="n">
        <x:f>VLOOKUP(C1958,'Governorate Master'!$A$2:$Q$13,15,FALSE)</x:f>
        <x:v>0.06367041198501873</x:v>
      </x:c>
      <x:c r="J1958" s="12" t="str">
        <x:v>Location model input - competition/saturation context</x:v>
      </x:c>
      <x:c r="K1958" s="12" t="str">
        <x:v>Business count is from 2018 while population/context indicators are newer; use as a historical proxy, not a current market count.</x:v>
      </x:c>
    </x:row>
    <x:row r="1959">
      <x:c r="A1959" s="12" t="str">
        <x:v>4771</x:v>
      </x:c>
      <x:c r="B1959" s="12" t="str">
        <x:v>Retail sale of clothing, footwear and leather articles in specialized stores</x:v>
      </x:c>
      <x:c r="C1959" s="12" t="str">
        <x:v>البلقاء</x:v>
      </x:c>
      <x:c r="D1959" s="14" t="n">
        <x:v>419</x:v>
      </x:c>
      <x:c r="E1959" s="14" t="n">
        <x:f>VLOOKUP(C1959,'Governorate Master'!$A$2:$Q$13,3,FALSE)</x:f>
        <x:v>614000</x:v>
      </x:c>
      <x:c r="F1959" s="66" t="n">
        <x:f>IF(E1959=0,0,D1959/E1959*10000)</x:f>
        <x:v>6.824104234527688</x:v>
      </x:c>
      <x:c r="G1959" s="67" t="n">
        <x:f>VLOOKUP(C1959,'Governorate Master'!$A$2:$Q$13,7,FALSE)</x:f>
        <x:v>548</x:v>
      </x:c>
      <x:c r="H1959" s="20" t="n">
        <x:f>VLOOKUP(C1959,'Governorate Master'!$A$2:$Q$13,6,FALSE)</x:f>
        <x:v>0.8210097719869707</x:v>
      </x:c>
      <x:c r="I1959" s="20" t="n">
        <x:f>VLOOKUP(C1959,'Governorate Master'!$A$2:$Q$13,15,FALSE)</x:f>
        <x:v>0.10794044665012408</x:v>
      </x:c>
      <x:c r="J1959" s="12" t="str">
        <x:v>Location model input - competition/saturation context</x:v>
      </x:c>
      <x:c r="K1959" s="12" t="str">
        <x:v>Business count is from 2018 while population/context indicators are newer; use as a historical proxy, not a current market count.</x:v>
      </x:c>
    </x:row>
    <x:row r="1960">
      <x:c r="A1960" s="12" t="str">
        <x:v>4771</x:v>
      </x:c>
      <x:c r="B1960" s="12" t="str">
        <x:v>Retail sale of clothing, footwear and leather articles in specialized stores</x:v>
      </x:c>
      <x:c r="C1960" s="12" t="str">
        <x:v>الزرقاء</x:v>
      </x:c>
      <x:c r="D1960" s="14" t="n">
        <x:v>1185</x:v>
      </x:c>
      <x:c r="E1960" s="14" t="n">
        <x:f>VLOOKUP(C1960,'Governorate Master'!$A$2:$Q$13,3,FALSE)</x:f>
        <x:v>1704500</x:v>
      </x:c>
      <x:c r="F1960" s="66" t="n">
        <x:f>IF(E1960=0,0,D1960/E1960*10000)</x:f>
        <x:v>6.952185391610443</x:v>
      </x:c>
      <x:c r="G1960" s="67" t="n">
        <x:f>VLOOKUP(C1960,'Governorate Master'!$A$2:$Q$13,7,FALSE)</x:f>
        <x:v>358</x:v>
      </x:c>
      <x:c r="H1960" s="20" t="n">
        <x:f>VLOOKUP(C1960,'Governorate Master'!$A$2:$Q$13,6,FALSE)</x:f>
        <x:v>0.9636256966852449</x:v>
      </x:c>
      <x:c r="I1960" s="20" t="n">
        <x:f>VLOOKUP(C1960,'Governorate Master'!$A$2:$Q$13,15,FALSE)</x:f>
        <x:v>-0.06808762581409118</x:v>
      </x:c>
      <x:c r="J1960" s="12" t="str">
        <x:v>Location model input - competition/saturation context</x:v>
      </x:c>
      <x:c r="K1960" s="12" t="str">
        <x:v>Business count is from 2018 while population/context indicators are newer; use as a historical proxy, not a current market count.</x:v>
      </x:c>
    </x:row>
    <x:row r="1961">
      <x:c r="A1961" s="12" t="str">
        <x:v>4771</x:v>
      </x:c>
      <x:c r="B1961" s="12" t="str">
        <x:v>Retail sale of clothing, footwear and leather articles in specialized stores</x:v>
      </x:c>
      <x:c r="C1961" s="12" t="str">
        <x:v>مادبا</x:v>
      </x:c>
      <x:c r="D1961" s="14" t="n">
        <x:v>236</x:v>
      </x:c>
      <x:c r="E1961" s="14" t="n">
        <x:f>VLOOKUP(C1961,'Governorate Master'!$A$2:$Q$13,3,FALSE)</x:f>
        <x:v>236200</x:v>
      </x:c>
      <x:c r="F1961" s="66" t="n">
        <x:f>IF(E1961=0,0,D1961/E1961*10000)</x:f>
        <x:v>9.991532599491956</x:v>
      </x:c>
      <x:c r="G1961" s="67" t="n">
        <x:f>VLOOKUP(C1961,'Governorate Master'!$A$2:$Q$13,7,FALSE)</x:f>
        <x:v>251.4</x:v>
      </x:c>
      <x:c r="H1961" s="20" t="n">
        <x:f>VLOOKUP(C1961,'Governorate Master'!$A$2:$Q$13,6,FALSE)</x:f>
        <x:v>0.7823878069432684</x:v>
      </x:c>
      <x:c r="I1961" s="20" t="n">
        <x:f>VLOOKUP(C1961,'Governorate Master'!$A$2:$Q$13,15,FALSE)</x:f>
        <x:v>-0.18823529411764706</x:v>
      </x:c>
      <x:c r="J1961" s="12" t="str">
        <x:v>Location model input - competition/saturation context</x:v>
      </x:c>
      <x:c r="K1961" s="12" t="str">
        <x:v>Business count is from 2018 while population/context indicators are newer; use as a historical proxy, not a current market count.</x:v>
      </x:c>
    </x:row>
    <x:row r="1962">
      <x:c r="A1962" s="12" t="str">
        <x:v>4771</x:v>
      </x:c>
      <x:c r="B1962" s="12" t="str">
        <x:v>Retail sale of clothing, footwear and leather articles in specialized stores</x:v>
      </x:c>
      <x:c r="C1962" s="12" t="str">
        <x:v>إربد</x:v>
      </x:c>
      <x:c r="D1962" s="14" t="n">
        <x:v>1371</x:v>
      </x:c>
      <x:c r="E1962" s="14" t="n">
        <x:f>VLOOKUP(C1962,'Governorate Master'!$A$2:$Q$13,3,FALSE)</x:f>
        <x:v>2210500</x:v>
      </x:c>
      <x:c r="F1962" s="66" t="n">
        <x:f>IF(E1962=0,0,D1962/E1962*10000)</x:f>
        <x:v>6.2022166930558695</x:v>
      </x:c>
      <x:c r="G1962" s="67" t="n">
        <x:f>VLOOKUP(C1962,'Governorate Master'!$A$2:$Q$13,7,FALSE)</x:f>
        <x:v>1406.4</x:v>
      </x:c>
      <x:c r="H1962" s="20" t="n">
        <x:f>VLOOKUP(C1962,'Governorate Master'!$A$2:$Q$13,6,FALSE)</x:f>
        <x:v>0.9235014702555983</x:v>
      </x:c>
      <x:c r="I1962" s="20" t="n">
        <x:f>VLOOKUP(C1962,'Governorate Master'!$A$2:$Q$13,15,FALSE)</x:f>
        <x:v>0.07086922474549726</x:v>
      </x:c>
      <x:c r="J1962" s="12" t="str">
        <x:v>Location model input - competition/saturation context</x:v>
      </x:c>
      <x:c r="K1962" s="12" t="str">
        <x:v>Business count is from 2018 while population/context indicators are newer; use as a historical proxy, not a current market count.</x:v>
      </x:c>
    </x:row>
    <x:row r="1963">
      <x:c r="A1963" s="12" t="str">
        <x:v>4771</x:v>
      </x:c>
      <x:c r="B1963" s="12" t="str">
        <x:v>Retail sale of clothing, footwear and leather articles in specialized stores</x:v>
      </x:c>
      <x:c r="C1963" s="12" t="str">
        <x:v>المفرق</x:v>
      </x:c>
      <x:c r="D1963" s="14" t="n">
        <x:v>291</x:v>
      </x:c>
      <x:c r="E1963" s="14" t="n">
        <x:f>VLOOKUP(C1963,'Governorate Master'!$A$2:$Q$13,3,FALSE)</x:f>
        <x:v>686800</x:v>
      </x:c>
      <x:c r="F1963" s="66" t="n">
        <x:f>IF(E1963=0,0,D1963/E1963*10000)</x:f>
        <x:v>4.237041351193943</x:v>
      </x:c>
      <x:c r="G1963" s="67" t="n">
        <x:f>VLOOKUP(C1963,'Governorate Master'!$A$2:$Q$13,7,FALSE)</x:f>
        <x:v>25.9</x:v>
      </x:c>
      <x:c r="H1963" s="20" t="n">
        <x:f>VLOOKUP(C1963,'Governorate Master'!$A$2:$Q$13,6,FALSE)</x:f>
        <x:v>0.6965637740244612</x:v>
      </x:c>
      <x:c r="I1963" s="20" t="n">
        <x:f>VLOOKUP(C1963,'Governorate Master'!$A$2:$Q$13,15,FALSE)</x:f>
        <x:v>-0.016638935108153077</x:v>
      </x:c>
      <x:c r="J1963" s="12" t="str">
        <x:v>Location model input - competition/saturation context</x:v>
      </x:c>
      <x:c r="K1963" s="12" t="str">
        <x:v>Business count is from 2018 while population/context indicators are newer; use as a historical proxy, not a current market count.</x:v>
      </x:c>
    </x:row>
    <x:row r="1964">
      <x:c r="A1964" s="12" t="str">
        <x:v>4771</x:v>
      </x:c>
      <x:c r="B1964" s="12" t="str">
        <x:v>Retail sale of clothing, footwear and leather articles in specialized stores</x:v>
      </x:c>
      <x:c r="C1964" s="12" t="str">
        <x:v>جرش</x:v>
      </x:c>
      <x:c r="D1964" s="14" t="n">
        <x:v>126</x:v>
      </x:c>
      <x:c r="E1964" s="14" t="n">
        <x:f>VLOOKUP(C1964,'Governorate Master'!$A$2:$Q$13,3,FALSE)</x:f>
        <x:v>296000</x:v>
      </x:c>
      <x:c r="F1964" s="66" t="n">
        <x:f>IF(E1964=0,0,D1964/E1964*10000)</x:f>
        <x:v>4.256756756756756</x:v>
      </x:c>
      <x:c r="G1964" s="67" t="n">
        <x:f>VLOOKUP(C1964,'Governorate Master'!$A$2:$Q$13,7,FALSE)</x:f>
        <x:v>722.3</x:v>
      </x:c>
      <x:c r="H1964" s="20" t="n">
        <x:f>VLOOKUP(C1964,'Governorate Master'!$A$2:$Q$13,6,FALSE)</x:f>
        <x:v>0.7695945945945946</x:v>
      </x:c>
      <x:c r="I1964" s="20" t="n">
        <x:f>VLOOKUP(C1964,'Governorate Master'!$A$2:$Q$13,15,FALSE)</x:f>
        <x:v>-0.06527415143603134</x:v>
      </x:c>
      <x:c r="J1964" s="12" t="str">
        <x:v>Location model input - competition/saturation context</x:v>
      </x:c>
      <x:c r="K1964" s="12" t="str">
        <x:v>Business count is from 2018 while population/context indicators are newer; use as a historical proxy, not a current market count.</x:v>
      </x:c>
    </x:row>
    <x:row r="1965">
      <x:c r="A1965" s="12" t="str">
        <x:v>4771</x:v>
      </x:c>
      <x:c r="B1965" s="12" t="str">
        <x:v>Retail sale of clothing, footwear and leather articles in specialized stores</x:v>
      </x:c>
      <x:c r="C1965" s="12" t="str">
        <x:v>عجلون</x:v>
      </x:c>
      <x:c r="D1965" s="14" t="n">
        <x:v>159</x:v>
      </x:c>
      <x:c r="E1965" s="14" t="n">
        <x:f>VLOOKUP(C1965,'Governorate Master'!$A$2:$Q$13,3,FALSE)</x:f>
        <x:v>219900</x:v>
      </x:c>
      <x:c r="F1965" s="66" t="n">
        <x:f>IF(E1965=0,0,D1965/E1965*10000)</x:f>
        <x:v>7.230559345156889</x:v>
      </x:c>
      <x:c r="G1965" s="67" t="n">
        <x:f>VLOOKUP(C1965,'Governorate Master'!$A$2:$Q$13,7,FALSE)</x:f>
        <x:v>524</x:v>
      </x:c>
      <x:c r="H1965" s="20" t="n">
        <x:f>VLOOKUP(C1965,'Governorate Master'!$A$2:$Q$13,6,FALSE)</x:f>
        <x:v>0.8390177353342428</x:v>
      </x:c>
      <x:c r="I1965" s="20" t="n">
        <x:f>VLOOKUP(C1965,'Governorate Master'!$A$2:$Q$13,15,FALSE)</x:f>
        <x:v>0.03614457831325301</x:v>
      </x:c>
      <x:c r="J1965" s="12" t="str">
        <x:v>Location model input - competition/saturation context</x:v>
      </x:c>
      <x:c r="K1965" s="12" t="str">
        <x:v>Business count is from 2018 while population/context indicators are newer; use as a historical proxy, not a current market count.</x:v>
      </x:c>
    </x:row>
    <x:row r="1966">
      <x:c r="A1966" s="12" t="str">
        <x:v>4771</x:v>
      </x:c>
      <x:c r="B1966" s="12" t="str">
        <x:v>Retail sale of clothing, footwear and leather articles in specialized stores</x:v>
      </x:c>
      <x:c r="C1966" s="12" t="str">
        <x:v>الكرك</x:v>
      </x:c>
      <x:c r="D1966" s="14" t="n">
        <x:v>385</x:v>
      </x:c>
      <x:c r="E1966" s="14" t="n">
        <x:f>VLOOKUP(C1966,'Governorate Master'!$A$2:$Q$13,3,FALSE)</x:f>
        <x:v>395400</x:v>
      </x:c>
      <x:c r="F1966" s="66" t="n">
        <x:f>IF(E1966=0,0,D1966/E1966*10000)</x:f>
        <x:v>9.73697521497218</x:v>
      </x:c>
      <x:c r="G1966" s="67" t="n">
        <x:f>VLOOKUP(C1966,'Governorate Master'!$A$2:$Q$13,7,FALSE)</x:f>
        <x:v>113.1</x:v>
      </x:c>
      <x:c r="H1966" s="20" t="n">
        <x:f>VLOOKUP(C1966,'Governorate Master'!$A$2:$Q$13,6,FALSE)</x:f>
        <x:v>0.5912999494183105</x:v>
      </x:c>
      <x:c r="I1966" s="20" t="n">
        <x:f>VLOOKUP(C1966,'Governorate Master'!$A$2:$Q$13,15,FALSE)</x:f>
        <x:v>0.08710801393728224</x:v>
      </x:c>
      <x:c r="J1966" s="12" t="str">
        <x:v>Location model input - competition/saturation context</x:v>
      </x:c>
      <x:c r="K1966" s="12" t="str">
        <x:v>Business count is from 2018 while population/context indicators are newer; use as a historical proxy, not a current market count.</x:v>
      </x:c>
    </x:row>
    <x:row r="1967">
      <x:c r="A1967" s="12" t="str">
        <x:v>4771</x:v>
      </x:c>
      <x:c r="B1967" s="12" t="str">
        <x:v>Retail sale of clothing, footwear and leather articles in specialized stores</x:v>
      </x:c>
      <x:c r="C1967" s="12" t="str">
        <x:v>الطفيلة</x:v>
      </x:c>
      <x:c r="D1967" s="14" t="n">
        <x:v>113</x:v>
      </x:c>
      <x:c r="E1967" s="14" t="n">
        <x:f>VLOOKUP(C1967,'Governorate Master'!$A$2:$Q$13,3,FALSE)</x:f>
        <x:v>120300</x:v>
      </x:c>
      <x:c r="F1967" s="66" t="n">
        <x:f>IF(E1967=0,0,D1967/E1967*10000)</x:f>
        <x:v>9.393183707398173</x:v>
      </x:c>
      <x:c r="G1967" s="67" t="n">
        <x:f>VLOOKUP(C1967,'Governorate Master'!$A$2:$Q$13,7,FALSE)</x:f>
        <x:v>54.4</x:v>
      </x:c>
      <x:c r="H1967" s="20" t="n">
        <x:f>VLOOKUP(C1967,'Governorate Master'!$A$2:$Q$13,6,FALSE)</x:f>
        <x:v>0.7797173732335827</x:v>
      </x:c>
      <x:c r="I1967" s="20" t="n">
        <x:f>VLOOKUP(C1967,'Governorate Master'!$A$2:$Q$13,15,FALSE)</x:f>
        <x:v>0.18452380952380953</x:v>
      </x:c>
      <x:c r="J1967" s="12" t="str">
        <x:v>Location model input - competition/saturation context</x:v>
      </x:c>
      <x:c r="K1967" s="12" t="str">
        <x:v>Business count is from 2018 while population/context indicators are newer; use as a historical proxy, not a current market count.</x:v>
      </x:c>
    </x:row>
    <x:row r="1968">
      <x:c r="A1968" s="12" t="str">
        <x:v>4771</x:v>
      </x:c>
      <x:c r="B1968" s="12" t="str">
        <x:v>Retail sale of clothing, footwear and leather articles in specialized stores</x:v>
      </x:c>
      <x:c r="C1968" s="12" t="str">
        <x:v>معان</x:v>
      </x:c>
      <x:c r="D1968" s="14" t="n">
        <x:v>112</x:v>
      </x:c>
      <x:c r="E1968" s="14" t="n">
        <x:f>VLOOKUP(C1968,'Governorate Master'!$A$2:$Q$13,3,FALSE)</x:f>
        <x:v>197900</x:v>
      </x:c>
      <x:c r="F1968" s="66" t="n">
        <x:f>IF(E1968=0,0,D1968/E1968*10000)</x:f>
        <x:v>5.659423951490652</x:v>
      </x:c>
      <x:c r="G1968" s="67" t="n">
        <x:f>VLOOKUP(C1968,'Governorate Master'!$A$2:$Q$13,7,FALSE)</x:f>
        <x:v>6</x:v>
      </x:c>
      <x:c r="H1968" s="20" t="n">
        <x:f>VLOOKUP(C1968,'Governorate Master'!$A$2:$Q$13,6,FALSE)</x:f>
        <x:v>0.5406771096513391</x:v>
      </x:c>
      <x:c r="I1968" s="20" t="n">
        <x:f>VLOOKUP(C1968,'Governorate Master'!$A$2:$Q$13,15,FALSE)</x:f>
        <x:v>0.026845637583892617</x:v>
      </x:c>
      <x:c r="J1968" s="12" t="str">
        <x:v>Location model input - competition/saturation context</x:v>
      </x:c>
      <x:c r="K1968" s="12" t="str">
        <x:v>Business count is from 2018 while population/context indicators are newer; use as a historical proxy, not a current market count.</x:v>
      </x:c>
    </x:row>
    <x:row r="1969">
      <x:c r="A1969" s="12" t="str">
        <x:v>4771</x:v>
      </x:c>
      <x:c r="B1969" s="12" t="str">
        <x:v>Retail sale of clothing, footwear and leather articles in specialized stores</x:v>
      </x:c>
      <x:c r="C1969" s="12" t="str">
        <x:v>العقبة</x:v>
      </x:c>
      <x:c r="D1969" s="14" t="n">
        <x:v>398</x:v>
      </x:c>
      <x:c r="E1969" s="14" t="n">
        <x:f>VLOOKUP(C1969,'Governorate Master'!$A$2:$Q$13,3,FALSE)</x:f>
        <x:v>250900</x:v>
      </x:c>
      <x:c r="F1969" s="66" t="n">
        <x:f>IF(E1969=0,0,D1969/E1969*10000)</x:f>
        <x:v>15.862893583100837</x:v>
      </x:c>
      <x:c r="G1969" s="67" t="n">
        <x:f>VLOOKUP(C1969,'Governorate Master'!$A$2:$Q$13,7,FALSE)</x:f>
        <x:v>36.3</x:v>
      </x:c>
      <x:c r="H1969" s="20" t="n">
        <x:f>VLOOKUP(C1969,'Governorate Master'!$A$2:$Q$13,6,FALSE)</x:f>
        <x:v>0.882024711040255</x:v>
      </x:c>
      <x:c r="I1969" s="20" t="n">
        <x:f>VLOOKUP(C1969,'Governorate Master'!$A$2:$Q$13,15,FALSE)</x:f>
        <x:v>-0.09</x:v>
      </x:c>
      <x:c r="J1969" s="12" t="str">
        <x:v>Location model input - competition/saturation context</x:v>
      </x:c>
      <x:c r="K1969" s="12" t="str">
        <x:v>Business count is from 2018 while population/context indicators are newer; use as a historical proxy, not a current market count.</x:v>
      </x:c>
    </x:row>
    <x:row r="1970">
      <x:c r="A1970" s="12" t="str">
        <x:v>4772</x:v>
      </x:c>
      <x:c r="B1970" s="12" t="str">
        <x:v>Retail sale of pharmaceutical and medical goods, cosmetic and toilet articles in specialized stores</x:v>
      </x:c>
      <x:c r="C1970" s="12" t="str">
        <x:v>عمان</x:v>
      </x:c>
      <x:c r="D1970" s="14" t="n">
        <x:v>1673</x:v>
      </x:c>
      <x:c r="E1970" s="14" t="n">
        <x:f>VLOOKUP(C1970,'Governorate Master'!$A$2:$Q$13,3,FALSE)</x:f>
        <x:v>5004600</x:v>
      </x:c>
      <x:c r="F1970" s="66" t="n">
        <x:f>IF(E1970=0,0,D1970/E1970*10000)</x:f>
        <x:v>3.342924509451305</x:v>
      </x:c>
      <x:c r="G1970" s="67" t="n">
        <x:f>VLOOKUP(C1970,'Governorate Master'!$A$2:$Q$13,7,FALSE)</x:f>
        <x:v>660.3</x:v>
      </x:c>
      <x:c r="H1970" s="20" t="n">
        <x:f>VLOOKUP(C1970,'Governorate Master'!$A$2:$Q$13,6,FALSE)</x:f>
        <x:v>0.9721656076409703</x:v>
      </x:c>
      <x:c r="I1970" s="20" t="n">
        <x:f>VLOOKUP(C1970,'Governorate Master'!$A$2:$Q$13,15,FALSE)</x:f>
        <x:v>0.06367041198501873</x:v>
      </x:c>
      <x:c r="J1970" s="12" t="str">
        <x:v>Location model input - competition/saturation context</x:v>
      </x:c>
      <x:c r="K1970" s="12" t="str">
        <x:v>Business count is from 2018 while population/context indicators are newer; use as a historical proxy, not a current market count.</x:v>
      </x:c>
    </x:row>
    <x:row r="1971">
      <x:c r="A1971" s="12" t="str">
        <x:v>4772</x:v>
      </x:c>
      <x:c r="B1971" s="12" t="str">
        <x:v>Retail sale of pharmaceutical and medical goods, cosmetic and toilet articles in specialized stores</x:v>
      </x:c>
      <x:c r="C1971" s="12" t="str">
        <x:v>البلقاء</x:v>
      </x:c>
      <x:c r="D1971" s="14" t="n">
        <x:v>179</x:v>
      </x:c>
      <x:c r="E1971" s="14" t="n">
        <x:f>VLOOKUP(C1971,'Governorate Master'!$A$2:$Q$13,3,FALSE)</x:f>
        <x:v>614000</x:v>
      </x:c>
      <x:c r="F1971" s="66" t="n">
        <x:f>IF(E1971=0,0,D1971/E1971*10000)</x:f>
        <x:v>2.9153094462540716</x:v>
      </x:c>
      <x:c r="G1971" s="67" t="n">
        <x:f>VLOOKUP(C1971,'Governorate Master'!$A$2:$Q$13,7,FALSE)</x:f>
        <x:v>548</x:v>
      </x:c>
      <x:c r="H1971" s="20" t="n">
        <x:f>VLOOKUP(C1971,'Governorate Master'!$A$2:$Q$13,6,FALSE)</x:f>
        <x:v>0.8210097719869707</x:v>
      </x:c>
      <x:c r="I1971" s="20" t="n">
        <x:f>VLOOKUP(C1971,'Governorate Master'!$A$2:$Q$13,15,FALSE)</x:f>
        <x:v>0.10794044665012408</x:v>
      </x:c>
      <x:c r="J1971" s="12" t="str">
        <x:v>Location model input - competition/saturation context</x:v>
      </x:c>
      <x:c r="K1971" s="12" t="str">
        <x:v>Business count is from 2018 while population/context indicators are newer; use as a historical proxy, not a current market count.</x:v>
      </x:c>
    </x:row>
    <x:row r="1972">
      <x:c r="A1972" s="12" t="str">
        <x:v>4772</x:v>
      </x:c>
      <x:c r="B1972" s="12" t="str">
        <x:v>Retail sale of pharmaceutical and medical goods, cosmetic and toilet articles in specialized stores</x:v>
      </x:c>
      <x:c r="C1972" s="12" t="str">
        <x:v>الزرقاء</x:v>
      </x:c>
      <x:c r="D1972" s="14" t="n">
        <x:v>435</x:v>
      </x:c>
      <x:c r="E1972" s="14" t="n">
        <x:f>VLOOKUP(C1972,'Governorate Master'!$A$2:$Q$13,3,FALSE)</x:f>
        <x:v>1704500</x:v>
      </x:c>
      <x:c r="F1972" s="66" t="n">
        <x:f>IF(E1972=0,0,D1972/E1972*10000)</x:f>
        <x:v>2.552068055148137</x:v>
      </x:c>
      <x:c r="G1972" s="67" t="n">
        <x:f>VLOOKUP(C1972,'Governorate Master'!$A$2:$Q$13,7,FALSE)</x:f>
        <x:v>358</x:v>
      </x:c>
      <x:c r="H1972" s="20" t="n">
        <x:f>VLOOKUP(C1972,'Governorate Master'!$A$2:$Q$13,6,FALSE)</x:f>
        <x:v>0.9636256966852449</x:v>
      </x:c>
      <x:c r="I1972" s="20" t="n">
        <x:f>VLOOKUP(C1972,'Governorate Master'!$A$2:$Q$13,15,FALSE)</x:f>
        <x:v>-0.06808762581409118</x:v>
      </x:c>
      <x:c r="J1972" s="12" t="str">
        <x:v>Location model input - competition/saturation context</x:v>
      </x:c>
      <x:c r="K1972" s="12" t="str">
        <x:v>Business count is from 2018 while population/context indicators are newer; use as a historical proxy, not a current market count.</x:v>
      </x:c>
    </x:row>
    <x:row r="1973">
      <x:c r="A1973" s="12" t="str">
        <x:v>4772</x:v>
      </x:c>
      <x:c r="B1973" s="12" t="str">
        <x:v>Retail sale of pharmaceutical and medical goods, cosmetic and toilet articles in specialized stores</x:v>
      </x:c>
      <x:c r="C1973" s="12" t="str">
        <x:v>مادبا</x:v>
      </x:c>
      <x:c r="D1973" s="14" t="n">
        <x:v>68</x:v>
      </x:c>
      <x:c r="E1973" s="14" t="n">
        <x:f>VLOOKUP(C1973,'Governorate Master'!$A$2:$Q$13,3,FALSE)</x:f>
        <x:v>236200</x:v>
      </x:c>
      <x:c r="F1973" s="66" t="n">
        <x:f>IF(E1973=0,0,D1973/E1973*10000)</x:f>
        <x:v>2.8789161727349706</x:v>
      </x:c>
      <x:c r="G1973" s="67" t="n">
        <x:f>VLOOKUP(C1973,'Governorate Master'!$A$2:$Q$13,7,FALSE)</x:f>
        <x:v>251.4</x:v>
      </x:c>
      <x:c r="H1973" s="20" t="n">
        <x:f>VLOOKUP(C1973,'Governorate Master'!$A$2:$Q$13,6,FALSE)</x:f>
        <x:v>0.7823878069432684</x:v>
      </x:c>
      <x:c r="I1973" s="20" t="n">
        <x:f>VLOOKUP(C1973,'Governorate Master'!$A$2:$Q$13,15,FALSE)</x:f>
        <x:v>-0.18823529411764706</x:v>
      </x:c>
      <x:c r="J1973" s="12" t="str">
        <x:v>Location model input - competition/saturation context</x:v>
      </x:c>
      <x:c r="K1973" s="12" t="str">
        <x:v>Business count is from 2018 while population/context indicators are newer; use as a historical proxy, not a current market count.</x:v>
      </x:c>
    </x:row>
    <x:row r="1974">
      <x:c r="A1974" s="12" t="str">
        <x:v>4772</x:v>
      </x:c>
      <x:c r="B1974" s="12" t="str">
        <x:v>Retail sale of pharmaceutical and medical goods, cosmetic and toilet articles in specialized stores</x:v>
      </x:c>
      <x:c r="C1974" s="12" t="str">
        <x:v>إربد</x:v>
      </x:c>
      <x:c r="D1974" s="14" t="n">
        <x:v>374</x:v>
      </x:c>
      <x:c r="E1974" s="14" t="n">
        <x:f>VLOOKUP(C1974,'Governorate Master'!$A$2:$Q$13,3,FALSE)</x:f>
        <x:v>2210500</x:v>
      </x:c>
      <x:c r="F1974" s="66" t="n">
        <x:f>IF(E1974=0,0,D1974/E1974*10000)</x:f>
        <x:v>1.6919249038679032</x:v>
      </x:c>
      <x:c r="G1974" s="67" t="n">
        <x:f>VLOOKUP(C1974,'Governorate Master'!$A$2:$Q$13,7,FALSE)</x:f>
        <x:v>1406.4</x:v>
      </x:c>
      <x:c r="H1974" s="20" t="n">
        <x:f>VLOOKUP(C1974,'Governorate Master'!$A$2:$Q$13,6,FALSE)</x:f>
        <x:v>0.9235014702555983</x:v>
      </x:c>
      <x:c r="I1974" s="20" t="n">
        <x:f>VLOOKUP(C1974,'Governorate Master'!$A$2:$Q$13,15,FALSE)</x:f>
        <x:v>0.07086922474549726</x:v>
      </x:c>
      <x:c r="J1974" s="12" t="str">
        <x:v>Location model input - competition/saturation context</x:v>
      </x:c>
      <x:c r="K1974" s="12" t="str">
        <x:v>Business count is from 2018 while population/context indicators are newer; use as a historical proxy, not a current market count.</x:v>
      </x:c>
    </x:row>
    <x:row r="1975">
      <x:c r="A1975" s="12" t="str">
        <x:v>4772</x:v>
      </x:c>
      <x:c r="B1975" s="12" t="str">
        <x:v>Retail sale of pharmaceutical and medical goods, cosmetic and toilet articles in specialized stores</x:v>
      </x:c>
      <x:c r="C1975" s="12" t="str">
        <x:v>المفرق</x:v>
      </x:c>
      <x:c r="D1975" s="14" t="n">
        <x:v>77</x:v>
      </x:c>
      <x:c r="E1975" s="14" t="n">
        <x:f>VLOOKUP(C1975,'Governorate Master'!$A$2:$Q$13,3,FALSE)</x:f>
        <x:v>686800</x:v>
      </x:c>
      <x:c r="F1975" s="66" t="n">
        <x:f>IF(E1975=0,0,D1975/E1975*10000)</x:f>
        <x:v>1.1211415259172977</x:v>
      </x:c>
      <x:c r="G1975" s="67" t="n">
        <x:f>VLOOKUP(C1975,'Governorate Master'!$A$2:$Q$13,7,FALSE)</x:f>
        <x:v>25.9</x:v>
      </x:c>
      <x:c r="H1975" s="20" t="n">
        <x:f>VLOOKUP(C1975,'Governorate Master'!$A$2:$Q$13,6,FALSE)</x:f>
        <x:v>0.6965637740244612</x:v>
      </x:c>
      <x:c r="I1975" s="20" t="n">
        <x:f>VLOOKUP(C1975,'Governorate Master'!$A$2:$Q$13,15,FALSE)</x:f>
        <x:v>-0.016638935108153077</x:v>
      </x:c>
      <x:c r="J1975" s="12" t="str">
        <x:v>Location model input - competition/saturation context</x:v>
      </x:c>
      <x:c r="K1975" s="12" t="str">
        <x:v>Business count is from 2018 while population/context indicators are newer; use as a historical proxy, not a current market count.</x:v>
      </x:c>
    </x:row>
    <x:row r="1976">
      <x:c r="A1976" s="12" t="str">
        <x:v>4772</x:v>
      </x:c>
      <x:c r="B1976" s="12" t="str">
        <x:v>Retail sale of pharmaceutical and medical goods, cosmetic and toilet articles in specialized stores</x:v>
      </x:c>
      <x:c r="C1976" s="12" t="str">
        <x:v>جرش</x:v>
      </x:c>
      <x:c r="D1976" s="14" t="n">
        <x:v>66</x:v>
      </x:c>
      <x:c r="E1976" s="14" t="n">
        <x:f>VLOOKUP(C1976,'Governorate Master'!$A$2:$Q$13,3,FALSE)</x:f>
        <x:v>296000</x:v>
      </x:c>
      <x:c r="F1976" s="66" t="n">
        <x:f>IF(E1976=0,0,D1976/E1976*10000)</x:f>
        <x:v>2.22972972972973</x:v>
      </x:c>
      <x:c r="G1976" s="67" t="n">
        <x:f>VLOOKUP(C1976,'Governorate Master'!$A$2:$Q$13,7,FALSE)</x:f>
        <x:v>722.3</x:v>
      </x:c>
      <x:c r="H1976" s="20" t="n">
        <x:f>VLOOKUP(C1976,'Governorate Master'!$A$2:$Q$13,6,FALSE)</x:f>
        <x:v>0.7695945945945946</x:v>
      </x:c>
      <x:c r="I1976" s="20" t="n">
        <x:f>VLOOKUP(C1976,'Governorate Master'!$A$2:$Q$13,15,FALSE)</x:f>
        <x:v>-0.06527415143603134</x:v>
      </x:c>
      <x:c r="J1976" s="12" t="str">
        <x:v>Location model input - competition/saturation context</x:v>
      </x:c>
      <x:c r="K1976" s="12" t="str">
        <x:v>Business count is from 2018 while population/context indicators are newer; use as a historical proxy, not a current market count.</x:v>
      </x:c>
    </x:row>
    <x:row r="1977">
      <x:c r="A1977" s="12" t="str">
        <x:v>4772</x:v>
      </x:c>
      <x:c r="B1977" s="12" t="str">
        <x:v>Retail sale of pharmaceutical and medical goods, cosmetic and toilet articles in specialized stores</x:v>
      </x:c>
      <x:c r="C1977" s="12" t="str">
        <x:v>عجلون</x:v>
      </x:c>
      <x:c r="D1977" s="14" t="n">
        <x:v>29</x:v>
      </x:c>
      <x:c r="E1977" s="14" t="n">
        <x:f>VLOOKUP(C1977,'Governorate Master'!$A$2:$Q$13,3,FALSE)</x:f>
        <x:v>219900</x:v>
      </x:c>
      <x:c r="F1977" s="66" t="n">
        <x:f>IF(E1977=0,0,D1977/E1977*10000)</x:f>
        <x:v>1.3187812642110048</x:v>
      </x:c>
      <x:c r="G1977" s="67" t="n">
        <x:f>VLOOKUP(C1977,'Governorate Master'!$A$2:$Q$13,7,FALSE)</x:f>
        <x:v>524</x:v>
      </x:c>
      <x:c r="H1977" s="20" t="n">
        <x:f>VLOOKUP(C1977,'Governorate Master'!$A$2:$Q$13,6,FALSE)</x:f>
        <x:v>0.8390177353342428</x:v>
      </x:c>
      <x:c r="I1977" s="20" t="n">
        <x:f>VLOOKUP(C1977,'Governorate Master'!$A$2:$Q$13,15,FALSE)</x:f>
        <x:v>0.03614457831325301</x:v>
      </x:c>
      <x:c r="J1977" s="12" t="str">
        <x:v>Location model input - competition/saturation context</x:v>
      </x:c>
      <x:c r="K1977" s="12" t="str">
        <x:v>Business count is from 2018 while population/context indicators are newer; use as a historical proxy, not a current market count.</x:v>
      </x:c>
    </x:row>
    <x:row r="1978">
      <x:c r="A1978" s="12" t="str">
        <x:v>4772</x:v>
      </x:c>
      <x:c r="B1978" s="12" t="str">
        <x:v>Retail sale of pharmaceutical and medical goods, cosmetic and toilet articles in specialized stores</x:v>
      </x:c>
      <x:c r="C1978" s="12" t="str">
        <x:v>الكرك</x:v>
      </x:c>
      <x:c r="D1978" s="14" t="n">
        <x:v>100</x:v>
      </x:c>
      <x:c r="E1978" s="14" t="n">
        <x:f>VLOOKUP(C1978,'Governorate Master'!$A$2:$Q$13,3,FALSE)</x:f>
        <x:v>395400</x:v>
      </x:c>
      <x:c r="F1978" s="66" t="n">
        <x:f>IF(E1978=0,0,D1978/E1978*10000)</x:f>
        <x:v>2.5290844714213456</x:v>
      </x:c>
      <x:c r="G1978" s="67" t="n">
        <x:f>VLOOKUP(C1978,'Governorate Master'!$A$2:$Q$13,7,FALSE)</x:f>
        <x:v>113.1</x:v>
      </x:c>
      <x:c r="H1978" s="20" t="n">
        <x:f>VLOOKUP(C1978,'Governorate Master'!$A$2:$Q$13,6,FALSE)</x:f>
        <x:v>0.5912999494183105</x:v>
      </x:c>
      <x:c r="I1978" s="20" t="n">
        <x:f>VLOOKUP(C1978,'Governorate Master'!$A$2:$Q$13,15,FALSE)</x:f>
        <x:v>0.08710801393728224</x:v>
      </x:c>
      <x:c r="J1978" s="12" t="str">
        <x:v>Location model input - competition/saturation context</x:v>
      </x:c>
      <x:c r="K1978" s="12" t="str">
        <x:v>Business count is from 2018 while population/context indicators are newer; use as a historical proxy, not a current market count.</x:v>
      </x:c>
    </x:row>
    <x:row r="1979">
      <x:c r="A1979" s="12" t="str">
        <x:v>4772</x:v>
      </x:c>
      <x:c r="B1979" s="12" t="str">
        <x:v>Retail sale of pharmaceutical and medical goods, cosmetic and toilet articles in specialized stores</x:v>
      </x:c>
      <x:c r="C1979" s="12" t="str">
        <x:v>الطفيلة</x:v>
      </x:c>
      <x:c r="D1979" s="14" t="n">
        <x:v>27</x:v>
      </x:c>
      <x:c r="E1979" s="14" t="n">
        <x:f>VLOOKUP(C1979,'Governorate Master'!$A$2:$Q$13,3,FALSE)</x:f>
        <x:v>120300</x:v>
      </x:c>
      <x:c r="F1979" s="66" t="n">
        <x:f>IF(E1979=0,0,D1979/E1979*10000)</x:f>
        <x:v>2.2443890274314215</x:v>
      </x:c>
      <x:c r="G1979" s="67" t="n">
        <x:f>VLOOKUP(C1979,'Governorate Master'!$A$2:$Q$13,7,FALSE)</x:f>
        <x:v>54.4</x:v>
      </x:c>
      <x:c r="H1979" s="20" t="n">
        <x:f>VLOOKUP(C1979,'Governorate Master'!$A$2:$Q$13,6,FALSE)</x:f>
        <x:v>0.7797173732335827</x:v>
      </x:c>
      <x:c r="I1979" s="20" t="n">
        <x:f>VLOOKUP(C1979,'Governorate Master'!$A$2:$Q$13,15,FALSE)</x:f>
        <x:v>0.18452380952380953</x:v>
      </x:c>
      <x:c r="J1979" s="12" t="str">
        <x:v>Location model input - competition/saturation context</x:v>
      </x:c>
      <x:c r="K1979" s="12" t="str">
        <x:v>Business count is from 2018 while population/context indicators are newer; use as a historical proxy, not a current market count.</x:v>
      </x:c>
    </x:row>
    <x:row r="1980">
      <x:c r="A1980" s="12" t="str">
        <x:v>4772</x:v>
      </x:c>
      <x:c r="B1980" s="12" t="str">
        <x:v>Retail sale of pharmaceutical and medical goods, cosmetic and toilet articles in specialized stores</x:v>
      </x:c>
      <x:c r="C1980" s="12" t="str">
        <x:v>معان</x:v>
      </x:c>
      <x:c r="D1980" s="14" t="n">
        <x:v>46</x:v>
      </x:c>
      <x:c r="E1980" s="14" t="n">
        <x:f>VLOOKUP(C1980,'Governorate Master'!$A$2:$Q$13,3,FALSE)</x:f>
        <x:v>197900</x:v>
      </x:c>
      <x:c r="F1980" s="66" t="n">
        <x:f>IF(E1980=0,0,D1980/E1980*10000)</x:f>
        <x:v>2.3244062657908033</x:v>
      </x:c>
      <x:c r="G1980" s="67" t="n">
        <x:f>VLOOKUP(C1980,'Governorate Master'!$A$2:$Q$13,7,FALSE)</x:f>
        <x:v>6</x:v>
      </x:c>
      <x:c r="H1980" s="20" t="n">
        <x:f>VLOOKUP(C1980,'Governorate Master'!$A$2:$Q$13,6,FALSE)</x:f>
        <x:v>0.5406771096513391</x:v>
      </x:c>
      <x:c r="I1980" s="20" t="n">
        <x:f>VLOOKUP(C1980,'Governorate Master'!$A$2:$Q$13,15,FALSE)</x:f>
        <x:v>0.026845637583892617</x:v>
      </x:c>
      <x:c r="J1980" s="12" t="str">
        <x:v>Location model input - competition/saturation context</x:v>
      </x:c>
      <x:c r="K1980" s="12" t="str">
        <x:v>Business count is from 2018 while population/context indicators are newer; use as a historical proxy, not a current market count.</x:v>
      </x:c>
    </x:row>
    <x:row r="1981">
      <x:c r="A1981" s="12" t="str">
        <x:v>4772</x:v>
      </x:c>
      <x:c r="B1981" s="12" t="str">
        <x:v>Retail sale of pharmaceutical and medical goods, cosmetic and toilet articles in specialized stores</x:v>
      </x:c>
      <x:c r="C1981" s="12" t="str">
        <x:v>العقبة</x:v>
      </x:c>
      <x:c r="D1981" s="14" t="n">
        <x:v>69</x:v>
      </x:c>
      <x:c r="E1981" s="14" t="n">
        <x:f>VLOOKUP(C1981,'Governorate Master'!$A$2:$Q$13,3,FALSE)</x:f>
        <x:v>250900</x:v>
      </x:c>
      <x:c r="F1981" s="66" t="n">
        <x:f>IF(E1981=0,0,D1981/E1981*10000)</x:f>
        <x:v>2.750099641291351</x:v>
      </x:c>
      <x:c r="G1981" s="67" t="n">
        <x:f>VLOOKUP(C1981,'Governorate Master'!$A$2:$Q$13,7,FALSE)</x:f>
        <x:v>36.3</x:v>
      </x:c>
      <x:c r="H1981" s="20" t="n">
        <x:f>VLOOKUP(C1981,'Governorate Master'!$A$2:$Q$13,6,FALSE)</x:f>
        <x:v>0.882024711040255</x:v>
      </x:c>
      <x:c r="I1981" s="20" t="n">
        <x:f>VLOOKUP(C1981,'Governorate Master'!$A$2:$Q$13,15,FALSE)</x:f>
        <x:v>-0.09</x:v>
      </x:c>
      <x:c r="J1981" s="12" t="str">
        <x:v>Location model input - competition/saturation context</x:v>
      </x:c>
      <x:c r="K1981" s="12" t="str">
        <x:v>Business count is from 2018 while population/context indicators are newer; use as a historical proxy, not a current market count.</x:v>
      </x:c>
    </x:row>
    <x:row r="1982">
      <x:c r="A1982" s="12" t="str">
        <x:v>4773</x:v>
      </x:c>
      <x:c r="B1982" s="12" t="str">
        <x:v>Other retail sale of new goods in specialized stores</x:v>
      </x:c>
      <x:c r="C1982" s="12" t="str">
        <x:v>عمان</x:v>
      </x:c>
      <x:c r="D1982" s="14" t="n">
        <x:v>3288</x:v>
      </x:c>
      <x:c r="E1982" s="14" t="n">
        <x:f>VLOOKUP(C1982,'Governorate Master'!$A$2:$Q$13,3,FALSE)</x:f>
        <x:v>5004600</x:v>
      </x:c>
      <x:c r="F1982" s="66" t="n">
        <x:f>IF(E1982=0,0,D1982/E1982*10000)</x:f>
        <x:v>6.569955640810454</x:v>
      </x:c>
      <x:c r="G1982" s="67" t="n">
        <x:f>VLOOKUP(C1982,'Governorate Master'!$A$2:$Q$13,7,FALSE)</x:f>
        <x:v>660.3</x:v>
      </x:c>
      <x:c r="H1982" s="20" t="n">
        <x:f>VLOOKUP(C1982,'Governorate Master'!$A$2:$Q$13,6,FALSE)</x:f>
        <x:v>0.9721656076409703</x:v>
      </x:c>
      <x:c r="I1982" s="20" t="n">
        <x:f>VLOOKUP(C1982,'Governorate Master'!$A$2:$Q$13,15,FALSE)</x:f>
        <x:v>0.06367041198501873</x:v>
      </x:c>
      <x:c r="J1982" s="12" t="str">
        <x:v>Location model input - competition/saturation context</x:v>
      </x:c>
      <x:c r="K1982" s="12" t="str">
        <x:v>Business count is from 2018 while population/context indicators are newer; use as a historical proxy, not a current market count.</x:v>
      </x:c>
    </x:row>
    <x:row r="1983">
      <x:c r="A1983" s="12" t="str">
        <x:v>4773</x:v>
      </x:c>
      <x:c r="B1983" s="12" t="str">
        <x:v>Other retail sale of new goods in specialized stores</x:v>
      </x:c>
      <x:c r="C1983" s="12" t="str">
        <x:v>البلقاء</x:v>
      </x:c>
      <x:c r="D1983" s="14" t="n">
        <x:v>616</x:v>
      </x:c>
      <x:c r="E1983" s="14" t="n">
        <x:f>VLOOKUP(C1983,'Governorate Master'!$A$2:$Q$13,3,FALSE)</x:f>
        <x:v>614000</x:v>
      </x:c>
      <x:c r="F1983" s="66" t="n">
        <x:f>IF(E1983=0,0,D1983/E1983*10000)</x:f>
        <x:v>10.032573289902281</x:v>
      </x:c>
      <x:c r="G1983" s="67" t="n">
        <x:f>VLOOKUP(C1983,'Governorate Master'!$A$2:$Q$13,7,FALSE)</x:f>
        <x:v>548</x:v>
      </x:c>
      <x:c r="H1983" s="20" t="n">
        <x:f>VLOOKUP(C1983,'Governorate Master'!$A$2:$Q$13,6,FALSE)</x:f>
        <x:v>0.8210097719869707</x:v>
      </x:c>
      <x:c r="I1983" s="20" t="n">
        <x:f>VLOOKUP(C1983,'Governorate Master'!$A$2:$Q$13,15,FALSE)</x:f>
        <x:v>0.10794044665012408</x:v>
      </x:c>
      <x:c r="J1983" s="12" t="str">
        <x:v>Location model input - competition/saturation context</x:v>
      </x:c>
      <x:c r="K1983" s="12" t="str">
        <x:v>Business count is from 2018 while population/context indicators are newer; use as a historical proxy, not a current market count.</x:v>
      </x:c>
    </x:row>
    <x:row r="1984">
      <x:c r="A1984" s="12" t="str">
        <x:v>4773</x:v>
      </x:c>
      <x:c r="B1984" s="12" t="str">
        <x:v>Other retail sale of new goods in specialized stores</x:v>
      </x:c>
      <x:c r="C1984" s="12" t="str">
        <x:v>الزرقاء</x:v>
      </x:c>
      <x:c r="D1984" s="14" t="n">
        <x:v>1043</x:v>
      </x:c>
      <x:c r="E1984" s="14" t="n">
        <x:f>VLOOKUP(C1984,'Governorate Master'!$A$2:$Q$13,3,FALSE)</x:f>
        <x:v>1704500</x:v>
      </x:c>
      <x:c r="F1984" s="66" t="n">
        <x:f>IF(E1984=0,0,D1984/E1984*10000)</x:f>
        <x:v>6.119096509240246</x:v>
      </x:c>
      <x:c r="G1984" s="67" t="n">
        <x:f>VLOOKUP(C1984,'Governorate Master'!$A$2:$Q$13,7,FALSE)</x:f>
        <x:v>358</x:v>
      </x:c>
      <x:c r="H1984" s="20" t="n">
        <x:f>VLOOKUP(C1984,'Governorate Master'!$A$2:$Q$13,6,FALSE)</x:f>
        <x:v>0.9636256966852449</x:v>
      </x:c>
      <x:c r="I1984" s="20" t="n">
        <x:f>VLOOKUP(C1984,'Governorate Master'!$A$2:$Q$13,15,FALSE)</x:f>
        <x:v>-0.06808762581409118</x:v>
      </x:c>
      <x:c r="J1984" s="12" t="str">
        <x:v>Location model input - competition/saturation context</x:v>
      </x:c>
      <x:c r="K1984" s="12" t="str">
        <x:v>Business count is from 2018 while population/context indicators are newer; use as a historical proxy, not a current market count.</x:v>
      </x:c>
    </x:row>
    <x:row r="1985">
      <x:c r="A1985" s="12" t="str">
        <x:v>4773</x:v>
      </x:c>
      <x:c r="B1985" s="12" t="str">
        <x:v>Other retail sale of new goods in specialized stores</x:v>
      </x:c>
      <x:c r="C1985" s="12" t="str">
        <x:v>مادبا</x:v>
      </x:c>
      <x:c r="D1985" s="14" t="n">
        <x:v>234</x:v>
      </x:c>
      <x:c r="E1985" s="14" t="n">
        <x:f>VLOOKUP(C1985,'Governorate Master'!$A$2:$Q$13,3,FALSE)</x:f>
        <x:v>236200</x:v>
      </x:c>
      <x:c r="F1985" s="66" t="n">
        <x:f>IF(E1985=0,0,D1985/E1985*10000)</x:f>
        <x:v>9.906858594411515</x:v>
      </x:c>
      <x:c r="G1985" s="67" t="n">
        <x:f>VLOOKUP(C1985,'Governorate Master'!$A$2:$Q$13,7,FALSE)</x:f>
        <x:v>251.4</x:v>
      </x:c>
      <x:c r="H1985" s="20" t="n">
        <x:f>VLOOKUP(C1985,'Governorate Master'!$A$2:$Q$13,6,FALSE)</x:f>
        <x:v>0.7823878069432684</x:v>
      </x:c>
      <x:c r="I1985" s="20" t="n">
        <x:f>VLOOKUP(C1985,'Governorate Master'!$A$2:$Q$13,15,FALSE)</x:f>
        <x:v>-0.18823529411764706</x:v>
      </x:c>
      <x:c r="J1985" s="12" t="str">
        <x:v>Location model input - competition/saturation context</x:v>
      </x:c>
      <x:c r="K1985" s="12" t="str">
        <x:v>Business count is from 2018 while population/context indicators are newer; use as a historical proxy, not a current market count.</x:v>
      </x:c>
    </x:row>
    <x:row r="1986">
      <x:c r="A1986" s="12" t="str">
        <x:v>4773</x:v>
      </x:c>
      <x:c r="B1986" s="12" t="str">
        <x:v>Other retail sale of new goods in specialized stores</x:v>
      </x:c>
      <x:c r="C1986" s="12" t="str">
        <x:v>إربد</x:v>
      </x:c>
      <x:c r="D1986" s="14" t="n">
        <x:v>1222</x:v>
      </x:c>
      <x:c r="E1986" s="14" t="n">
        <x:f>VLOOKUP(C1986,'Governorate Master'!$A$2:$Q$13,3,FALSE)</x:f>
        <x:v>2210500</x:v>
      </x:c>
      <x:c r="F1986" s="66" t="n">
        <x:f>IF(E1986=0,0,D1986/E1986*10000)</x:f>
        <x:v>5.528161049536305</x:v>
      </x:c>
      <x:c r="G1986" s="67" t="n">
        <x:f>VLOOKUP(C1986,'Governorate Master'!$A$2:$Q$13,7,FALSE)</x:f>
        <x:v>1406.4</x:v>
      </x:c>
      <x:c r="H1986" s="20" t="n">
        <x:f>VLOOKUP(C1986,'Governorate Master'!$A$2:$Q$13,6,FALSE)</x:f>
        <x:v>0.9235014702555983</x:v>
      </x:c>
      <x:c r="I1986" s="20" t="n">
        <x:f>VLOOKUP(C1986,'Governorate Master'!$A$2:$Q$13,15,FALSE)</x:f>
        <x:v>0.07086922474549726</x:v>
      </x:c>
      <x:c r="J1986" s="12" t="str">
        <x:v>Location model input - competition/saturation context</x:v>
      </x:c>
      <x:c r="K1986" s="12" t="str">
        <x:v>Business count is from 2018 while population/context indicators are newer; use as a historical proxy, not a current market count.</x:v>
      </x:c>
    </x:row>
    <x:row r="1987">
      <x:c r="A1987" s="12" t="str">
        <x:v>4773</x:v>
      </x:c>
      <x:c r="B1987" s="12" t="str">
        <x:v>Other retail sale of new goods in specialized stores</x:v>
      </x:c>
      <x:c r="C1987" s="12" t="str">
        <x:v>المفرق</x:v>
      </x:c>
      <x:c r="D1987" s="14" t="n">
        <x:v>201</x:v>
      </x:c>
      <x:c r="E1987" s="14" t="n">
        <x:f>VLOOKUP(C1987,'Governorate Master'!$A$2:$Q$13,3,FALSE)</x:f>
        <x:v>686800</x:v>
      </x:c>
      <x:c r="F1987" s="66" t="n">
        <x:f>IF(E1987=0,0,D1987/E1987*10000)</x:f>
        <x:v>2.9266161910308677</x:v>
      </x:c>
      <x:c r="G1987" s="67" t="n">
        <x:f>VLOOKUP(C1987,'Governorate Master'!$A$2:$Q$13,7,FALSE)</x:f>
        <x:v>25.9</x:v>
      </x:c>
      <x:c r="H1987" s="20" t="n">
        <x:f>VLOOKUP(C1987,'Governorate Master'!$A$2:$Q$13,6,FALSE)</x:f>
        <x:v>0.6965637740244612</x:v>
      </x:c>
      <x:c r="I1987" s="20" t="n">
        <x:f>VLOOKUP(C1987,'Governorate Master'!$A$2:$Q$13,15,FALSE)</x:f>
        <x:v>-0.016638935108153077</x:v>
      </x:c>
      <x:c r="J1987" s="12" t="str">
        <x:v>Location model input - competition/saturation context</x:v>
      </x:c>
      <x:c r="K1987" s="12" t="str">
        <x:v>Business count is from 2018 while population/context indicators are newer; use as a historical proxy, not a current market count.</x:v>
      </x:c>
    </x:row>
    <x:row r="1988">
      <x:c r="A1988" s="12" t="str">
        <x:v>4773</x:v>
      </x:c>
      <x:c r="B1988" s="12" t="str">
        <x:v>Other retail sale of new goods in specialized stores</x:v>
      </x:c>
      <x:c r="C1988" s="12" t="str">
        <x:v>جرش</x:v>
      </x:c>
      <x:c r="D1988" s="14" t="n">
        <x:v>185</x:v>
      </x:c>
      <x:c r="E1988" s="14" t="n">
        <x:f>VLOOKUP(C1988,'Governorate Master'!$A$2:$Q$13,3,FALSE)</x:f>
        <x:v>296000</x:v>
      </x:c>
      <x:c r="F1988" s="66" t="n">
        <x:f>IF(E1988=0,0,D1988/E1988*10000)</x:f>
        <x:v>6.25</x:v>
      </x:c>
      <x:c r="G1988" s="67" t="n">
        <x:f>VLOOKUP(C1988,'Governorate Master'!$A$2:$Q$13,7,FALSE)</x:f>
        <x:v>722.3</x:v>
      </x:c>
      <x:c r="H1988" s="20" t="n">
        <x:f>VLOOKUP(C1988,'Governorate Master'!$A$2:$Q$13,6,FALSE)</x:f>
        <x:v>0.7695945945945946</x:v>
      </x:c>
      <x:c r="I1988" s="20" t="n">
        <x:f>VLOOKUP(C1988,'Governorate Master'!$A$2:$Q$13,15,FALSE)</x:f>
        <x:v>-0.06527415143603134</x:v>
      </x:c>
      <x:c r="J1988" s="12" t="str">
        <x:v>Location model input - competition/saturation context</x:v>
      </x:c>
      <x:c r="K1988" s="12" t="str">
        <x:v>Business count is from 2018 while population/context indicators are newer; use as a historical proxy, not a current market count.</x:v>
      </x:c>
    </x:row>
    <x:row r="1989">
      <x:c r="A1989" s="12" t="str">
        <x:v>4773</x:v>
      </x:c>
      <x:c r="B1989" s="12" t="str">
        <x:v>Other retail sale of new goods in specialized stores</x:v>
      </x:c>
      <x:c r="C1989" s="12" t="str">
        <x:v>عجلون</x:v>
      </x:c>
      <x:c r="D1989" s="14" t="n">
        <x:v>126</x:v>
      </x:c>
      <x:c r="E1989" s="14" t="n">
        <x:f>VLOOKUP(C1989,'Governorate Master'!$A$2:$Q$13,3,FALSE)</x:f>
        <x:v>219900</x:v>
      </x:c>
      <x:c r="F1989" s="66" t="n">
        <x:f>IF(E1989=0,0,D1989/E1989*10000)</x:f>
        <x:v>5.729877216916781</x:v>
      </x:c>
      <x:c r="G1989" s="67" t="n">
        <x:f>VLOOKUP(C1989,'Governorate Master'!$A$2:$Q$13,7,FALSE)</x:f>
        <x:v>524</x:v>
      </x:c>
      <x:c r="H1989" s="20" t="n">
        <x:f>VLOOKUP(C1989,'Governorate Master'!$A$2:$Q$13,6,FALSE)</x:f>
        <x:v>0.8390177353342428</x:v>
      </x:c>
      <x:c r="I1989" s="20" t="n">
        <x:f>VLOOKUP(C1989,'Governorate Master'!$A$2:$Q$13,15,FALSE)</x:f>
        <x:v>0.03614457831325301</x:v>
      </x:c>
      <x:c r="J1989" s="12" t="str">
        <x:v>Location model input - competition/saturation context</x:v>
      </x:c>
      <x:c r="K1989" s="12" t="str">
        <x:v>Business count is from 2018 while population/context indicators are newer; use as a historical proxy, not a current market count.</x:v>
      </x:c>
    </x:row>
    <x:row r="1990">
      <x:c r="A1990" s="12" t="str">
        <x:v>4773</x:v>
      </x:c>
      <x:c r="B1990" s="12" t="str">
        <x:v>Other retail sale of new goods in specialized stores</x:v>
      </x:c>
      <x:c r="C1990" s="12" t="str">
        <x:v>الكرك</x:v>
      </x:c>
      <x:c r="D1990" s="14" t="n">
        <x:v>256</x:v>
      </x:c>
      <x:c r="E1990" s="14" t="n">
        <x:f>VLOOKUP(C1990,'Governorate Master'!$A$2:$Q$13,3,FALSE)</x:f>
        <x:v>395400</x:v>
      </x:c>
      <x:c r="F1990" s="66" t="n">
        <x:f>IF(E1990=0,0,D1990/E1990*10000)</x:f>
        <x:v>6.474456246838644</x:v>
      </x:c>
      <x:c r="G1990" s="67" t="n">
        <x:f>VLOOKUP(C1990,'Governorate Master'!$A$2:$Q$13,7,FALSE)</x:f>
        <x:v>113.1</x:v>
      </x:c>
      <x:c r="H1990" s="20" t="n">
        <x:f>VLOOKUP(C1990,'Governorate Master'!$A$2:$Q$13,6,FALSE)</x:f>
        <x:v>0.5912999494183105</x:v>
      </x:c>
      <x:c r="I1990" s="20" t="n">
        <x:f>VLOOKUP(C1990,'Governorate Master'!$A$2:$Q$13,15,FALSE)</x:f>
        <x:v>0.08710801393728224</x:v>
      </x:c>
      <x:c r="J1990" s="12" t="str">
        <x:v>Location model input - competition/saturation context</x:v>
      </x:c>
      <x:c r="K1990" s="12" t="str">
        <x:v>Business count is from 2018 while population/context indicators are newer; use as a historical proxy, not a current market count.</x:v>
      </x:c>
    </x:row>
    <x:row r="1991">
      <x:c r="A1991" s="12" t="str">
        <x:v>4773</x:v>
      </x:c>
      <x:c r="B1991" s="12" t="str">
        <x:v>Other retail sale of new goods in specialized stores</x:v>
      </x:c>
      <x:c r="C1991" s="12" t="str">
        <x:v>الطفيلة</x:v>
      </x:c>
      <x:c r="D1991" s="14" t="n">
        <x:v>79</x:v>
      </x:c>
      <x:c r="E1991" s="14" t="n">
        <x:f>VLOOKUP(C1991,'Governorate Master'!$A$2:$Q$13,3,FALSE)</x:f>
        <x:v>120300</x:v>
      </x:c>
      <x:c r="F1991" s="66" t="n">
        <x:f>IF(E1991=0,0,D1991/E1991*10000)</x:f>
        <x:v>6.56691604322527</x:v>
      </x:c>
      <x:c r="G1991" s="67" t="n">
        <x:f>VLOOKUP(C1991,'Governorate Master'!$A$2:$Q$13,7,FALSE)</x:f>
        <x:v>54.4</x:v>
      </x:c>
      <x:c r="H1991" s="20" t="n">
        <x:f>VLOOKUP(C1991,'Governorate Master'!$A$2:$Q$13,6,FALSE)</x:f>
        <x:v>0.7797173732335827</x:v>
      </x:c>
      <x:c r="I1991" s="20" t="n">
        <x:f>VLOOKUP(C1991,'Governorate Master'!$A$2:$Q$13,15,FALSE)</x:f>
        <x:v>0.18452380952380953</x:v>
      </x:c>
      <x:c r="J1991" s="12" t="str">
        <x:v>Location model input - competition/saturation context</x:v>
      </x:c>
      <x:c r="K1991" s="12" t="str">
        <x:v>Business count is from 2018 while population/context indicators are newer; use as a historical proxy, not a current market count.</x:v>
      </x:c>
    </x:row>
    <x:row r="1992">
      <x:c r="A1992" s="12" t="str">
        <x:v>4773</x:v>
      </x:c>
      <x:c r="B1992" s="12" t="str">
        <x:v>Other retail sale of new goods in specialized stores</x:v>
      </x:c>
      <x:c r="C1992" s="12" t="str">
        <x:v>معان</x:v>
      </x:c>
      <x:c r="D1992" s="14" t="n">
        <x:v>110</x:v>
      </x:c>
      <x:c r="E1992" s="14" t="n">
        <x:f>VLOOKUP(C1992,'Governorate Master'!$A$2:$Q$13,3,FALSE)</x:f>
        <x:v>197900</x:v>
      </x:c>
      <x:c r="F1992" s="66" t="n">
        <x:f>IF(E1992=0,0,D1992/E1992*10000)</x:f>
        <x:v>5.558362809499747</x:v>
      </x:c>
      <x:c r="G1992" s="67" t="n">
        <x:f>VLOOKUP(C1992,'Governorate Master'!$A$2:$Q$13,7,FALSE)</x:f>
        <x:v>6</x:v>
      </x:c>
      <x:c r="H1992" s="20" t="n">
        <x:f>VLOOKUP(C1992,'Governorate Master'!$A$2:$Q$13,6,FALSE)</x:f>
        <x:v>0.5406771096513391</x:v>
      </x:c>
      <x:c r="I1992" s="20" t="n">
        <x:f>VLOOKUP(C1992,'Governorate Master'!$A$2:$Q$13,15,FALSE)</x:f>
        <x:v>0.026845637583892617</x:v>
      </x:c>
      <x:c r="J1992" s="12" t="str">
        <x:v>Location model input - competition/saturation context</x:v>
      </x:c>
      <x:c r="K1992" s="12" t="str">
        <x:v>Business count is from 2018 while population/context indicators are newer; use as a historical proxy, not a current market count.</x:v>
      </x:c>
    </x:row>
    <x:row r="1993">
      <x:c r="A1993" s="12" t="str">
        <x:v>4773</x:v>
      </x:c>
      <x:c r="B1993" s="12" t="str">
        <x:v>Other retail sale of new goods in specialized stores</x:v>
      </x:c>
      <x:c r="C1993" s="12" t="str">
        <x:v>العقبة</x:v>
      </x:c>
      <x:c r="D1993" s="14" t="n">
        <x:v>138</x:v>
      </x:c>
      <x:c r="E1993" s="14" t="n">
        <x:f>VLOOKUP(C1993,'Governorate Master'!$A$2:$Q$13,3,FALSE)</x:f>
        <x:v>250900</x:v>
      </x:c>
      <x:c r="F1993" s="66" t="n">
        <x:f>IF(E1993=0,0,D1993/E1993*10000)</x:f>
        <x:v>5.500199282582702</x:v>
      </x:c>
      <x:c r="G1993" s="67" t="n">
        <x:f>VLOOKUP(C1993,'Governorate Master'!$A$2:$Q$13,7,FALSE)</x:f>
        <x:v>36.3</x:v>
      </x:c>
      <x:c r="H1993" s="20" t="n">
        <x:f>VLOOKUP(C1993,'Governorate Master'!$A$2:$Q$13,6,FALSE)</x:f>
        <x:v>0.882024711040255</x:v>
      </x:c>
      <x:c r="I1993" s="20" t="n">
        <x:f>VLOOKUP(C1993,'Governorate Master'!$A$2:$Q$13,15,FALSE)</x:f>
        <x:v>-0.09</x:v>
      </x:c>
      <x:c r="J1993" s="12" t="str">
        <x:v>Location model input - competition/saturation context</x:v>
      </x:c>
      <x:c r="K1993" s="12" t="str">
        <x:v>Business count is from 2018 while population/context indicators are newer; use as a historical proxy, not a current market count.</x:v>
      </x:c>
    </x:row>
    <x:row r="1994">
      <x:c r="A1994" s="12" t="str">
        <x:v>4774</x:v>
      </x:c>
      <x:c r="B1994" s="12" t="str">
        <x:v>Retail sale of second-hand goods</x:v>
      </x:c>
      <x:c r="C1994" s="12" t="str">
        <x:v>عمان</x:v>
      </x:c>
      <x:c r="D1994" s="14" t="n">
        <x:v>637</x:v>
      </x:c>
      <x:c r="E1994" s="14" t="n">
        <x:f>VLOOKUP(C1994,'Governorate Master'!$A$2:$Q$13,3,FALSE)</x:f>
        <x:v>5004600</x:v>
      </x:c>
      <x:c r="F1994" s="66" t="n">
        <x:f>IF(E1994=0,0,D1994/E1994*10000)</x:f>
        <x:v>1.2728289973224634</x:v>
      </x:c>
      <x:c r="G1994" s="67" t="n">
        <x:f>VLOOKUP(C1994,'Governorate Master'!$A$2:$Q$13,7,FALSE)</x:f>
        <x:v>660.3</x:v>
      </x:c>
      <x:c r="H1994" s="20" t="n">
        <x:f>VLOOKUP(C1994,'Governorate Master'!$A$2:$Q$13,6,FALSE)</x:f>
        <x:v>0.9721656076409703</x:v>
      </x:c>
      <x:c r="I1994" s="20" t="n">
        <x:f>VLOOKUP(C1994,'Governorate Master'!$A$2:$Q$13,15,FALSE)</x:f>
        <x:v>0.06367041198501873</x:v>
      </x:c>
      <x:c r="J1994" s="12" t="str">
        <x:v>Location model input - competition/saturation context</x:v>
      </x:c>
      <x:c r="K1994" s="12" t="str">
        <x:v>Business count is from 2018 while population/context indicators are newer; use as a historical proxy, not a current market count.</x:v>
      </x:c>
    </x:row>
    <x:row r="1995">
      <x:c r="A1995" s="12" t="str">
        <x:v>4774</x:v>
      </x:c>
      <x:c r="B1995" s="12" t="str">
        <x:v>Retail sale of second-hand goods</x:v>
      </x:c>
      <x:c r="C1995" s="12" t="str">
        <x:v>البلقاء</x:v>
      </x:c>
      <x:c r="D1995" s="14" t="n">
        <x:v>181</x:v>
      </x:c>
      <x:c r="E1995" s="14" t="n">
        <x:f>VLOOKUP(C1995,'Governorate Master'!$A$2:$Q$13,3,FALSE)</x:f>
        <x:v>614000</x:v>
      </x:c>
      <x:c r="F1995" s="66" t="n">
        <x:f>IF(E1995=0,0,D1995/E1995*10000)</x:f>
        <x:v>2.9478827361563518</x:v>
      </x:c>
      <x:c r="G1995" s="67" t="n">
        <x:f>VLOOKUP(C1995,'Governorate Master'!$A$2:$Q$13,7,FALSE)</x:f>
        <x:v>548</x:v>
      </x:c>
      <x:c r="H1995" s="20" t="n">
        <x:f>VLOOKUP(C1995,'Governorate Master'!$A$2:$Q$13,6,FALSE)</x:f>
        <x:v>0.8210097719869707</x:v>
      </x:c>
      <x:c r="I1995" s="20" t="n">
        <x:f>VLOOKUP(C1995,'Governorate Master'!$A$2:$Q$13,15,FALSE)</x:f>
        <x:v>0.10794044665012408</x:v>
      </x:c>
      <x:c r="J1995" s="12" t="str">
        <x:v>Location model input - competition/saturation context</x:v>
      </x:c>
      <x:c r="K1995" s="12" t="str">
        <x:v>Business count is from 2018 while population/context indicators are newer; use as a historical proxy, not a current market count.</x:v>
      </x:c>
    </x:row>
    <x:row r="1996">
      <x:c r="A1996" s="12" t="str">
        <x:v>4774</x:v>
      </x:c>
      <x:c r="B1996" s="12" t="str">
        <x:v>Retail sale of second-hand goods</x:v>
      </x:c>
      <x:c r="C1996" s="12" t="str">
        <x:v>الزرقاء</x:v>
      </x:c>
      <x:c r="D1996" s="14" t="n">
        <x:v>372</x:v>
      </x:c>
      <x:c r="E1996" s="14" t="n">
        <x:f>VLOOKUP(C1996,'Governorate Master'!$A$2:$Q$13,3,FALSE)</x:f>
        <x:v>1704500</x:v>
      </x:c>
      <x:c r="F1996" s="66" t="n">
        <x:f>IF(E1996=0,0,D1996/E1996*10000)</x:f>
        <x:v>2.1824581988853033</x:v>
      </x:c>
      <x:c r="G1996" s="67" t="n">
        <x:f>VLOOKUP(C1996,'Governorate Master'!$A$2:$Q$13,7,FALSE)</x:f>
        <x:v>358</x:v>
      </x:c>
      <x:c r="H1996" s="20" t="n">
        <x:f>VLOOKUP(C1996,'Governorate Master'!$A$2:$Q$13,6,FALSE)</x:f>
        <x:v>0.9636256966852449</x:v>
      </x:c>
      <x:c r="I1996" s="20" t="n">
        <x:f>VLOOKUP(C1996,'Governorate Master'!$A$2:$Q$13,15,FALSE)</x:f>
        <x:v>-0.06808762581409118</x:v>
      </x:c>
      <x:c r="J1996" s="12" t="str">
        <x:v>Location model input - competition/saturation context</x:v>
      </x:c>
      <x:c r="K1996" s="12" t="str">
        <x:v>Business count is from 2018 while population/context indicators are newer; use as a historical proxy, not a current market count.</x:v>
      </x:c>
    </x:row>
    <x:row r="1997">
      <x:c r="A1997" s="12" t="str">
        <x:v>4774</x:v>
      </x:c>
      <x:c r="B1997" s="12" t="str">
        <x:v>Retail sale of second-hand goods</x:v>
      </x:c>
      <x:c r="C1997" s="12" t="str">
        <x:v>مادبا</x:v>
      </x:c>
      <x:c r="D1997" s="14" t="n">
        <x:v>43</x:v>
      </x:c>
      <x:c r="E1997" s="14" t="n">
        <x:f>VLOOKUP(C1997,'Governorate Master'!$A$2:$Q$13,3,FALSE)</x:f>
        <x:v>236200</x:v>
      </x:c>
      <x:c r="F1997" s="66" t="n">
        <x:f>IF(E1997=0,0,D1997/E1997*10000)</x:f>
        <x:v>1.8204911092294664</x:v>
      </x:c>
      <x:c r="G1997" s="67" t="n">
        <x:f>VLOOKUP(C1997,'Governorate Master'!$A$2:$Q$13,7,FALSE)</x:f>
        <x:v>251.4</x:v>
      </x:c>
      <x:c r="H1997" s="20" t="n">
        <x:f>VLOOKUP(C1997,'Governorate Master'!$A$2:$Q$13,6,FALSE)</x:f>
        <x:v>0.7823878069432684</x:v>
      </x:c>
      <x:c r="I1997" s="20" t="n">
        <x:f>VLOOKUP(C1997,'Governorate Master'!$A$2:$Q$13,15,FALSE)</x:f>
        <x:v>-0.18823529411764706</x:v>
      </x:c>
      <x:c r="J1997" s="12" t="str">
        <x:v>Location model input - competition/saturation context</x:v>
      </x:c>
      <x:c r="K1997" s="12" t="str">
        <x:v>Business count is from 2018 while population/context indicators are newer; use as a historical proxy, not a current market count.</x:v>
      </x:c>
    </x:row>
    <x:row r="1998">
      <x:c r="A1998" s="12" t="str">
        <x:v>4774</x:v>
      </x:c>
      <x:c r="B1998" s="12" t="str">
        <x:v>Retail sale of second-hand goods</x:v>
      </x:c>
      <x:c r="C1998" s="12" t="str">
        <x:v>إربد</x:v>
      </x:c>
      <x:c r="D1998" s="14" t="n">
        <x:v>353</x:v>
      </x:c>
      <x:c r="E1998" s="14" t="n">
        <x:f>VLOOKUP(C1998,'Governorate Master'!$A$2:$Q$13,3,FALSE)</x:f>
        <x:v>2210500</x:v>
      </x:c>
      <x:c r="F1998" s="66" t="n">
        <x:f>IF(E1998=0,0,D1998/E1998*10000)</x:f>
        <x:v>1.5969237729020584</x:v>
      </x:c>
      <x:c r="G1998" s="67" t="n">
        <x:f>VLOOKUP(C1998,'Governorate Master'!$A$2:$Q$13,7,FALSE)</x:f>
        <x:v>1406.4</x:v>
      </x:c>
      <x:c r="H1998" s="20" t="n">
        <x:f>VLOOKUP(C1998,'Governorate Master'!$A$2:$Q$13,6,FALSE)</x:f>
        <x:v>0.9235014702555983</x:v>
      </x:c>
      <x:c r="I1998" s="20" t="n">
        <x:f>VLOOKUP(C1998,'Governorate Master'!$A$2:$Q$13,15,FALSE)</x:f>
        <x:v>0.07086922474549726</x:v>
      </x:c>
      <x:c r="J1998" s="12" t="str">
        <x:v>Location model input - competition/saturation context</x:v>
      </x:c>
      <x:c r="K1998" s="12" t="str">
        <x:v>Business count is from 2018 while population/context indicators are newer; use as a historical proxy, not a current market count.</x:v>
      </x:c>
    </x:row>
    <x:row r="1999">
      <x:c r="A1999" s="12" t="str">
        <x:v>4774</x:v>
      </x:c>
      <x:c r="B1999" s="12" t="str">
        <x:v>Retail sale of second-hand goods</x:v>
      </x:c>
      <x:c r="C1999" s="12" t="str">
        <x:v>المفرق</x:v>
      </x:c>
      <x:c r="D1999" s="14" t="n">
        <x:v>28</x:v>
      </x:c>
      <x:c r="E1999" s="14" t="n">
        <x:f>VLOOKUP(C1999,'Governorate Master'!$A$2:$Q$13,3,FALSE)</x:f>
        <x:v>686800</x:v>
      </x:c>
      <x:c r="F1999" s="66" t="n">
        <x:f>IF(E1999=0,0,D1999/E1999*10000)</x:f>
        <x:v>0.4076878276062901</x:v>
      </x:c>
      <x:c r="G1999" s="67" t="n">
        <x:f>VLOOKUP(C1999,'Governorate Master'!$A$2:$Q$13,7,FALSE)</x:f>
        <x:v>25.9</x:v>
      </x:c>
      <x:c r="H1999" s="20" t="n">
        <x:f>VLOOKUP(C1999,'Governorate Master'!$A$2:$Q$13,6,FALSE)</x:f>
        <x:v>0.6965637740244612</x:v>
      </x:c>
      <x:c r="I1999" s="20" t="n">
        <x:f>VLOOKUP(C1999,'Governorate Master'!$A$2:$Q$13,15,FALSE)</x:f>
        <x:v>-0.016638935108153077</x:v>
      </x:c>
      <x:c r="J1999" s="12" t="str">
        <x:v>Location model input - competition/saturation context</x:v>
      </x:c>
      <x:c r="K1999" s="12" t="str">
        <x:v>Business count is from 2018 while population/context indicators are newer; use as a historical proxy, not a current market count.</x:v>
      </x:c>
    </x:row>
    <x:row r="2000">
      <x:c r="A2000" s="12" t="str">
        <x:v>4774</x:v>
      </x:c>
      <x:c r="B2000" s="12" t="str">
        <x:v>Retail sale of second-hand goods</x:v>
      </x:c>
      <x:c r="C2000" s="12" t="str">
        <x:v>جرش</x:v>
      </x:c>
      <x:c r="D2000" s="14" t="n">
        <x:v>82</x:v>
      </x:c>
      <x:c r="E2000" s="14" t="n">
        <x:f>VLOOKUP(C2000,'Governorate Master'!$A$2:$Q$13,3,FALSE)</x:f>
        <x:v>296000</x:v>
      </x:c>
      <x:c r="F2000" s="66" t="n">
        <x:f>IF(E2000=0,0,D2000/E2000*10000)</x:f>
        <x:v>2.7702702702702706</x:v>
      </x:c>
      <x:c r="G2000" s="67" t="n">
        <x:f>VLOOKUP(C2000,'Governorate Master'!$A$2:$Q$13,7,FALSE)</x:f>
        <x:v>722.3</x:v>
      </x:c>
      <x:c r="H2000" s="20" t="n">
        <x:f>VLOOKUP(C2000,'Governorate Master'!$A$2:$Q$13,6,FALSE)</x:f>
        <x:v>0.7695945945945946</x:v>
      </x:c>
      <x:c r="I2000" s="20" t="n">
        <x:f>VLOOKUP(C2000,'Governorate Master'!$A$2:$Q$13,15,FALSE)</x:f>
        <x:v>-0.06527415143603134</x:v>
      </x:c>
      <x:c r="J2000" s="12" t="str">
        <x:v>Location model input - competition/saturation context</x:v>
      </x:c>
      <x:c r="K2000" s="12" t="str">
        <x:v>Business count is from 2018 while population/context indicators are newer; use as a historical proxy, not a current market count.</x:v>
      </x:c>
    </x:row>
    <x:row r="2001">
      <x:c r="A2001" s="12" t="str">
        <x:v>4774</x:v>
      </x:c>
      <x:c r="B2001" s="12" t="str">
        <x:v>Retail sale of second-hand goods</x:v>
      </x:c>
      <x:c r="C2001" s="12" t="str">
        <x:v>عجلون</x:v>
      </x:c>
      <x:c r="D2001" s="14" t="n">
        <x:v>57</x:v>
      </x:c>
      <x:c r="E2001" s="14" t="n">
        <x:f>VLOOKUP(C2001,'Governorate Master'!$A$2:$Q$13,3,FALSE)</x:f>
        <x:v>219900</x:v>
      </x:c>
      <x:c r="F2001" s="66" t="n">
        <x:f>IF(E2001=0,0,D2001/E2001*10000)</x:f>
        <x:v>2.592087312414734</x:v>
      </x:c>
      <x:c r="G2001" s="67" t="n">
        <x:f>VLOOKUP(C2001,'Governorate Master'!$A$2:$Q$13,7,FALSE)</x:f>
        <x:v>524</x:v>
      </x:c>
      <x:c r="H2001" s="20" t="n">
        <x:f>VLOOKUP(C2001,'Governorate Master'!$A$2:$Q$13,6,FALSE)</x:f>
        <x:v>0.8390177353342428</x:v>
      </x:c>
      <x:c r="I2001" s="20" t="n">
        <x:f>VLOOKUP(C2001,'Governorate Master'!$A$2:$Q$13,15,FALSE)</x:f>
        <x:v>0.03614457831325301</x:v>
      </x:c>
      <x:c r="J2001" s="12" t="str">
        <x:v>Location model input - competition/saturation context</x:v>
      </x:c>
      <x:c r="K2001" s="12" t="str">
        <x:v>Business count is from 2018 while population/context indicators are newer; use as a historical proxy, not a current market count.</x:v>
      </x:c>
    </x:row>
    <x:row r="2002">
      <x:c r="A2002" s="12" t="str">
        <x:v>4774</x:v>
      </x:c>
      <x:c r="B2002" s="12" t="str">
        <x:v>Retail sale of second-hand goods</x:v>
      </x:c>
      <x:c r="C2002" s="12" t="str">
        <x:v>الكرك</x:v>
      </x:c>
      <x:c r="D2002" s="14" t="n">
        <x:v>117</x:v>
      </x:c>
      <x:c r="E2002" s="14" t="n">
        <x:f>VLOOKUP(C2002,'Governorate Master'!$A$2:$Q$13,3,FALSE)</x:f>
        <x:v>395400</x:v>
      </x:c>
      <x:c r="F2002" s="66" t="n">
        <x:f>IF(E2002=0,0,D2002/E2002*10000)</x:f>
        <x:v>2.959028831562974</x:v>
      </x:c>
      <x:c r="G2002" s="67" t="n">
        <x:f>VLOOKUP(C2002,'Governorate Master'!$A$2:$Q$13,7,FALSE)</x:f>
        <x:v>113.1</x:v>
      </x:c>
      <x:c r="H2002" s="20" t="n">
        <x:f>VLOOKUP(C2002,'Governorate Master'!$A$2:$Q$13,6,FALSE)</x:f>
        <x:v>0.5912999494183105</x:v>
      </x:c>
      <x:c r="I2002" s="20" t="n">
        <x:f>VLOOKUP(C2002,'Governorate Master'!$A$2:$Q$13,15,FALSE)</x:f>
        <x:v>0.08710801393728224</x:v>
      </x:c>
      <x:c r="J2002" s="12" t="str">
        <x:v>Location model input - competition/saturation context</x:v>
      </x:c>
      <x:c r="K2002" s="12" t="str">
        <x:v>Business count is from 2018 while population/context indicators are newer; use as a historical proxy, not a current market count.</x:v>
      </x:c>
    </x:row>
    <x:row r="2003">
      <x:c r="A2003" s="12" t="str">
        <x:v>4774</x:v>
      </x:c>
      <x:c r="B2003" s="12" t="str">
        <x:v>Retail sale of second-hand goods</x:v>
      </x:c>
      <x:c r="C2003" s="12" t="str">
        <x:v>الطفيلة</x:v>
      </x:c>
      <x:c r="D2003" s="14" t="n">
        <x:v>26</x:v>
      </x:c>
      <x:c r="E2003" s="14" t="n">
        <x:f>VLOOKUP(C2003,'Governorate Master'!$A$2:$Q$13,3,FALSE)</x:f>
        <x:v>120300</x:v>
      </x:c>
      <x:c r="F2003" s="66" t="n">
        <x:f>IF(E2003=0,0,D2003/E2003*10000)</x:f>
        <x:v>2.1612635078969245</x:v>
      </x:c>
      <x:c r="G2003" s="67" t="n">
        <x:f>VLOOKUP(C2003,'Governorate Master'!$A$2:$Q$13,7,FALSE)</x:f>
        <x:v>54.4</x:v>
      </x:c>
      <x:c r="H2003" s="20" t="n">
        <x:f>VLOOKUP(C2003,'Governorate Master'!$A$2:$Q$13,6,FALSE)</x:f>
        <x:v>0.7797173732335827</x:v>
      </x:c>
      <x:c r="I2003" s="20" t="n">
        <x:f>VLOOKUP(C2003,'Governorate Master'!$A$2:$Q$13,15,FALSE)</x:f>
        <x:v>0.18452380952380953</x:v>
      </x:c>
      <x:c r="J2003" s="12" t="str">
        <x:v>Location model input - competition/saturation context</x:v>
      </x:c>
      <x:c r="K2003" s="12" t="str">
        <x:v>Business count is from 2018 while population/context indicators are newer; use as a historical proxy, not a current market count.</x:v>
      </x:c>
    </x:row>
    <x:row r="2004">
      <x:c r="A2004" s="12" t="str">
        <x:v>4774</x:v>
      </x:c>
      <x:c r="B2004" s="12" t="str">
        <x:v>Retail sale of second-hand goods</x:v>
      </x:c>
      <x:c r="C2004" s="12" t="str">
        <x:v>معان</x:v>
      </x:c>
      <x:c r="D2004" s="14" t="n">
        <x:v>32</x:v>
      </x:c>
      <x:c r="E2004" s="14" t="n">
        <x:f>VLOOKUP(C2004,'Governorate Master'!$A$2:$Q$13,3,FALSE)</x:f>
        <x:v>197900</x:v>
      </x:c>
      <x:c r="F2004" s="66" t="n">
        <x:f>IF(E2004=0,0,D2004/E2004*10000)</x:f>
        <x:v>1.616978271854472</x:v>
      </x:c>
      <x:c r="G2004" s="67" t="n">
        <x:f>VLOOKUP(C2004,'Governorate Master'!$A$2:$Q$13,7,FALSE)</x:f>
        <x:v>6</x:v>
      </x:c>
      <x:c r="H2004" s="20" t="n">
        <x:f>VLOOKUP(C2004,'Governorate Master'!$A$2:$Q$13,6,FALSE)</x:f>
        <x:v>0.5406771096513391</x:v>
      </x:c>
      <x:c r="I2004" s="20" t="n">
        <x:f>VLOOKUP(C2004,'Governorate Master'!$A$2:$Q$13,15,FALSE)</x:f>
        <x:v>0.026845637583892617</x:v>
      </x:c>
      <x:c r="J2004" s="12" t="str">
        <x:v>Location model input - competition/saturation context</x:v>
      </x:c>
      <x:c r="K2004" s="12" t="str">
        <x:v>Business count is from 2018 while population/context indicators are newer; use as a historical proxy, not a current market count.</x:v>
      </x:c>
    </x:row>
    <x:row r="2005">
      <x:c r="A2005" s="12" t="str">
        <x:v>4774</x:v>
      </x:c>
      <x:c r="B2005" s="12" t="str">
        <x:v>Retail sale of second-hand goods</x:v>
      </x:c>
      <x:c r="C2005" s="12" t="str">
        <x:v>العقبة</x:v>
      </x:c>
      <x:c r="D2005" s="14" t="n">
        <x:v>41</x:v>
      </x:c>
      <x:c r="E2005" s="14" t="n">
        <x:f>VLOOKUP(C2005,'Governorate Master'!$A$2:$Q$13,3,FALSE)</x:f>
        <x:v>250900</x:v>
      </x:c>
      <x:c r="F2005" s="66" t="n">
        <x:f>IF(E2005=0,0,D2005/E2005*10000)</x:f>
        <x:v>1.634117178158629</x:v>
      </x:c>
      <x:c r="G2005" s="67" t="n">
        <x:f>VLOOKUP(C2005,'Governorate Master'!$A$2:$Q$13,7,FALSE)</x:f>
        <x:v>36.3</x:v>
      </x:c>
      <x:c r="H2005" s="20" t="n">
        <x:f>VLOOKUP(C2005,'Governorate Master'!$A$2:$Q$13,6,FALSE)</x:f>
        <x:v>0.882024711040255</x:v>
      </x:c>
      <x:c r="I2005" s="20" t="n">
        <x:f>VLOOKUP(C2005,'Governorate Master'!$A$2:$Q$13,15,FALSE)</x:f>
        <x:v>-0.09</x:v>
      </x:c>
      <x:c r="J2005" s="12" t="str">
        <x:v>Location model input - competition/saturation context</x:v>
      </x:c>
      <x:c r="K2005" s="12" t="str">
        <x:v>Business count is from 2018 while population/context indicators are newer; use as a historical proxy, not a current market count.</x:v>
      </x:c>
    </x:row>
    <x:row r="2006">
      <x:c r="A2006" s="12" t="str">
        <x:v>4781</x:v>
      </x:c>
      <x:c r="B2006" s="12" t="str">
        <x:v>Retail sale via stalls and markets of food, beverages and tobacco products</x:v>
      </x:c>
      <x:c r="C2006" s="12" t="str">
        <x:v>عمان</x:v>
      </x:c>
      <x:c r="D2006" s="14" t="n">
        <x:v>4</x:v>
      </x:c>
      <x:c r="E2006" s="14" t="n">
        <x:f>VLOOKUP(C2006,'Governorate Master'!$A$2:$Q$13,3,FALSE)</x:f>
        <x:v>5004600</x:v>
      </x:c>
      <x:c r="F2006" s="66" t="n">
        <x:f>IF(E2006=0,0,D2006/E2006*10000)</x:f>
        <x:v>0.007992646764976222</x:v>
      </x:c>
      <x:c r="G2006" s="67" t="n">
        <x:f>VLOOKUP(C2006,'Governorate Master'!$A$2:$Q$13,7,FALSE)</x:f>
        <x:v>660.3</x:v>
      </x:c>
      <x:c r="H2006" s="20" t="n">
        <x:f>VLOOKUP(C2006,'Governorate Master'!$A$2:$Q$13,6,FALSE)</x:f>
        <x:v>0.9721656076409703</x:v>
      </x:c>
      <x:c r="I2006" s="20" t="n">
        <x:f>VLOOKUP(C2006,'Governorate Master'!$A$2:$Q$13,15,FALSE)</x:f>
        <x:v>0.06367041198501873</x:v>
      </x:c>
      <x:c r="J2006" s="12" t="str">
        <x:v>Location model input - competition/saturation context</x:v>
      </x:c>
      <x:c r="K2006" s="12" t="str">
        <x:v>Business count is from 2018 while population/context indicators are newer; use as a historical proxy, not a current market count.</x:v>
      </x:c>
    </x:row>
    <x:row r="2007">
      <x:c r="A2007" s="12" t="str">
        <x:v>4781</x:v>
      </x:c>
      <x:c r="B2007" s="12" t="str">
        <x:v>Retail sale via stalls and markets of food, beverages and tobacco products</x:v>
      </x:c>
      <x:c r="C2007" s="12" t="str">
        <x:v>البلقاء</x:v>
      </x:c>
      <x:c r="D2007" s="14" t="n">
        <x:v>8</x:v>
      </x:c>
      <x:c r="E2007" s="14" t="n">
        <x:f>VLOOKUP(C2007,'Governorate Master'!$A$2:$Q$13,3,FALSE)</x:f>
        <x:v>614000</x:v>
      </x:c>
      <x:c r="F2007" s="66" t="n">
        <x:f>IF(E2007=0,0,D2007/E2007*10000)</x:f>
        <x:v>0.13029315960912052</x:v>
      </x:c>
      <x:c r="G2007" s="67" t="n">
        <x:f>VLOOKUP(C2007,'Governorate Master'!$A$2:$Q$13,7,FALSE)</x:f>
        <x:v>548</x:v>
      </x:c>
      <x:c r="H2007" s="20" t="n">
        <x:f>VLOOKUP(C2007,'Governorate Master'!$A$2:$Q$13,6,FALSE)</x:f>
        <x:v>0.8210097719869707</x:v>
      </x:c>
      <x:c r="I2007" s="20" t="n">
        <x:f>VLOOKUP(C2007,'Governorate Master'!$A$2:$Q$13,15,FALSE)</x:f>
        <x:v>0.10794044665012408</x:v>
      </x:c>
      <x:c r="J2007" s="12" t="str">
        <x:v>Location model input - competition/saturation context</x:v>
      </x:c>
      <x:c r="K2007" s="12" t="str">
        <x:v>Business count is from 2018 while population/context indicators are newer; use as a historical proxy, not a current market count.</x:v>
      </x:c>
    </x:row>
    <x:row r="2008">
      <x:c r="A2008" s="12" t="str">
        <x:v>4781</x:v>
      </x:c>
      <x:c r="B2008" s="12" t="str">
        <x:v>Retail sale via stalls and markets of food, beverages and tobacco products</x:v>
      </x:c>
      <x:c r="C2008" s="12" t="str">
        <x:v>الزرقاء</x:v>
      </x:c>
      <x:c r="D2008" s="14" t="n">
        <x:v>5</x:v>
      </x:c>
      <x:c r="E2008" s="14" t="n">
        <x:f>VLOOKUP(C2008,'Governorate Master'!$A$2:$Q$13,3,FALSE)</x:f>
        <x:v>1704500</x:v>
      </x:c>
      <x:c r="F2008" s="66" t="n">
        <x:f>IF(E2008=0,0,D2008/E2008*10000)</x:f>
        <x:v>0.029334115576415375</x:v>
      </x:c>
      <x:c r="G2008" s="67" t="n">
        <x:f>VLOOKUP(C2008,'Governorate Master'!$A$2:$Q$13,7,FALSE)</x:f>
        <x:v>358</x:v>
      </x:c>
      <x:c r="H2008" s="20" t="n">
        <x:f>VLOOKUP(C2008,'Governorate Master'!$A$2:$Q$13,6,FALSE)</x:f>
        <x:v>0.9636256966852449</x:v>
      </x:c>
      <x:c r="I2008" s="20" t="n">
        <x:f>VLOOKUP(C2008,'Governorate Master'!$A$2:$Q$13,15,FALSE)</x:f>
        <x:v>-0.06808762581409118</x:v>
      </x:c>
      <x:c r="J2008" s="12" t="str">
        <x:v>Location model input - competition/saturation context</x:v>
      </x:c>
      <x:c r="K2008" s="12" t="str">
        <x:v>Business count is from 2018 while population/context indicators are newer; use as a historical proxy, not a current market count.</x:v>
      </x:c>
    </x:row>
    <x:row r="2009">
      <x:c r="A2009" s="12" t="str">
        <x:v>4781</x:v>
      </x:c>
      <x:c r="B2009" s="12" t="str">
        <x:v>Retail sale via stalls and markets of food, beverages and tobacco products</x:v>
      </x:c>
      <x:c r="C2009" s="12" t="str">
        <x:v>مادبا</x:v>
      </x:c>
      <x:c r="D2009" s="14" t="n">
        <x:v>0</x:v>
      </x:c>
      <x:c r="E2009" s="14" t="n">
        <x:f>VLOOKUP(C2009,'Governorate Master'!$A$2:$Q$13,3,FALSE)</x:f>
        <x:v>236200</x:v>
      </x:c>
      <x:c r="F2009" s="66" t="n">
        <x:f>IF(E2009=0,0,D2009/E2009*10000)</x:f>
        <x:v>0</x:v>
      </x:c>
      <x:c r="G2009" s="67" t="n">
        <x:f>VLOOKUP(C2009,'Governorate Master'!$A$2:$Q$13,7,FALSE)</x:f>
        <x:v>251.4</x:v>
      </x:c>
      <x:c r="H2009" s="20" t="n">
        <x:f>VLOOKUP(C2009,'Governorate Master'!$A$2:$Q$13,6,FALSE)</x:f>
        <x:v>0.7823878069432684</x:v>
      </x:c>
      <x:c r="I2009" s="20" t="n">
        <x:f>VLOOKUP(C2009,'Governorate Master'!$A$2:$Q$13,15,FALSE)</x:f>
        <x:v>-0.18823529411764706</x:v>
      </x:c>
      <x:c r="J2009" s="12" t="str">
        <x:v>Location model input - competition/saturation context</x:v>
      </x:c>
      <x:c r="K2009" s="12" t="str">
        <x:v>Business count is from 2018 while population/context indicators are newer; use as a historical proxy, not a current market count.</x:v>
      </x:c>
    </x:row>
    <x:row r="2010">
      <x:c r="A2010" s="12" t="str">
        <x:v>4781</x:v>
      </x:c>
      <x:c r="B2010" s="12" t="str">
        <x:v>Retail sale via stalls and markets of food, beverages and tobacco products</x:v>
      </x:c>
      <x:c r="C2010" s="12" t="str">
        <x:v>إربد</x:v>
      </x:c>
      <x:c r="D2010" s="14" t="n">
        <x:v>6</x:v>
      </x:c>
      <x:c r="E2010" s="14" t="n">
        <x:f>VLOOKUP(C2010,'Governorate Master'!$A$2:$Q$13,3,FALSE)</x:f>
        <x:v>2210500</x:v>
      </x:c>
      <x:c r="F2010" s="66" t="n">
        <x:f>IF(E2010=0,0,D2010/E2010*10000)</x:f>
        <x:v>0.027143180275955664</x:v>
      </x:c>
      <x:c r="G2010" s="67" t="n">
        <x:f>VLOOKUP(C2010,'Governorate Master'!$A$2:$Q$13,7,FALSE)</x:f>
        <x:v>1406.4</x:v>
      </x:c>
      <x:c r="H2010" s="20" t="n">
        <x:f>VLOOKUP(C2010,'Governorate Master'!$A$2:$Q$13,6,FALSE)</x:f>
        <x:v>0.9235014702555983</x:v>
      </x:c>
      <x:c r="I2010" s="20" t="n">
        <x:f>VLOOKUP(C2010,'Governorate Master'!$A$2:$Q$13,15,FALSE)</x:f>
        <x:v>0.07086922474549726</x:v>
      </x:c>
      <x:c r="J2010" s="12" t="str">
        <x:v>Location model input - competition/saturation context</x:v>
      </x:c>
      <x:c r="K2010" s="12" t="str">
        <x:v>Business count is from 2018 while population/context indicators are newer; use as a historical proxy, not a current market count.</x:v>
      </x:c>
    </x:row>
    <x:row r="2011">
      <x:c r="A2011" s="12" t="str">
        <x:v>4781</x:v>
      </x:c>
      <x:c r="B2011" s="12" t="str">
        <x:v>Retail sale via stalls and markets of food, beverages and tobacco products</x:v>
      </x:c>
      <x:c r="C2011" s="12" t="str">
        <x:v>المفرق</x:v>
      </x:c>
      <x:c r="D2011" s="14" t="n">
        <x:v>0</x:v>
      </x:c>
      <x:c r="E2011" s="14" t="n">
        <x:f>VLOOKUP(C2011,'Governorate Master'!$A$2:$Q$13,3,FALSE)</x:f>
        <x:v>686800</x:v>
      </x:c>
      <x:c r="F2011" s="66" t="n">
        <x:f>IF(E2011=0,0,D2011/E2011*10000)</x:f>
        <x:v>0</x:v>
      </x:c>
      <x:c r="G2011" s="67" t="n">
        <x:f>VLOOKUP(C2011,'Governorate Master'!$A$2:$Q$13,7,FALSE)</x:f>
        <x:v>25.9</x:v>
      </x:c>
      <x:c r="H2011" s="20" t="n">
        <x:f>VLOOKUP(C2011,'Governorate Master'!$A$2:$Q$13,6,FALSE)</x:f>
        <x:v>0.6965637740244612</x:v>
      </x:c>
      <x:c r="I2011" s="20" t="n">
        <x:f>VLOOKUP(C2011,'Governorate Master'!$A$2:$Q$13,15,FALSE)</x:f>
        <x:v>-0.016638935108153077</x:v>
      </x:c>
      <x:c r="J2011" s="12" t="str">
        <x:v>Location model input - competition/saturation context</x:v>
      </x:c>
      <x:c r="K2011" s="12" t="str">
        <x:v>Business count is from 2018 while population/context indicators are newer; use as a historical proxy, not a current market count.</x:v>
      </x:c>
    </x:row>
    <x:row r="2012">
      <x:c r="A2012" s="12" t="str">
        <x:v>4781</x:v>
      </x:c>
      <x:c r="B2012" s="12" t="str">
        <x:v>Retail sale via stalls and markets of food, beverages and tobacco products</x:v>
      </x:c>
      <x:c r="C2012" s="12" t="str">
        <x:v>جرش</x:v>
      </x:c>
      <x:c r="D2012" s="14" t="n">
        <x:v>0</x:v>
      </x:c>
      <x:c r="E2012" s="14" t="n">
        <x:f>VLOOKUP(C2012,'Governorate Master'!$A$2:$Q$13,3,FALSE)</x:f>
        <x:v>296000</x:v>
      </x:c>
      <x:c r="F2012" s="66" t="n">
        <x:f>IF(E2012=0,0,D2012/E2012*10000)</x:f>
        <x:v>0</x:v>
      </x:c>
      <x:c r="G2012" s="67" t="n">
        <x:f>VLOOKUP(C2012,'Governorate Master'!$A$2:$Q$13,7,FALSE)</x:f>
        <x:v>722.3</x:v>
      </x:c>
      <x:c r="H2012" s="20" t="n">
        <x:f>VLOOKUP(C2012,'Governorate Master'!$A$2:$Q$13,6,FALSE)</x:f>
        <x:v>0.7695945945945946</x:v>
      </x:c>
      <x:c r="I2012" s="20" t="n">
        <x:f>VLOOKUP(C2012,'Governorate Master'!$A$2:$Q$13,15,FALSE)</x:f>
        <x:v>-0.06527415143603134</x:v>
      </x:c>
      <x:c r="J2012" s="12" t="str">
        <x:v>Location model input - competition/saturation context</x:v>
      </x:c>
      <x:c r="K2012" s="12" t="str">
        <x:v>Business count is from 2018 while population/context indicators are newer; use as a historical proxy, not a current market count.</x:v>
      </x:c>
    </x:row>
    <x:row r="2013">
      <x:c r="A2013" s="12" t="str">
        <x:v>4781</x:v>
      </x:c>
      <x:c r="B2013" s="12" t="str">
        <x:v>Retail sale via stalls and markets of food, beverages and tobacco products</x:v>
      </x:c>
      <x:c r="C2013" s="12" t="str">
        <x:v>عجلون</x:v>
      </x:c>
      <x:c r="D2013" s="14" t="n">
        <x:v>0</x:v>
      </x:c>
      <x:c r="E2013" s="14" t="n">
        <x:f>VLOOKUP(C2013,'Governorate Master'!$A$2:$Q$13,3,FALSE)</x:f>
        <x:v>219900</x:v>
      </x:c>
      <x:c r="F2013" s="66" t="n">
        <x:f>IF(E2013=0,0,D2013/E2013*10000)</x:f>
        <x:v>0</x:v>
      </x:c>
      <x:c r="G2013" s="67" t="n">
        <x:f>VLOOKUP(C2013,'Governorate Master'!$A$2:$Q$13,7,FALSE)</x:f>
        <x:v>524</x:v>
      </x:c>
      <x:c r="H2013" s="20" t="n">
        <x:f>VLOOKUP(C2013,'Governorate Master'!$A$2:$Q$13,6,FALSE)</x:f>
        <x:v>0.8390177353342428</x:v>
      </x:c>
      <x:c r="I2013" s="20" t="n">
        <x:f>VLOOKUP(C2013,'Governorate Master'!$A$2:$Q$13,15,FALSE)</x:f>
        <x:v>0.03614457831325301</x:v>
      </x:c>
      <x:c r="J2013" s="12" t="str">
        <x:v>Location model input - competition/saturation context</x:v>
      </x:c>
      <x:c r="K2013" s="12" t="str">
        <x:v>Business count is from 2018 while population/context indicators are newer; use as a historical proxy, not a current market count.</x:v>
      </x:c>
    </x:row>
    <x:row r="2014">
      <x:c r="A2014" s="12" t="str">
        <x:v>4781</x:v>
      </x:c>
      <x:c r="B2014" s="12" t="str">
        <x:v>Retail sale via stalls and markets of food, beverages and tobacco products</x:v>
      </x:c>
      <x:c r="C2014" s="12" t="str">
        <x:v>الكرك</x:v>
      </x:c>
      <x:c r="D2014" s="14" t="n">
        <x:v>2</x:v>
      </x:c>
      <x:c r="E2014" s="14" t="n">
        <x:f>VLOOKUP(C2014,'Governorate Master'!$A$2:$Q$13,3,FALSE)</x:f>
        <x:v>395400</x:v>
      </x:c>
      <x:c r="F2014" s="66" t="n">
        <x:f>IF(E2014=0,0,D2014/E2014*10000)</x:f>
        <x:v>0.050581689428426904</x:v>
      </x:c>
      <x:c r="G2014" s="67" t="n">
        <x:f>VLOOKUP(C2014,'Governorate Master'!$A$2:$Q$13,7,FALSE)</x:f>
        <x:v>113.1</x:v>
      </x:c>
      <x:c r="H2014" s="20" t="n">
        <x:f>VLOOKUP(C2014,'Governorate Master'!$A$2:$Q$13,6,FALSE)</x:f>
        <x:v>0.5912999494183105</x:v>
      </x:c>
      <x:c r="I2014" s="20" t="n">
        <x:f>VLOOKUP(C2014,'Governorate Master'!$A$2:$Q$13,15,FALSE)</x:f>
        <x:v>0.08710801393728224</x:v>
      </x:c>
      <x:c r="J2014" s="12" t="str">
        <x:v>Location model input - competition/saturation context</x:v>
      </x:c>
      <x:c r="K2014" s="12" t="str">
        <x:v>Business count is from 2018 while population/context indicators are newer; use as a historical proxy, not a current market count.</x:v>
      </x:c>
    </x:row>
    <x:row r="2015">
      <x:c r="A2015" s="12" t="str">
        <x:v>4781</x:v>
      </x:c>
      <x:c r="B2015" s="12" t="str">
        <x:v>Retail sale via stalls and markets of food, beverages and tobacco products</x:v>
      </x:c>
      <x:c r="C2015" s="12" t="str">
        <x:v>الطفيلة</x:v>
      </x:c>
      <x:c r="D2015" s="14" t="n">
        <x:v>0</x:v>
      </x:c>
      <x:c r="E2015" s="14" t="n">
        <x:f>VLOOKUP(C2015,'Governorate Master'!$A$2:$Q$13,3,FALSE)</x:f>
        <x:v>120300</x:v>
      </x:c>
      <x:c r="F2015" s="66" t="n">
        <x:f>IF(E2015=0,0,D2015/E2015*10000)</x:f>
        <x:v>0</x:v>
      </x:c>
      <x:c r="G2015" s="67" t="n">
        <x:f>VLOOKUP(C2015,'Governorate Master'!$A$2:$Q$13,7,FALSE)</x:f>
        <x:v>54.4</x:v>
      </x:c>
      <x:c r="H2015" s="20" t="n">
        <x:f>VLOOKUP(C2015,'Governorate Master'!$A$2:$Q$13,6,FALSE)</x:f>
        <x:v>0.7797173732335827</x:v>
      </x:c>
      <x:c r="I2015" s="20" t="n">
        <x:f>VLOOKUP(C2015,'Governorate Master'!$A$2:$Q$13,15,FALSE)</x:f>
        <x:v>0.18452380952380953</x:v>
      </x:c>
      <x:c r="J2015" s="12" t="str">
        <x:v>Location model input - competition/saturation context</x:v>
      </x:c>
      <x:c r="K2015" s="12" t="str">
        <x:v>Business count is from 2018 while population/context indicators are newer; use as a historical proxy, not a current market count.</x:v>
      </x:c>
    </x:row>
    <x:row r="2016">
      <x:c r="A2016" s="12" t="str">
        <x:v>4781</x:v>
      </x:c>
      <x:c r="B2016" s="12" t="str">
        <x:v>Retail sale via stalls and markets of food, beverages and tobacco products</x:v>
      </x:c>
      <x:c r="C2016" s="12" t="str">
        <x:v>معان</x:v>
      </x:c>
      <x:c r="D2016" s="14" t="n">
        <x:v>0</x:v>
      </x:c>
      <x:c r="E2016" s="14" t="n">
        <x:f>VLOOKUP(C2016,'Governorate Master'!$A$2:$Q$13,3,FALSE)</x:f>
        <x:v>197900</x:v>
      </x:c>
      <x:c r="F2016" s="66" t="n">
        <x:f>IF(E2016=0,0,D2016/E2016*10000)</x:f>
        <x:v>0</x:v>
      </x:c>
      <x:c r="G2016" s="67" t="n">
        <x:f>VLOOKUP(C2016,'Governorate Master'!$A$2:$Q$13,7,FALSE)</x:f>
        <x:v>6</x:v>
      </x:c>
      <x:c r="H2016" s="20" t="n">
        <x:f>VLOOKUP(C2016,'Governorate Master'!$A$2:$Q$13,6,FALSE)</x:f>
        <x:v>0.5406771096513391</x:v>
      </x:c>
      <x:c r="I2016" s="20" t="n">
        <x:f>VLOOKUP(C2016,'Governorate Master'!$A$2:$Q$13,15,FALSE)</x:f>
        <x:v>0.026845637583892617</x:v>
      </x:c>
      <x:c r="J2016" s="12" t="str">
        <x:v>Location model input - competition/saturation context</x:v>
      </x:c>
      <x:c r="K2016" s="12" t="str">
        <x:v>Business count is from 2018 while population/context indicators are newer; use as a historical proxy, not a current market count.</x:v>
      </x:c>
    </x:row>
    <x:row r="2017">
      <x:c r="A2017" s="12" t="str">
        <x:v>4781</x:v>
      </x:c>
      <x:c r="B2017" s="12" t="str">
        <x:v>Retail sale via stalls and markets of food, beverages and tobacco products</x:v>
      </x:c>
      <x:c r="C2017" s="12" t="str">
        <x:v>العقبة</x:v>
      </x:c>
      <x:c r="D2017" s="14" t="n">
        <x:v>4</x:v>
      </x:c>
      <x:c r="E2017" s="14" t="n">
        <x:f>VLOOKUP(C2017,'Governorate Master'!$A$2:$Q$13,3,FALSE)</x:f>
        <x:v>250900</x:v>
      </x:c>
      <x:c r="F2017" s="66" t="n">
        <x:f>IF(E2017=0,0,D2017/E2017*10000)</x:f>
        <x:v>0.15942606616181745</x:v>
      </x:c>
      <x:c r="G2017" s="67" t="n">
        <x:f>VLOOKUP(C2017,'Governorate Master'!$A$2:$Q$13,7,FALSE)</x:f>
        <x:v>36.3</x:v>
      </x:c>
      <x:c r="H2017" s="20" t="n">
        <x:f>VLOOKUP(C2017,'Governorate Master'!$A$2:$Q$13,6,FALSE)</x:f>
        <x:v>0.882024711040255</x:v>
      </x:c>
      <x:c r="I2017" s="20" t="n">
        <x:f>VLOOKUP(C2017,'Governorate Master'!$A$2:$Q$13,15,FALSE)</x:f>
        <x:v>-0.09</x:v>
      </x:c>
      <x:c r="J2017" s="12" t="str">
        <x:v>Location model input - competition/saturation context</x:v>
      </x:c>
      <x:c r="K2017" s="12" t="str">
        <x:v>Business count is from 2018 while population/context indicators are newer; use as a historical proxy, not a current market count.</x:v>
      </x:c>
    </x:row>
    <x:row r="2018">
      <x:c r="A2018" s="12" t="str">
        <x:v>4782</x:v>
      </x:c>
      <x:c r="B2018" s="12" t="str">
        <x:v>Retail sale via stalls and markets of textiles, clothing and footwear</x:v>
      </x:c>
      <x:c r="C2018" s="12" t="str">
        <x:v>عمان</x:v>
      </x:c>
      <x:c r="D2018" s="14" t="n">
        <x:v>0</x:v>
      </x:c>
      <x:c r="E2018" s="14" t="n">
        <x:f>VLOOKUP(C2018,'Governorate Master'!$A$2:$Q$13,3,FALSE)</x:f>
        <x:v>5004600</x:v>
      </x:c>
      <x:c r="F2018" s="66" t="n">
        <x:f>IF(E2018=0,0,D2018/E2018*10000)</x:f>
        <x:v>0</x:v>
      </x:c>
      <x:c r="G2018" s="67" t="n">
        <x:f>VLOOKUP(C2018,'Governorate Master'!$A$2:$Q$13,7,FALSE)</x:f>
        <x:v>660.3</x:v>
      </x:c>
      <x:c r="H2018" s="20" t="n">
        <x:f>VLOOKUP(C2018,'Governorate Master'!$A$2:$Q$13,6,FALSE)</x:f>
        <x:v>0.9721656076409703</x:v>
      </x:c>
      <x:c r="I2018" s="20" t="n">
        <x:f>VLOOKUP(C2018,'Governorate Master'!$A$2:$Q$13,15,FALSE)</x:f>
        <x:v>0.06367041198501873</x:v>
      </x:c>
      <x:c r="J2018" s="12" t="str">
        <x:v>Location model input - competition/saturation context</x:v>
      </x:c>
      <x:c r="K2018" s="12" t="str">
        <x:v>Business count is from 2018 while population/context indicators are newer; use as a historical proxy, not a current market count.</x:v>
      </x:c>
    </x:row>
    <x:row r="2019">
      <x:c r="A2019" s="12" t="str">
        <x:v>4782</x:v>
      </x:c>
      <x:c r="B2019" s="12" t="str">
        <x:v>Retail sale via stalls and markets of textiles, clothing and footwear</x:v>
      </x:c>
      <x:c r="C2019" s="12" t="str">
        <x:v>البلقاء</x:v>
      </x:c>
      <x:c r="D2019" s="14" t="n">
        <x:v>0</x:v>
      </x:c>
      <x:c r="E2019" s="14" t="n">
        <x:f>VLOOKUP(C2019,'Governorate Master'!$A$2:$Q$13,3,FALSE)</x:f>
        <x:v>614000</x:v>
      </x:c>
      <x:c r="F2019" s="66" t="n">
        <x:f>IF(E2019=0,0,D2019/E2019*10000)</x:f>
        <x:v>0</x:v>
      </x:c>
      <x:c r="G2019" s="67" t="n">
        <x:f>VLOOKUP(C2019,'Governorate Master'!$A$2:$Q$13,7,FALSE)</x:f>
        <x:v>548</x:v>
      </x:c>
      <x:c r="H2019" s="20" t="n">
        <x:f>VLOOKUP(C2019,'Governorate Master'!$A$2:$Q$13,6,FALSE)</x:f>
        <x:v>0.8210097719869707</x:v>
      </x:c>
      <x:c r="I2019" s="20" t="n">
        <x:f>VLOOKUP(C2019,'Governorate Master'!$A$2:$Q$13,15,FALSE)</x:f>
        <x:v>0.10794044665012408</x:v>
      </x:c>
      <x:c r="J2019" s="12" t="str">
        <x:v>Location model input - competition/saturation context</x:v>
      </x:c>
      <x:c r="K2019" s="12" t="str">
        <x:v>Business count is from 2018 while population/context indicators are newer; use as a historical proxy, not a current market count.</x:v>
      </x:c>
    </x:row>
    <x:row r="2020">
      <x:c r="A2020" s="12" t="str">
        <x:v>4782</x:v>
      </x:c>
      <x:c r="B2020" s="12" t="str">
        <x:v>Retail sale via stalls and markets of textiles, clothing and footwear</x:v>
      </x:c>
      <x:c r="C2020" s="12" t="str">
        <x:v>الزرقاء</x:v>
      </x:c>
      <x:c r="D2020" s="14" t="n">
        <x:v>0</x:v>
      </x:c>
      <x:c r="E2020" s="14" t="n">
        <x:f>VLOOKUP(C2020,'Governorate Master'!$A$2:$Q$13,3,FALSE)</x:f>
        <x:v>1704500</x:v>
      </x:c>
      <x:c r="F2020" s="66" t="n">
        <x:f>IF(E2020=0,0,D2020/E2020*10000)</x:f>
        <x:v>0</x:v>
      </x:c>
      <x:c r="G2020" s="67" t="n">
        <x:f>VLOOKUP(C2020,'Governorate Master'!$A$2:$Q$13,7,FALSE)</x:f>
        <x:v>358</x:v>
      </x:c>
      <x:c r="H2020" s="20" t="n">
        <x:f>VLOOKUP(C2020,'Governorate Master'!$A$2:$Q$13,6,FALSE)</x:f>
        <x:v>0.9636256966852449</x:v>
      </x:c>
      <x:c r="I2020" s="20" t="n">
        <x:f>VLOOKUP(C2020,'Governorate Master'!$A$2:$Q$13,15,FALSE)</x:f>
        <x:v>-0.06808762581409118</x:v>
      </x:c>
      <x:c r="J2020" s="12" t="str">
        <x:v>Location model input - competition/saturation context</x:v>
      </x:c>
      <x:c r="K2020" s="12" t="str">
        <x:v>Business count is from 2018 while population/context indicators are newer; use as a historical proxy, not a current market count.</x:v>
      </x:c>
    </x:row>
    <x:row r="2021">
      <x:c r="A2021" s="12" t="str">
        <x:v>4782</x:v>
      </x:c>
      <x:c r="B2021" s="12" t="str">
        <x:v>Retail sale via stalls and markets of textiles, clothing and footwear</x:v>
      </x:c>
      <x:c r="C2021" s="12" t="str">
        <x:v>مادبا</x:v>
      </x:c>
      <x:c r="D2021" s="14" t="n">
        <x:v>0</x:v>
      </x:c>
      <x:c r="E2021" s="14" t="n">
        <x:f>VLOOKUP(C2021,'Governorate Master'!$A$2:$Q$13,3,FALSE)</x:f>
        <x:v>236200</x:v>
      </x:c>
      <x:c r="F2021" s="66" t="n">
        <x:f>IF(E2021=0,0,D2021/E2021*10000)</x:f>
        <x:v>0</x:v>
      </x:c>
      <x:c r="G2021" s="67" t="n">
        <x:f>VLOOKUP(C2021,'Governorate Master'!$A$2:$Q$13,7,FALSE)</x:f>
        <x:v>251.4</x:v>
      </x:c>
      <x:c r="H2021" s="20" t="n">
        <x:f>VLOOKUP(C2021,'Governorate Master'!$A$2:$Q$13,6,FALSE)</x:f>
        <x:v>0.7823878069432684</x:v>
      </x:c>
      <x:c r="I2021" s="20" t="n">
        <x:f>VLOOKUP(C2021,'Governorate Master'!$A$2:$Q$13,15,FALSE)</x:f>
        <x:v>-0.18823529411764706</x:v>
      </x:c>
      <x:c r="J2021" s="12" t="str">
        <x:v>Location model input - competition/saturation context</x:v>
      </x:c>
      <x:c r="K2021" s="12" t="str">
        <x:v>Business count is from 2018 while population/context indicators are newer; use as a historical proxy, not a current market count.</x:v>
      </x:c>
    </x:row>
    <x:row r="2022">
      <x:c r="A2022" s="12" t="str">
        <x:v>4782</x:v>
      </x:c>
      <x:c r="B2022" s="12" t="str">
        <x:v>Retail sale via stalls and markets of textiles, clothing and footwear</x:v>
      </x:c>
      <x:c r="C2022" s="12" t="str">
        <x:v>إربد</x:v>
      </x:c>
      <x:c r="D2022" s="14" t="n">
        <x:v>0</x:v>
      </x:c>
      <x:c r="E2022" s="14" t="n">
        <x:f>VLOOKUP(C2022,'Governorate Master'!$A$2:$Q$13,3,FALSE)</x:f>
        <x:v>2210500</x:v>
      </x:c>
      <x:c r="F2022" s="66" t="n">
        <x:f>IF(E2022=0,0,D2022/E2022*10000)</x:f>
        <x:v>0</x:v>
      </x:c>
      <x:c r="G2022" s="67" t="n">
        <x:f>VLOOKUP(C2022,'Governorate Master'!$A$2:$Q$13,7,FALSE)</x:f>
        <x:v>1406.4</x:v>
      </x:c>
      <x:c r="H2022" s="20" t="n">
        <x:f>VLOOKUP(C2022,'Governorate Master'!$A$2:$Q$13,6,FALSE)</x:f>
        <x:v>0.9235014702555983</x:v>
      </x:c>
      <x:c r="I2022" s="20" t="n">
        <x:f>VLOOKUP(C2022,'Governorate Master'!$A$2:$Q$13,15,FALSE)</x:f>
        <x:v>0.07086922474549726</x:v>
      </x:c>
      <x:c r="J2022" s="12" t="str">
        <x:v>Location model input - competition/saturation context</x:v>
      </x:c>
      <x:c r="K2022" s="12" t="str">
        <x:v>Business count is from 2018 while population/context indicators are newer; use as a historical proxy, not a current market count.</x:v>
      </x:c>
    </x:row>
    <x:row r="2023">
      <x:c r="A2023" s="12" t="str">
        <x:v>4782</x:v>
      </x:c>
      <x:c r="B2023" s="12" t="str">
        <x:v>Retail sale via stalls and markets of textiles, clothing and footwear</x:v>
      </x:c>
      <x:c r="C2023" s="12" t="str">
        <x:v>المفرق</x:v>
      </x:c>
      <x:c r="D2023" s="14" t="n">
        <x:v>0</x:v>
      </x:c>
      <x:c r="E2023" s="14" t="n">
        <x:f>VLOOKUP(C2023,'Governorate Master'!$A$2:$Q$13,3,FALSE)</x:f>
        <x:v>686800</x:v>
      </x:c>
      <x:c r="F2023" s="66" t="n">
        <x:f>IF(E2023=0,0,D2023/E2023*10000)</x:f>
        <x:v>0</x:v>
      </x:c>
      <x:c r="G2023" s="67" t="n">
        <x:f>VLOOKUP(C2023,'Governorate Master'!$A$2:$Q$13,7,FALSE)</x:f>
        <x:v>25.9</x:v>
      </x:c>
      <x:c r="H2023" s="20" t="n">
        <x:f>VLOOKUP(C2023,'Governorate Master'!$A$2:$Q$13,6,FALSE)</x:f>
        <x:v>0.6965637740244612</x:v>
      </x:c>
      <x:c r="I2023" s="20" t="n">
        <x:f>VLOOKUP(C2023,'Governorate Master'!$A$2:$Q$13,15,FALSE)</x:f>
        <x:v>-0.016638935108153077</x:v>
      </x:c>
      <x:c r="J2023" s="12" t="str">
        <x:v>Location model input - competition/saturation context</x:v>
      </x:c>
      <x:c r="K2023" s="12" t="str">
        <x:v>Business count is from 2018 while population/context indicators are newer; use as a historical proxy, not a current market count.</x:v>
      </x:c>
    </x:row>
    <x:row r="2024">
      <x:c r="A2024" s="12" t="str">
        <x:v>4782</x:v>
      </x:c>
      <x:c r="B2024" s="12" t="str">
        <x:v>Retail sale via stalls and markets of textiles, clothing and footwear</x:v>
      </x:c>
      <x:c r="C2024" s="12" t="str">
        <x:v>جرش</x:v>
      </x:c>
      <x:c r="D2024" s="14" t="n">
        <x:v>0</x:v>
      </x:c>
      <x:c r="E2024" s="14" t="n">
        <x:f>VLOOKUP(C2024,'Governorate Master'!$A$2:$Q$13,3,FALSE)</x:f>
        <x:v>296000</x:v>
      </x:c>
      <x:c r="F2024" s="66" t="n">
        <x:f>IF(E2024=0,0,D2024/E2024*10000)</x:f>
        <x:v>0</x:v>
      </x:c>
      <x:c r="G2024" s="67" t="n">
        <x:f>VLOOKUP(C2024,'Governorate Master'!$A$2:$Q$13,7,FALSE)</x:f>
        <x:v>722.3</x:v>
      </x:c>
      <x:c r="H2024" s="20" t="n">
        <x:f>VLOOKUP(C2024,'Governorate Master'!$A$2:$Q$13,6,FALSE)</x:f>
        <x:v>0.7695945945945946</x:v>
      </x:c>
      <x:c r="I2024" s="20" t="n">
        <x:f>VLOOKUP(C2024,'Governorate Master'!$A$2:$Q$13,15,FALSE)</x:f>
        <x:v>-0.06527415143603134</x:v>
      </x:c>
      <x:c r="J2024" s="12" t="str">
        <x:v>Location model input - competition/saturation context</x:v>
      </x:c>
      <x:c r="K2024" s="12" t="str">
        <x:v>Business count is from 2018 while population/context indicators are newer; use as a historical proxy, not a current market count.</x:v>
      </x:c>
    </x:row>
    <x:row r="2025">
      <x:c r="A2025" s="12" t="str">
        <x:v>4782</x:v>
      </x:c>
      <x:c r="B2025" s="12" t="str">
        <x:v>Retail sale via stalls and markets of textiles, clothing and footwear</x:v>
      </x:c>
      <x:c r="C2025" s="12" t="str">
        <x:v>عجلون</x:v>
      </x:c>
      <x:c r="D2025" s="14" t="n">
        <x:v>0</x:v>
      </x:c>
      <x:c r="E2025" s="14" t="n">
        <x:f>VLOOKUP(C2025,'Governorate Master'!$A$2:$Q$13,3,FALSE)</x:f>
        <x:v>219900</x:v>
      </x:c>
      <x:c r="F2025" s="66" t="n">
        <x:f>IF(E2025=0,0,D2025/E2025*10000)</x:f>
        <x:v>0</x:v>
      </x:c>
      <x:c r="G2025" s="67" t="n">
        <x:f>VLOOKUP(C2025,'Governorate Master'!$A$2:$Q$13,7,FALSE)</x:f>
        <x:v>524</x:v>
      </x:c>
      <x:c r="H2025" s="20" t="n">
        <x:f>VLOOKUP(C2025,'Governorate Master'!$A$2:$Q$13,6,FALSE)</x:f>
        <x:v>0.8390177353342428</x:v>
      </x:c>
      <x:c r="I2025" s="20" t="n">
        <x:f>VLOOKUP(C2025,'Governorate Master'!$A$2:$Q$13,15,FALSE)</x:f>
        <x:v>0.03614457831325301</x:v>
      </x:c>
      <x:c r="J2025" s="12" t="str">
        <x:v>Location model input - competition/saturation context</x:v>
      </x:c>
      <x:c r="K2025" s="12" t="str">
        <x:v>Business count is from 2018 while population/context indicators are newer; use as a historical proxy, not a current market count.</x:v>
      </x:c>
    </x:row>
    <x:row r="2026">
      <x:c r="A2026" s="12" t="str">
        <x:v>4782</x:v>
      </x:c>
      <x:c r="B2026" s="12" t="str">
        <x:v>Retail sale via stalls and markets of textiles, clothing and footwear</x:v>
      </x:c>
      <x:c r="C2026" s="12" t="str">
        <x:v>الكرك</x:v>
      </x:c>
      <x:c r="D2026" s="14" t="n">
        <x:v>0</x:v>
      </x:c>
      <x:c r="E2026" s="14" t="n">
        <x:f>VLOOKUP(C2026,'Governorate Master'!$A$2:$Q$13,3,FALSE)</x:f>
        <x:v>395400</x:v>
      </x:c>
      <x:c r="F2026" s="66" t="n">
        <x:f>IF(E2026=0,0,D2026/E2026*10000)</x:f>
        <x:v>0</x:v>
      </x:c>
      <x:c r="G2026" s="67" t="n">
        <x:f>VLOOKUP(C2026,'Governorate Master'!$A$2:$Q$13,7,FALSE)</x:f>
        <x:v>113.1</x:v>
      </x:c>
      <x:c r="H2026" s="20" t="n">
        <x:f>VLOOKUP(C2026,'Governorate Master'!$A$2:$Q$13,6,FALSE)</x:f>
        <x:v>0.5912999494183105</x:v>
      </x:c>
      <x:c r="I2026" s="20" t="n">
        <x:f>VLOOKUP(C2026,'Governorate Master'!$A$2:$Q$13,15,FALSE)</x:f>
        <x:v>0.08710801393728224</x:v>
      </x:c>
      <x:c r="J2026" s="12" t="str">
        <x:v>Location model input - competition/saturation context</x:v>
      </x:c>
      <x:c r="K2026" s="12" t="str">
        <x:v>Business count is from 2018 while population/context indicators are newer; use as a historical proxy, not a current market count.</x:v>
      </x:c>
    </x:row>
    <x:row r="2027">
      <x:c r="A2027" s="12" t="str">
        <x:v>4782</x:v>
      </x:c>
      <x:c r="B2027" s="12" t="str">
        <x:v>Retail sale via stalls and markets of textiles, clothing and footwear</x:v>
      </x:c>
      <x:c r="C2027" s="12" t="str">
        <x:v>الطفيلة</x:v>
      </x:c>
      <x:c r="D2027" s="14" t="n">
        <x:v>3</x:v>
      </x:c>
      <x:c r="E2027" s="14" t="n">
        <x:f>VLOOKUP(C2027,'Governorate Master'!$A$2:$Q$13,3,FALSE)</x:f>
        <x:v>120300</x:v>
      </x:c>
      <x:c r="F2027" s="66" t="n">
        <x:f>IF(E2027=0,0,D2027/E2027*10000)</x:f>
        <x:v>0.24937655860349128</x:v>
      </x:c>
      <x:c r="G2027" s="67" t="n">
        <x:f>VLOOKUP(C2027,'Governorate Master'!$A$2:$Q$13,7,FALSE)</x:f>
        <x:v>54.4</x:v>
      </x:c>
      <x:c r="H2027" s="20" t="n">
        <x:f>VLOOKUP(C2027,'Governorate Master'!$A$2:$Q$13,6,FALSE)</x:f>
        <x:v>0.7797173732335827</x:v>
      </x:c>
      <x:c r="I2027" s="20" t="n">
        <x:f>VLOOKUP(C2027,'Governorate Master'!$A$2:$Q$13,15,FALSE)</x:f>
        <x:v>0.18452380952380953</x:v>
      </x:c>
      <x:c r="J2027" s="12" t="str">
        <x:v>Location model input - competition/saturation context</x:v>
      </x:c>
      <x:c r="K2027" s="12" t="str">
        <x:v>Business count is from 2018 while population/context indicators are newer; use as a historical proxy, not a current market count.</x:v>
      </x:c>
    </x:row>
    <x:row r="2028">
      <x:c r="A2028" s="12" t="str">
        <x:v>4782</x:v>
      </x:c>
      <x:c r="B2028" s="12" t="str">
        <x:v>Retail sale via stalls and markets of textiles, clothing and footwear</x:v>
      </x:c>
      <x:c r="C2028" s="12" t="str">
        <x:v>معان</x:v>
      </x:c>
      <x:c r="D2028" s="14" t="n">
        <x:v>0</x:v>
      </x:c>
      <x:c r="E2028" s="14" t="n">
        <x:f>VLOOKUP(C2028,'Governorate Master'!$A$2:$Q$13,3,FALSE)</x:f>
        <x:v>197900</x:v>
      </x:c>
      <x:c r="F2028" s="66" t="n">
        <x:f>IF(E2028=0,0,D2028/E2028*10000)</x:f>
        <x:v>0</x:v>
      </x:c>
      <x:c r="G2028" s="67" t="n">
        <x:f>VLOOKUP(C2028,'Governorate Master'!$A$2:$Q$13,7,FALSE)</x:f>
        <x:v>6</x:v>
      </x:c>
      <x:c r="H2028" s="20" t="n">
        <x:f>VLOOKUP(C2028,'Governorate Master'!$A$2:$Q$13,6,FALSE)</x:f>
        <x:v>0.5406771096513391</x:v>
      </x:c>
      <x:c r="I2028" s="20" t="n">
        <x:f>VLOOKUP(C2028,'Governorate Master'!$A$2:$Q$13,15,FALSE)</x:f>
        <x:v>0.026845637583892617</x:v>
      </x:c>
      <x:c r="J2028" s="12" t="str">
        <x:v>Location model input - competition/saturation context</x:v>
      </x:c>
      <x:c r="K2028" s="12" t="str">
        <x:v>Business count is from 2018 while population/context indicators are newer; use as a historical proxy, not a current market count.</x:v>
      </x:c>
    </x:row>
    <x:row r="2029">
      <x:c r="A2029" s="12" t="str">
        <x:v>4782</x:v>
      </x:c>
      <x:c r="B2029" s="12" t="str">
        <x:v>Retail sale via stalls and markets of textiles, clothing and footwear</x:v>
      </x:c>
      <x:c r="C2029" s="12" t="str">
        <x:v>العقبة</x:v>
      </x:c>
      <x:c r="D2029" s="14" t="n">
        <x:v>0</x:v>
      </x:c>
      <x:c r="E2029" s="14" t="n">
        <x:f>VLOOKUP(C2029,'Governorate Master'!$A$2:$Q$13,3,FALSE)</x:f>
        <x:v>250900</x:v>
      </x:c>
      <x:c r="F2029" s="66" t="n">
        <x:f>IF(E2029=0,0,D2029/E2029*10000)</x:f>
        <x:v>0</x:v>
      </x:c>
      <x:c r="G2029" s="67" t="n">
        <x:f>VLOOKUP(C2029,'Governorate Master'!$A$2:$Q$13,7,FALSE)</x:f>
        <x:v>36.3</x:v>
      </x:c>
      <x:c r="H2029" s="20" t="n">
        <x:f>VLOOKUP(C2029,'Governorate Master'!$A$2:$Q$13,6,FALSE)</x:f>
        <x:v>0.882024711040255</x:v>
      </x:c>
      <x:c r="I2029" s="20" t="n">
        <x:f>VLOOKUP(C2029,'Governorate Master'!$A$2:$Q$13,15,FALSE)</x:f>
        <x:v>-0.09</x:v>
      </x:c>
      <x:c r="J2029" s="12" t="str">
        <x:v>Location model input - competition/saturation context</x:v>
      </x:c>
      <x:c r="K2029" s="12" t="str">
        <x:v>Business count is from 2018 while population/context indicators are newer; use as a historical proxy, not a current market count.</x:v>
      </x:c>
    </x:row>
    <x:row r="2030">
      <x:c r="A2030" s="12" t="str">
        <x:v>4789</x:v>
      </x:c>
      <x:c r="B2030" s="12" t="str">
        <x:v>Retail sale via stalls and markets of other goods</x:v>
      </x:c>
      <x:c r="C2030" s="12" t="str">
        <x:v>عمان</x:v>
      </x:c>
      <x:c r="D2030" s="14" t="n">
        <x:v>3</x:v>
      </x:c>
      <x:c r="E2030" s="14" t="n">
        <x:f>VLOOKUP(C2030,'Governorate Master'!$A$2:$Q$13,3,FALSE)</x:f>
        <x:v>5004600</x:v>
      </x:c>
      <x:c r="F2030" s="66" t="n">
        <x:f>IF(E2030=0,0,D2030/E2030*10000)</x:f>
        <x:v>0.005994485073732166</x:v>
      </x:c>
      <x:c r="G2030" s="67" t="n">
        <x:f>VLOOKUP(C2030,'Governorate Master'!$A$2:$Q$13,7,FALSE)</x:f>
        <x:v>660.3</x:v>
      </x:c>
      <x:c r="H2030" s="20" t="n">
        <x:f>VLOOKUP(C2030,'Governorate Master'!$A$2:$Q$13,6,FALSE)</x:f>
        <x:v>0.9721656076409703</x:v>
      </x:c>
      <x:c r="I2030" s="20" t="n">
        <x:f>VLOOKUP(C2030,'Governorate Master'!$A$2:$Q$13,15,FALSE)</x:f>
        <x:v>0.06367041198501873</x:v>
      </x:c>
      <x:c r="J2030" s="12" t="str">
        <x:v>Location model input - competition/saturation context</x:v>
      </x:c>
      <x:c r="K2030" s="12" t="str">
        <x:v>Business count is from 2018 while population/context indicators are newer; use as a historical proxy, not a current market count.</x:v>
      </x:c>
    </x:row>
    <x:row r="2031">
      <x:c r="A2031" s="12" t="str">
        <x:v>4789</x:v>
      </x:c>
      <x:c r="B2031" s="12" t="str">
        <x:v>Retail sale via stalls and markets of other goods</x:v>
      </x:c>
      <x:c r="C2031" s="12" t="str">
        <x:v>البلقاء</x:v>
      </x:c>
      <x:c r="D2031" s="14" t="n">
        <x:v>0</x:v>
      </x:c>
      <x:c r="E2031" s="14" t="n">
        <x:f>VLOOKUP(C2031,'Governorate Master'!$A$2:$Q$13,3,FALSE)</x:f>
        <x:v>614000</x:v>
      </x:c>
      <x:c r="F2031" s="66" t="n">
        <x:f>IF(E2031=0,0,D2031/E2031*10000)</x:f>
        <x:v>0</x:v>
      </x:c>
      <x:c r="G2031" s="67" t="n">
        <x:f>VLOOKUP(C2031,'Governorate Master'!$A$2:$Q$13,7,FALSE)</x:f>
        <x:v>548</x:v>
      </x:c>
      <x:c r="H2031" s="20" t="n">
        <x:f>VLOOKUP(C2031,'Governorate Master'!$A$2:$Q$13,6,FALSE)</x:f>
        <x:v>0.8210097719869707</x:v>
      </x:c>
      <x:c r="I2031" s="20" t="n">
        <x:f>VLOOKUP(C2031,'Governorate Master'!$A$2:$Q$13,15,FALSE)</x:f>
        <x:v>0.10794044665012408</x:v>
      </x:c>
      <x:c r="J2031" s="12" t="str">
        <x:v>Location model input - competition/saturation context</x:v>
      </x:c>
      <x:c r="K2031" s="12" t="str">
        <x:v>Business count is from 2018 while population/context indicators are newer; use as a historical proxy, not a current market count.</x:v>
      </x:c>
    </x:row>
    <x:row r="2032">
      <x:c r="A2032" s="12" t="str">
        <x:v>4789</x:v>
      </x:c>
      <x:c r="B2032" s="12" t="str">
        <x:v>Retail sale via stalls and markets of other goods</x:v>
      </x:c>
      <x:c r="C2032" s="12" t="str">
        <x:v>الزرقاء</x:v>
      </x:c>
      <x:c r="D2032" s="14" t="n">
        <x:v>0</x:v>
      </x:c>
      <x:c r="E2032" s="14" t="n">
        <x:f>VLOOKUP(C2032,'Governorate Master'!$A$2:$Q$13,3,FALSE)</x:f>
        <x:v>1704500</x:v>
      </x:c>
      <x:c r="F2032" s="66" t="n">
        <x:f>IF(E2032=0,0,D2032/E2032*10000)</x:f>
        <x:v>0</x:v>
      </x:c>
      <x:c r="G2032" s="67" t="n">
        <x:f>VLOOKUP(C2032,'Governorate Master'!$A$2:$Q$13,7,FALSE)</x:f>
        <x:v>358</x:v>
      </x:c>
      <x:c r="H2032" s="20" t="n">
        <x:f>VLOOKUP(C2032,'Governorate Master'!$A$2:$Q$13,6,FALSE)</x:f>
        <x:v>0.9636256966852449</x:v>
      </x:c>
      <x:c r="I2032" s="20" t="n">
        <x:f>VLOOKUP(C2032,'Governorate Master'!$A$2:$Q$13,15,FALSE)</x:f>
        <x:v>-0.06808762581409118</x:v>
      </x:c>
      <x:c r="J2032" s="12" t="str">
        <x:v>Location model input - competition/saturation context</x:v>
      </x:c>
      <x:c r="K2032" s="12" t="str">
        <x:v>Business count is from 2018 while population/context indicators are newer; use as a historical proxy, not a current market count.</x:v>
      </x:c>
    </x:row>
    <x:row r="2033">
      <x:c r="A2033" s="12" t="str">
        <x:v>4789</x:v>
      </x:c>
      <x:c r="B2033" s="12" t="str">
        <x:v>Retail sale via stalls and markets of other goods</x:v>
      </x:c>
      <x:c r="C2033" s="12" t="str">
        <x:v>مادبا</x:v>
      </x:c>
      <x:c r="D2033" s="14" t="n">
        <x:v>0</x:v>
      </x:c>
      <x:c r="E2033" s="14" t="n">
        <x:f>VLOOKUP(C2033,'Governorate Master'!$A$2:$Q$13,3,FALSE)</x:f>
        <x:v>236200</x:v>
      </x:c>
      <x:c r="F2033" s="66" t="n">
        <x:f>IF(E2033=0,0,D2033/E2033*10000)</x:f>
        <x:v>0</x:v>
      </x:c>
      <x:c r="G2033" s="67" t="n">
        <x:f>VLOOKUP(C2033,'Governorate Master'!$A$2:$Q$13,7,FALSE)</x:f>
        <x:v>251.4</x:v>
      </x:c>
      <x:c r="H2033" s="20" t="n">
        <x:f>VLOOKUP(C2033,'Governorate Master'!$A$2:$Q$13,6,FALSE)</x:f>
        <x:v>0.7823878069432684</x:v>
      </x:c>
      <x:c r="I2033" s="20" t="n">
        <x:f>VLOOKUP(C2033,'Governorate Master'!$A$2:$Q$13,15,FALSE)</x:f>
        <x:v>-0.18823529411764706</x:v>
      </x:c>
      <x:c r="J2033" s="12" t="str">
        <x:v>Location model input - competition/saturation context</x:v>
      </x:c>
      <x:c r="K2033" s="12" t="str">
        <x:v>Business count is from 2018 while population/context indicators are newer; use as a historical proxy, not a current market count.</x:v>
      </x:c>
    </x:row>
    <x:row r="2034">
      <x:c r="A2034" s="12" t="str">
        <x:v>4789</x:v>
      </x:c>
      <x:c r="B2034" s="12" t="str">
        <x:v>Retail sale via stalls and markets of other goods</x:v>
      </x:c>
      <x:c r="C2034" s="12" t="str">
        <x:v>إربد</x:v>
      </x:c>
      <x:c r="D2034" s="14" t="n">
        <x:v>0</x:v>
      </x:c>
      <x:c r="E2034" s="14" t="n">
        <x:f>VLOOKUP(C2034,'Governorate Master'!$A$2:$Q$13,3,FALSE)</x:f>
        <x:v>2210500</x:v>
      </x:c>
      <x:c r="F2034" s="66" t="n">
        <x:f>IF(E2034=0,0,D2034/E2034*10000)</x:f>
        <x:v>0</x:v>
      </x:c>
      <x:c r="G2034" s="67" t="n">
        <x:f>VLOOKUP(C2034,'Governorate Master'!$A$2:$Q$13,7,FALSE)</x:f>
        <x:v>1406.4</x:v>
      </x:c>
      <x:c r="H2034" s="20" t="n">
        <x:f>VLOOKUP(C2034,'Governorate Master'!$A$2:$Q$13,6,FALSE)</x:f>
        <x:v>0.9235014702555983</x:v>
      </x:c>
      <x:c r="I2034" s="20" t="n">
        <x:f>VLOOKUP(C2034,'Governorate Master'!$A$2:$Q$13,15,FALSE)</x:f>
        <x:v>0.07086922474549726</x:v>
      </x:c>
      <x:c r="J2034" s="12" t="str">
        <x:v>Location model input - competition/saturation context</x:v>
      </x:c>
      <x:c r="K2034" s="12" t="str">
        <x:v>Business count is from 2018 while population/context indicators are newer; use as a historical proxy, not a current market count.</x:v>
      </x:c>
    </x:row>
    <x:row r="2035">
      <x:c r="A2035" s="12" t="str">
        <x:v>4789</x:v>
      </x:c>
      <x:c r="B2035" s="12" t="str">
        <x:v>Retail sale via stalls and markets of other goods</x:v>
      </x:c>
      <x:c r="C2035" s="12" t="str">
        <x:v>المفرق</x:v>
      </x:c>
      <x:c r="D2035" s="14" t="n">
        <x:v>0</x:v>
      </x:c>
      <x:c r="E2035" s="14" t="n">
        <x:f>VLOOKUP(C2035,'Governorate Master'!$A$2:$Q$13,3,FALSE)</x:f>
        <x:v>686800</x:v>
      </x:c>
      <x:c r="F2035" s="66" t="n">
        <x:f>IF(E2035=0,0,D2035/E2035*10000)</x:f>
        <x:v>0</x:v>
      </x:c>
      <x:c r="G2035" s="67" t="n">
        <x:f>VLOOKUP(C2035,'Governorate Master'!$A$2:$Q$13,7,FALSE)</x:f>
        <x:v>25.9</x:v>
      </x:c>
      <x:c r="H2035" s="20" t="n">
        <x:f>VLOOKUP(C2035,'Governorate Master'!$A$2:$Q$13,6,FALSE)</x:f>
        <x:v>0.6965637740244612</x:v>
      </x:c>
      <x:c r="I2035" s="20" t="n">
        <x:f>VLOOKUP(C2035,'Governorate Master'!$A$2:$Q$13,15,FALSE)</x:f>
        <x:v>-0.016638935108153077</x:v>
      </x:c>
      <x:c r="J2035" s="12" t="str">
        <x:v>Location model input - competition/saturation context</x:v>
      </x:c>
      <x:c r="K2035" s="12" t="str">
        <x:v>Business count is from 2018 while population/context indicators are newer; use as a historical proxy, not a current market count.</x:v>
      </x:c>
    </x:row>
    <x:row r="2036">
      <x:c r="A2036" s="12" t="str">
        <x:v>4789</x:v>
      </x:c>
      <x:c r="B2036" s="12" t="str">
        <x:v>Retail sale via stalls and markets of other goods</x:v>
      </x:c>
      <x:c r="C2036" s="12" t="str">
        <x:v>جرش</x:v>
      </x:c>
      <x:c r="D2036" s="14" t="n">
        <x:v>0</x:v>
      </x:c>
      <x:c r="E2036" s="14" t="n">
        <x:f>VLOOKUP(C2036,'Governorate Master'!$A$2:$Q$13,3,FALSE)</x:f>
        <x:v>296000</x:v>
      </x:c>
      <x:c r="F2036" s="66" t="n">
        <x:f>IF(E2036=0,0,D2036/E2036*10000)</x:f>
        <x:v>0</x:v>
      </x:c>
      <x:c r="G2036" s="67" t="n">
        <x:f>VLOOKUP(C2036,'Governorate Master'!$A$2:$Q$13,7,FALSE)</x:f>
        <x:v>722.3</x:v>
      </x:c>
      <x:c r="H2036" s="20" t="n">
        <x:f>VLOOKUP(C2036,'Governorate Master'!$A$2:$Q$13,6,FALSE)</x:f>
        <x:v>0.7695945945945946</x:v>
      </x:c>
      <x:c r="I2036" s="20" t="n">
        <x:f>VLOOKUP(C2036,'Governorate Master'!$A$2:$Q$13,15,FALSE)</x:f>
        <x:v>-0.06527415143603134</x:v>
      </x:c>
      <x:c r="J2036" s="12" t="str">
        <x:v>Location model input - competition/saturation context</x:v>
      </x:c>
      <x:c r="K2036" s="12" t="str">
        <x:v>Business count is from 2018 while population/context indicators are newer; use as a historical proxy, not a current market count.</x:v>
      </x:c>
    </x:row>
    <x:row r="2037">
      <x:c r="A2037" s="12" t="str">
        <x:v>4789</x:v>
      </x:c>
      <x:c r="B2037" s="12" t="str">
        <x:v>Retail sale via stalls and markets of other goods</x:v>
      </x:c>
      <x:c r="C2037" s="12" t="str">
        <x:v>عجلون</x:v>
      </x:c>
      <x:c r="D2037" s="14" t="n">
        <x:v>0</x:v>
      </x:c>
      <x:c r="E2037" s="14" t="n">
        <x:f>VLOOKUP(C2037,'Governorate Master'!$A$2:$Q$13,3,FALSE)</x:f>
        <x:v>219900</x:v>
      </x:c>
      <x:c r="F2037" s="66" t="n">
        <x:f>IF(E2037=0,0,D2037/E2037*10000)</x:f>
        <x:v>0</x:v>
      </x:c>
      <x:c r="G2037" s="67" t="n">
        <x:f>VLOOKUP(C2037,'Governorate Master'!$A$2:$Q$13,7,FALSE)</x:f>
        <x:v>524</x:v>
      </x:c>
      <x:c r="H2037" s="20" t="n">
        <x:f>VLOOKUP(C2037,'Governorate Master'!$A$2:$Q$13,6,FALSE)</x:f>
        <x:v>0.8390177353342428</x:v>
      </x:c>
      <x:c r="I2037" s="20" t="n">
        <x:f>VLOOKUP(C2037,'Governorate Master'!$A$2:$Q$13,15,FALSE)</x:f>
        <x:v>0.03614457831325301</x:v>
      </x:c>
      <x:c r="J2037" s="12" t="str">
        <x:v>Location model input - competition/saturation context</x:v>
      </x:c>
      <x:c r="K2037" s="12" t="str">
        <x:v>Business count is from 2018 while population/context indicators are newer; use as a historical proxy, not a current market count.</x:v>
      </x:c>
    </x:row>
    <x:row r="2038">
      <x:c r="A2038" s="12" t="str">
        <x:v>4789</x:v>
      </x:c>
      <x:c r="B2038" s="12" t="str">
        <x:v>Retail sale via stalls and markets of other goods</x:v>
      </x:c>
      <x:c r="C2038" s="12" t="str">
        <x:v>الكرك</x:v>
      </x:c>
      <x:c r="D2038" s="14" t="n">
        <x:v>0</x:v>
      </x:c>
      <x:c r="E2038" s="14" t="n">
        <x:f>VLOOKUP(C2038,'Governorate Master'!$A$2:$Q$13,3,FALSE)</x:f>
        <x:v>395400</x:v>
      </x:c>
      <x:c r="F2038" s="66" t="n">
        <x:f>IF(E2038=0,0,D2038/E2038*10000)</x:f>
        <x:v>0</x:v>
      </x:c>
      <x:c r="G2038" s="67" t="n">
        <x:f>VLOOKUP(C2038,'Governorate Master'!$A$2:$Q$13,7,FALSE)</x:f>
        <x:v>113.1</x:v>
      </x:c>
      <x:c r="H2038" s="20" t="n">
        <x:f>VLOOKUP(C2038,'Governorate Master'!$A$2:$Q$13,6,FALSE)</x:f>
        <x:v>0.5912999494183105</x:v>
      </x:c>
      <x:c r="I2038" s="20" t="n">
        <x:f>VLOOKUP(C2038,'Governorate Master'!$A$2:$Q$13,15,FALSE)</x:f>
        <x:v>0.08710801393728224</x:v>
      </x:c>
      <x:c r="J2038" s="12" t="str">
        <x:v>Location model input - competition/saturation context</x:v>
      </x:c>
      <x:c r="K2038" s="12" t="str">
        <x:v>Business count is from 2018 while population/context indicators are newer; use as a historical proxy, not a current market count.</x:v>
      </x:c>
    </x:row>
    <x:row r="2039">
      <x:c r="A2039" s="12" t="str">
        <x:v>4789</x:v>
      </x:c>
      <x:c r="B2039" s="12" t="str">
        <x:v>Retail sale via stalls and markets of other goods</x:v>
      </x:c>
      <x:c r="C2039" s="12" t="str">
        <x:v>الطفيلة</x:v>
      </x:c>
      <x:c r="D2039" s="14" t="n">
        <x:v>0</x:v>
      </x:c>
      <x:c r="E2039" s="14" t="n">
        <x:f>VLOOKUP(C2039,'Governorate Master'!$A$2:$Q$13,3,FALSE)</x:f>
        <x:v>120300</x:v>
      </x:c>
      <x:c r="F2039" s="66" t="n">
        <x:f>IF(E2039=0,0,D2039/E2039*10000)</x:f>
        <x:v>0</x:v>
      </x:c>
      <x:c r="G2039" s="67" t="n">
        <x:f>VLOOKUP(C2039,'Governorate Master'!$A$2:$Q$13,7,FALSE)</x:f>
        <x:v>54.4</x:v>
      </x:c>
      <x:c r="H2039" s="20" t="n">
        <x:f>VLOOKUP(C2039,'Governorate Master'!$A$2:$Q$13,6,FALSE)</x:f>
        <x:v>0.7797173732335827</x:v>
      </x:c>
      <x:c r="I2039" s="20" t="n">
        <x:f>VLOOKUP(C2039,'Governorate Master'!$A$2:$Q$13,15,FALSE)</x:f>
        <x:v>0.18452380952380953</x:v>
      </x:c>
      <x:c r="J2039" s="12" t="str">
        <x:v>Location model input - competition/saturation context</x:v>
      </x:c>
      <x:c r="K2039" s="12" t="str">
        <x:v>Business count is from 2018 while population/context indicators are newer; use as a historical proxy, not a current market count.</x:v>
      </x:c>
    </x:row>
    <x:row r="2040">
      <x:c r="A2040" s="12" t="str">
        <x:v>4789</x:v>
      </x:c>
      <x:c r="B2040" s="12" t="str">
        <x:v>Retail sale via stalls and markets of other goods</x:v>
      </x:c>
      <x:c r="C2040" s="12" t="str">
        <x:v>معان</x:v>
      </x:c>
      <x:c r="D2040" s="14" t="n">
        <x:v>0</x:v>
      </x:c>
      <x:c r="E2040" s="14" t="n">
        <x:f>VLOOKUP(C2040,'Governorate Master'!$A$2:$Q$13,3,FALSE)</x:f>
        <x:v>197900</x:v>
      </x:c>
      <x:c r="F2040" s="66" t="n">
        <x:f>IF(E2040=0,0,D2040/E2040*10000)</x:f>
        <x:v>0</x:v>
      </x:c>
      <x:c r="G2040" s="67" t="n">
        <x:f>VLOOKUP(C2040,'Governorate Master'!$A$2:$Q$13,7,FALSE)</x:f>
        <x:v>6</x:v>
      </x:c>
      <x:c r="H2040" s="20" t="n">
        <x:f>VLOOKUP(C2040,'Governorate Master'!$A$2:$Q$13,6,FALSE)</x:f>
        <x:v>0.5406771096513391</x:v>
      </x:c>
      <x:c r="I2040" s="20" t="n">
        <x:f>VLOOKUP(C2040,'Governorate Master'!$A$2:$Q$13,15,FALSE)</x:f>
        <x:v>0.026845637583892617</x:v>
      </x:c>
      <x:c r="J2040" s="12" t="str">
        <x:v>Location model input - competition/saturation context</x:v>
      </x:c>
      <x:c r="K2040" s="12" t="str">
        <x:v>Business count is from 2018 while population/context indicators are newer; use as a historical proxy, not a current market count.</x:v>
      </x:c>
    </x:row>
    <x:row r="2041">
      <x:c r="A2041" s="12" t="str">
        <x:v>4789</x:v>
      </x:c>
      <x:c r="B2041" s="12" t="str">
        <x:v>Retail sale via stalls and markets of other goods</x:v>
      </x:c>
      <x:c r="C2041" s="12" t="str">
        <x:v>العقبة</x:v>
      </x:c>
      <x:c r="D2041" s="14" t="n">
        <x:v>0</x:v>
      </x:c>
      <x:c r="E2041" s="14" t="n">
        <x:f>VLOOKUP(C2041,'Governorate Master'!$A$2:$Q$13,3,FALSE)</x:f>
        <x:v>250900</x:v>
      </x:c>
      <x:c r="F2041" s="66" t="n">
        <x:f>IF(E2041=0,0,D2041/E2041*10000)</x:f>
        <x:v>0</x:v>
      </x:c>
      <x:c r="G2041" s="67" t="n">
        <x:f>VLOOKUP(C2041,'Governorate Master'!$A$2:$Q$13,7,FALSE)</x:f>
        <x:v>36.3</x:v>
      </x:c>
      <x:c r="H2041" s="20" t="n">
        <x:f>VLOOKUP(C2041,'Governorate Master'!$A$2:$Q$13,6,FALSE)</x:f>
        <x:v>0.882024711040255</x:v>
      </x:c>
      <x:c r="I2041" s="20" t="n">
        <x:f>VLOOKUP(C2041,'Governorate Master'!$A$2:$Q$13,15,FALSE)</x:f>
        <x:v>-0.09</x:v>
      </x:c>
      <x:c r="J2041" s="12" t="str">
        <x:v>Location model input - competition/saturation context</x:v>
      </x:c>
      <x:c r="K2041" s="12" t="str">
        <x:v>Business count is from 2018 while population/context indicators are newer; use as a historical proxy, not a current market count.</x:v>
      </x:c>
    </x:row>
    <x:row r="2042">
      <x:c r="A2042" s="12" t="str">
        <x:v>4791</x:v>
      </x:c>
      <x:c r="B2042" s="12" t="str">
        <x:v>Retail sale via mail order houses or via Internet</x:v>
      </x:c>
      <x:c r="C2042" s="12" t="str">
        <x:v>عمان</x:v>
      </x:c>
      <x:c r="D2042" s="14" t="n">
        <x:v>40</x:v>
      </x:c>
      <x:c r="E2042" s="14" t="n">
        <x:f>VLOOKUP(C2042,'Governorate Master'!$A$2:$Q$13,3,FALSE)</x:f>
        <x:v>5004600</x:v>
      </x:c>
      <x:c r="F2042" s="66" t="n">
        <x:f>IF(E2042=0,0,D2042/E2042*10000)</x:f>
        <x:v>0.07992646764976222</x:v>
      </x:c>
      <x:c r="G2042" s="67" t="n">
        <x:f>VLOOKUP(C2042,'Governorate Master'!$A$2:$Q$13,7,FALSE)</x:f>
        <x:v>660.3</x:v>
      </x:c>
      <x:c r="H2042" s="20" t="n">
        <x:f>VLOOKUP(C2042,'Governorate Master'!$A$2:$Q$13,6,FALSE)</x:f>
        <x:v>0.9721656076409703</x:v>
      </x:c>
      <x:c r="I2042" s="20" t="n">
        <x:f>VLOOKUP(C2042,'Governorate Master'!$A$2:$Q$13,15,FALSE)</x:f>
        <x:v>0.06367041198501873</x:v>
      </x:c>
      <x:c r="J2042" s="12" t="str">
        <x:v>Location model input - competition/saturation context</x:v>
      </x:c>
      <x:c r="K2042" s="12" t="str">
        <x:v>Business count is from 2018 while population/context indicators are newer; use as a historical proxy, not a current market count.</x:v>
      </x:c>
    </x:row>
    <x:row r="2043">
      <x:c r="A2043" s="12" t="str">
        <x:v>4791</x:v>
      </x:c>
      <x:c r="B2043" s="12" t="str">
        <x:v>Retail sale via mail order houses or via Internet</x:v>
      </x:c>
      <x:c r="C2043" s="12" t="str">
        <x:v>البلقاء</x:v>
      </x:c>
      <x:c r="D2043" s="14" t="n">
        <x:v>0</x:v>
      </x:c>
      <x:c r="E2043" s="14" t="n">
        <x:f>VLOOKUP(C2043,'Governorate Master'!$A$2:$Q$13,3,FALSE)</x:f>
        <x:v>614000</x:v>
      </x:c>
      <x:c r="F2043" s="66" t="n">
        <x:f>IF(E2043=0,0,D2043/E2043*10000)</x:f>
        <x:v>0</x:v>
      </x:c>
      <x:c r="G2043" s="67" t="n">
        <x:f>VLOOKUP(C2043,'Governorate Master'!$A$2:$Q$13,7,FALSE)</x:f>
        <x:v>548</x:v>
      </x:c>
      <x:c r="H2043" s="20" t="n">
        <x:f>VLOOKUP(C2043,'Governorate Master'!$A$2:$Q$13,6,FALSE)</x:f>
        <x:v>0.8210097719869707</x:v>
      </x:c>
      <x:c r="I2043" s="20" t="n">
        <x:f>VLOOKUP(C2043,'Governorate Master'!$A$2:$Q$13,15,FALSE)</x:f>
        <x:v>0.10794044665012408</x:v>
      </x:c>
      <x:c r="J2043" s="12" t="str">
        <x:v>Location model input - competition/saturation context</x:v>
      </x:c>
      <x:c r="K2043" s="12" t="str">
        <x:v>Business count is from 2018 while population/context indicators are newer; use as a historical proxy, not a current market count.</x:v>
      </x:c>
    </x:row>
    <x:row r="2044">
      <x:c r="A2044" s="12" t="str">
        <x:v>4791</x:v>
      </x:c>
      <x:c r="B2044" s="12" t="str">
        <x:v>Retail sale via mail order houses or via Internet</x:v>
      </x:c>
      <x:c r="C2044" s="12" t="str">
        <x:v>الزرقاء</x:v>
      </x:c>
      <x:c r="D2044" s="14" t="n">
        <x:v>1</x:v>
      </x:c>
      <x:c r="E2044" s="14" t="n">
        <x:f>VLOOKUP(C2044,'Governorate Master'!$A$2:$Q$13,3,FALSE)</x:f>
        <x:v>1704500</x:v>
      </x:c>
      <x:c r="F2044" s="66" t="n">
        <x:f>IF(E2044=0,0,D2044/E2044*10000)</x:f>
        <x:v>0.005866823115283074</x:v>
      </x:c>
      <x:c r="G2044" s="67" t="n">
        <x:f>VLOOKUP(C2044,'Governorate Master'!$A$2:$Q$13,7,FALSE)</x:f>
        <x:v>358</x:v>
      </x:c>
      <x:c r="H2044" s="20" t="n">
        <x:f>VLOOKUP(C2044,'Governorate Master'!$A$2:$Q$13,6,FALSE)</x:f>
        <x:v>0.9636256966852449</x:v>
      </x:c>
      <x:c r="I2044" s="20" t="n">
        <x:f>VLOOKUP(C2044,'Governorate Master'!$A$2:$Q$13,15,FALSE)</x:f>
        <x:v>-0.06808762581409118</x:v>
      </x:c>
      <x:c r="J2044" s="12" t="str">
        <x:v>Location model input - competition/saturation context</x:v>
      </x:c>
      <x:c r="K2044" s="12" t="str">
        <x:v>Business count is from 2018 while population/context indicators are newer; use as a historical proxy, not a current market count.</x:v>
      </x:c>
    </x:row>
    <x:row r="2045">
      <x:c r="A2045" s="12" t="str">
        <x:v>4791</x:v>
      </x:c>
      <x:c r="B2045" s="12" t="str">
        <x:v>Retail sale via mail order houses or via Internet</x:v>
      </x:c>
      <x:c r="C2045" s="12" t="str">
        <x:v>مادبا</x:v>
      </x:c>
      <x:c r="D2045" s="14" t="n">
        <x:v>0</x:v>
      </x:c>
      <x:c r="E2045" s="14" t="n">
        <x:f>VLOOKUP(C2045,'Governorate Master'!$A$2:$Q$13,3,FALSE)</x:f>
        <x:v>236200</x:v>
      </x:c>
      <x:c r="F2045" s="66" t="n">
        <x:f>IF(E2045=0,0,D2045/E2045*10000)</x:f>
        <x:v>0</x:v>
      </x:c>
      <x:c r="G2045" s="67" t="n">
        <x:f>VLOOKUP(C2045,'Governorate Master'!$A$2:$Q$13,7,FALSE)</x:f>
        <x:v>251.4</x:v>
      </x:c>
      <x:c r="H2045" s="20" t="n">
        <x:f>VLOOKUP(C2045,'Governorate Master'!$A$2:$Q$13,6,FALSE)</x:f>
        <x:v>0.7823878069432684</x:v>
      </x:c>
      <x:c r="I2045" s="20" t="n">
        <x:f>VLOOKUP(C2045,'Governorate Master'!$A$2:$Q$13,15,FALSE)</x:f>
        <x:v>-0.18823529411764706</x:v>
      </x:c>
      <x:c r="J2045" s="12" t="str">
        <x:v>Location model input - competition/saturation context</x:v>
      </x:c>
      <x:c r="K2045" s="12" t="str">
        <x:v>Business count is from 2018 while population/context indicators are newer; use as a historical proxy, not a current market count.</x:v>
      </x:c>
    </x:row>
    <x:row r="2046">
      <x:c r="A2046" s="12" t="str">
        <x:v>4791</x:v>
      </x:c>
      <x:c r="B2046" s="12" t="str">
        <x:v>Retail sale via mail order houses or via Internet</x:v>
      </x:c>
      <x:c r="C2046" s="12" t="str">
        <x:v>إربد</x:v>
      </x:c>
      <x:c r="D2046" s="14" t="n">
        <x:v>2</x:v>
      </x:c>
      <x:c r="E2046" s="14" t="n">
        <x:f>VLOOKUP(C2046,'Governorate Master'!$A$2:$Q$13,3,FALSE)</x:f>
        <x:v>2210500</x:v>
      </x:c>
      <x:c r="F2046" s="66" t="n">
        <x:f>IF(E2046=0,0,D2046/E2046*10000)</x:f>
        <x:v>0.009047726758651889</x:v>
      </x:c>
      <x:c r="G2046" s="67" t="n">
        <x:f>VLOOKUP(C2046,'Governorate Master'!$A$2:$Q$13,7,FALSE)</x:f>
        <x:v>1406.4</x:v>
      </x:c>
      <x:c r="H2046" s="20" t="n">
        <x:f>VLOOKUP(C2046,'Governorate Master'!$A$2:$Q$13,6,FALSE)</x:f>
        <x:v>0.9235014702555983</x:v>
      </x:c>
      <x:c r="I2046" s="20" t="n">
        <x:f>VLOOKUP(C2046,'Governorate Master'!$A$2:$Q$13,15,FALSE)</x:f>
        <x:v>0.07086922474549726</x:v>
      </x:c>
      <x:c r="J2046" s="12" t="str">
        <x:v>Location model input - competition/saturation context</x:v>
      </x:c>
      <x:c r="K2046" s="12" t="str">
        <x:v>Business count is from 2018 while population/context indicators are newer; use as a historical proxy, not a current market count.</x:v>
      </x:c>
    </x:row>
    <x:row r="2047">
      <x:c r="A2047" s="12" t="str">
        <x:v>4791</x:v>
      </x:c>
      <x:c r="B2047" s="12" t="str">
        <x:v>Retail sale via mail order houses or via Internet</x:v>
      </x:c>
      <x:c r="C2047" s="12" t="str">
        <x:v>المفرق</x:v>
      </x:c>
      <x:c r="D2047" s="14" t="n">
        <x:v>0</x:v>
      </x:c>
      <x:c r="E2047" s="14" t="n">
        <x:f>VLOOKUP(C2047,'Governorate Master'!$A$2:$Q$13,3,FALSE)</x:f>
        <x:v>686800</x:v>
      </x:c>
      <x:c r="F2047" s="66" t="n">
        <x:f>IF(E2047=0,0,D2047/E2047*10000)</x:f>
        <x:v>0</x:v>
      </x:c>
      <x:c r="G2047" s="67" t="n">
        <x:f>VLOOKUP(C2047,'Governorate Master'!$A$2:$Q$13,7,FALSE)</x:f>
        <x:v>25.9</x:v>
      </x:c>
      <x:c r="H2047" s="20" t="n">
        <x:f>VLOOKUP(C2047,'Governorate Master'!$A$2:$Q$13,6,FALSE)</x:f>
        <x:v>0.6965637740244612</x:v>
      </x:c>
      <x:c r="I2047" s="20" t="n">
        <x:f>VLOOKUP(C2047,'Governorate Master'!$A$2:$Q$13,15,FALSE)</x:f>
        <x:v>-0.016638935108153077</x:v>
      </x:c>
      <x:c r="J2047" s="12" t="str">
        <x:v>Location model input - competition/saturation context</x:v>
      </x:c>
      <x:c r="K2047" s="12" t="str">
        <x:v>Business count is from 2018 while population/context indicators are newer; use as a historical proxy, not a current market count.</x:v>
      </x:c>
    </x:row>
    <x:row r="2048">
      <x:c r="A2048" s="12" t="str">
        <x:v>4791</x:v>
      </x:c>
      <x:c r="B2048" s="12" t="str">
        <x:v>Retail sale via mail order houses or via Internet</x:v>
      </x:c>
      <x:c r="C2048" s="12" t="str">
        <x:v>جرش</x:v>
      </x:c>
      <x:c r="D2048" s="14" t="n">
        <x:v>0</x:v>
      </x:c>
      <x:c r="E2048" s="14" t="n">
        <x:f>VLOOKUP(C2048,'Governorate Master'!$A$2:$Q$13,3,FALSE)</x:f>
        <x:v>296000</x:v>
      </x:c>
      <x:c r="F2048" s="66" t="n">
        <x:f>IF(E2048=0,0,D2048/E2048*10000)</x:f>
        <x:v>0</x:v>
      </x:c>
      <x:c r="G2048" s="67" t="n">
        <x:f>VLOOKUP(C2048,'Governorate Master'!$A$2:$Q$13,7,FALSE)</x:f>
        <x:v>722.3</x:v>
      </x:c>
      <x:c r="H2048" s="20" t="n">
        <x:f>VLOOKUP(C2048,'Governorate Master'!$A$2:$Q$13,6,FALSE)</x:f>
        <x:v>0.7695945945945946</x:v>
      </x:c>
      <x:c r="I2048" s="20" t="n">
        <x:f>VLOOKUP(C2048,'Governorate Master'!$A$2:$Q$13,15,FALSE)</x:f>
        <x:v>-0.06527415143603134</x:v>
      </x:c>
      <x:c r="J2048" s="12" t="str">
        <x:v>Location model input - competition/saturation context</x:v>
      </x:c>
      <x:c r="K2048" s="12" t="str">
        <x:v>Business count is from 2018 while population/context indicators are newer; use as a historical proxy, not a current market count.</x:v>
      </x:c>
    </x:row>
    <x:row r="2049">
      <x:c r="A2049" s="12" t="str">
        <x:v>4791</x:v>
      </x:c>
      <x:c r="B2049" s="12" t="str">
        <x:v>Retail sale via mail order houses or via Internet</x:v>
      </x:c>
      <x:c r="C2049" s="12" t="str">
        <x:v>عجلون</x:v>
      </x:c>
      <x:c r="D2049" s="14" t="n">
        <x:v>0</x:v>
      </x:c>
      <x:c r="E2049" s="14" t="n">
        <x:f>VLOOKUP(C2049,'Governorate Master'!$A$2:$Q$13,3,FALSE)</x:f>
        <x:v>219900</x:v>
      </x:c>
      <x:c r="F2049" s="66" t="n">
        <x:f>IF(E2049=0,0,D2049/E2049*10000)</x:f>
        <x:v>0</x:v>
      </x:c>
      <x:c r="G2049" s="67" t="n">
        <x:f>VLOOKUP(C2049,'Governorate Master'!$A$2:$Q$13,7,FALSE)</x:f>
        <x:v>524</x:v>
      </x:c>
      <x:c r="H2049" s="20" t="n">
        <x:f>VLOOKUP(C2049,'Governorate Master'!$A$2:$Q$13,6,FALSE)</x:f>
        <x:v>0.8390177353342428</x:v>
      </x:c>
      <x:c r="I2049" s="20" t="n">
        <x:f>VLOOKUP(C2049,'Governorate Master'!$A$2:$Q$13,15,FALSE)</x:f>
        <x:v>0.03614457831325301</x:v>
      </x:c>
      <x:c r="J2049" s="12" t="str">
        <x:v>Location model input - competition/saturation context</x:v>
      </x:c>
      <x:c r="K2049" s="12" t="str">
        <x:v>Business count is from 2018 while population/context indicators are newer; use as a historical proxy, not a current market count.</x:v>
      </x:c>
    </x:row>
    <x:row r="2050">
      <x:c r="A2050" s="12" t="str">
        <x:v>4791</x:v>
      </x:c>
      <x:c r="B2050" s="12" t="str">
        <x:v>Retail sale via mail order houses or via Internet</x:v>
      </x:c>
      <x:c r="C2050" s="12" t="str">
        <x:v>الكرك</x:v>
      </x:c>
      <x:c r="D2050" s="14" t="n">
        <x:v>0</x:v>
      </x:c>
      <x:c r="E2050" s="14" t="n">
        <x:f>VLOOKUP(C2050,'Governorate Master'!$A$2:$Q$13,3,FALSE)</x:f>
        <x:v>395400</x:v>
      </x:c>
      <x:c r="F2050" s="66" t="n">
        <x:f>IF(E2050=0,0,D2050/E2050*10000)</x:f>
        <x:v>0</x:v>
      </x:c>
      <x:c r="G2050" s="67" t="n">
        <x:f>VLOOKUP(C2050,'Governorate Master'!$A$2:$Q$13,7,FALSE)</x:f>
        <x:v>113.1</x:v>
      </x:c>
      <x:c r="H2050" s="20" t="n">
        <x:f>VLOOKUP(C2050,'Governorate Master'!$A$2:$Q$13,6,FALSE)</x:f>
        <x:v>0.5912999494183105</x:v>
      </x:c>
      <x:c r="I2050" s="20" t="n">
        <x:f>VLOOKUP(C2050,'Governorate Master'!$A$2:$Q$13,15,FALSE)</x:f>
        <x:v>0.08710801393728224</x:v>
      </x:c>
      <x:c r="J2050" s="12" t="str">
        <x:v>Location model input - competition/saturation context</x:v>
      </x:c>
      <x:c r="K2050" s="12" t="str">
        <x:v>Business count is from 2018 while population/context indicators are newer; use as a historical proxy, not a current market count.</x:v>
      </x:c>
    </x:row>
    <x:row r="2051">
      <x:c r="A2051" s="12" t="str">
        <x:v>4791</x:v>
      </x:c>
      <x:c r="B2051" s="12" t="str">
        <x:v>Retail sale via mail order houses or via Internet</x:v>
      </x:c>
      <x:c r="C2051" s="12" t="str">
        <x:v>الطفيلة</x:v>
      </x:c>
      <x:c r="D2051" s="14" t="n">
        <x:v>0</x:v>
      </x:c>
      <x:c r="E2051" s="14" t="n">
        <x:f>VLOOKUP(C2051,'Governorate Master'!$A$2:$Q$13,3,FALSE)</x:f>
        <x:v>120300</x:v>
      </x:c>
      <x:c r="F2051" s="66" t="n">
        <x:f>IF(E2051=0,0,D2051/E2051*10000)</x:f>
        <x:v>0</x:v>
      </x:c>
      <x:c r="G2051" s="67" t="n">
        <x:f>VLOOKUP(C2051,'Governorate Master'!$A$2:$Q$13,7,FALSE)</x:f>
        <x:v>54.4</x:v>
      </x:c>
      <x:c r="H2051" s="20" t="n">
        <x:f>VLOOKUP(C2051,'Governorate Master'!$A$2:$Q$13,6,FALSE)</x:f>
        <x:v>0.7797173732335827</x:v>
      </x:c>
      <x:c r="I2051" s="20" t="n">
        <x:f>VLOOKUP(C2051,'Governorate Master'!$A$2:$Q$13,15,FALSE)</x:f>
        <x:v>0.18452380952380953</x:v>
      </x:c>
      <x:c r="J2051" s="12" t="str">
        <x:v>Location model input - competition/saturation context</x:v>
      </x:c>
      <x:c r="K2051" s="12" t="str">
        <x:v>Business count is from 2018 while population/context indicators are newer; use as a historical proxy, not a current market count.</x:v>
      </x:c>
    </x:row>
    <x:row r="2052">
      <x:c r="A2052" s="12" t="str">
        <x:v>4791</x:v>
      </x:c>
      <x:c r="B2052" s="12" t="str">
        <x:v>Retail sale via mail order houses or via Internet</x:v>
      </x:c>
      <x:c r="C2052" s="12" t="str">
        <x:v>معان</x:v>
      </x:c>
      <x:c r="D2052" s="14" t="n">
        <x:v>0</x:v>
      </x:c>
      <x:c r="E2052" s="14" t="n">
        <x:f>VLOOKUP(C2052,'Governorate Master'!$A$2:$Q$13,3,FALSE)</x:f>
        <x:v>197900</x:v>
      </x:c>
      <x:c r="F2052" s="66" t="n">
        <x:f>IF(E2052=0,0,D2052/E2052*10000)</x:f>
        <x:v>0</x:v>
      </x:c>
      <x:c r="G2052" s="67" t="n">
        <x:f>VLOOKUP(C2052,'Governorate Master'!$A$2:$Q$13,7,FALSE)</x:f>
        <x:v>6</x:v>
      </x:c>
      <x:c r="H2052" s="20" t="n">
        <x:f>VLOOKUP(C2052,'Governorate Master'!$A$2:$Q$13,6,FALSE)</x:f>
        <x:v>0.5406771096513391</x:v>
      </x:c>
      <x:c r="I2052" s="20" t="n">
        <x:f>VLOOKUP(C2052,'Governorate Master'!$A$2:$Q$13,15,FALSE)</x:f>
        <x:v>0.026845637583892617</x:v>
      </x:c>
      <x:c r="J2052" s="12" t="str">
        <x:v>Location model input - competition/saturation context</x:v>
      </x:c>
      <x:c r="K2052" s="12" t="str">
        <x:v>Business count is from 2018 while population/context indicators are newer; use as a historical proxy, not a current market count.</x:v>
      </x:c>
    </x:row>
    <x:row r="2053">
      <x:c r="A2053" s="12" t="str">
        <x:v>4791</x:v>
      </x:c>
      <x:c r="B2053" s="12" t="str">
        <x:v>Retail sale via mail order houses or via Internet</x:v>
      </x:c>
      <x:c r="C2053" s="12" t="str">
        <x:v>العقبة</x:v>
      </x:c>
      <x:c r="D2053" s="14" t="n">
        <x:v>0</x:v>
      </x:c>
      <x:c r="E2053" s="14" t="n">
        <x:f>VLOOKUP(C2053,'Governorate Master'!$A$2:$Q$13,3,FALSE)</x:f>
        <x:v>250900</x:v>
      </x:c>
      <x:c r="F2053" s="66" t="n">
        <x:f>IF(E2053=0,0,D2053/E2053*10000)</x:f>
        <x:v>0</x:v>
      </x:c>
      <x:c r="G2053" s="67" t="n">
        <x:f>VLOOKUP(C2053,'Governorate Master'!$A$2:$Q$13,7,FALSE)</x:f>
        <x:v>36.3</x:v>
      </x:c>
      <x:c r="H2053" s="20" t="n">
        <x:f>VLOOKUP(C2053,'Governorate Master'!$A$2:$Q$13,6,FALSE)</x:f>
        <x:v>0.882024711040255</x:v>
      </x:c>
      <x:c r="I2053" s="20" t="n">
        <x:f>VLOOKUP(C2053,'Governorate Master'!$A$2:$Q$13,15,FALSE)</x:f>
        <x:v>-0.09</x:v>
      </x:c>
      <x:c r="J2053" s="12" t="str">
        <x:v>Location model input - competition/saturation context</x:v>
      </x:c>
      <x:c r="K2053" s="12" t="str">
        <x:v>Business count is from 2018 while population/context indicators are newer; use as a historical proxy, not a current market count.</x:v>
      </x:c>
    </x:row>
    <x:row r="2054">
      <x:c r="A2054" s="12" t="str">
        <x:v>4911</x:v>
      </x:c>
      <x:c r="B2054" s="12" t="str">
        <x:v>Passenger rail transport, interurban</x:v>
      </x:c>
      <x:c r="C2054" s="12" t="str">
        <x:v>عمان</x:v>
      </x:c>
      <x:c r="D2054" s="14" t="n">
        <x:v>1</x:v>
      </x:c>
      <x:c r="E2054" s="14" t="n">
        <x:f>VLOOKUP(C2054,'Governorate Master'!$A$2:$Q$13,3,FALSE)</x:f>
        <x:v>5004600</x:v>
      </x:c>
      <x:c r="F2054" s="66" t="n">
        <x:f>IF(E2054=0,0,D2054/E2054*10000)</x:f>
        <x:v>0.0019981616912440555</x:v>
      </x:c>
      <x:c r="G2054" s="67" t="n">
        <x:f>VLOOKUP(C2054,'Governorate Master'!$A$2:$Q$13,7,FALSE)</x:f>
        <x:v>660.3</x:v>
      </x:c>
      <x:c r="H2054" s="20" t="n">
        <x:f>VLOOKUP(C2054,'Governorate Master'!$A$2:$Q$13,6,FALSE)</x:f>
        <x:v>0.9721656076409703</x:v>
      </x:c>
      <x:c r="I2054" s="20" t="n">
        <x:f>VLOOKUP(C2054,'Governorate Master'!$A$2:$Q$13,15,FALSE)</x:f>
        <x:v>0.06367041198501873</x:v>
      </x:c>
      <x:c r="J2054" s="12" t="str">
        <x:v>Location model input - competition/saturation context</x:v>
      </x:c>
      <x:c r="K2054" s="12" t="str">
        <x:v>Business count is from 2018 while population/context indicators are newer; use as a historical proxy, not a current market count.</x:v>
      </x:c>
    </x:row>
    <x:row r="2055">
      <x:c r="A2055" s="12" t="str">
        <x:v>4911</x:v>
      </x:c>
      <x:c r="B2055" s="12" t="str">
        <x:v>Passenger rail transport, interurban</x:v>
      </x:c>
      <x:c r="C2055" s="12" t="str">
        <x:v>البلقاء</x:v>
      </x:c>
      <x:c r="D2055" s="14" t="n">
        <x:v>0</x:v>
      </x:c>
      <x:c r="E2055" s="14" t="n">
        <x:f>VLOOKUP(C2055,'Governorate Master'!$A$2:$Q$13,3,FALSE)</x:f>
        <x:v>614000</x:v>
      </x:c>
      <x:c r="F2055" s="66" t="n">
        <x:f>IF(E2055=0,0,D2055/E2055*10000)</x:f>
        <x:v>0</x:v>
      </x:c>
      <x:c r="G2055" s="67" t="n">
        <x:f>VLOOKUP(C2055,'Governorate Master'!$A$2:$Q$13,7,FALSE)</x:f>
        <x:v>548</x:v>
      </x:c>
      <x:c r="H2055" s="20" t="n">
        <x:f>VLOOKUP(C2055,'Governorate Master'!$A$2:$Q$13,6,FALSE)</x:f>
        <x:v>0.8210097719869707</x:v>
      </x:c>
      <x:c r="I2055" s="20" t="n">
        <x:f>VLOOKUP(C2055,'Governorate Master'!$A$2:$Q$13,15,FALSE)</x:f>
        <x:v>0.10794044665012408</x:v>
      </x:c>
      <x:c r="J2055" s="12" t="str">
        <x:v>Location model input - competition/saturation context</x:v>
      </x:c>
      <x:c r="K2055" s="12" t="str">
        <x:v>Business count is from 2018 while population/context indicators are newer; use as a historical proxy, not a current market count.</x:v>
      </x:c>
    </x:row>
    <x:row r="2056">
      <x:c r="A2056" s="12" t="str">
        <x:v>4911</x:v>
      </x:c>
      <x:c r="B2056" s="12" t="str">
        <x:v>Passenger rail transport, interurban</x:v>
      </x:c>
      <x:c r="C2056" s="12" t="str">
        <x:v>الزرقاء</x:v>
      </x:c>
      <x:c r="D2056" s="14" t="n">
        <x:v>0</x:v>
      </x:c>
      <x:c r="E2056" s="14" t="n">
        <x:f>VLOOKUP(C2056,'Governorate Master'!$A$2:$Q$13,3,FALSE)</x:f>
        <x:v>1704500</x:v>
      </x:c>
      <x:c r="F2056" s="66" t="n">
        <x:f>IF(E2056=0,0,D2056/E2056*10000)</x:f>
        <x:v>0</x:v>
      </x:c>
      <x:c r="G2056" s="67" t="n">
        <x:f>VLOOKUP(C2056,'Governorate Master'!$A$2:$Q$13,7,FALSE)</x:f>
        <x:v>358</x:v>
      </x:c>
      <x:c r="H2056" s="20" t="n">
        <x:f>VLOOKUP(C2056,'Governorate Master'!$A$2:$Q$13,6,FALSE)</x:f>
        <x:v>0.9636256966852449</x:v>
      </x:c>
      <x:c r="I2056" s="20" t="n">
        <x:f>VLOOKUP(C2056,'Governorate Master'!$A$2:$Q$13,15,FALSE)</x:f>
        <x:v>-0.06808762581409118</x:v>
      </x:c>
      <x:c r="J2056" s="12" t="str">
        <x:v>Location model input - competition/saturation context</x:v>
      </x:c>
      <x:c r="K2056" s="12" t="str">
        <x:v>Business count is from 2018 while population/context indicators are newer; use as a historical proxy, not a current market count.</x:v>
      </x:c>
    </x:row>
    <x:row r="2057">
      <x:c r="A2057" s="12" t="str">
        <x:v>4911</x:v>
      </x:c>
      <x:c r="B2057" s="12" t="str">
        <x:v>Passenger rail transport, interurban</x:v>
      </x:c>
      <x:c r="C2057" s="12" t="str">
        <x:v>مادبا</x:v>
      </x:c>
      <x:c r="D2057" s="14" t="n">
        <x:v>0</x:v>
      </x:c>
      <x:c r="E2057" s="14" t="n">
        <x:f>VLOOKUP(C2057,'Governorate Master'!$A$2:$Q$13,3,FALSE)</x:f>
        <x:v>236200</x:v>
      </x:c>
      <x:c r="F2057" s="66" t="n">
        <x:f>IF(E2057=0,0,D2057/E2057*10000)</x:f>
        <x:v>0</x:v>
      </x:c>
      <x:c r="G2057" s="67" t="n">
        <x:f>VLOOKUP(C2057,'Governorate Master'!$A$2:$Q$13,7,FALSE)</x:f>
        <x:v>251.4</x:v>
      </x:c>
      <x:c r="H2057" s="20" t="n">
        <x:f>VLOOKUP(C2057,'Governorate Master'!$A$2:$Q$13,6,FALSE)</x:f>
        <x:v>0.7823878069432684</x:v>
      </x:c>
      <x:c r="I2057" s="20" t="n">
        <x:f>VLOOKUP(C2057,'Governorate Master'!$A$2:$Q$13,15,FALSE)</x:f>
        <x:v>-0.18823529411764706</x:v>
      </x:c>
      <x:c r="J2057" s="12" t="str">
        <x:v>Location model input - competition/saturation context</x:v>
      </x:c>
      <x:c r="K2057" s="12" t="str">
        <x:v>Business count is from 2018 while population/context indicators are newer; use as a historical proxy, not a current market count.</x:v>
      </x:c>
    </x:row>
    <x:row r="2058">
      <x:c r="A2058" s="12" t="str">
        <x:v>4911</x:v>
      </x:c>
      <x:c r="B2058" s="12" t="str">
        <x:v>Passenger rail transport, interurban</x:v>
      </x:c>
      <x:c r="C2058" s="12" t="str">
        <x:v>إربد</x:v>
      </x:c>
      <x:c r="D2058" s="14" t="n">
        <x:v>0</x:v>
      </x:c>
      <x:c r="E2058" s="14" t="n">
        <x:f>VLOOKUP(C2058,'Governorate Master'!$A$2:$Q$13,3,FALSE)</x:f>
        <x:v>2210500</x:v>
      </x:c>
      <x:c r="F2058" s="66" t="n">
        <x:f>IF(E2058=0,0,D2058/E2058*10000)</x:f>
        <x:v>0</x:v>
      </x:c>
      <x:c r="G2058" s="67" t="n">
        <x:f>VLOOKUP(C2058,'Governorate Master'!$A$2:$Q$13,7,FALSE)</x:f>
        <x:v>1406.4</x:v>
      </x:c>
      <x:c r="H2058" s="20" t="n">
        <x:f>VLOOKUP(C2058,'Governorate Master'!$A$2:$Q$13,6,FALSE)</x:f>
        <x:v>0.9235014702555983</x:v>
      </x:c>
      <x:c r="I2058" s="20" t="n">
        <x:f>VLOOKUP(C2058,'Governorate Master'!$A$2:$Q$13,15,FALSE)</x:f>
        <x:v>0.07086922474549726</x:v>
      </x:c>
      <x:c r="J2058" s="12" t="str">
        <x:v>Location model input - competition/saturation context</x:v>
      </x:c>
      <x:c r="K2058" s="12" t="str">
        <x:v>Business count is from 2018 while population/context indicators are newer; use as a historical proxy, not a current market count.</x:v>
      </x:c>
    </x:row>
    <x:row r="2059">
      <x:c r="A2059" s="12" t="str">
        <x:v>4911</x:v>
      </x:c>
      <x:c r="B2059" s="12" t="str">
        <x:v>Passenger rail transport, interurban</x:v>
      </x:c>
      <x:c r="C2059" s="12" t="str">
        <x:v>المفرق</x:v>
      </x:c>
      <x:c r="D2059" s="14" t="n">
        <x:v>0</x:v>
      </x:c>
      <x:c r="E2059" s="14" t="n">
        <x:f>VLOOKUP(C2059,'Governorate Master'!$A$2:$Q$13,3,FALSE)</x:f>
        <x:v>686800</x:v>
      </x:c>
      <x:c r="F2059" s="66" t="n">
        <x:f>IF(E2059=0,0,D2059/E2059*10000)</x:f>
        <x:v>0</x:v>
      </x:c>
      <x:c r="G2059" s="67" t="n">
        <x:f>VLOOKUP(C2059,'Governorate Master'!$A$2:$Q$13,7,FALSE)</x:f>
        <x:v>25.9</x:v>
      </x:c>
      <x:c r="H2059" s="20" t="n">
        <x:f>VLOOKUP(C2059,'Governorate Master'!$A$2:$Q$13,6,FALSE)</x:f>
        <x:v>0.6965637740244612</x:v>
      </x:c>
      <x:c r="I2059" s="20" t="n">
        <x:f>VLOOKUP(C2059,'Governorate Master'!$A$2:$Q$13,15,FALSE)</x:f>
        <x:v>-0.016638935108153077</x:v>
      </x:c>
      <x:c r="J2059" s="12" t="str">
        <x:v>Location model input - competition/saturation context</x:v>
      </x:c>
      <x:c r="K2059" s="12" t="str">
        <x:v>Business count is from 2018 while population/context indicators are newer; use as a historical proxy, not a current market count.</x:v>
      </x:c>
    </x:row>
    <x:row r="2060">
      <x:c r="A2060" s="12" t="str">
        <x:v>4911</x:v>
      </x:c>
      <x:c r="B2060" s="12" t="str">
        <x:v>Passenger rail transport, interurban</x:v>
      </x:c>
      <x:c r="C2060" s="12" t="str">
        <x:v>جرش</x:v>
      </x:c>
      <x:c r="D2060" s="14" t="n">
        <x:v>0</x:v>
      </x:c>
      <x:c r="E2060" s="14" t="n">
        <x:f>VLOOKUP(C2060,'Governorate Master'!$A$2:$Q$13,3,FALSE)</x:f>
        <x:v>296000</x:v>
      </x:c>
      <x:c r="F2060" s="66" t="n">
        <x:f>IF(E2060=0,0,D2060/E2060*10000)</x:f>
        <x:v>0</x:v>
      </x:c>
      <x:c r="G2060" s="67" t="n">
        <x:f>VLOOKUP(C2060,'Governorate Master'!$A$2:$Q$13,7,FALSE)</x:f>
        <x:v>722.3</x:v>
      </x:c>
      <x:c r="H2060" s="20" t="n">
        <x:f>VLOOKUP(C2060,'Governorate Master'!$A$2:$Q$13,6,FALSE)</x:f>
        <x:v>0.7695945945945946</x:v>
      </x:c>
      <x:c r="I2060" s="20" t="n">
        <x:f>VLOOKUP(C2060,'Governorate Master'!$A$2:$Q$13,15,FALSE)</x:f>
        <x:v>-0.06527415143603134</x:v>
      </x:c>
      <x:c r="J2060" s="12" t="str">
        <x:v>Location model input - competition/saturation context</x:v>
      </x:c>
      <x:c r="K2060" s="12" t="str">
        <x:v>Business count is from 2018 while population/context indicators are newer; use as a historical proxy, not a current market count.</x:v>
      </x:c>
    </x:row>
    <x:row r="2061">
      <x:c r="A2061" s="12" t="str">
        <x:v>4911</x:v>
      </x:c>
      <x:c r="B2061" s="12" t="str">
        <x:v>Passenger rail transport, interurban</x:v>
      </x:c>
      <x:c r="C2061" s="12" t="str">
        <x:v>عجلون</x:v>
      </x:c>
      <x:c r="D2061" s="14" t="n">
        <x:v>0</x:v>
      </x:c>
      <x:c r="E2061" s="14" t="n">
        <x:f>VLOOKUP(C2061,'Governorate Master'!$A$2:$Q$13,3,FALSE)</x:f>
        <x:v>219900</x:v>
      </x:c>
      <x:c r="F2061" s="66" t="n">
        <x:f>IF(E2061=0,0,D2061/E2061*10000)</x:f>
        <x:v>0</x:v>
      </x:c>
      <x:c r="G2061" s="67" t="n">
        <x:f>VLOOKUP(C2061,'Governorate Master'!$A$2:$Q$13,7,FALSE)</x:f>
        <x:v>524</x:v>
      </x:c>
      <x:c r="H2061" s="20" t="n">
        <x:f>VLOOKUP(C2061,'Governorate Master'!$A$2:$Q$13,6,FALSE)</x:f>
        <x:v>0.8390177353342428</x:v>
      </x:c>
      <x:c r="I2061" s="20" t="n">
        <x:f>VLOOKUP(C2061,'Governorate Master'!$A$2:$Q$13,15,FALSE)</x:f>
        <x:v>0.03614457831325301</x:v>
      </x:c>
      <x:c r="J2061" s="12" t="str">
        <x:v>Location model input - competition/saturation context</x:v>
      </x:c>
      <x:c r="K2061" s="12" t="str">
        <x:v>Business count is from 2018 while population/context indicators are newer; use as a historical proxy, not a current market count.</x:v>
      </x:c>
    </x:row>
    <x:row r="2062">
      <x:c r="A2062" s="12" t="str">
        <x:v>4911</x:v>
      </x:c>
      <x:c r="B2062" s="12" t="str">
        <x:v>Passenger rail transport, interurban</x:v>
      </x:c>
      <x:c r="C2062" s="12" t="str">
        <x:v>الكرك</x:v>
      </x:c>
      <x:c r="D2062" s="14" t="n">
        <x:v>0</x:v>
      </x:c>
      <x:c r="E2062" s="14" t="n">
        <x:f>VLOOKUP(C2062,'Governorate Master'!$A$2:$Q$13,3,FALSE)</x:f>
        <x:v>395400</x:v>
      </x:c>
      <x:c r="F2062" s="66" t="n">
        <x:f>IF(E2062=0,0,D2062/E2062*10000)</x:f>
        <x:v>0</x:v>
      </x:c>
      <x:c r="G2062" s="67" t="n">
        <x:f>VLOOKUP(C2062,'Governorate Master'!$A$2:$Q$13,7,FALSE)</x:f>
        <x:v>113.1</x:v>
      </x:c>
      <x:c r="H2062" s="20" t="n">
        <x:f>VLOOKUP(C2062,'Governorate Master'!$A$2:$Q$13,6,FALSE)</x:f>
        <x:v>0.5912999494183105</x:v>
      </x:c>
      <x:c r="I2062" s="20" t="n">
        <x:f>VLOOKUP(C2062,'Governorate Master'!$A$2:$Q$13,15,FALSE)</x:f>
        <x:v>0.08710801393728224</x:v>
      </x:c>
      <x:c r="J2062" s="12" t="str">
        <x:v>Location model input - competition/saturation context</x:v>
      </x:c>
      <x:c r="K2062" s="12" t="str">
        <x:v>Business count is from 2018 while population/context indicators are newer; use as a historical proxy, not a current market count.</x:v>
      </x:c>
    </x:row>
    <x:row r="2063">
      <x:c r="A2063" s="12" t="str">
        <x:v>4911</x:v>
      </x:c>
      <x:c r="B2063" s="12" t="str">
        <x:v>Passenger rail transport, interurban</x:v>
      </x:c>
      <x:c r="C2063" s="12" t="str">
        <x:v>الطفيلة</x:v>
      </x:c>
      <x:c r="D2063" s="14" t="n">
        <x:v>0</x:v>
      </x:c>
      <x:c r="E2063" s="14" t="n">
        <x:f>VLOOKUP(C2063,'Governorate Master'!$A$2:$Q$13,3,FALSE)</x:f>
        <x:v>120300</x:v>
      </x:c>
      <x:c r="F2063" s="66" t="n">
        <x:f>IF(E2063=0,0,D2063/E2063*10000)</x:f>
        <x:v>0</x:v>
      </x:c>
      <x:c r="G2063" s="67" t="n">
        <x:f>VLOOKUP(C2063,'Governorate Master'!$A$2:$Q$13,7,FALSE)</x:f>
        <x:v>54.4</x:v>
      </x:c>
      <x:c r="H2063" s="20" t="n">
        <x:f>VLOOKUP(C2063,'Governorate Master'!$A$2:$Q$13,6,FALSE)</x:f>
        <x:v>0.7797173732335827</x:v>
      </x:c>
      <x:c r="I2063" s="20" t="n">
        <x:f>VLOOKUP(C2063,'Governorate Master'!$A$2:$Q$13,15,FALSE)</x:f>
        <x:v>0.18452380952380953</x:v>
      </x:c>
      <x:c r="J2063" s="12" t="str">
        <x:v>Location model input - competition/saturation context</x:v>
      </x:c>
      <x:c r="K2063" s="12" t="str">
        <x:v>Business count is from 2018 while population/context indicators are newer; use as a historical proxy, not a current market count.</x:v>
      </x:c>
    </x:row>
    <x:row r="2064">
      <x:c r="A2064" s="12" t="str">
        <x:v>4911</x:v>
      </x:c>
      <x:c r="B2064" s="12" t="str">
        <x:v>Passenger rail transport, interurban</x:v>
      </x:c>
      <x:c r="C2064" s="12" t="str">
        <x:v>معان</x:v>
      </x:c>
      <x:c r="D2064" s="14" t="n">
        <x:v>0</x:v>
      </x:c>
      <x:c r="E2064" s="14" t="n">
        <x:f>VLOOKUP(C2064,'Governorate Master'!$A$2:$Q$13,3,FALSE)</x:f>
        <x:v>197900</x:v>
      </x:c>
      <x:c r="F2064" s="66" t="n">
        <x:f>IF(E2064=0,0,D2064/E2064*10000)</x:f>
        <x:v>0</x:v>
      </x:c>
      <x:c r="G2064" s="67" t="n">
        <x:f>VLOOKUP(C2064,'Governorate Master'!$A$2:$Q$13,7,FALSE)</x:f>
        <x:v>6</x:v>
      </x:c>
      <x:c r="H2064" s="20" t="n">
        <x:f>VLOOKUP(C2064,'Governorate Master'!$A$2:$Q$13,6,FALSE)</x:f>
        <x:v>0.5406771096513391</x:v>
      </x:c>
      <x:c r="I2064" s="20" t="n">
        <x:f>VLOOKUP(C2064,'Governorate Master'!$A$2:$Q$13,15,FALSE)</x:f>
        <x:v>0.026845637583892617</x:v>
      </x:c>
      <x:c r="J2064" s="12" t="str">
        <x:v>Location model input - competition/saturation context</x:v>
      </x:c>
      <x:c r="K2064" s="12" t="str">
        <x:v>Business count is from 2018 while population/context indicators are newer; use as a historical proxy, not a current market count.</x:v>
      </x:c>
    </x:row>
    <x:row r="2065">
      <x:c r="A2065" s="12" t="str">
        <x:v>4911</x:v>
      </x:c>
      <x:c r="B2065" s="12" t="str">
        <x:v>Passenger rail transport, interurban</x:v>
      </x:c>
      <x:c r="C2065" s="12" t="str">
        <x:v>العقبة</x:v>
      </x:c>
      <x:c r="D2065" s="14" t="n">
        <x:v>0</x:v>
      </x:c>
      <x:c r="E2065" s="14" t="n">
        <x:f>VLOOKUP(C2065,'Governorate Master'!$A$2:$Q$13,3,FALSE)</x:f>
        <x:v>250900</x:v>
      </x:c>
      <x:c r="F2065" s="66" t="n">
        <x:f>IF(E2065=0,0,D2065/E2065*10000)</x:f>
        <x:v>0</x:v>
      </x:c>
      <x:c r="G2065" s="67" t="n">
        <x:f>VLOOKUP(C2065,'Governorate Master'!$A$2:$Q$13,7,FALSE)</x:f>
        <x:v>36.3</x:v>
      </x:c>
      <x:c r="H2065" s="20" t="n">
        <x:f>VLOOKUP(C2065,'Governorate Master'!$A$2:$Q$13,6,FALSE)</x:f>
        <x:v>0.882024711040255</x:v>
      </x:c>
      <x:c r="I2065" s="20" t="n">
        <x:f>VLOOKUP(C2065,'Governorate Master'!$A$2:$Q$13,15,FALSE)</x:f>
        <x:v>-0.09</x:v>
      </x:c>
      <x:c r="J2065" s="12" t="str">
        <x:v>Location model input - competition/saturation context</x:v>
      </x:c>
      <x:c r="K2065" s="12" t="str">
        <x:v>Business count is from 2018 while population/context indicators are newer; use as a historical proxy, not a current market count.</x:v>
      </x:c>
    </x:row>
    <x:row r="2066">
      <x:c r="A2066" s="12" t="str">
        <x:v>4912</x:v>
      </x:c>
      <x:c r="B2066" s="12" t="str">
        <x:v>Freight rail transport</x:v>
      </x:c>
      <x:c r="C2066" s="12" t="str">
        <x:v>عمان</x:v>
      </x:c>
      <x:c r="D2066" s="14" t="n">
        <x:v>0</x:v>
      </x:c>
      <x:c r="E2066" s="14" t="n">
        <x:f>VLOOKUP(C2066,'Governorate Master'!$A$2:$Q$13,3,FALSE)</x:f>
        <x:v>5004600</x:v>
      </x:c>
      <x:c r="F2066" s="66" t="n">
        <x:f>IF(E2066=0,0,D2066/E2066*10000)</x:f>
        <x:v>0</x:v>
      </x:c>
      <x:c r="G2066" s="67" t="n">
        <x:f>VLOOKUP(C2066,'Governorate Master'!$A$2:$Q$13,7,FALSE)</x:f>
        <x:v>660.3</x:v>
      </x:c>
      <x:c r="H2066" s="20" t="n">
        <x:f>VLOOKUP(C2066,'Governorate Master'!$A$2:$Q$13,6,FALSE)</x:f>
        <x:v>0.9721656076409703</x:v>
      </x:c>
      <x:c r="I2066" s="20" t="n">
        <x:f>VLOOKUP(C2066,'Governorate Master'!$A$2:$Q$13,15,FALSE)</x:f>
        <x:v>0.06367041198501873</x:v>
      </x:c>
      <x:c r="J2066" s="12" t="str">
        <x:v>Location model input - competition/saturation context</x:v>
      </x:c>
      <x:c r="K2066" s="12" t="str">
        <x:v>Business count is from 2018 while population/context indicators are newer; use as a historical proxy, not a current market count.</x:v>
      </x:c>
    </x:row>
    <x:row r="2067">
      <x:c r="A2067" s="12" t="str">
        <x:v>4912</x:v>
      </x:c>
      <x:c r="B2067" s="12" t="str">
        <x:v>Freight rail transport</x:v>
      </x:c>
      <x:c r="C2067" s="12" t="str">
        <x:v>البلقاء</x:v>
      </x:c>
      <x:c r="D2067" s="14" t="n">
        <x:v>0</x:v>
      </x:c>
      <x:c r="E2067" s="14" t="n">
        <x:f>VLOOKUP(C2067,'Governorate Master'!$A$2:$Q$13,3,FALSE)</x:f>
        <x:v>614000</x:v>
      </x:c>
      <x:c r="F2067" s="66" t="n">
        <x:f>IF(E2067=0,0,D2067/E2067*10000)</x:f>
        <x:v>0</x:v>
      </x:c>
      <x:c r="G2067" s="67" t="n">
        <x:f>VLOOKUP(C2067,'Governorate Master'!$A$2:$Q$13,7,FALSE)</x:f>
        <x:v>548</x:v>
      </x:c>
      <x:c r="H2067" s="20" t="n">
        <x:f>VLOOKUP(C2067,'Governorate Master'!$A$2:$Q$13,6,FALSE)</x:f>
        <x:v>0.8210097719869707</x:v>
      </x:c>
      <x:c r="I2067" s="20" t="n">
        <x:f>VLOOKUP(C2067,'Governorate Master'!$A$2:$Q$13,15,FALSE)</x:f>
        <x:v>0.10794044665012408</x:v>
      </x:c>
      <x:c r="J2067" s="12" t="str">
        <x:v>Location model input - competition/saturation context</x:v>
      </x:c>
      <x:c r="K2067" s="12" t="str">
        <x:v>Business count is from 2018 while population/context indicators are newer; use as a historical proxy, not a current market count.</x:v>
      </x:c>
    </x:row>
    <x:row r="2068">
      <x:c r="A2068" s="12" t="str">
        <x:v>4912</x:v>
      </x:c>
      <x:c r="B2068" s="12" t="str">
        <x:v>Freight rail transport</x:v>
      </x:c>
      <x:c r="C2068" s="12" t="str">
        <x:v>الزرقاء</x:v>
      </x:c>
      <x:c r="D2068" s="14" t="n">
        <x:v>0</x:v>
      </x:c>
      <x:c r="E2068" s="14" t="n">
        <x:f>VLOOKUP(C2068,'Governorate Master'!$A$2:$Q$13,3,FALSE)</x:f>
        <x:v>1704500</x:v>
      </x:c>
      <x:c r="F2068" s="66" t="n">
        <x:f>IF(E2068=0,0,D2068/E2068*10000)</x:f>
        <x:v>0</x:v>
      </x:c>
      <x:c r="G2068" s="67" t="n">
        <x:f>VLOOKUP(C2068,'Governorate Master'!$A$2:$Q$13,7,FALSE)</x:f>
        <x:v>358</x:v>
      </x:c>
      <x:c r="H2068" s="20" t="n">
        <x:f>VLOOKUP(C2068,'Governorate Master'!$A$2:$Q$13,6,FALSE)</x:f>
        <x:v>0.9636256966852449</x:v>
      </x:c>
      <x:c r="I2068" s="20" t="n">
        <x:f>VLOOKUP(C2068,'Governorate Master'!$A$2:$Q$13,15,FALSE)</x:f>
        <x:v>-0.06808762581409118</x:v>
      </x:c>
      <x:c r="J2068" s="12" t="str">
        <x:v>Location model input - competition/saturation context</x:v>
      </x:c>
      <x:c r="K2068" s="12" t="str">
        <x:v>Business count is from 2018 while population/context indicators are newer; use as a historical proxy, not a current market count.</x:v>
      </x:c>
    </x:row>
    <x:row r="2069">
      <x:c r="A2069" s="12" t="str">
        <x:v>4912</x:v>
      </x:c>
      <x:c r="B2069" s="12" t="str">
        <x:v>Freight rail transport</x:v>
      </x:c>
      <x:c r="C2069" s="12" t="str">
        <x:v>مادبا</x:v>
      </x:c>
      <x:c r="D2069" s="14" t="n">
        <x:v>0</x:v>
      </x:c>
      <x:c r="E2069" s="14" t="n">
        <x:f>VLOOKUP(C2069,'Governorate Master'!$A$2:$Q$13,3,FALSE)</x:f>
        <x:v>236200</x:v>
      </x:c>
      <x:c r="F2069" s="66" t="n">
        <x:f>IF(E2069=0,0,D2069/E2069*10000)</x:f>
        <x:v>0</x:v>
      </x:c>
      <x:c r="G2069" s="67" t="n">
        <x:f>VLOOKUP(C2069,'Governorate Master'!$A$2:$Q$13,7,FALSE)</x:f>
        <x:v>251.4</x:v>
      </x:c>
      <x:c r="H2069" s="20" t="n">
        <x:f>VLOOKUP(C2069,'Governorate Master'!$A$2:$Q$13,6,FALSE)</x:f>
        <x:v>0.7823878069432684</x:v>
      </x:c>
      <x:c r="I2069" s="20" t="n">
        <x:f>VLOOKUP(C2069,'Governorate Master'!$A$2:$Q$13,15,FALSE)</x:f>
        <x:v>-0.18823529411764706</x:v>
      </x:c>
      <x:c r="J2069" s="12" t="str">
        <x:v>Location model input - competition/saturation context</x:v>
      </x:c>
      <x:c r="K2069" s="12" t="str">
        <x:v>Business count is from 2018 while population/context indicators are newer; use as a historical proxy, not a current market count.</x:v>
      </x:c>
    </x:row>
    <x:row r="2070">
      <x:c r="A2070" s="12" t="str">
        <x:v>4912</x:v>
      </x:c>
      <x:c r="B2070" s="12" t="str">
        <x:v>Freight rail transport</x:v>
      </x:c>
      <x:c r="C2070" s="12" t="str">
        <x:v>إربد</x:v>
      </x:c>
      <x:c r="D2070" s="14" t="n">
        <x:v>0</x:v>
      </x:c>
      <x:c r="E2070" s="14" t="n">
        <x:f>VLOOKUP(C2070,'Governorate Master'!$A$2:$Q$13,3,FALSE)</x:f>
        <x:v>2210500</x:v>
      </x:c>
      <x:c r="F2070" s="66" t="n">
        <x:f>IF(E2070=0,0,D2070/E2070*10000)</x:f>
        <x:v>0</x:v>
      </x:c>
      <x:c r="G2070" s="67" t="n">
        <x:f>VLOOKUP(C2070,'Governorate Master'!$A$2:$Q$13,7,FALSE)</x:f>
        <x:v>1406.4</x:v>
      </x:c>
      <x:c r="H2070" s="20" t="n">
        <x:f>VLOOKUP(C2070,'Governorate Master'!$A$2:$Q$13,6,FALSE)</x:f>
        <x:v>0.9235014702555983</x:v>
      </x:c>
      <x:c r="I2070" s="20" t="n">
        <x:f>VLOOKUP(C2070,'Governorate Master'!$A$2:$Q$13,15,FALSE)</x:f>
        <x:v>0.07086922474549726</x:v>
      </x:c>
      <x:c r="J2070" s="12" t="str">
        <x:v>Location model input - competition/saturation context</x:v>
      </x:c>
      <x:c r="K2070" s="12" t="str">
        <x:v>Business count is from 2018 while population/context indicators are newer; use as a historical proxy, not a current market count.</x:v>
      </x:c>
    </x:row>
    <x:row r="2071">
      <x:c r="A2071" s="12" t="str">
        <x:v>4912</x:v>
      </x:c>
      <x:c r="B2071" s="12" t="str">
        <x:v>Freight rail transport</x:v>
      </x:c>
      <x:c r="C2071" s="12" t="str">
        <x:v>المفرق</x:v>
      </x:c>
      <x:c r="D2071" s="14" t="n">
        <x:v>0</x:v>
      </x:c>
      <x:c r="E2071" s="14" t="n">
        <x:f>VLOOKUP(C2071,'Governorate Master'!$A$2:$Q$13,3,FALSE)</x:f>
        <x:v>686800</x:v>
      </x:c>
      <x:c r="F2071" s="66" t="n">
        <x:f>IF(E2071=0,0,D2071/E2071*10000)</x:f>
        <x:v>0</x:v>
      </x:c>
      <x:c r="G2071" s="67" t="n">
        <x:f>VLOOKUP(C2071,'Governorate Master'!$A$2:$Q$13,7,FALSE)</x:f>
        <x:v>25.9</x:v>
      </x:c>
      <x:c r="H2071" s="20" t="n">
        <x:f>VLOOKUP(C2071,'Governorate Master'!$A$2:$Q$13,6,FALSE)</x:f>
        <x:v>0.6965637740244612</x:v>
      </x:c>
      <x:c r="I2071" s="20" t="n">
        <x:f>VLOOKUP(C2071,'Governorate Master'!$A$2:$Q$13,15,FALSE)</x:f>
        <x:v>-0.016638935108153077</x:v>
      </x:c>
      <x:c r="J2071" s="12" t="str">
        <x:v>Location model input - competition/saturation context</x:v>
      </x:c>
      <x:c r="K2071" s="12" t="str">
        <x:v>Business count is from 2018 while population/context indicators are newer; use as a historical proxy, not a current market count.</x:v>
      </x:c>
    </x:row>
    <x:row r="2072">
      <x:c r="A2072" s="12" t="str">
        <x:v>4912</x:v>
      </x:c>
      <x:c r="B2072" s="12" t="str">
        <x:v>Freight rail transport</x:v>
      </x:c>
      <x:c r="C2072" s="12" t="str">
        <x:v>جرش</x:v>
      </x:c>
      <x:c r="D2072" s="14" t="n">
        <x:v>0</x:v>
      </x:c>
      <x:c r="E2072" s="14" t="n">
        <x:f>VLOOKUP(C2072,'Governorate Master'!$A$2:$Q$13,3,FALSE)</x:f>
        <x:v>296000</x:v>
      </x:c>
      <x:c r="F2072" s="66" t="n">
        <x:f>IF(E2072=0,0,D2072/E2072*10000)</x:f>
        <x:v>0</x:v>
      </x:c>
      <x:c r="G2072" s="67" t="n">
        <x:f>VLOOKUP(C2072,'Governorate Master'!$A$2:$Q$13,7,FALSE)</x:f>
        <x:v>722.3</x:v>
      </x:c>
      <x:c r="H2072" s="20" t="n">
        <x:f>VLOOKUP(C2072,'Governorate Master'!$A$2:$Q$13,6,FALSE)</x:f>
        <x:v>0.7695945945945946</x:v>
      </x:c>
      <x:c r="I2072" s="20" t="n">
        <x:f>VLOOKUP(C2072,'Governorate Master'!$A$2:$Q$13,15,FALSE)</x:f>
        <x:v>-0.06527415143603134</x:v>
      </x:c>
      <x:c r="J2072" s="12" t="str">
        <x:v>Location model input - competition/saturation context</x:v>
      </x:c>
      <x:c r="K2072" s="12" t="str">
        <x:v>Business count is from 2018 while population/context indicators are newer; use as a historical proxy, not a current market count.</x:v>
      </x:c>
    </x:row>
    <x:row r="2073">
      <x:c r="A2073" s="12" t="str">
        <x:v>4912</x:v>
      </x:c>
      <x:c r="B2073" s="12" t="str">
        <x:v>Freight rail transport</x:v>
      </x:c>
      <x:c r="C2073" s="12" t="str">
        <x:v>عجلون</x:v>
      </x:c>
      <x:c r="D2073" s="14" t="n">
        <x:v>0</x:v>
      </x:c>
      <x:c r="E2073" s="14" t="n">
        <x:f>VLOOKUP(C2073,'Governorate Master'!$A$2:$Q$13,3,FALSE)</x:f>
        <x:v>219900</x:v>
      </x:c>
      <x:c r="F2073" s="66" t="n">
        <x:f>IF(E2073=0,0,D2073/E2073*10000)</x:f>
        <x:v>0</x:v>
      </x:c>
      <x:c r="G2073" s="67" t="n">
        <x:f>VLOOKUP(C2073,'Governorate Master'!$A$2:$Q$13,7,FALSE)</x:f>
        <x:v>524</x:v>
      </x:c>
      <x:c r="H2073" s="20" t="n">
        <x:f>VLOOKUP(C2073,'Governorate Master'!$A$2:$Q$13,6,FALSE)</x:f>
        <x:v>0.8390177353342428</x:v>
      </x:c>
      <x:c r="I2073" s="20" t="n">
        <x:f>VLOOKUP(C2073,'Governorate Master'!$A$2:$Q$13,15,FALSE)</x:f>
        <x:v>0.03614457831325301</x:v>
      </x:c>
      <x:c r="J2073" s="12" t="str">
        <x:v>Location model input - competition/saturation context</x:v>
      </x:c>
      <x:c r="K2073" s="12" t="str">
        <x:v>Business count is from 2018 while population/context indicators are newer; use as a historical proxy, not a current market count.</x:v>
      </x:c>
    </x:row>
    <x:row r="2074">
      <x:c r="A2074" s="12" t="str">
        <x:v>4912</x:v>
      </x:c>
      <x:c r="B2074" s="12" t="str">
        <x:v>Freight rail transport</x:v>
      </x:c>
      <x:c r="C2074" s="12" t="str">
        <x:v>الكرك</x:v>
      </x:c>
      <x:c r="D2074" s="14" t="n">
        <x:v>0</x:v>
      </x:c>
      <x:c r="E2074" s="14" t="n">
        <x:f>VLOOKUP(C2074,'Governorate Master'!$A$2:$Q$13,3,FALSE)</x:f>
        <x:v>395400</x:v>
      </x:c>
      <x:c r="F2074" s="66" t="n">
        <x:f>IF(E2074=0,0,D2074/E2074*10000)</x:f>
        <x:v>0</x:v>
      </x:c>
      <x:c r="G2074" s="67" t="n">
        <x:f>VLOOKUP(C2074,'Governorate Master'!$A$2:$Q$13,7,FALSE)</x:f>
        <x:v>113.1</x:v>
      </x:c>
      <x:c r="H2074" s="20" t="n">
        <x:f>VLOOKUP(C2074,'Governorate Master'!$A$2:$Q$13,6,FALSE)</x:f>
        <x:v>0.5912999494183105</x:v>
      </x:c>
      <x:c r="I2074" s="20" t="n">
        <x:f>VLOOKUP(C2074,'Governorate Master'!$A$2:$Q$13,15,FALSE)</x:f>
        <x:v>0.08710801393728224</x:v>
      </x:c>
      <x:c r="J2074" s="12" t="str">
        <x:v>Location model input - competition/saturation context</x:v>
      </x:c>
      <x:c r="K2074" s="12" t="str">
        <x:v>Business count is from 2018 while population/context indicators are newer; use as a historical proxy, not a current market count.</x:v>
      </x:c>
    </x:row>
    <x:row r="2075">
      <x:c r="A2075" s="12" t="str">
        <x:v>4912</x:v>
      </x:c>
      <x:c r="B2075" s="12" t="str">
        <x:v>Freight rail transport</x:v>
      </x:c>
      <x:c r="C2075" s="12" t="str">
        <x:v>الطفيلة</x:v>
      </x:c>
      <x:c r="D2075" s="14" t="n">
        <x:v>0</x:v>
      </x:c>
      <x:c r="E2075" s="14" t="n">
        <x:f>VLOOKUP(C2075,'Governorate Master'!$A$2:$Q$13,3,FALSE)</x:f>
        <x:v>120300</x:v>
      </x:c>
      <x:c r="F2075" s="66" t="n">
        <x:f>IF(E2075=0,0,D2075/E2075*10000)</x:f>
        <x:v>0</x:v>
      </x:c>
      <x:c r="G2075" s="67" t="n">
        <x:f>VLOOKUP(C2075,'Governorate Master'!$A$2:$Q$13,7,FALSE)</x:f>
        <x:v>54.4</x:v>
      </x:c>
      <x:c r="H2075" s="20" t="n">
        <x:f>VLOOKUP(C2075,'Governorate Master'!$A$2:$Q$13,6,FALSE)</x:f>
        <x:v>0.7797173732335827</x:v>
      </x:c>
      <x:c r="I2075" s="20" t="n">
        <x:f>VLOOKUP(C2075,'Governorate Master'!$A$2:$Q$13,15,FALSE)</x:f>
        <x:v>0.18452380952380953</x:v>
      </x:c>
      <x:c r="J2075" s="12" t="str">
        <x:v>Location model input - competition/saturation context</x:v>
      </x:c>
      <x:c r="K2075" s="12" t="str">
        <x:v>Business count is from 2018 while population/context indicators are newer; use as a historical proxy, not a current market count.</x:v>
      </x:c>
    </x:row>
    <x:row r="2076">
      <x:c r="A2076" s="12" t="str">
        <x:v>4912</x:v>
      </x:c>
      <x:c r="B2076" s="12" t="str">
        <x:v>Freight rail transport</x:v>
      </x:c>
      <x:c r="C2076" s="12" t="str">
        <x:v>معان</x:v>
      </x:c>
      <x:c r="D2076" s="14" t="n">
        <x:v>1</x:v>
      </x:c>
      <x:c r="E2076" s="14" t="n">
        <x:f>VLOOKUP(C2076,'Governorate Master'!$A$2:$Q$13,3,FALSE)</x:f>
        <x:v>197900</x:v>
      </x:c>
      <x:c r="F2076" s="66" t="n">
        <x:f>IF(E2076=0,0,D2076/E2076*10000)</x:f>
        <x:v>0.05053057099545225</x:v>
      </x:c>
      <x:c r="G2076" s="67" t="n">
        <x:f>VLOOKUP(C2076,'Governorate Master'!$A$2:$Q$13,7,FALSE)</x:f>
        <x:v>6</x:v>
      </x:c>
      <x:c r="H2076" s="20" t="n">
        <x:f>VLOOKUP(C2076,'Governorate Master'!$A$2:$Q$13,6,FALSE)</x:f>
        <x:v>0.5406771096513391</x:v>
      </x:c>
      <x:c r="I2076" s="20" t="n">
        <x:f>VLOOKUP(C2076,'Governorate Master'!$A$2:$Q$13,15,FALSE)</x:f>
        <x:v>0.026845637583892617</x:v>
      </x:c>
      <x:c r="J2076" s="12" t="str">
        <x:v>Location model input - competition/saturation context</x:v>
      </x:c>
      <x:c r="K2076" s="12" t="str">
        <x:v>Business count is from 2018 while population/context indicators are newer; use as a historical proxy, not a current market count.</x:v>
      </x:c>
    </x:row>
    <x:row r="2077">
      <x:c r="A2077" s="12" t="str">
        <x:v>4912</x:v>
      </x:c>
      <x:c r="B2077" s="12" t="str">
        <x:v>Freight rail transport</x:v>
      </x:c>
      <x:c r="C2077" s="12" t="str">
        <x:v>العقبة</x:v>
      </x:c>
      <x:c r="D2077" s="14" t="n">
        <x:v>0</x:v>
      </x:c>
      <x:c r="E2077" s="14" t="n">
        <x:f>VLOOKUP(C2077,'Governorate Master'!$A$2:$Q$13,3,FALSE)</x:f>
        <x:v>250900</x:v>
      </x:c>
      <x:c r="F2077" s="66" t="n">
        <x:f>IF(E2077=0,0,D2077/E2077*10000)</x:f>
        <x:v>0</x:v>
      </x:c>
      <x:c r="G2077" s="67" t="n">
        <x:f>VLOOKUP(C2077,'Governorate Master'!$A$2:$Q$13,7,FALSE)</x:f>
        <x:v>36.3</x:v>
      </x:c>
      <x:c r="H2077" s="20" t="n">
        <x:f>VLOOKUP(C2077,'Governorate Master'!$A$2:$Q$13,6,FALSE)</x:f>
        <x:v>0.882024711040255</x:v>
      </x:c>
      <x:c r="I2077" s="20" t="n">
        <x:f>VLOOKUP(C2077,'Governorate Master'!$A$2:$Q$13,15,FALSE)</x:f>
        <x:v>-0.09</x:v>
      </x:c>
      <x:c r="J2077" s="12" t="str">
        <x:v>Location model input - competition/saturation context</x:v>
      </x:c>
      <x:c r="K2077" s="12" t="str">
        <x:v>Business count is from 2018 while population/context indicators are newer; use as a historical proxy, not a current market count.</x:v>
      </x:c>
    </x:row>
    <x:row r="2078">
      <x:c r="A2078" s="12" t="str">
        <x:v>4921</x:v>
      </x:c>
      <x:c r="B2078" s="12" t="str">
        <x:v>Urban and suburban passenger land transport</x:v>
      </x:c>
      <x:c r="C2078" s="12" t="str">
        <x:v>عمان</x:v>
      </x:c>
      <x:c r="D2078" s="14" t="n">
        <x:v>24</x:v>
      </x:c>
      <x:c r="E2078" s="14" t="n">
        <x:f>VLOOKUP(C2078,'Governorate Master'!$A$2:$Q$13,3,FALSE)</x:f>
        <x:v>5004600</x:v>
      </x:c>
      <x:c r="F2078" s="66" t="n">
        <x:f>IF(E2078=0,0,D2078/E2078*10000)</x:f>
        <x:v>0.04795588058985733</x:v>
      </x:c>
      <x:c r="G2078" s="67" t="n">
        <x:f>VLOOKUP(C2078,'Governorate Master'!$A$2:$Q$13,7,FALSE)</x:f>
        <x:v>660.3</x:v>
      </x:c>
      <x:c r="H2078" s="20" t="n">
        <x:f>VLOOKUP(C2078,'Governorate Master'!$A$2:$Q$13,6,FALSE)</x:f>
        <x:v>0.9721656076409703</x:v>
      </x:c>
      <x:c r="I2078" s="20" t="n">
        <x:f>VLOOKUP(C2078,'Governorate Master'!$A$2:$Q$13,15,FALSE)</x:f>
        <x:v>0.06367041198501873</x:v>
      </x:c>
      <x:c r="J2078" s="12" t="str">
        <x:v>Location model input - competition/saturation context</x:v>
      </x:c>
      <x:c r="K2078" s="12" t="str">
        <x:v>Business count is from 2018 while population/context indicators are newer; use as a historical proxy, not a current market count.</x:v>
      </x:c>
    </x:row>
    <x:row r="2079">
      <x:c r="A2079" s="12" t="str">
        <x:v>4921</x:v>
      </x:c>
      <x:c r="B2079" s="12" t="str">
        <x:v>Urban and suburban passenger land transport</x:v>
      </x:c>
      <x:c r="C2079" s="12" t="str">
        <x:v>البلقاء</x:v>
      </x:c>
      <x:c r="D2079" s="14" t="n">
        <x:v>2</x:v>
      </x:c>
      <x:c r="E2079" s="14" t="n">
        <x:f>VLOOKUP(C2079,'Governorate Master'!$A$2:$Q$13,3,FALSE)</x:f>
        <x:v>614000</x:v>
      </x:c>
      <x:c r="F2079" s="66" t="n">
        <x:f>IF(E2079=0,0,D2079/E2079*10000)</x:f>
        <x:v>0.03257328990228013</x:v>
      </x:c>
      <x:c r="G2079" s="67" t="n">
        <x:f>VLOOKUP(C2079,'Governorate Master'!$A$2:$Q$13,7,FALSE)</x:f>
        <x:v>548</x:v>
      </x:c>
      <x:c r="H2079" s="20" t="n">
        <x:f>VLOOKUP(C2079,'Governorate Master'!$A$2:$Q$13,6,FALSE)</x:f>
        <x:v>0.8210097719869707</x:v>
      </x:c>
      <x:c r="I2079" s="20" t="n">
        <x:f>VLOOKUP(C2079,'Governorate Master'!$A$2:$Q$13,15,FALSE)</x:f>
        <x:v>0.10794044665012408</x:v>
      </x:c>
      <x:c r="J2079" s="12" t="str">
        <x:v>Location model input - competition/saturation context</x:v>
      </x:c>
      <x:c r="K2079" s="12" t="str">
        <x:v>Business count is from 2018 while population/context indicators are newer; use as a historical proxy, not a current market count.</x:v>
      </x:c>
    </x:row>
    <x:row r="2080">
      <x:c r="A2080" s="12" t="str">
        <x:v>4921</x:v>
      </x:c>
      <x:c r="B2080" s="12" t="str">
        <x:v>Urban and suburban passenger land transport</x:v>
      </x:c>
      <x:c r="C2080" s="12" t="str">
        <x:v>الزرقاء</x:v>
      </x:c>
      <x:c r="D2080" s="14" t="n">
        <x:v>5</x:v>
      </x:c>
      <x:c r="E2080" s="14" t="n">
        <x:f>VLOOKUP(C2080,'Governorate Master'!$A$2:$Q$13,3,FALSE)</x:f>
        <x:v>1704500</x:v>
      </x:c>
      <x:c r="F2080" s="66" t="n">
        <x:f>IF(E2080=0,0,D2080/E2080*10000)</x:f>
        <x:v>0.029334115576415375</x:v>
      </x:c>
      <x:c r="G2080" s="67" t="n">
        <x:f>VLOOKUP(C2080,'Governorate Master'!$A$2:$Q$13,7,FALSE)</x:f>
        <x:v>358</x:v>
      </x:c>
      <x:c r="H2080" s="20" t="n">
        <x:f>VLOOKUP(C2080,'Governorate Master'!$A$2:$Q$13,6,FALSE)</x:f>
        <x:v>0.9636256966852449</x:v>
      </x:c>
      <x:c r="I2080" s="20" t="n">
        <x:f>VLOOKUP(C2080,'Governorate Master'!$A$2:$Q$13,15,FALSE)</x:f>
        <x:v>-0.06808762581409118</x:v>
      </x:c>
      <x:c r="J2080" s="12" t="str">
        <x:v>Location model input - competition/saturation context</x:v>
      </x:c>
      <x:c r="K2080" s="12" t="str">
        <x:v>Business count is from 2018 while population/context indicators are newer; use as a historical proxy, not a current market count.</x:v>
      </x:c>
    </x:row>
    <x:row r="2081">
      <x:c r="A2081" s="12" t="str">
        <x:v>4921</x:v>
      </x:c>
      <x:c r="B2081" s="12" t="str">
        <x:v>Urban and suburban passenger land transport</x:v>
      </x:c>
      <x:c r="C2081" s="12" t="str">
        <x:v>مادبا</x:v>
      </x:c>
      <x:c r="D2081" s="14" t="n">
        <x:v>1</x:v>
      </x:c>
      <x:c r="E2081" s="14" t="n">
        <x:f>VLOOKUP(C2081,'Governorate Master'!$A$2:$Q$13,3,FALSE)</x:f>
        <x:v>236200</x:v>
      </x:c>
      <x:c r="F2081" s="66" t="n">
        <x:f>IF(E2081=0,0,D2081/E2081*10000)</x:f>
        <x:v>0.04233700254022015</x:v>
      </x:c>
      <x:c r="G2081" s="67" t="n">
        <x:f>VLOOKUP(C2081,'Governorate Master'!$A$2:$Q$13,7,FALSE)</x:f>
        <x:v>251.4</x:v>
      </x:c>
      <x:c r="H2081" s="20" t="n">
        <x:f>VLOOKUP(C2081,'Governorate Master'!$A$2:$Q$13,6,FALSE)</x:f>
        <x:v>0.7823878069432684</x:v>
      </x:c>
      <x:c r="I2081" s="20" t="n">
        <x:f>VLOOKUP(C2081,'Governorate Master'!$A$2:$Q$13,15,FALSE)</x:f>
        <x:v>-0.18823529411764706</x:v>
      </x:c>
      <x:c r="J2081" s="12" t="str">
        <x:v>Location model input - competition/saturation context</x:v>
      </x:c>
      <x:c r="K2081" s="12" t="str">
        <x:v>Business count is from 2018 while population/context indicators are newer; use as a historical proxy, not a current market count.</x:v>
      </x:c>
    </x:row>
    <x:row r="2082">
      <x:c r="A2082" s="12" t="str">
        <x:v>4921</x:v>
      </x:c>
      <x:c r="B2082" s="12" t="str">
        <x:v>Urban and suburban passenger land transport</x:v>
      </x:c>
      <x:c r="C2082" s="12" t="str">
        <x:v>إربد</x:v>
      </x:c>
      <x:c r="D2082" s="14" t="n">
        <x:v>6</x:v>
      </x:c>
      <x:c r="E2082" s="14" t="n">
        <x:f>VLOOKUP(C2082,'Governorate Master'!$A$2:$Q$13,3,FALSE)</x:f>
        <x:v>2210500</x:v>
      </x:c>
      <x:c r="F2082" s="66" t="n">
        <x:f>IF(E2082=0,0,D2082/E2082*10000)</x:f>
        <x:v>0.027143180275955664</x:v>
      </x:c>
      <x:c r="G2082" s="67" t="n">
        <x:f>VLOOKUP(C2082,'Governorate Master'!$A$2:$Q$13,7,FALSE)</x:f>
        <x:v>1406.4</x:v>
      </x:c>
      <x:c r="H2082" s="20" t="n">
        <x:f>VLOOKUP(C2082,'Governorate Master'!$A$2:$Q$13,6,FALSE)</x:f>
        <x:v>0.9235014702555983</x:v>
      </x:c>
      <x:c r="I2082" s="20" t="n">
        <x:f>VLOOKUP(C2082,'Governorate Master'!$A$2:$Q$13,15,FALSE)</x:f>
        <x:v>0.07086922474549726</x:v>
      </x:c>
      <x:c r="J2082" s="12" t="str">
        <x:v>Location model input - competition/saturation context</x:v>
      </x:c>
      <x:c r="K2082" s="12" t="str">
        <x:v>Business count is from 2018 while population/context indicators are newer; use as a historical proxy, not a current market count.</x:v>
      </x:c>
    </x:row>
    <x:row r="2083">
      <x:c r="A2083" s="12" t="str">
        <x:v>4921</x:v>
      </x:c>
      <x:c r="B2083" s="12" t="str">
        <x:v>Urban and suburban passenger land transport</x:v>
      </x:c>
      <x:c r="C2083" s="12" t="str">
        <x:v>المفرق</x:v>
      </x:c>
      <x:c r="D2083" s="14" t="n">
        <x:v>1</x:v>
      </x:c>
      <x:c r="E2083" s="14" t="n">
        <x:f>VLOOKUP(C2083,'Governorate Master'!$A$2:$Q$13,3,FALSE)</x:f>
        <x:v>686800</x:v>
      </x:c>
      <x:c r="F2083" s="66" t="n">
        <x:f>IF(E2083=0,0,D2083/E2083*10000)</x:f>
        <x:v>0.014560279557367502</x:v>
      </x:c>
      <x:c r="G2083" s="67" t="n">
        <x:f>VLOOKUP(C2083,'Governorate Master'!$A$2:$Q$13,7,FALSE)</x:f>
        <x:v>25.9</x:v>
      </x:c>
      <x:c r="H2083" s="20" t="n">
        <x:f>VLOOKUP(C2083,'Governorate Master'!$A$2:$Q$13,6,FALSE)</x:f>
        <x:v>0.6965637740244612</x:v>
      </x:c>
      <x:c r="I2083" s="20" t="n">
        <x:f>VLOOKUP(C2083,'Governorate Master'!$A$2:$Q$13,15,FALSE)</x:f>
        <x:v>-0.016638935108153077</x:v>
      </x:c>
      <x:c r="J2083" s="12" t="str">
        <x:v>Location model input - competition/saturation context</x:v>
      </x:c>
      <x:c r="K2083" s="12" t="str">
        <x:v>Business count is from 2018 while population/context indicators are newer; use as a historical proxy, not a current market count.</x:v>
      </x:c>
    </x:row>
    <x:row r="2084">
      <x:c r="A2084" s="12" t="str">
        <x:v>4921</x:v>
      </x:c>
      <x:c r="B2084" s="12" t="str">
        <x:v>Urban and suburban passenger land transport</x:v>
      </x:c>
      <x:c r="C2084" s="12" t="str">
        <x:v>جرش</x:v>
      </x:c>
      <x:c r="D2084" s="14" t="n">
        <x:v>2</x:v>
      </x:c>
      <x:c r="E2084" s="14" t="n">
        <x:f>VLOOKUP(C2084,'Governorate Master'!$A$2:$Q$13,3,FALSE)</x:f>
        <x:v>296000</x:v>
      </x:c>
      <x:c r="F2084" s="66" t="n">
        <x:f>IF(E2084=0,0,D2084/E2084*10000)</x:f>
        <x:v>0.06756756756756757</x:v>
      </x:c>
      <x:c r="G2084" s="67" t="n">
        <x:f>VLOOKUP(C2084,'Governorate Master'!$A$2:$Q$13,7,FALSE)</x:f>
        <x:v>722.3</x:v>
      </x:c>
      <x:c r="H2084" s="20" t="n">
        <x:f>VLOOKUP(C2084,'Governorate Master'!$A$2:$Q$13,6,FALSE)</x:f>
        <x:v>0.7695945945945946</x:v>
      </x:c>
      <x:c r="I2084" s="20" t="n">
        <x:f>VLOOKUP(C2084,'Governorate Master'!$A$2:$Q$13,15,FALSE)</x:f>
        <x:v>-0.06527415143603134</x:v>
      </x:c>
      <x:c r="J2084" s="12" t="str">
        <x:v>Location model input - competition/saturation context</x:v>
      </x:c>
      <x:c r="K2084" s="12" t="str">
        <x:v>Business count is from 2018 while population/context indicators are newer; use as a historical proxy, not a current market count.</x:v>
      </x:c>
    </x:row>
    <x:row r="2085">
      <x:c r="A2085" s="12" t="str">
        <x:v>4921</x:v>
      </x:c>
      <x:c r="B2085" s="12" t="str">
        <x:v>Urban and suburban passenger land transport</x:v>
      </x:c>
      <x:c r="C2085" s="12" t="str">
        <x:v>عجلون</x:v>
      </x:c>
      <x:c r="D2085" s="14" t="n">
        <x:v>1</x:v>
      </x:c>
      <x:c r="E2085" s="14" t="n">
        <x:f>VLOOKUP(C2085,'Governorate Master'!$A$2:$Q$13,3,FALSE)</x:f>
        <x:v>219900</x:v>
      </x:c>
      <x:c r="F2085" s="66" t="n">
        <x:f>IF(E2085=0,0,D2085/E2085*10000)</x:f>
        <x:v>0.04547521600727603</x:v>
      </x:c>
      <x:c r="G2085" s="67" t="n">
        <x:f>VLOOKUP(C2085,'Governorate Master'!$A$2:$Q$13,7,FALSE)</x:f>
        <x:v>524</x:v>
      </x:c>
      <x:c r="H2085" s="20" t="n">
        <x:f>VLOOKUP(C2085,'Governorate Master'!$A$2:$Q$13,6,FALSE)</x:f>
        <x:v>0.8390177353342428</x:v>
      </x:c>
      <x:c r="I2085" s="20" t="n">
        <x:f>VLOOKUP(C2085,'Governorate Master'!$A$2:$Q$13,15,FALSE)</x:f>
        <x:v>0.03614457831325301</x:v>
      </x:c>
      <x:c r="J2085" s="12" t="str">
        <x:v>Location model input - competition/saturation context</x:v>
      </x:c>
      <x:c r="K2085" s="12" t="str">
        <x:v>Business count is from 2018 while population/context indicators are newer; use as a historical proxy, not a current market count.</x:v>
      </x:c>
    </x:row>
    <x:row r="2086">
      <x:c r="A2086" s="12" t="str">
        <x:v>4921</x:v>
      </x:c>
      <x:c r="B2086" s="12" t="str">
        <x:v>Urban and suburban passenger land transport</x:v>
      </x:c>
      <x:c r="C2086" s="12" t="str">
        <x:v>الكرك</x:v>
      </x:c>
      <x:c r="D2086" s="14" t="n">
        <x:v>1</x:v>
      </x:c>
      <x:c r="E2086" s="14" t="n">
        <x:f>VLOOKUP(C2086,'Governorate Master'!$A$2:$Q$13,3,FALSE)</x:f>
        <x:v>395400</x:v>
      </x:c>
      <x:c r="F2086" s="66" t="n">
        <x:f>IF(E2086=0,0,D2086/E2086*10000)</x:f>
        <x:v>0.025290844714213452</x:v>
      </x:c>
      <x:c r="G2086" s="67" t="n">
        <x:f>VLOOKUP(C2086,'Governorate Master'!$A$2:$Q$13,7,FALSE)</x:f>
        <x:v>113.1</x:v>
      </x:c>
      <x:c r="H2086" s="20" t="n">
        <x:f>VLOOKUP(C2086,'Governorate Master'!$A$2:$Q$13,6,FALSE)</x:f>
        <x:v>0.5912999494183105</x:v>
      </x:c>
      <x:c r="I2086" s="20" t="n">
        <x:f>VLOOKUP(C2086,'Governorate Master'!$A$2:$Q$13,15,FALSE)</x:f>
        <x:v>0.08710801393728224</x:v>
      </x:c>
      <x:c r="J2086" s="12" t="str">
        <x:v>Location model input - competition/saturation context</x:v>
      </x:c>
      <x:c r="K2086" s="12" t="str">
        <x:v>Business count is from 2018 while population/context indicators are newer; use as a historical proxy, not a current market count.</x:v>
      </x:c>
    </x:row>
    <x:row r="2087">
      <x:c r="A2087" s="12" t="str">
        <x:v>4921</x:v>
      </x:c>
      <x:c r="B2087" s="12" t="str">
        <x:v>Urban and suburban passenger land transport</x:v>
      </x:c>
      <x:c r="C2087" s="12" t="str">
        <x:v>الطفيلة</x:v>
      </x:c>
      <x:c r="D2087" s="14" t="n">
        <x:v>0</x:v>
      </x:c>
      <x:c r="E2087" s="14" t="n">
        <x:f>VLOOKUP(C2087,'Governorate Master'!$A$2:$Q$13,3,FALSE)</x:f>
        <x:v>120300</x:v>
      </x:c>
      <x:c r="F2087" s="66" t="n">
        <x:f>IF(E2087=0,0,D2087/E2087*10000)</x:f>
        <x:v>0</x:v>
      </x:c>
      <x:c r="G2087" s="67" t="n">
        <x:f>VLOOKUP(C2087,'Governorate Master'!$A$2:$Q$13,7,FALSE)</x:f>
        <x:v>54.4</x:v>
      </x:c>
      <x:c r="H2087" s="20" t="n">
        <x:f>VLOOKUP(C2087,'Governorate Master'!$A$2:$Q$13,6,FALSE)</x:f>
        <x:v>0.7797173732335827</x:v>
      </x:c>
      <x:c r="I2087" s="20" t="n">
        <x:f>VLOOKUP(C2087,'Governorate Master'!$A$2:$Q$13,15,FALSE)</x:f>
        <x:v>0.18452380952380953</x:v>
      </x:c>
      <x:c r="J2087" s="12" t="str">
        <x:v>Location model input - competition/saturation context</x:v>
      </x:c>
      <x:c r="K2087" s="12" t="str">
        <x:v>Business count is from 2018 while population/context indicators are newer; use as a historical proxy, not a current market count.</x:v>
      </x:c>
    </x:row>
    <x:row r="2088">
      <x:c r="A2088" s="12" t="str">
        <x:v>4921</x:v>
      </x:c>
      <x:c r="B2088" s="12" t="str">
        <x:v>Urban and suburban passenger land transport</x:v>
      </x:c>
      <x:c r="C2088" s="12" t="str">
        <x:v>معان</x:v>
      </x:c>
      <x:c r="D2088" s="14" t="n">
        <x:v>2</x:v>
      </x:c>
      <x:c r="E2088" s="14" t="n">
        <x:f>VLOOKUP(C2088,'Governorate Master'!$A$2:$Q$13,3,FALSE)</x:f>
        <x:v>197900</x:v>
      </x:c>
      <x:c r="F2088" s="66" t="n">
        <x:f>IF(E2088=0,0,D2088/E2088*10000)</x:f>
        <x:v>0.1010611419909045</x:v>
      </x:c>
      <x:c r="G2088" s="67" t="n">
        <x:f>VLOOKUP(C2088,'Governorate Master'!$A$2:$Q$13,7,FALSE)</x:f>
        <x:v>6</x:v>
      </x:c>
      <x:c r="H2088" s="20" t="n">
        <x:f>VLOOKUP(C2088,'Governorate Master'!$A$2:$Q$13,6,FALSE)</x:f>
        <x:v>0.5406771096513391</x:v>
      </x:c>
      <x:c r="I2088" s="20" t="n">
        <x:f>VLOOKUP(C2088,'Governorate Master'!$A$2:$Q$13,15,FALSE)</x:f>
        <x:v>0.026845637583892617</x:v>
      </x:c>
      <x:c r="J2088" s="12" t="str">
        <x:v>Location model input - competition/saturation context</x:v>
      </x:c>
      <x:c r="K2088" s="12" t="str">
        <x:v>Business count is from 2018 while population/context indicators are newer; use as a historical proxy, not a current market count.</x:v>
      </x:c>
    </x:row>
    <x:row r="2089">
      <x:c r="A2089" s="12" t="str">
        <x:v>4921</x:v>
      </x:c>
      <x:c r="B2089" s="12" t="str">
        <x:v>Urban and suburban passenger land transport</x:v>
      </x:c>
      <x:c r="C2089" s="12" t="str">
        <x:v>العقبة</x:v>
      </x:c>
      <x:c r="D2089" s="14" t="n">
        <x:v>2</x:v>
      </x:c>
      <x:c r="E2089" s="14" t="n">
        <x:f>VLOOKUP(C2089,'Governorate Master'!$A$2:$Q$13,3,FALSE)</x:f>
        <x:v>250900</x:v>
      </x:c>
      <x:c r="F2089" s="66" t="n">
        <x:f>IF(E2089=0,0,D2089/E2089*10000)</x:f>
        <x:v>0.07971303308090873</x:v>
      </x:c>
      <x:c r="G2089" s="67" t="n">
        <x:f>VLOOKUP(C2089,'Governorate Master'!$A$2:$Q$13,7,FALSE)</x:f>
        <x:v>36.3</x:v>
      </x:c>
      <x:c r="H2089" s="20" t="n">
        <x:f>VLOOKUP(C2089,'Governorate Master'!$A$2:$Q$13,6,FALSE)</x:f>
        <x:v>0.882024711040255</x:v>
      </x:c>
      <x:c r="I2089" s="20" t="n">
        <x:f>VLOOKUP(C2089,'Governorate Master'!$A$2:$Q$13,15,FALSE)</x:f>
        <x:v>-0.09</x:v>
      </x:c>
      <x:c r="J2089" s="12" t="str">
        <x:v>Location model input - competition/saturation context</x:v>
      </x:c>
      <x:c r="K2089" s="12" t="str">
        <x:v>Business count is from 2018 while population/context indicators are newer; use as a historical proxy, not a current market count.</x:v>
      </x:c>
    </x:row>
    <x:row r="2090">
      <x:c r="A2090" s="12" t="str">
        <x:v>4922</x:v>
      </x:c>
      <x:c r="B2090" s="12" t="str">
        <x:v>Other passenger land transport</x:v>
      </x:c>
      <x:c r="C2090" s="12" t="str">
        <x:v>عمان</x:v>
      </x:c>
      <x:c r="D2090" s="14" t="n">
        <x:v>108</x:v>
      </x:c>
      <x:c r="E2090" s="14" t="n">
        <x:f>VLOOKUP(C2090,'Governorate Master'!$A$2:$Q$13,3,FALSE)</x:f>
        <x:v>5004600</x:v>
      </x:c>
      <x:c r="F2090" s="66" t="n">
        <x:f>IF(E2090=0,0,D2090/E2090*10000)</x:f>
        <x:v>0.21580146265435798</x:v>
      </x:c>
      <x:c r="G2090" s="67" t="n">
        <x:f>VLOOKUP(C2090,'Governorate Master'!$A$2:$Q$13,7,FALSE)</x:f>
        <x:v>660.3</x:v>
      </x:c>
      <x:c r="H2090" s="20" t="n">
        <x:f>VLOOKUP(C2090,'Governorate Master'!$A$2:$Q$13,6,FALSE)</x:f>
        <x:v>0.9721656076409703</x:v>
      </x:c>
      <x:c r="I2090" s="20" t="n">
        <x:f>VLOOKUP(C2090,'Governorate Master'!$A$2:$Q$13,15,FALSE)</x:f>
        <x:v>0.06367041198501873</x:v>
      </x:c>
      <x:c r="J2090" s="12" t="str">
        <x:v>Location model input - competition/saturation context</x:v>
      </x:c>
      <x:c r="K2090" s="12" t="str">
        <x:v>Business count is from 2018 while population/context indicators are newer; use as a historical proxy, not a current market count.</x:v>
      </x:c>
    </x:row>
    <x:row r="2091">
      <x:c r="A2091" s="12" t="str">
        <x:v>4922</x:v>
      </x:c>
      <x:c r="B2091" s="12" t="str">
        <x:v>Other passenger land transport</x:v>
      </x:c>
      <x:c r="C2091" s="12" t="str">
        <x:v>البلقاء</x:v>
      </x:c>
      <x:c r="D2091" s="14" t="n">
        <x:v>18</x:v>
      </x:c>
      <x:c r="E2091" s="14" t="n">
        <x:f>VLOOKUP(C2091,'Governorate Master'!$A$2:$Q$13,3,FALSE)</x:f>
        <x:v>614000</x:v>
      </x:c>
      <x:c r="F2091" s="66" t="n">
        <x:f>IF(E2091=0,0,D2091/E2091*10000)</x:f>
        <x:v>0.2931596091205212</x:v>
      </x:c>
      <x:c r="G2091" s="67" t="n">
        <x:f>VLOOKUP(C2091,'Governorate Master'!$A$2:$Q$13,7,FALSE)</x:f>
        <x:v>548</x:v>
      </x:c>
      <x:c r="H2091" s="20" t="n">
        <x:f>VLOOKUP(C2091,'Governorate Master'!$A$2:$Q$13,6,FALSE)</x:f>
        <x:v>0.8210097719869707</x:v>
      </x:c>
      <x:c r="I2091" s="20" t="n">
        <x:f>VLOOKUP(C2091,'Governorate Master'!$A$2:$Q$13,15,FALSE)</x:f>
        <x:v>0.10794044665012408</x:v>
      </x:c>
      <x:c r="J2091" s="12" t="str">
        <x:v>Location model input - competition/saturation context</x:v>
      </x:c>
      <x:c r="K2091" s="12" t="str">
        <x:v>Business count is from 2018 while population/context indicators are newer; use as a historical proxy, not a current market count.</x:v>
      </x:c>
    </x:row>
    <x:row r="2092">
      <x:c r="A2092" s="12" t="str">
        <x:v>4922</x:v>
      </x:c>
      <x:c r="B2092" s="12" t="str">
        <x:v>Other passenger land transport</x:v>
      </x:c>
      <x:c r="C2092" s="12" t="str">
        <x:v>الزرقاء</x:v>
      </x:c>
      <x:c r="D2092" s="14" t="n">
        <x:v>28</x:v>
      </x:c>
      <x:c r="E2092" s="14" t="n">
        <x:f>VLOOKUP(C2092,'Governorate Master'!$A$2:$Q$13,3,FALSE)</x:f>
        <x:v>1704500</x:v>
      </x:c>
      <x:c r="F2092" s="66" t="n">
        <x:f>IF(E2092=0,0,D2092/E2092*10000)</x:f>
        <x:v>0.1642710472279261</x:v>
      </x:c>
      <x:c r="G2092" s="67" t="n">
        <x:f>VLOOKUP(C2092,'Governorate Master'!$A$2:$Q$13,7,FALSE)</x:f>
        <x:v>358</x:v>
      </x:c>
      <x:c r="H2092" s="20" t="n">
        <x:f>VLOOKUP(C2092,'Governorate Master'!$A$2:$Q$13,6,FALSE)</x:f>
        <x:v>0.9636256966852449</x:v>
      </x:c>
      <x:c r="I2092" s="20" t="n">
        <x:f>VLOOKUP(C2092,'Governorate Master'!$A$2:$Q$13,15,FALSE)</x:f>
        <x:v>-0.06808762581409118</x:v>
      </x:c>
      <x:c r="J2092" s="12" t="str">
        <x:v>Location model input - competition/saturation context</x:v>
      </x:c>
      <x:c r="K2092" s="12" t="str">
        <x:v>Business count is from 2018 while population/context indicators are newer; use as a historical proxy, not a current market count.</x:v>
      </x:c>
    </x:row>
    <x:row r="2093">
      <x:c r="A2093" s="12" t="str">
        <x:v>4922</x:v>
      </x:c>
      <x:c r="B2093" s="12" t="str">
        <x:v>Other passenger land transport</x:v>
      </x:c>
      <x:c r="C2093" s="12" t="str">
        <x:v>مادبا</x:v>
      </x:c>
      <x:c r="D2093" s="14" t="n">
        <x:v>9</x:v>
      </x:c>
      <x:c r="E2093" s="14" t="n">
        <x:f>VLOOKUP(C2093,'Governorate Master'!$A$2:$Q$13,3,FALSE)</x:f>
        <x:v>236200</x:v>
      </x:c>
      <x:c r="F2093" s="66" t="n">
        <x:f>IF(E2093=0,0,D2093/E2093*10000)</x:f>
        <x:v>0.3810330228619814</x:v>
      </x:c>
      <x:c r="G2093" s="67" t="n">
        <x:f>VLOOKUP(C2093,'Governorate Master'!$A$2:$Q$13,7,FALSE)</x:f>
        <x:v>251.4</x:v>
      </x:c>
      <x:c r="H2093" s="20" t="n">
        <x:f>VLOOKUP(C2093,'Governorate Master'!$A$2:$Q$13,6,FALSE)</x:f>
        <x:v>0.7823878069432684</x:v>
      </x:c>
      <x:c r="I2093" s="20" t="n">
        <x:f>VLOOKUP(C2093,'Governorate Master'!$A$2:$Q$13,15,FALSE)</x:f>
        <x:v>-0.18823529411764706</x:v>
      </x:c>
      <x:c r="J2093" s="12" t="str">
        <x:v>Location model input - competition/saturation context</x:v>
      </x:c>
      <x:c r="K2093" s="12" t="str">
        <x:v>Business count is from 2018 while population/context indicators are newer; use as a historical proxy, not a current market count.</x:v>
      </x:c>
    </x:row>
    <x:row r="2094">
      <x:c r="A2094" s="12" t="str">
        <x:v>4922</x:v>
      </x:c>
      <x:c r="B2094" s="12" t="str">
        <x:v>Other passenger land transport</x:v>
      </x:c>
      <x:c r="C2094" s="12" t="str">
        <x:v>إربد</x:v>
      </x:c>
      <x:c r="D2094" s="14" t="n">
        <x:v>31</x:v>
      </x:c>
      <x:c r="E2094" s="14" t="n">
        <x:f>VLOOKUP(C2094,'Governorate Master'!$A$2:$Q$13,3,FALSE)</x:f>
        <x:v>2210500</x:v>
      </x:c>
      <x:c r="F2094" s="66" t="n">
        <x:f>IF(E2094=0,0,D2094/E2094*10000)</x:f>
        <x:v>0.14023976475910427</x:v>
      </x:c>
      <x:c r="G2094" s="67" t="n">
        <x:f>VLOOKUP(C2094,'Governorate Master'!$A$2:$Q$13,7,FALSE)</x:f>
        <x:v>1406.4</x:v>
      </x:c>
      <x:c r="H2094" s="20" t="n">
        <x:f>VLOOKUP(C2094,'Governorate Master'!$A$2:$Q$13,6,FALSE)</x:f>
        <x:v>0.9235014702555983</x:v>
      </x:c>
      <x:c r="I2094" s="20" t="n">
        <x:f>VLOOKUP(C2094,'Governorate Master'!$A$2:$Q$13,15,FALSE)</x:f>
        <x:v>0.07086922474549726</x:v>
      </x:c>
      <x:c r="J2094" s="12" t="str">
        <x:v>Location model input - competition/saturation context</x:v>
      </x:c>
      <x:c r="K2094" s="12" t="str">
        <x:v>Business count is from 2018 while population/context indicators are newer; use as a historical proxy, not a current market count.</x:v>
      </x:c>
    </x:row>
    <x:row r="2095">
      <x:c r="A2095" s="12" t="str">
        <x:v>4922</x:v>
      </x:c>
      <x:c r="B2095" s="12" t="str">
        <x:v>Other passenger land transport</x:v>
      </x:c>
      <x:c r="C2095" s="12" t="str">
        <x:v>المفرق</x:v>
      </x:c>
      <x:c r="D2095" s="14" t="n">
        <x:v>3</x:v>
      </x:c>
      <x:c r="E2095" s="14" t="n">
        <x:f>VLOOKUP(C2095,'Governorate Master'!$A$2:$Q$13,3,FALSE)</x:f>
        <x:v>686800</x:v>
      </x:c>
      <x:c r="F2095" s="66" t="n">
        <x:f>IF(E2095=0,0,D2095/E2095*10000)</x:f>
        <x:v>0.043680838672102505</x:v>
      </x:c>
      <x:c r="G2095" s="67" t="n">
        <x:f>VLOOKUP(C2095,'Governorate Master'!$A$2:$Q$13,7,FALSE)</x:f>
        <x:v>25.9</x:v>
      </x:c>
      <x:c r="H2095" s="20" t="n">
        <x:f>VLOOKUP(C2095,'Governorate Master'!$A$2:$Q$13,6,FALSE)</x:f>
        <x:v>0.6965637740244612</x:v>
      </x:c>
      <x:c r="I2095" s="20" t="n">
        <x:f>VLOOKUP(C2095,'Governorate Master'!$A$2:$Q$13,15,FALSE)</x:f>
        <x:v>-0.016638935108153077</x:v>
      </x:c>
      <x:c r="J2095" s="12" t="str">
        <x:v>Location model input - competition/saturation context</x:v>
      </x:c>
      <x:c r="K2095" s="12" t="str">
        <x:v>Business count is from 2018 while population/context indicators are newer; use as a historical proxy, not a current market count.</x:v>
      </x:c>
    </x:row>
    <x:row r="2096">
      <x:c r="A2096" s="12" t="str">
        <x:v>4922</x:v>
      </x:c>
      <x:c r="B2096" s="12" t="str">
        <x:v>Other passenger land transport</x:v>
      </x:c>
      <x:c r="C2096" s="12" t="str">
        <x:v>جرش</x:v>
      </x:c>
      <x:c r="D2096" s="14" t="n">
        <x:v>2</x:v>
      </x:c>
      <x:c r="E2096" s="14" t="n">
        <x:f>VLOOKUP(C2096,'Governorate Master'!$A$2:$Q$13,3,FALSE)</x:f>
        <x:v>296000</x:v>
      </x:c>
      <x:c r="F2096" s="66" t="n">
        <x:f>IF(E2096=0,0,D2096/E2096*10000)</x:f>
        <x:v>0.06756756756756757</x:v>
      </x:c>
      <x:c r="G2096" s="67" t="n">
        <x:f>VLOOKUP(C2096,'Governorate Master'!$A$2:$Q$13,7,FALSE)</x:f>
        <x:v>722.3</x:v>
      </x:c>
      <x:c r="H2096" s="20" t="n">
        <x:f>VLOOKUP(C2096,'Governorate Master'!$A$2:$Q$13,6,FALSE)</x:f>
        <x:v>0.7695945945945946</x:v>
      </x:c>
      <x:c r="I2096" s="20" t="n">
        <x:f>VLOOKUP(C2096,'Governorate Master'!$A$2:$Q$13,15,FALSE)</x:f>
        <x:v>-0.06527415143603134</x:v>
      </x:c>
      <x:c r="J2096" s="12" t="str">
        <x:v>Location model input - competition/saturation context</x:v>
      </x:c>
      <x:c r="K2096" s="12" t="str">
        <x:v>Business count is from 2018 while population/context indicators are newer; use as a historical proxy, not a current market count.</x:v>
      </x:c>
    </x:row>
    <x:row r="2097">
      <x:c r="A2097" s="12" t="str">
        <x:v>4922</x:v>
      </x:c>
      <x:c r="B2097" s="12" t="str">
        <x:v>Other passenger land transport</x:v>
      </x:c>
      <x:c r="C2097" s="12" t="str">
        <x:v>عجلون</x:v>
      </x:c>
      <x:c r="D2097" s="14" t="n">
        <x:v>3</x:v>
      </x:c>
      <x:c r="E2097" s="14" t="n">
        <x:f>VLOOKUP(C2097,'Governorate Master'!$A$2:$Q$13,3,FALSE)</x:f>
        <x:v>219900</x:v>
      </x:c>
      <x:c r="F2097" s="66" t="n">
        <x:f>IF(E2097=0,0,D2097/E2097*10000)</x:f>
        <x:v>0.1364256480218281</x:v>
      </x:c>
      <x:c r="G2097" s="67" t="n">
        <x:f>VLOOKUP(C2097,'Governorate Master'!$A$2:$Q$13,7,FALSE)</x:f>
        <x:v>524</x:v>
      </x:c>
      <x:c r="H2097" s="20" t="n">
        <x:f>VLOOKUP(C2097,'Governorate Master'!$A$2:$Q$13,6,FALSE)</x:f>
        <x:v>0.8390177353342428</x:v>
      </x:c>
      <x:c r="I2097" s="20" t="n">
        <x:f>VLOOKUP(C2097,'Governorate Master'!$A$2:$Q$13,15,FALSE)</x:f>
        <x:v>0.03614457831325301</x:v>
      </x:c>
      <x:c r="J2097" s="12" t="str">
        <x:v>Location model input - competition/saturation context</x:v>
      </x:c>
      <x:c r="K2097" s="12" t="str">
        <x:v>Business count is from 2018 while population/context indicators are newer; use as a historical proxy, not a current market count.</x:v>
      </x:c>
    </x:row>
    <x:row r="2098">
      <x:c r="A2098" s="12" t="str">
        <x:v>4922</x:v>
      </x:c>
      <x:c r="B2098" s="12" t="str">
        <x:v>Other passenger land transport</x:v>
      </x:c>
      <x:c r="C2098" s="12" t="str">
        <x:v>الكرك</x:v>
      </x:c>
      <x:c r="D2098" s="14" t="n">
        <x:v>2</x:v>
      </x:c>
      <x:c r="E2098" s="14" t="n">
        <x:f>VLOOKUP(C2098,'Governorate Master'!$A$2:$Q$13,3,FALSE)</x:f>
        <x:v>395400</x:v>
      </x:c>
      <x:c r="F2098" s="66" t="n">
        <x:f>IF(E2098=0,0,D2098/E2098*10000)</x:f>
        <x:v>0.050581689428426904</x:v>
      </x:c>
      <x:c r="G2098" s="67" t="n">
        <x:f>VLOOKUP(C2098,'Governorate Master'!$A$2:$Q$13,7,FALSE)</x:f>
        <x:v>113.1</x:v>
      </x:c>
      <x:c r="H2098" s="20" t="n">
        <x:f>VLOOKUP(C2098,'Governorate Master'!$A$2:$Q$13,6,FALSE)</x:f>
        <x:v>0.5912999494183105</x:v>
      </x:c>
      <x:c r="I2098" s="20" t="n">
        <x:f>VLOOKUP(C2098,'Governorate Master'!$A$2:$Q$13,15,FALSE)</x:f>
        <x:v>0.08710801393728224</x:v>
      </x:c>
      <x:c r="J2098" s="12" t="str">
        <x:v>Location model input - competition/saturation context</x:v>
      </x:c>
      <x:c r="K2098" s="12" t="str">
        <x:v>Business count is from 2018 while population/context indicators are newer; use as a historical proxy, not a current market count.</x:v>
      </x:c>
    </x:row>
    <x:row r="2099">
      <x:c r="A2099" s="12" t="str">
        <x:v>4922</x:v>
      </x:c>
      <x:c r="B2099" s="12" t="str">
        <x:v>Other passenger land transport</x:v>
      </x:c>
      <x:c r="C2099" s="12" t="str">
        <x:v>الطفيلة</x:v>
      </x:c>
      <x:c r="D2099" s="14" t="n">
        <x:v>4</x:v>
      </x:c>
      <x:c r="E2099" s="14" t="n">
        <x:f>VLOOKUP(C2099,'Governorate Master'!$A$2:$Q$13,3,FALSE)</x:f>
        <x:v>120300</x:v>
      </x:c>
      <x:c r="F2099" s="66" t="n">
        <x:f>IF(E2099=0,0,D2099/E2099*10000)</x:f>
        <x:v>0.3325020781379884</x:v>
      </x:c>
      <x:c r="G2099" s="67" t="n">
        <x:f>VLOOKUP(C2099,'Governorate Master'!$A$2:$Q$13,7,FALSE)</x:f>
        <x:v>54.4</x:v>
      </x:c>
      <x:c r="H2099" s="20" t="n">
        <x:f>VLOOKUP(C2099,'Governorate Master'!$A$2:$Q$13,6,FALSE)</x:f>
        <x:v>0.7797173732335827</x:v>
      </x:c>
      <x:c r="I2099" s="20" t="n">
        <x:f>VLOOKUP(C2099,'Governorate Master'!$A$2:$Q$13,15,FALSE)</x:f>
        <x:v>0.18452380952380953</x:v>
      </x:c>
      <x:c r="J2099" s="12" t="str">
        <x:v>Location model input - competition/saturation context</x:v>
      </x:c>
      <x:c r="K2099" s="12" t="str">
        <x:v>Business count is from 2018 while population/context indicators are newer; use as a historical proxy, not a current market count.</x:v>
      </x:c>
    </x:row>
    <x:row r="2100">
      <x:c r="A2100" s="12" t="str">
        <x:v>4922</x:v>
      </x:c>
      <x:c r="B2100" s="12" t="str">
        <x:v>Other passenger land transport</x:v>
      </x:c>
      <x:c r="C2100" s="12" t="str">
        <x:v>معان</x:v>
      </x:c>
      <x:c r="D2100" s="14" t="n">
        <x:v>6</x:v>
      </x:c>
      <x:c r="E2100" s="14" t="n">
        <x:f>VLOOKUP(C2100,'Governorate Master'!$A$2:$Q$13,3,FALSE)</x:f>
        <x:v>197900</x:v>
      </x:c>
      <x:c r="F2100" s="66" t="n">
        <x:f>IF(E2100=0,0,D2100/E2100*10000)</x:f>
        <x:v>0.30318342597271347</x:v>
      </x:c>
      <x:c r="G2100" s="67" t="n">
        <x:f>VLOOKUP(C2100,'Governorate Master'!$A$2:$Q$13,7,FALSE)</x:f>
        <x:v>6</x:v>
      </x:c>
      <x:c r="H2100" s="20" t="n">
        <x:f>VLOOKUP(C2100,'Governorate Master'!$A$2:$Q$13,6,FALSE)</x:f>
        <x:v>0.5406771096513391</x:v>
      </x:c>
      <x:c r="I2100" s="20" t="n">
        <x:f>VLOOKUP(C2100,'Governorate Master'!$A$2:$Q$13,15,FALSE)</x:f>
        <x:v>0.026845637583892617</x:v>
      </x:c>
      <x:c r="J2100" s="12" t="str">
        <x:v>Location model input - competition/saturation context</x:v>
      </x:c>
      <x:c r="K2100" s="12" t="str">
        <x:v>Business count is from 2018 while population/context indicators are newer; use as a historical proxy, not a current market count.</x:v>
      </x:c>
    </x:row>
    <x:row r="2101">
      <x:c r="A2101" s="12" t="str">
        <x:v>4922</x:v>
      </x:c>
      <x:c r="B2101" s="12" t="str">
        <x:v>Other passenger land transport</x:v>
      </x:c>
      <x:c r="C2101" s="12" t="str">
        <x:v>العقبة</x:v>
      </x:c>
      <x:c r="D2101" s="14" t="n">
        <x:v>11</x:v>
      </x:c>
      <x:c r="E2101" s="14" t="n">
        <x:f>VLOOKUP(C2101,'Governorate Master'!$A$2:$Q$13,3,FALSE)</x:f>
        <x:v>250900</x:v>
      </x:c>
      <x:c r="F2101" s="66" t="n">
        <x:f>IF(E2101=0,0,D2101/E2101*10000)</x:f>
        <x:v>0.43842168194499803</x:v>
      </x:c>
      <x:c r="G2101" s="67" t="n">
        <x:f>VLOOKUP(C2101,'Governorate Master'!$A$2:$Q$13,7,FALSE)</x:f>
        <x:v>36.3</x:v>
      </x:c>
      <x:c r="H2101" s="20" t="n">
        <x:f>VLOOKUP(C2101,'Governorate Master'!$A$2:$Q$13,6,FALSE)</x:f>
        <x:v>0.882024711040255</x:v>
      </x:c>
      <x:c r="I2101" s="20" t="n">
        <x:f>VLOOKUP(C2101,'Governorate Master'!$A$2:$Q$13,15,FALSE)</x:f>
        <x:v>-0.09</x:v>
      </x:c>
      <x:c r="J2101" s="12" t="str">
        <x:v>Location model input - competition/saturation context</x:v>
      </x:c>
      <x:c r="K2101" s="12" t="str">
        <x:v>Business count is from 2018 while population/context indicators are newer; use as a historical proxy, not a current market count.</x:v>
      </x:c>
    </x:row>
    <x:row r="2102">
      <x:c r="A2102" s="12" t="str">
        <x:v>4923</x:v>
      </x:c>
      <x:c r="B2102" s="12" t="str">
        <x:v>Freight transport by road</x:v>
      </x:c>
      <x:c r="C2102" s="12" t="str">
        <x:v>عمان</x:v>
      </x:c>
      <x:c r="D2102" s="14" t="n">
        <x:v>96</x:v>
      </x:c>
      <x:c r="E2102" s="14" t="n">
        <x:f>VLOOKUP(C2102,'Governorate Master'!$A$2:$Q$13,3,FALSE)</x:f>
        <x:v>5004600</x:v>
      </x:c>
      <x:c r="F2102" s="66" t="n">
        <x:f>IF(E2102=0,0,D2102/E2102*10000)</x:f>
        <x:v>0.19182352235942932</x:v>
      </x:c>
      <x:c r="G2102" s="67" t="n">
        <x:f>VLOOKUP(C2102,'Governorate Master'!$A$2:$Q$13,7,FALSE)</x:f>
        <x:v>660.3</x:v>
      </x:c>
      <x:c r="H2102" s="20" t="n">
        <x:f>VLOOKUP(C2102,'Governorate Master'!$A$2:$Q$13,6,FALSE)</x:f>
        <x:v>0.9721656076409703</x:v>
      </x:c>
      <x:c r="I2102" s="20" t="n">
        <x:f>VLOOKUP(C2102,'Governorate Master'!$A$2:$Q$13,15,FALSE)</x:f>
        <x:v>0.06367041198501873</x:v>
      </x:c>
      <x:c r="J2102" s="12" t="str">
        <x:v>Location model input - competition/saturation context</x:v>
      </x:c>
      <x:c r="K2102" s="12" t="str">
        <x:v>Business count is from 2018 while population/context indicators are newer; use as a historical proxy, not a current market count.</x:v>
      </x:c>
    </x:row>
    <x:row r="2103">
      <x:c r="A2103" s="12" t="str">
        <x:v>4923</x:v>
      </x:c>
      <x:c r="B2103" s="12" t="str">
        <x:v>Freight transport by road</x:v>
      </x:c>
      <x:c r="C2103" s="12" t="str">
        <x:v>البلقاء</x:v>
      </x:c>
      <x:c r="D2103" s="14" t="n">
        <x:v>0</x:v>
      </x:c>
      <x:c r="E2103" s="14" t="n">
        <x:f>VLOOKUP(C2103,'Governorate Master'!$A$2:$Q$13,3,FALSE)</x:f>
        <x:v>614000</x:v>
      </x:c>
      <x:c r="F2103" s="66" t="n">
        <x:f>IF(E2103=0,0,D2103/E2103*10000)</x:f>
        <x:v>0</x:v>
      </x:c>
      <x:c r="G2103" s="67" t="n">
        <x:f>VLOOKUP(C2103,'Governorate Master'!$A$2:$Q$13,7,FALSE)</x:f>
        <x:v>548</x:v>
      </x:c>
      <x:c r="H2103" s="20" t="n">
        <x:f>VLOOKUP(C2103,'Governorate Master'!$A$2:$Q$13,6,FALSE)</x:f>
        <x:v>0.8210097719869707</x:v>
      </x:c>
      <x:c r="I2103" s="20" t="n">
        <x:f>VLOOKUP(C2103,'Governorate Master'!$A$2:$Q$13,15,FALSE)</x:f>
        <x:v>0.10794044665012408</x:v>
      </x:c>
      <x:c r="J2103" s="12" t="str">
        <x:v>Location model input - competition/saturation context</x:v>
      </x:c>
      <x:c r="K2103" s="12" t="str">
        <x:v>Business count is from 2018 while population/context indicators are newer; use as a historical proxy, not a current market count.</x:v>
      </x:c>
    </x:row>
    <x:row r="2104">
      <x:c r="A2104" s="12" t="str">
        <x:v>4923</x:v>
      </x:c>
      <x:c r="B2104" s="12" t="str">
        <x:v>Freight transport by road</x:v>
      </x:c>
      <x:c r="C2104" s="12" t="str">
        <x:v>الزرقاء</x:v>
      </x:c>
      <x:c r="D2104" s="14" t="n">
        <x:v>5</x:v>
      </x:c>
      <x:c r="E2104" s="14" t="n">
        <x:f>VLOOKUP(C2104,'Governorate Master'!$A$2:$Q$13,3,FALSE)</x:f>
        <x:v>1704500</x:v>
      </x:c>
      <x:c r="F2104" s="66" t="n">
        <x:f>IF(E2104=0,0,D2104/E2104*10000)</x:f>
        <x:v>0.029334115576415375</x:v>
      </x:c>
      <x:c r="G2104" s="67" t="n">
        <x:f>VLOOKUP(C2104,'Governorate Master'!$A$2:$Q$13,7,FALSE)</x:f>
        <x:v>358</x:v>
      </x:c>
      <x:c r="H2104" s="20" t="n">
        <x:f>VLOOKUP(C2104,'Governorate Master'!$A$2:$Q$13,6,FALSE)</x:f>
        <x:v>0.9636256966852449</x:v>
      </x:c>
      <x:c r="I2104" s="20" t="n">
        <x:f>VLOOKUP(C2104,'Governorate Master'!$A$2:$Q$13,15,FALSE)</x:f>
        <x:v>-0.06808762581409118</x:v>
      </x:c>
      <x:c r="J2104" s="12" t="str">
        <x:v>Location model input - competition/saturation context</x:v>
      </x:c>
      <x:c r="K2104" s="12" t="str">
        <x:v>Business count is from 2018 while population/context indicators are newer; use as a historical proxy, not a current market count.</x:v>
      </x:c>
    </x:row>
    <x:row r="2105">
      <x:c r="A2105" s="12" t="str">
        <x:v>4923</x:v>
      </x:c>
      <x:c r="B2105" s="12" t="str">
        <x:v>Freight transport by road</x:v>
      </x:c>
      <x:c r="C2105" s="12" t="str">
        <x:v>مادبا</x:v>
      </x:c>
      <x:c r="D2105" s="14" t="n">
        <x:v>0</x:v>
      </x:c>
      <x:c r="E2105" s="14" t="n">
        <x:f>VLOOKUP(C2105,'Governorate Master'!$A$2:$Q$13,3,FALSE)</x:f>
        <x:v>236200</x:v>
      </x:c>
      <x:c r="F2105" s="66" t="n">
        <x:f>IF(E2105=0,0,D2105/E2105*10000)</x:f>
        <x:v>0</x:v>
      </x:c>
      <x:c r="G2105" s="67" t="n">
        <x:f>VLOOKUP(C2105,'Governorate Master'!$A$2:$Q$13,7,FALSE)</x:f>
        <x:v>251.4</x:v>
      </x:c>
      <x:c r="H2105" s="20" t="n">
        <x:f>VLOOKUP(C2105,'Governorate Master'!$A$2:$Q$13,6,FALSE)</x:f>
        <x:v>0.7823878069432684</x:v>
      </x:c>
      <x:c r="I2105" s="20" t="n">
        <x:f>VLOOKUP(C2105,'Governorate Master'!$A$2:$Q$13,15,FALSE)</x:f>
        <x:v>-0.18823529411764706</x:v>
      </x:c>
      <x:c r="J2105" s="12" t="str">
        <x:v>Location model input - competition/saturation context</x:v>
      </x:c>
      <x:c r="K2105" s="12" t="str">
        <x:v>Business count is from 2018 while population/context indicators are newer; use as a historical proxy, not a current market count.</x:v>
      </x:c>
    </x:row>
    <x:row r="2106">
      <x:c r="A2106" s="12" t="str">
        <x:v>4923</x:v>
      </x:c>
      <x:c r="B2106" s="12" t="str">
        <x:v>Freight transport by road</x:v>
      </x:c>
      <x:c r="C2106" s="12" t="str">
        <x:v>إربد</x:v>
      </x:c>
      <x:c r="D2106" s="14" t="n">
        <x:v>10</x:v>
      </x:c>
      <x:c r="E2106" s="14" t="n">
        <x:f>VLOOKUP(C2106,'Governorate Master'!$A$2:$Q$13,3,FALSE)</x:f>
        <x:v>2210500</x:v>
      </x:c>
      <x:c r="F2106" s="66" t="n">
        <x:f>IF(E2106=0,0,D2106/E2106*10000)</x:f>
        <x:v>0.045238633793259445</x:v>
      </x:c>
      <x:c r="G2106" s="67" t="n">
        <x:f>VLOOKUP(C2106,'Governorate Master'!$A$2:$Q$13,7,FALSE)</x:f>
        <x:v>1406.4</x:v>
      </x:c>
      <x:c r="H2106" s="20" t="n">
        <x:f>VLOOKUP(C2106,'Governorate Master'!$A$2:$Q$13,6,FALSE)</x:f>
        <x:v>0.9235014702555983</x:v>
      </x:c>
      <x:c r="I2106" s="20" t="n">
        <x:f>VLOOKUP(C2106,'Governorate Master'!$A$2:$Q$13,15,FALSE)</x:f>
        <x:v>0.07086922474549726</x:v>
      </x:c>
      <x:c r="J2106" s="12" t="str">
        <x:v>Location model input - competition/saturation context</x:v>
      </x:c>
      <x:c r="K2106" s="12" t="str">
        <x:v>Business count is from 2018 while population/context indicators are newer; use as a historical proxy, not a current market count.</x:v>
      </x:c>
    </x:row>
    <x:row r="2107">
      <x:c r="A2107" s="12" t="str">
        <x:v>4923</x:v>
      </x:c>
      <x:c r="B2107" s="12" t="str">
        <x:v>Freight transport by road</x:v>
      </x:c>
      <x:c r="C2107" s="12" t="str">
        <x:v>المفرق</x:v>
      </x:c>
      <x:c r="D2107" s="14" t="n">
        <x:v>2</x:v>
      </x:c>
      <x:c r="E2107" s="14" t="n">
        <x:f>VLOOKUP(C2107,'Governorate Master'!$A$2:$Q$13,3,FALSE)</x:f>
        <x:v>686800</x:v>
      </x:c>
      <x:c r="F2107" s="66" t="n">
        <x:f>IF(E2107=0,0,D2107/E2107*10000)</x:f>
        <x:v>0.029120559114735003</x:v>
      </x:c>
      <x:c r="G2107" s="67" t="n">
        <x:f>VLOOKUP(C2107,'Governorate Master'!$A$2:$Q$13,7,FALSE)</x:f>
        <x:v>25.9</x:v>
      </x:c>
      <x:c r="H2107" s="20" t="n">
        <x:f>VLOOKUP(C2107,'Governorate Master'!$A$2:$Q$13,6,FALSE)</x:f>
        <x:v>0.6965637740244612</x:v>
      </x:c>
      <x:c r="I2107" s="20" t="n">
        <x:f>VLOOKUP(C2107,'Governorate Master'!$A$2:$Q$13,15,FALSE)</x:f>
        <x:v>-0.016638935108153077</x:v>
      </x:c>
      <x:c r="J2107" s="12" t="str">
        <x:v>Location model input - competition/saturation context</x:v>
      </x:c>
      <x:c r="K2107" s="12" t="str">
        <x:v>Business count is from 2018 while population/context indicators are newer; use as a historical proxy, not a current market count.</x:v>
      </x:c>
    </x:row>
    <x:row r="2108">
      <x:c r="A2108" s="12" t="str">
        <x:v>4923</x:v>
      </x:c>
      <x:c r="B2108" s="12" t="str">
        <x:v>Freight transport by road</x:v>
      </x:c>
      <x:c r="C2108" s="12" t="str">
        <x:v>جرش</x:v>
      </x:c>
      <x:c r="D2108" s="14" t="n">
        <x:v>0</x:v>
      </x:c>
      <x:c r="E2108" s="14" t="n">
        <x:f>VLOOKUP(C2108,'Governorate Master'!$A$2:$Q$13,3,FALSE)</x:f>
        <x:v>296000</x:v>
      </x:c>
      <x:c r="F2108" s="66" t="n">
        <x:f>IF(E2108=0,0,D2108/E2108*10000)</x:f>
        <x:v>0</x:v>
      </x:c>
      <x:c r="G2108" s="67" t="n">
        <x:f>VLOOKUP(C2108,'Governorate Master'!$A$2:$Q$13,7,FALSE)</x:f>
        <x:v>722.3</x:v>
      </x:c>
      <x:c r="H2108" s="20" t="n">
        <x:f>VLOOKUP(C2108,'Governorate Master'!$A$2:$Q$13,6,FALSE)</x:f>
        <x:v>0.7695945945945946</x:v>
      </x:c>
      <x:c r="I2108" s="20" t="n">
        <x:f>VLOOKUP(C2108,'Governorate Master'!$A$2:$Q$13,15,FALSE)</x:f>
        <x:v>-0.06527415143603134</x:v>
      </x:c>
      <x:c r="J2108" s="12" t="str">
        <x:v>Location model input - competition/saturation context</x:v>
      </x:c>
      <x:c r="K2108" s="12" t="str">
        <x:v>Business count is from 2018 while population/context indicators are newer; use as a historical proxy, not a current market count.</x:v>
      </x:c>
    </x:row>
    <x:row r="2109">
      <x:c r="A2109" s="12" t="str">
        <x:v>4923</x:v>
      </x:c>
      <x:c r="B2109" s="12" t="str">
        <x:v>Freight transport by road</x:v>
      </x:c>
      <x:c r="C2109" s="12" t="str">
        <x:v>عجلون</x:v>
      </x:c>
      <x:c r="D2109" s="14" t="n">
        <x:v>0</x:v>
      </x:c>
      <x:c r="E2109" s="14" t="n">
        <x:f>VLOOKUP(C2109,'Governorate Master'!$A$2:$Q$13,3,FALSE)</x:f>
        <x:v>219900</x:v>
      </x:c>
      <x:c r="F2109" s="66" t="n">
        <x:f>IF(E2109=0,0,D2109/E2109*10000)</x:f>
        <x:v>0</x:v>
      </x:c>
      <x:c r="G2109" s="67" t="n">
        <x:f>VLOOKUP(C2109,'Governorate Master'!$A$2:$Q$13,7,FALSE)</x:f>
        <x:v>524</x:v>
      </x:c>
      <x:c r="H2109" s="20" t="n">
        <x:f>VLOOKUP(C2109,'Governorate Master'!$A$2:$Q$13,6,FALSE)</x:f>
        <x:v>0.8390177353342428</x:v>
      </x:c>
      <x:c r="I2109" s="20" t="n">
        <x:f>VLOOKUP(C2109,'Governorate Master'!$A$2:$Q$13,15,FALSE)</x:f>
        <x:v>0.03614457831325301</x:v>
      </x:c>
      <x:c r="J2109" s="12" t="str">
        <x:v>Location model input - competition/saturation context</x:v>
      </x:c>
      <x:c r="K2109" s="12" t="str">
        <x:v>Business count is from 2018 while population/context indicators are newer; use as a historical proxy, not a current market count.</x:v>
      </x:c>
    </x:row>
    <x:row r="2110">
      <x:c r="A2110" s="12" t="str">
        <x:v>4923</x:v>
      </x:c>
      <x:c r="B2110" s="12" t="str">
        <x:v>Freight transport by road</x:v>
      </x:c>
      <x:c r="C2110" s="12" t="str">
        <x:v>الكرك</x:v>
      </x:c>
      <x:c r="D2110" s="14" t="n">
        <x:v>3</x:v>
      </x:c>
      <x:c r="E2110" s="14" t="n">
        <x:f>VLOOKUP(C2110,'Governorate Master'!$A$2:$Q$13,3,FALSE)</x:f>
        <x:v>395400</x:v>
      </x:c>
      <x:c r="F2110" s="66" t="n">
        <x:f>IF(E2110=0,0,D2110/E2110*10000)</x:f>
        <x:v>0.07587253414264036</x:v>
      </x:c>
      <x:c r="G2110" s="67" t="n">
        <x:f>VLOOKUP(C2110,'Governorate Master'!$A$2:$Q$13,7,FALSE)</x:f>
        <x:v>113.1</x:v>
      </x:c>
      <x:c r="H2110" s="20" t="n">
        <x:f>VLOOKUP(C2110,'Governorate Master'!$A$2:$Q$13,6,FALSE)</x:f>
        <x:v>0.5912999494183105</x:v>
      </x:c>
      <x:c r="I2110" s="20" t="n">
        <x:f>VLOOKUP(C2110,'Governorate Master'!$A$2:$Q$13,15,FALSE)</x:f>
        <x:v>0.08710801393728224</x:v>
      </x:c>
      <x:c r="J2110" s="12" t="str">
        <x:v>Location model input - competition/saturation context</x:v>
      </x:c>
      <x:c r="K2110" s="12" t="str">
        <x:v>Business count is from 2018 while population/context indicators are newer; use as a historical proxy, not a current market count.</x:v>
      </x:c>
    </x:row>
    <x:row r="2111">
      <x:c r="A2111" s="12" t="str">
        <x:v>4923</x:v>
      </x:c>
      <x:c r="B2111" s="12" t="str">
        <x:v>Freight transport by road</x:v>
      </x:c>
      <x:c r="C2111" s="12" t="str">
        <x:v>الطفيلة</x:v>
      </x:c>
      <x:c r="D2111" s="14" t="n">
        <x:v>1</x:v>
      </x:c>
      <x:c r="E2111" s="14" t="n">
        <x:f>VLOOKUP(C2111,'Governorate Master'!$A$2:$Q$13,3,FALSE)</x:f>
        <x:v>120300</x:v>
      </x:c>
      <x:c r="F2111" s="66" t="n">
        <x:f>IF(E2111=0,0,D2111/E2111*10000)</x:f>
        <x:v>0.0831255195344971</x:v>
      </x:c>
      <x:c r="G2111" s="67" t="n">
        <x:f>VLOOKUP(C2111,'Governorate Master'!$A$2:$Q$13,7,FALSE)</x:f>
        <x:v>54.4</x:v>
      </x:c>
      <x:c r="H2111" s="20" t="n">
        <x:f>VLOOKUP(C2111,'Governorate Master'!$A$2:$Q$13,6,FALSE)</x:f>
        <x:v>0.7797173732335827</x:v>
      </x:c>
      <x:c r="I2111" s="20" t="n">
        <x:f>VLOOKUP(C2111,'Governorate Master'!$A$2:$Q$13,15,FALSE)</x:f>
        <x:v>0.18452380952380953</x:v>
      </x:c>
      <x:c r="J2111" s="12" t="str">
        <x:v>Location model input - competition/saturation context</x:v>
      </x:c>
      <x:c r="K2111" s="12" t="str">
        <x:v>Business count is from 2018 while population/context indicators are newer; use as a historical proxy, not a current market count.</x:v>
      </x:c>
    </x:row>
    <x:row r="2112">
      <x:c r="A2112" s="12" t="str">
        <x:v>4923</x:v>
      </x:c>
      <x:c r="B2112" s="12" t="str">
        <x:v>Freight transport by road</x:v>
      </x:c>
      <x:c r="C2112" s="12" t="str">
        <x:v>معان</x:v>
      </x:c>
      <x:c r="D2112" s="14" t="n">
        <x:v>7</x:v>
      </x:c>
      <x:c r="E2112" s="14" t="n">
        <x:f>VLOOKUP(C2112,'Governorate Master'!$A$2:$Q$13,3,FALSE)</x:f>
        <x:v>197900</x:v>
      </x:c>
      <x:c r="F2112" s="66" t="n">
        <x:f>IF(E2112=0,0,D2112/E2112*10000)</x:f>
        <x:v>0.35371399696816574</x:v>
      </x:c>
      <x:c r="G2112" s="67" t="n">
        <x:f>VLOOKUP(C2112,'Governorate Master'!$A$2:$Q$13,7,FALSE)</x:f>
        <x:v>6</x:v>
      </x:c>
      <x:c r="H2112" s="20" t="n">
        <x:f>VLOOKUP(C2112,'Governorate Master'!$A$2:$Q$13,6,FALSE)</x:f>
        <x:v>0.5406771096513391</x:v>
      </x:c>
      <x:c r="I2112" s="20" t="n">
        <x:f>VLOOKUP(C2112,'Governorate Master'!$A$2:$Q$13,15,FALSE)</x:f>
        <x:v>0.026845637583892617</x:v>
      </x:c>
      <x:c r="J2112" s="12" t="str">
        <x:v>Location model input - competition/saturation context</x:v>
      </x:c>
      <x:c r="K2112" s="12" t="str">
        <x:v>Business count is from 2018 while population/context indicators are newer; use as a historical proxy, not a current market count.</x:v>
      </x:c>
    </x:row>
    <x:row r="2113">
      <x:c r="A2113" s="12" t="str">
        <x:v>4923</x:v>
      </x:c>
      <x:c r="B2113" s="12" t="str">
        <x:v>Freight transport by road</x:v>
      </x:c>
      <x:c r="C2113" s="12" t="str">
        <x:v>العقبة</x:v>
      </x:c>
      <x:c r="D2113" s="14" t="n">
        <x:v>11</x:v>
      </x:c>
      <x:c r="E2113" s="14" t="n">
        <x:f>VLOOKUP(C2113,'Governorate Master'!$A$2:$Q$13,3,FALSE)</x:f>
        <x:v>250900</x:v>
      </x:c>
      <x:c r="F2113" s="66" t="n">
        <x:f>IF(E2113=0,0,D2113/E2113*10000)</x:f>
        <x:v>0.43842168194499803</x:v>
      </x:c>
      <x:c r="G2113" s="67" t="n">
        <x:f>VLOOKUP(C2113,'Governorate Master'!$A$2:$Q$13,7,FALSE)</x:f>
        <x:v>36.3</x:v>
      </x:c>
      <x:c r="H2113" s="20" t="n">
        <x:f>VLOOKUP(C2113,'Governorate Master'!$A$2:$Q$13,6,FALSE)</x:f>
        <x:v>0.882024711040255</x:v>
      </x:c>
      <x:c r="I2113" s="20" t="n">
        <x:f>VLOOKUP(C2113,'Governorate Master'!$A$2:$Q$13,15,FALSE)</x:f>
        <x:v>-0.09</x:v>
      </x:c>
      <x:c r="J2113" s="12" t="str">
        <x:v>Location model input - competition/saturation context</x:v>
      </x:c>
      <x:c r="K2113" s="12" t="str">
        <x:v>Business count is from 2018 while population/context indicators are newer; use as a historical proxy, not a current market count.</x:v>
      </x:c>
    </x:row>
    <x:row r="2114">
      <x:c r="A2114" s="12" t="str">
        <x:v>4930</x:v>
      </x:c>
      <x:c r="B2114" s="12" t="str">
        <x:v>Transport via pipeline</x:v>
      </x:c>
      <x:c r="C2114" s="12" t="str">
        <x:v>عمان</x:v>
      </x:c>
      <x:c r="D2114" s="14" t="n">
        <x:v>1</x:v>
      </x:c>
      <x:c r="E2114" s="14" t="n">
        <x:f>VLOOKUP(C2114,'Governorate Master'!$A$2:$Q$13,3,FALSE)</x:f>
        <x:v>5004600</x:v>
      </x:c>
      <x:c r="F2114" s="66" t="n">
        <x:f>IF(E2114=0,0,D2114/E2114*10000)</x:f>
        <x:v>0.0019981616912440555</x:v>
      </x:c>
      <x:c r="G2114" s="67" t="n">
        <x:f>VLOOKUP(C2114,'Governorate Master'!$A$2:$Q$13,7,FALSE)</x:f>
        <x:v>660.3</x:v>
      </x:c>
      <x:c r="H2114" s="20" t="n">
        <x:f>VLOOKUP(C2114,'Governorate Master'!$A$2:$Q$13,6,FALSE)</x:f>
        <x:v>0.9721656076409703</x:v>
      </x:c>
      <x:c r="I2114" s="20" t="n">
        <x:f>VLOOKUP(C2114,'Governorate Master'!$A$2:$Q$13,15,FALSE)</x:f>
        <x:v>0.06367041198501873</x:v>
      </x:c>
      <x:c r="J2114" s="12" t="str">
        <x:v>Location model input - competition/saturation context</x:v>
      </x:c>
      <x:c r="K2114" s="12" t="str">
        <x:v>Business count is from 2018 while population/context indicators are newer; use as a historical proxy, not a current market count.</x:v>
      </x:c>
    </x:row>
    <x:row r="2115">
      <x:c r="A2115" s="12" t="str">
        <x:v>4930</x:v>
      </x:c>
      <x:c r="B2115" s="12" t="str">
        <x:v>Transport via pipeline</x:v>
      </x:c>
      <x:c r="C2115" s="12" t="str">
        <x:v>البلقاء</x:v>
      </x:c>
      <x:c r="D2115" s="14" t="n">
        <x:v>0</x:v>
      </x:c>
      <x:c r="E2115" s="14" t="n">
        <x:f>VLOOKUP(C2115,'Governorate Master'!$A$2:$Q$13,3,FALSE)</x:f>
        <x:v>614000</x:v>
      </x:c>
      <x:c r="F2115" s="66" t="n">
        <x:f>IF(E2115=0,0,D2115/E2115*10000)</x:f>
        <x:v>0</x:v>
      </x:c>
      <x:c r="G2115" s="67" t="n">
        <x:f>VLOOKUP(C2115,'Governorate Master'!$A$2:$Q$13,7,FALSE)</x:f>
        <x:v>548</x:v>
      </x:c>
      <x:c r="H2115" s="20" t="n">
        <x:f>VLOOKUP(C2115,'Governorate Master'!$A$2:$Q$13,6,FALSE)</x:f>
        <x:v>0.8210097719869707</x:v>
      </x:c>
      <x:c r="I2115" s="20" t="n">
        <x:f>VLOOKUP(C2115,'Governorate Master'!$A$2:$Q$13,15,FALSE)</x:f>
        <x:v>0.10794044665012408</x:v>
      </x:c>
      <x:c r="J2115" s="12" t="str">
        <x:v>Location model input - competition/saturation context</x:v>
      </x:c>
      <x:c r="K2115" s="12" t="str">
        <x:v>Business count is from 2018 while population/context indicators are newer; use as a historical proxy, not a current market count.</x:v>
      </x:c>
    </x:row>
    <x:row r="2116">
      <x:c r="A2116" s="12" t="str">
        <x:v>4930</x:v>
      </x:c>
      <x:c r="B2116" s="12" t="str">
        <x:v>Transport via pipeline</x:v>
      </x:c>
      <x:c r="C2116" s="12" t="str">
        <x:v>الزرقاء</x:v>
      </x:c>
      <x:c r="D2116" s="14" t="n">
        <x:v>0</x:v>
      </x:c>
      <x:c r="E2116" s="14" t="n">
        <x:f>VLOOKUP(C2116,'Governorate Master'!$A$2:$Q$13,3,FALSE)</x:f>
        <x:v>1704500</x:v>
      </x:c>
      <x:c r="F2116" s="66" t="n">
        <x:f>IF(E2116=0,0,D2116/E2116*10000)</x:f>
        <x:v>0</x:v>
      </x:c>
      <x:c r="G2116" s="67" t="n">
        <x:f>VLOOKUP(C2116,'Governorate Master'!$A$2:$Q$13,7,FALSE)</x:f>
        <x:v>358</x:v>
      </x:c>
      <x:c r="H2116" s="20" t="n">
        <x:f>VLOOKUP(C2116,'Governorate Master'!$A$2:$Q$13,6,FALSE)</x:f>
        <x:v>0.9636256966852449</x:v>
      </x:c>
      <x:c r="I2116" s="20" t="n">
        <x:f>VLOOKUP(C2116,'Governorate Master'!$A$2:$Q$13,15,FALSE)</x:f>
        <x:v>-0.06808762581409118</x:v>
      </x:c>
      <x:c r="J2116" s="12" t="str">
        <x:v>Location model input - competition/saturation context</x:v>
      </x:c>
      <x:c r="K2116" s="12" t="str">
        <x:v>Business count is from 2018 while population/context indicators are newer; use as a historical proxy, not a current market count.</x:v>
      </x:c>
    </x:row>
    <x:row r="2117">
      <x:c r="A2117" s="12" t="str">
        <x:v>4930</x:v>
      </x:c>
      <x:c r="B2117" s="12" t="str">
        <x:v>Transport via pipeline</x:v>
      </x:c>
      <x:c r="C2117" s="12" t="str">
        <x:v>مادبا</x:v>
      </x:c>
      <x:c r="D2117" s="14" t="n">
        <x:v>0</x:v>
      </x:c>
      <x:c r="E2117" s="14" t="n">
        <x:f>VLOOKUP(C2117,'Governorate Master'!$A$2:$Q$13,3,FALSE)</x:f>
        <x:v>236200</x:v>
      </x:c>
      <x:c r="F2117" s="66" t="n">
        <x:f>IF(E2117=0,0,D2117/E2117*10000)</x:f>
        <x:v>0</x:v>
      </x:c>
      <x:c r="G2117" s="67" t="n">
        <x:f>VLOOKUP(C2117,'Governorate Master'!$A$2:$Q$13,7,FALSE)</x:f>
        <x:v>251.4</x:v>
      </x:c>
      <x:c r="H2117" s="20" t="n">
        <x:f>VLOOKUP(C2117,'Governorate Master'!$A$2:$Q$13,6,FALSE)</x:f>
        <x:v>0.7823878069432684</x:v>
      </x:c>
      <x:c r="I2117" s="20" t="n">
        <x:f>VLOOKUP(C2117,'Governorate Master'!$A$2:$Q$13,15,FALSE)</x:f>
        <x:v>-0.18823529411764706</x:v>
      </x:c>
      <x:c r="J2117" s="12" t="str">
        <x:v>Location model input - competition/saturation context</x:v>
      </x:c>
      <x:c r="K2117" s="12" t="str">
        <x:v>Business count is from 2018 while population/context indicators are newer; use as a historical proxy, not a current market count.</x:v>
      </x:c>
    </x:row>
    <x:row r="2118">
      <x:c r="A2118" s="12" t="str">
        <x:v>4930</x:v>
      </x:c>
      <x:c r="B2118" s="12" t="str">
        <x:v>Transport via pipeline</x:v>
      </x:c>
      <x:c r="C2118" s="12" t="str">
        <x:v>إربد</x:v>
      </x:c>
      <x:c r="D2118" s="14" t="n">
        <x:v>0</x:v>
      </x:c>
      <x:c r="E2118" s="14" t="n">
        <x:f>VLOOKUP(C2118,'Governorate Master'!$A$2:$Q$13,3,FALSE)</x:f>
        <x:v>2210500</x:v>
      </x:c>
      <x:c r="F2118" s="66" t="n">
        <x:f>IF(E2118=0,0,D2118/E2118*10000)</x:f>
        <x:v>0</x:v>
      </x:c>
      <x:c r="G2118" s="67" t="n">
        <x:f>VLOOKUP(C2118,'Governorate Master'!$A$2:$Q$13,7,FALSE)</x:f>
        <x:v>1406.4</x:v>
      </x:c>
      <x:c r="H2118" s="20" t="n">
        <x:f>VLOOKUP(C2118,'Governorate Master'!$A$2:$Q$13,6,FALSE)</x:f>
        <x:v>0.9235014702555983</x:v>
      </x:c>
      <x:c r="I2118" s="20" t="n">
        <x:f>VLOOKUP(C2118,'Governorate Master'!$A$2:$Q$13,15,FALSE)</x:f>
        <x:v>0.07086922474549726</x:v>
      </x:c>
      <x:c r="J2118" s="12" t="str">
        <x:v>Location model input - competition/saturation context</x:v>
      </x:c>
      <x:c r="K2118" s="12" t="str">
        <x:v>Business count is from 2018 while population/context indicators are newer; use as a historical proxy, not a current market count.</x:v>
      </x:c>
    </x:row>
    <x:row r="2119">
      <x:c r="A2119" s="12" t="str">
        <x:v>4930</x:v>
      </x:c>
      <x:c r="B2119" s="12" t="str">
        <x:v>Transport via pipeline</x:v>
      </x:c>
      <x:c r="C2119" s="12" t="str">
        <x:v>المفرق</x:v>
      </x:c>
      <x:c r="D2119" s="14" t="n">
        <x:v>0</x:v>
      </x:c>
      <x:c r="E2119" s="14" t="n">
        <x:f>VLOOKUP(C2119,'Governorate Master'!$A$2:$Q$13,3,FALSE)</x:f>
        <x:v>686800</x:v>
      </x:c>
      <x:c r="F2119" s="66" t="n">
        <x:f>IF(E2119=0,0,D2119/E2119*10000)</x:f>
        <x:v>0</x:v>
      </x:c>
      <x:c r="G2119" s="67" t="n">
        <x:f>VLOOKUP(C2119,'Governorate Master'!$A$2:$Q$13,7,FALSE)</x:f>
        <x:v>25.9</x:v>
      </x:c>
      <x:c r="H2119" s="20" t="n">
        <x:f>VLOOKUP(C2119,'Governorate Master'!$A$2:$Q$13,6,FALSE)</x:f>
        <x:v>0.6965637740244612</x:v>
      </x:c>
      <x:c r="I2119" s="20" t="n">
        <x:f>VLOOKUP(C2119,'Governorate Master'!$A$2:$Q$13,15,FALSE)</x:f>
        <x:v>-0.016638935108153077</x:v>
      </x:c>
      <x:c r="J2119" s="12" t="str">
        <x:v>Location model input - competition/saturation context</x:v>
      </x:c>
      <x:c r="K2119" s="12" t="str">
        <x:v>Business count is from 2018 while population/context indicators are newer; use as a historical proxy, not a current market count.</x:v>
      </x:c>
    </x:row>
    <x:row r="2120">
      <x:c r="A2120" s="12" t="str">
        <x:v>4930</x:v>
      </x:c>
      <x:c r="B2120" s="12" t="str">
        <x:v>Transport via pipeline</x:v>
      </x:c>
      <x:c r="C2120" s="12" t="str">
        <x:v>جرش</x:v>
      </x:c>
      <x:c r="D2120" s="14" t="n">
        <x:v>0</x:v>
      </x:c>
      <x:c r="E2120" s="14" t="n">
        <x:f>VLOOKUP(C2120,'Governorate Master'!$A$2:$Q$13,3,FALSE)</x:f>
        <x:v>296000</x:v>
      </x:c>
      <x:c r="F2120" s="66" t="n">
        <x:f>IF(E2120=0,0,D2120/E2120*10000)</x:f>
        <x:v>0</x:v>
      </x:c>
      <x:c r="G2120" s="67" t="n">
        <x:f>VLOOKUP(C2120,'Governorate Master'!$A$2:$Q$13,7,FALSE)</x:f>
        <x:v>722.3</x:v>
      </x:c>
      <x:c r="H2120" s="20" t="n">
        <x:f>VLOOKUP(C2120,'Governorate Master'!$A$2:$Q$13,6,FALSE)</x:f>
        <x:v>0.7695945945945946</x:v>
      </x:c>
      <x:c r="I2120" s="20" t="n">
        <x:f>VLOOKUP(C2120,'Governorate Master'!$A$2:$Q$13,15,FALSE)</x:f>
        <x:v>-0.06527415143603134</x:v>
      </x:c>
      <x:c r="J2120" s="12" t="str">
        <x:v>Location model input - competition/saturation context</x:v>
      </x:c>
      <x:c r="K2120" s="12" t="str">
        <x:v>Business count is from 2018 while population/context indicators are newer; use as a historical proxy, not a current market count.</x:v>
      </x:c>
    </x:row>
    <x:row r="2121">
      <x:c r="A2121" s="12" t="str">
        <x:v>4930</x:v>
      </x:c>
      <x:c r="B2121" s="12" t="str">
        <x:v>Transport via pipeline</x:v>
      </x:c>
      <x:c r="C2121" s="12" t="str">
        <x:v>عجلون</x:v>
      </x:c>
      <x:c r="D2121" s="14" t="n">
        <x:v>0</x:v>
      </x:c>
      <x:c r="E2121" s="14" t="n">
        <x:f>VLOOKUP(C2121,'Governorate Master'!$A$2:$Q$13,3,FALSE)</x:f>
        <x:v>219900</x:v>
      </x:c>
      <x:c r="F2121" s="66" t="n">
        <x:f>IF(E2121=0,0,D2121/E2121*10000)</x:f>
        <x:v>0</x:v>
      </x:c>
      <x:c r="G2121" s="67" t="n">
        <x:f>VLOOKUP(C2121,'Governorate Master'!$A$2:$Q$13,7,FALSE)</x:f>
        <x:v>524</x:v>
      </x:c>
      <x:c r="H2121" s="20" t="n">
        <x:f>VLOOKUP(C2121,'Governorate Master'!$A$2:$Q$13,6,FALSE)</x:f>
        <x:v>0.8390177353342428</x:v>
      </x:c>
      <x:c r="I2121" s="20" t="n">
        <x:f>VLOOKUP(C2121,'Governorate Master'!$A$2:$Q$13,15,FALSE)</x:f>
        <x:v>0.03614457831325301</x:v>
      </x:c>
      <x:c r="J2121" s="12" t="str">
        <x:v>Location model input - competition/saturation context</x:v>
      </x:c>
      <x:c r="K2121" s="12" t="str">
        <x:v>Business count is from 2018 while population/context indicators are newer; use as a historical proxy, not a current market count.</x:v>
      </x:c>
    </x:row>
    <x:row r="2122">
      <x:c r="A2122" s="12" t="str">
        <x:v>4930</x:v>
      </x:c>
      <x:c r="B2122" s="12" t="str">
        <x:v>Transport via pipeline</x:v>
      </x:c>
      <x:c r="C2122" s="12" t="str">
        <x:v>الكرك</x:v>
      </x:c>
      <x:c r="D2122" s="14" t="n">
        <x:v>0</x:v>
      </x:c>
      <x:c r="E2122" s="14" t="n">
        <x:f>VLOOKUP(C2122,'Governorate Master'!$A$2:$Q$13,3,FALSE)</x:f>
        <x:v>395400</x:v>
      </x:c>
      <x:c r="F2122" s="66" t="n">
        <x:f>IF(E2122=0,0,D2122/E2122*10000)</x:f>
        <x:v>0</x:v>
      </x:c>
      <x:c r="G2122" s="67" t="n">
        <x:f>VLOOKUP(C2122,'Governorate Master'!$A$2:$Q$13,7,FALSE)</x:f>
        <x:v>113.1</x:v>
      </x:c>
      <x:c r="H2122" s="20" t="n">
        <x:f>VLOOKUP(C2122,'Governorate Master'!$A$2:$Q$13,6,FALSE)</x:f>
        <x:v>0.5912999494183105</x:v>
      </x:c>
      <x:c r="I2122" s="20" t="n">
        <x:f>VLOOKUP(C2122,'Governorate Master'!$A$2:$Q$13,15,FALSE)</x:f>
        <x:v>0.08710801393728224</x:v>
      </x:c>
      <x:c r="J2122" s="12" t="str">
        <x:v>Location model input - competition/saturation context</x:v>
      </x:c>
      <x:c r="K2122" s="12" t="str">
        <x:v>Business count is from 2018 while population/context indicators are newer; use as a historical proxy, not a current market count.</x:v>
      </x:c>
    </x:row>
    <x:row r="2123">
      <x:c r="A2123" s="12" t="str">
        <x:v>4930</x:v>
      </x:c>
      <x:c r="B2123" s="12" t="str">
        <x:v>Transport via pipeline</x:v>
      </x:c>
      <x:c r="C2123" s="12" t="str">
        <x:v>الطفيلة</x:v>
      </x:c>
      <x:c r="D2123" s="14" t="n">
        <x:v>0</x:v>
      </x:c>
      <x:c r="E2123" s="14" t="n">
        <x:f>VLOOKUP(C2123,'Governorate Master'!$A$2:$Q$13,3,FALSE)</x:f>
        <x:v>120300</x:v>
      </x:c>
      <x:c r="F2123" s="66" t="n">
        <x:f>IF(E2123=0,0,D2123/E2123*10000)</x:f>
        <x:v>0</x:v>
      </x:c>
      <x:c r="G2123" s="67" t="n">
        <x:f>VLOOKUP(C2123,'Governorate Master'!$A$2:$Q$13,7,FALSE)</x:f>
        <x:v>54.4</x:v>
      </x:c>
      <x:c r="H2123" s="20" t="n">
        <x:f>VLOOKUP(C2123,'Governorate Master'!$A$2:$Q$13,6,FALSE)</x:f>
        <x:v>0.7797173732335827</x:v>
      </x:c>
      <x:c r="I2123" s="20" t="n">
        <x:f>VLOOKUP(C2123,'Governorate Master'!$A$2:$Q$13,15,FALSE)</x:f>
        <x:v>0.18452380952380953</x:v>
      </x:c>
      <x:c r="J2123" s="12" t="str">
        <x:v>Location model input - competition/saturation context</x:v>
      </x:c>
      <x:c r="K2123" s="12" t="str">
        <x:v>Business count is from 2018 while population/context indicators are newer; use as a historical proxy, not a current market count.</x:v>
      </x:c>
    </x:row>
    <x:row r="2124">
      <x:c r="A2124" s="12" t="str">
        <x:v>4930</x:v>
      </x:c>
      <x:c r="B2124" s="12" t="str">
        <x:v>Transport via pipeline</x:v>
      </x:c>
      <x:c r="C2124" s="12" t="str">
        <x:v>معان</x:v>
      </x:c>
      <x:c r="D2124" s="14" t="n">
        <x:v>0</x:v>
      </x:c>
      <x:c r="E2124" s="14" t="n">
        <x:f>VLOOKUP(C2124,'Governorate Master'!$A$2:$Q$13,3,FALSE)</x:f>
        <x:v>197900</x:v>
      </x:c>
      <x:c r="F2124" s="66" t="n">
        <x:f>IF(E2124=0,0,D2124/E2124*10000)</x:f>
        <x:v>0</x:v>
      </x:c>
      <x:c r="G2124" s="67" t="n">
        <x:f>VLOOKUP(C2124,'Governorate Master'!$A$2:$Q$13,7,FALSE)</x:f>
        <x:v>6</x:v>
      </x:c>
      <x:c r="H2124" s="20" t="n">
        <x:f>VLOOKUP(C2124,'Governorate Master'!$A$2:$Q$13,6,FALSE)</x:f>
        <x:v>0.5406771096513391</x:v>
      </x:c>
      <x:c r="I2124" s="20" t="n">
        <x:f>VLOOKUP(C2124,'Governorate Master'!$A$2:$Q$13,15,FALSE)</x:f>
        <x:v>0.026845637583892617</x:v>
      </x:c>
      <x:c r="J2124" s="12" t="str">
        <x:v>Location model input - competition/saturation context</x:v>
      </x:c>
      <x:c r="K2124" s="12" t="str">
        <x:v>Business count is from 2018 while population/context indicators are newer; use as a historical proxy, not a current market count.</x:v>
      </x:c>
    </x:row>
    <x:row r="2125">
      <x:c r="A2125" s="12" t="str">
        <x:v>4930</x:v>
      </x:c>
      <x:c r="B2125" s="12" t="str">
        <x:v>Transport via pipeline</x:v>
      </x:c>
      <x:c r="C2125" s="12" t="str">
        <x:v>العقبة</x:v>
      </x:c>
      <x:c r="D2125" s="14" t="n">
        <x:v>0</x:v>
      </x:c>
      <x:c r="E2125" s="14" t="n">
        <x:f>VLOOKUP(C2125,'Governorate Master'!$A$2:$Q$13,3,FALSE)</x:f>
        <x:v>250900</x:v>
      </x:c>
      <x:c r="F2125" s="66" t="n">
        <x:f>IF(E2125=0,0,D2125/E2125*10000)</x:f>
        <x:v>0</x:v>
      </x:c>
      <x:c r="G2125" s="67" t="n">
        <x:f>VLOOKUP(C2125,'Governorate Master'!$A$2:$Q$13,7,FALSE)</x:f>
        <x:v>36.3</x:v>
      </x:c>
      <x:c r="H2125" s="20" t="n">
        <x:f>VLOOKUP(C2125,'Governorate Master'!$A$2:$Q$13,6,FALSE)</x:f>
        <x:v>0.882024711040255</x:v>
      </x:c>
      <x:c r="I2125" s="20" t="n">
        <x:f>VLOOKUP(C2125,'Governorate Master'!$A$2:$Q$13,15,FALSE)</x:f>
        <x:v>-0.09</x:v>
      </x:c>
      <x:c r="J2125" s="12" t="str">
        <x:v>Location model input - competition/saturation context</x:v>
      </x:c>
      <x:c r="K2125" s="12" t="str">
        <x:v>Business count is from 2018 while population/context indicators are newer; use as a historical proxy, not a current market count.</x:v>
      </x:c>
    </x:row>
    <x:row r="2126">
      <x:c r="A2126" s="12" t="str">
        <x:v>5011</x:v>
      </x:c>
      <x:c r="B2126" s="12" t="str">
        <x:v>Sea and coastal passenger water transport</x:v>
      </x:c>
      <x:c r="C2126" s="12" t="str">
        <x:v>عمان</x:v>
      </x:c>
      <x:c r="D2126" s="14" t="n">
        <x:v>0</x:v>
      </x:c>
      <x:c r="E2126" s="14" t="n">
        <x:f>VLOOKUP(C2126,'Governorate Master'!$A$2:$Q$13,3,FALSE)</x:f>
        <x:v>5004600</x:v>
      </x:c>
      <x:c r="F2126" s="66" t="n">
        <x:f>IF(E2126=0,0,D2126/E2126*10000)</x:f>
        <x:v>0</x:v>
      </x:c>
      <x:c r="G2126" s="67" t="n">
        <x:f>VLOOKUP(C2126,'Governorate Master'!$A$2:$Q$13,7,FALSE)</x:f>
        <x:v>660.3</x:v>
      </x:c>
      <x:c r="H2126" s="20" t="n">
        <x:f>VLOOKUP(C2126,'Governorate Master'!$A$2:$Q$13,6,FALSE)</x:f>
        <x:v>0.9721656076409703</x:v>
      </x:c>
      <x:c r="I2126" s="20" t="n">
        <x:f>VLOOKUP(C2126,'Governorate Master'!$A$2:$Q$13,15,FALSE)</x:f>
        <x:v>0.06367041198501873</x:v>
      </x:c>
      <x:c r="J2126" s="12" t="str">
        <x:v>Location model input - competition/saturation context</x:v>
      </x:c>
      <x:c r="K2126" s="12" t="str">
        <x:v>Business count is from 2018 while population/context indicators are newer; use as a historical proxy, not a current market count.</x:v>
      </x:c>
    </x:row>
    <x:row r="2127">
      <x:c r="A2127" s="12" t="str">
        <x:v>5011</x:v>
      </x:c>
      <x:c r="B2127" s="12" t="str">
        <x:v>Sea and coastal passenger water transport</x:v>
      </x:c>
      <x:c r="C2127" s="12" t="str">
        <x:v>البلقاء</x:v>
      </x:c>
      <x:c r="D2127" s="14" t="n">
        <x:v>0</x:v>
      </x:c>
      <x:c r="E2127" s="14" t="n">
        <x:f>VLOOKUP(C2127,'Governorate Master'!$A$2:$Q$13,3,FALSE)</x:f>
        <x:v>614000</x:v>
      </x:c>
      <x:c r="F2127" s="66" t="n">
        <x:f>IF(E2127=0,0,D2127/E2127*10000)</x:f>
        <x:v>0</x:v>
      </x:c>
      <x:c r="G2127" s="67" t="n">
        <x:f>VLOOKUP(C2127,'Governorate Master'!$A$2:$Q$13,7,FALSE)</x:f>
        <x:v>548</x:v>
      </x:c>
      <x:c r="H2127" s="20" t="n">
        <x:f>VLOOKUP(C2127,'Governorate Master'!$A$2:$Q$13,6,FALSE)</x:f>
        <x:v>0.8210097719869707</x:v>
      </x:c>
      <x:c r="I2127" s="20" t="n">
        <x:f>VLOOKUP(C2127,'Governorate Master'!$A$2:$Q$13,15,FALSE)</x:f>
        <x:v>0.10794044665012408</x:v>
      </x:c>
      <x:c r="J2127" s="12" t="str">
        <x:v>Location model input - competition/saturation context</x:v>
      </x:c>
      <x:c r="K2127" s="12" t="str">
        <x:v>Business count is from 2018 while population/context indicators are newer; use as a historical proxy, not a current market count.</x:v>
      </x:c>
    </x:row>
    <x:row r="2128">
      <x:c r="A2128" s="12" t="str">
        <x:v>5011</x:v>
      </x:c>
      <x:c r="B2128" s="12" t="str">
        <x:v>Sea and coastal passenger water transport</x:v>
      </x:c>
      <x:c r="C2128" s="12" t="str">
        <x:v>الزرقاء</x:v>
      </x:c>
      <x:c r="D2128" s="14" t="n">
        <x:v>0</x:v>
      </x:c>
      <x:c r="E2128" s="14" t="n">
        <x:f>VLOOKUP(C2128,'Governorate Master'!$A$2:$Q$13,3,FALSE)</x:f>
        <x:v>1704500</x:v>
      </x:c>
      <x:c r="F2128" s="66" t="n">
        <x:f>IF(E2128=0,0,D2128/E2128*10000)</x:f>
        <x:v>0</x:v>
      </x:c>
      <x:c r="G2128" s="67" t="n">
        <x:f>VLOOKUP(C2128,'Governorate Master'!$A$2:$Q$13,7,FALSE)</x:f>
        <x:v>358</x:v>
      </x:c>
      <x:c r="H2128" s="20" t="n">
        <x:f>VLOOKUP(C2128,'Governorate Master'!$A$2:$Q$13,6,FALSE)</x:f>
        <x:v>0.9636256966852449</x:v>
      </x:c>
      <x:c r="I2128" s="20" t="n">
        <x:f>VLOOKUP(C2128,'Governorate Master'!$A$2:$Q$13,15,FALSE)</x:f>
        <x:v>-0.06808762581409118</x:v>
      </x:c>
      <x:c r="J2128" s="12" t="str">
        <x:v>Location model input - competition/saturation context</x:v>
      </x:c>
      <x:c r="K2128" s="12" t="str">
        <x:v>Business count is from 2018 while population/context indicators are newer; use as a historical proxy, not a current market count.</x:v>
      </x:c>
    </x:row>
    <x:row r="2129">
      <x:c r="A2129" s="12" t="str">
        <x:v>5011</x:v>
      </x:c>
      <x:c r="B2129" s="12" t="str">
        <x:v>Sea and coastal passenger water transport</x:v>
      </x:c>
      <x:c r="C2129" s="12" t="str">
        <x:v>مادبا</x:v>
      </x:c>
      <x:c r="D2129" s="14" t="n">
        <x:v>0</x:v>
      </x:c>
      <x:c r="E2129" s="14" t="n">
        <x:f>VLOOKUP(C2129,'Governorate Master'!$A$2:$Q$13,3,FALSE)</x:f>
        <x:v>236200</x:v>
      </x:c>
      <x:c r="F2129" s="66" t="n">
        <x:f>IF(E2129=0,0,D2129/E2129*10000)</x:f>
        <x:v>0</x:v>
      </x:c>
      <x:c r="G2129" s="67" t="n">
        <x:f>VLOOKUP(C2129,'Governorate Master'!$A$2:$Q$13,7,FALSE)</x:f>
        <x:v>251.4</x:v>
      </x:c>
      <x:c r="H2129" s="20" t="n">
        <x:f>VLOOKUP(C2129,'Governorate Master'!$A$2:$Q$13,6,FALSE)</x:f>
        <x:v>0.7823878069432684</x:v>
      </x:c>
      <x:c r="I2129" s="20" t="n">
        <x:f>VLOOKUP(C2129,'Governorate Master'!$A$2:$Q$13,15,FALSE)</x:f>
        <x:v>-0.18823529411764706</x:v>
      </x:c>
      <x:c r="J2129" s="12" t="str">
        <x:v>Location model input - competition/saturation context</x:v>
      </x:c>
      <x:c r="K2129" s="12" t="str">
        <x:v>Business count is from 2018 while population/context indicators are newer; use as a historical proxy, not a current market count.</x:v>
      </x:c>
    </x:row>
    <x:row r="2130">
      <x:c r="A2130" s="12" t="str">
        <x:v>5011</x:v>
      </x:c>
      <x:c r="B2130" s="12" t="str">
        <x:v>Sea and coastal passenger water transport</x:v>
      </x:c>
      <x:c r="C2130" s="12" t="str">
        <x:v>إربد</x:v>
      </x:c>
      <x:c r="D2130" s="14" t="n">
        <x:v>0</x:v>
      </x:c>
      <x:c r="E2130" s="14" t="n">
        <x:f>VLOOKUP(C2130,'Governorate Master'!$A$2:$Q$13,3,FALSE)</x:f>
        <x:v>2210500</x:v>
      </x:c>
      <x:c r="F2130" s="66" t="n">
        <x:f>IF(E2130=0,0,D2130/E2130*10000)</x:f>
        <x:v>0</x:v>
      </x:c>
      <x:c r="G2130" s="67" t="n">
        <x:f>VLOOKUP(C2130,'Governorate Master'!$A$2:$Q$13,7,FALSE)</x:f>
        <x:v>1406.4</x:v>
      </x:c>
      <x:c r="H2130" s="20" t="n">
        <x:f>VLOOKUP(C2130,'Governorate Master'!$A$2:$Q$13,6,FALSE)</x:f>
        <x:v>0.9235014702555983</x:v>
      </x:c>
      <x:c r="I2130" s="20" t="n">
        <x:f>VLOOKUP(C2130,'Governorate Master'!$A$2:$Q$13,15,FALSE)</x:f>
        <x:v>0.07086922474549726</x:v>
      </x:c>
      <x:c r="J2130" s="12" t="str">
        <x:v>Location model input - competition/saturation context</x:v>
      </x:c>
      <x:c r="K2130" s="12" t="str">
        <x:v>Business count is from 2018 while population/context indicators are newer; use as a historical proxy, not a current market count.</x:v>
      </x:c>
    </x:row>
    <x:row r="2131">
      <x:c r="A2131" s="12" t="str">
        <x:v>5011</x:v>
      </x:c>
      <x:c r="B2131" s="12" t="str">
        <x:v>Sea and coastal passenger water transport</x:v>
      </x:c>
      <x:c r="C2131" s="12" t="str">
        <x:v>المفرق</x:v>
      </x:c>
      <x:c r="D2131" s="14" t="n">
        <x:v>0</x:v>
      </x:c>
      <x:c r="E2131" s="14" t="n">
        <x:f>VLOOKUP(C2131,'Governorate Master'!$A$2:$Q$13,3,FALSE)</x:f>
        <x:v>686800</x:v>
      </x:c>
      <x:c r="F2131" s="66" t="n">
        <x:f>IF(E2131=0,0,D2131/E2131*10000)</x:f>
        <x:v>0</x:v>
      </x:c>
      <x:c r="G2131" s="67" t="n">
        <x:f>VLOOKUP(C2131,'Governorate Master'!$A$2:$Q$13,7,FALSE)</x:f>
        <x:v>25.9</x:v>
      </x:c>
      <x:c r="H2131" s="20" t="n">
        <x:f>VLOOKUP(C2131,'Governorate Master'!$A$2:$Q$13,6,FALSE)</x:f>
        <x:v>0.6965637740244612</x:v>
      </x:c>
      <x:c r="I2131" s="20" t="n">
        <x:f>VLOOKUP(C2131,'Governorate Master'!$A$2:$Q$13,15,FALSE)</x:f>
        <x:v>-0.016638935108153077</x:v>
      </x:c>
      <x:c r="J2131" s="12" t="str">
        <x:v>Location model input - competition/saturation context</x:v>
      </x:c>
      <x:c r="K2131" s="12" t="str">
        <x:v>Business count is from 2018 while population/context indicators are newer; use as a historical proxy, not a current market count.</x:v>
      </x:c>
    </x:row>
    <x:row r="2132">
      <x:c r="A2132" s="12" t="str">
        <x:v>5011</x:v>
      </x:c>
      <x:c r="B2132" s="12" t="str">
        <x:v>Sea and coastal passenger water transport</x:v>
      </x:c>
      <x:c r="C2132" s="12" t="str">
        <x:v>جرش</x:v>
      </x:c>
      <x:c r="D2132" s="14" t="n">
        <x:v>0</x:v>
      </x:c>
      <x:c r="E2132" s="14" t="n">
        <x:f>VLOOKUP(C2132,'Governorate Master'!$A$2:$Q$13,3,FALSE)</x:f>
        <x:v>296000</x:v>
      </x:c>
      <x:c r="F2132" s="66" t="n">
        <x:f>IF(E2132=0,0,D2132/E2132*10000)</x:f>
        <x:v>0</x:v>
      </x:c>
      <x:c r="G2132" s="67" t="n">
        <x:f>VLOOKUP(C2132,'Governorate Master'!$A$2:$Q$13,7,FALSE)</x:f>
        <x:v>722.3</x:v>
      </x:c>
      <x:c r="H2132" s="20" t="n">
        <x:f>VLOOKUP(C2132,'Governorate Master'!$A$2:$Q$13,6,FALSE)</x:f>
        <x:v>0.7695945945945946</x:v>
      </x:c>
      <x:c r="I2132" s="20" t="n">
        <x:f>VLOOKUP(C2132,'Governorate Master'!$A$2:$Q$13,15,FALSE)</x:f>
        <x:v>-0.06527415143603134</x:v>
      </x:c>
      <x:c r="J2132" s="12" t="str">
        <x:v>Location model input - competition/saturation context</x:v>
      </x:c>
      <x:c r="K2132" s="12" t="str">
        <x:v>Business count is from 2018 while population/context indicators are newer; use as a historical proxy, not a current market count.</x:v>
      </x:c>
    </x:row>
    <x:row r="2133">
      <x:c r="A2133" s="12" t="str">
        <x:v>5011</x:v>
      </x:c>
      <x:c r="B2133" s="12" t="str">
        <x:v>Sea and coastal passenger water transport</x:v>
      </x:c>
      <x:c r="C2133" s="12" t="str">
        <x:v>عجلون</x:v>
      </x:c>
      <x:c r="D2133" s="14" t="n">
        <x:v>0</x:v>
      </x:c>
      <x:c r="E2133" s="14" t="n">
        <x:f>VLOOKUP(C2133,'Governorate Master'!$A$2:$Q$13,3,FALSE)</x:f>
        <x:v>219900</x:v>
      </x:c>
      <x:c r="F2133" s="66" t="n">
        <x:f>IF(E2133=0,0,D2133/E2133*10000)</x:f>
        <x:v>0</x:v>
      </x:c>
      <x:c r="G2133" s="67" t="n">
        <x:f>VLOOKUP(C2133,'Governorate Master'!$A$2:$Q$13,7,FALSE)</x:f>
        <x:v>524</x:v>
      </x:c>
      <x:c r="H2133" s="20" t="n">
        <x:f>VLOOKUP(C2133,'Governorate Master'!$A$2:$Q$13,6,FALSE)</x:f>
        <x:v>0.8390177353342428</x:v>
      </x:c>
      <x:c r="I2133" s="20" t="n">
        <x:f>VLOOKUP(C2133,'Governorate Master'!$A$2:$Q$13,15,FALSE)</x:f>
        <x:v>0.03614457831325301</x:v>
      </x:c>
      <x:c r="J2133" s="12" t="str">
        <x:v>Location model input - competition/saturation context</x:v>
      </x:c>
      <x:c r="K2133" s="12" t="str">
        <x:v>Business count is from 2018 while population/context indicators are newer; use as a historical proxy, not a current market count.</x:v>
      </x:c>
    </x:row>
    <x:row r="2134">
      <x:c r="A2134" s="12" t="str">
        <x:v>5011</x:v>
      </x:c>
      <x:c r="B2134" s="12" t="str">
        <x:v>Sea and coastal passenger water transport</x:v>
      </x:c>
      <x:c r="C2134" s="12" t="str">
        <x:v>الكرك</x:v>
      </x:c>
      <x:c r="D2134" s="14" t="n">
        <x:v>0</x:v>
      </x:c>
      <x:c r="E2134" s="14" t="n">
        <x:f>VLOOKUP(C2134,'Governorate Master'!$A$2:$Q$13,3,FALSE)</x:f>
        <x:v>395400</x:v>
      </x:c>
      <x:c r="F2134" s="66" t="n">
        <x:f>IF(E2134=0,0,D2134/E2134*10000)</x:f>
        <x:v>0</x:v>
      </x:c>
      <x:c r="G2134" s="67" t="n">
        <x:f>VLOOKUP(C2134,'Governorate Master'!$A$2:$Q$13,7,FALSE)</x:f>
        <x:v>113.1</x:v>
      </x:c>
      <x:c r="H2134" s="20" t="n">
        <x:f>VLOOKUP(C2134,'Governorate Master'!$A$2:$Q$13,6,FALSE)</x:f>
        <x:v>0.5912999494183105</x:v>
      </x:c>
      <x:c r="I2134" s="20" t="n">
        <x:f>VLOOKUP(C2134,'Governorate Master'!$A$2:$Q$13,15,FALSE)</x:f>
        <x:v>0.08710801393728224</x:v>
      </x:c>
      <x:c r="J2134" s="12" t="str">
        <x:v>Location model input - competition/saturation context</x:v>
      </x:c>
      <x:c r="K2134" s="12" t="str">
        <x:v>Business count is from 2018 while population/context indicators are newer; use as a historical proxy, not a current market count.</x:v>
      </x:c>
    </x:row>
    <x:row r="2135">
      <x:c r="A2135" s="12" t="str">
        <x:v>5011</x:v>
      </x:c>
      <x:c r="B2135" s="12" t="str">
        <x:v>Sea and coastal passenger water transport</x:v>
      </x:c>
      <x:c r="C2135" s="12" t="str">
        <x:v>الطفيلة</x:v>
      </x:c>
      <x:c r="D2135" s="14" t="n">
        <x:v>0</x:v>
      </x:c>
      <x:c r="E2135" s="14" t="n">
        <x:f>VLOOKUP(C2135,'Governorate Master'!$A$2:$Q$13,3,FALSE)</x:f>
        <x:v>120300</x:v>
      </x:c>
      <x:c r="F2135" s="66" t="n">
        <x:f>IF(E2135=0,0,D2135/E2135*10000)</x:f>
        <x:v>0</x:v>
      </x:c>
      <x:c r="G2135" s="67" t="n">
        <x:f>VLOOKUP(C2135,'Governorate Master'!$A$2:$Q$13,7,FALSE)</x:f>
        <x:v>54.4</x:v>
      </x:c>
      <x:c r="H2135" s="20" t="n">
        <x:f>VLOOKUP(C2135,'Governorate Master'!$A$2:$Q$13,6,FALSE)</x:f>
        <x:v>0.7797173732335827</x:v>
      </x:c>
      <x:c r="I2135" s="20" t="n">
        <x:f>VLOOKUP(C2135,'Governorate Master'!$A$2:$Q$13,15,FALSE)</x:f>
        <x:v>0.18452380952380953</x:v>
      </x:c>
      <x:c r="J2135" s="12" t="str">
        <x:v>Location model input - competition/saturation context</x:v>
      </x:c>
      <x:c r="K2135" s="12" t="str">
        <x:v>Business count is from 2018 while population/context indicators are newer; use as a historical proxy, not a current market count.</x:v>
      </x:c>
    </x:row>
    <x:row r="2136">
      <x:c r="A2136" s="12" t="str">
        <x:v>5011</x:v>
      </x:c>
      <x:c r="B2136" s="12" t="str">
        <x:v>Sea and coastal passenger water transport</x:v>
      </x:c>
      <x:c r="C2136" s="12" t="str">
        <x:v>معان</x:v>
      </x:c>
      <x:c r="D2136" s="14" t="n">
        <x:v>0</x:v>
      </x:c>
      <x:c r="E2136" s="14" t="n">
        <x:f>VLOOKUP(C2136,'Governorate Master'!$A$2:$Q$13,3,FALSE)</x:f>
        <x:v>197900</x:v>
      </x:c>
      <x:c r="F2136" s="66" t="n">
        <x:f>IF(E2136=0,0,D2136/E2136*10000)</x:f>
        <x:v>0</x:v>
      </x:c>
      <x:c r="G2136" s="67" t="n">
        <x:f>VLOOKUP(C2136,'Governorate Master'!$A$2:$Q$13,7,FALSE)</x:f>
        <x:v>6</x:v>
      </x:c>
      <x:c r="H2136" s="20" t="n">
        <x:f>VLOOKUP(C2136,'Governorate Master'!$A$2:$Q$13,6,FALSE)</x:f>
        <x:v>0.5406771096513391</x:v>
      </x:c>
      <x:c r="I2136" s="20" t="n">
        <x:f>VLOOKUP(C2136,'Governorate Master'!$A$2:$Q$13,15,FALSE)</x:f>
        <x:v>0.026845637583892617</x:v>
      </x:c>
      <x:c r="J2136" s="12" t="str">
        <x:v>Location model input - competition/saturation context</x:v>
      </x:c>
      <x:c r="K2136" s="12" t="str">
        <x:v>Business count is from 2018 while population/context indicators are newer; use as a historical proxy, not a current market count.</x:v>
      </x:c>
    </x:row>
    <x:row r="2137">
      <x:c r="A2137" s="12" t="str">
        <x:v>5011</x:v>
      </x:c>
      <x:c r="B2137" s="12" t="str">
        <x:v>Sea and coastal passenger water transport</x:v>
      </x:c>
      <x:c r="C2137" s="12" t="str">
        <x:v>العقبة</x:v>
      </x:c>
      <x:c r="D2137" s="14" t="n">
        <x:v>3</x:v>
      </x:c>
      <x:c r="E2137" s="14" t="n">
        <x:f>VLOOKUP(C2137,'Governorate Master'!$A$2:$Q$13,3,FALSE)</x:f>
        <x:v>250900</x:v>
      </x:c>
      <x:c r="F2137" s="66" t="n">
        <x:f>IF(E2137=0,0,D2137/E2137*10000)</x:f>
        <x:v>0.11956954962136308</x:v>
      </x:c>
      <x:c r="G2137" s="67" t="n">
        <x:f>VLOOKUP(C2137,'Governorate Master'!$A$2:$Q$13,7,FALSE)</x:f>
        <x:v>36.3</x:v>
      </x:c>
      <x:c r="H2137" s="20" t="n">
        <x:f>VLOOKUP(C2137,'Governorate Master'!$A$2:$Q$13,6,FALSE)</x:f>
        <x:v>0.882024711040255</x:v>
      </x:c>
      <x:c r="I2137" s="20" t="n">
        <x:f>VLOOKUP(C2137,'Governorate Master'!$A$2:$Q$13,15,FALSE)</x:f>
        <x:v>-0.09</x:v>
      </x:c>
      <x:c r="J2137" s="12" t="str">
        <x:v>Location model input - competition/saturation context</x:v>
      </x:c>
      <x:c r="K2137" s="12" t="str">
        <x:v>Business count is from 2018 while population/context indicators are newer; use as a historical proxy, not a current market count.</x:v>
      </x:c>
    </x:row>
    <x:row r="2138">
      <x:c r="A2138" s="12" t="str">
        <x:v>5012</x:v>
      </x:c>
      <x:c r="B2138" s="12" t="str">
        <x:v>Sea and coastal freight water transport</x:v>
      </x:c>
      <x:c r="C2138" s="12" t="str">
        <x:v>عمان</x:v>
      </x:c>
      <x:c r="D2138" s="14" t="n">
        <x:v>1</x:v>
      </x:c>
      <x:c r="E2138" s="14" t="n">
        <x:f>VLOOKUP(C2138,'Governorate Master'!$A$2:$Q$13,3,FALSE)</x:f>
        <x:v>5004600</x:v>
      </x:c>
      <x:c r="F2138" s="66" t="n">
        <x:f>IF(E2138=0,0,D2138/E2138*10000)</x:f>
        <x:v>0.0019981616912440555</x:v>
      </x:c>
      <x:c r="G2138" s="67" t="n">
        <x:f>VLOOKUP(C2138,'Governorate Master'!$A$2:$Q$13,7,FALSE)</x:f>
        <x:v>660.3</x:v>
      </x:c>
      <x:c r="H2138" s="20" t="n">
        <x:f>VLOOKUP(C2138,'Governorate Master'!$A$2:$Q$13,6,FALSE)</x:f>
        <x:v>0.9721656076409703</x:v>
      </x:c>
      <x:c r="I2138" s="20" t="n">
        <x:f>VLOOKUP(C2138,'Governorate Master'!$A$2:$Q$13,15,FALSE)</x:f>
        <x:v>0.06367041198501873</x:v>
      </x:c>
      <x:c r="J2138" s="12" t="str">
        <x:v>Location model input - competition/saturation context</x:v>
      </x:c>
      <x:c r="K2138" s="12" t="str">
        <x:v>Business count is from 2018 while population/context indicators are newer; use as a historical proxy, not a current market count.</x:v>
      </x:c>
    </x:row>
    <x:row r="2139">
      <x:c r="A2139" s="12" t="str">
        <x:v>5012</x:v>
      </x:c>
      <x:c r="B2139" s="12" t="str">
        <x:v>Sea and coastal freight water transport</x:v>
      </x:c>
      <x:c r="C2139" s="12" t="str">
        <x:v>البلقاء</x:v>
      </x:c>
      <x:c r="D2139" s="14" t="n">
        <x:v>0</x:v>
      </x:c>
      <x:c r="E2139" s="14" t="n">
        <x:f>VLOOKUP(C2139,'Governorate Master'!$A$2:$Q$13,3,FALSE)</x:f>
        <x:v>614000</x:v>
      </x:c>
      <x:c r="F2139" s="66" t="n">
        <x:f>IF(E2139=0,0,D2139/E2139*10000)</x:f>
        <x:v>0</x:v>
      </x:c>
      <x:c r="G2139" s="67" t="n">
        <x:f>VLOOKUP(C2139,'Governorate Master'!$A$2:$Q$13,7,FALSE)</x:f>
        <x:v>548</x:v>
      </x:c>
      <x:c r="H2139" s="20" t="n">
        <x:f>VLOOKUP(C2139,'Governorate Master'!$A$2:$Q$13,6,FALSE)</x:f>
        <x:v>0.8210097719869707</x:v>
      </x:c>
      <x:c r="I2139" s="20" t="n">
        <x:f>VLOOKUP(C2139,'Governorate Master'!$A$2:$Q$13,15,FALSE)</x:f>
        <x:v>0.10794044665012408</x:v>
      </x:c>
      <x:c r="J2139" s="12" t="str">
        <x:v>Location model input - competition/saturation context</x:v>
      </x:c>
      <x:c r="K2139" s="12" t="str">
        <x:v>Business count is from 2018 while population/context indicators are newer; use as a historical proxy, not a current market count.</x:v>
      </x:c>
    </x:row>
    <x:row r="2140">
      <x:c r="A2140" s="12" t="str">
        <x:v>5012</x:v>
      </x:c>
      <x:c r="B2140" s="12" t="str">
        <x:v>Sea and coastal freight water transport</x:v>
      </x:c>
      <x:c r="C2140" s="12" t="str">
        <x:v>الزرقاء</x:v>
      </x:c>
      <x:c r="D2140" s="14" t="n">
        <x:v>0</x:v>
      </x:c>
      <x:c r="E2140" s="14" t="n">
        <x:f>VLOOKUP(C2140,'Governorate Master'!$A$2:$Q$13,3,FALSE)</x:f>
        <x:v>1704500</x:v>
      </x:c>
      <x:c r="F2140" s="66" t="n">
        <x:f>IF(E2140=0,0,D2140/E2140*10000)</x:f>
        <x:v>0</x:v>
      </x:c>
      <x:c r="G2140" s="67" t="n">
        <x:f>VLOOKUP(C2140,'Governorate Master'!$A$2:$Q$13,7,FALSE)</x:f>
        <x:v>358</x:v>
      </x:c>
      <x:c r="H2140" s="20" t="n">
        <x:f>VLOOKUP(C2140,'Governorate Master'!$A$2:$Q$13,6,FALSE)</x:f>
        <x:v>0.9636256966852449</x:v>
      </x:c>
      <x:c r="I2140" s="20" t="n">
        <x:f>VLOOKUP(C2140,'Governorate Master'!$A$2:$Q$13,15,FALSE)</x:f>
        <x:v>-0.06808762581409118</x:v>
      </x:c>
      <x:c r="J2140" s="12" t="str">
        <x:v>Location model input - competition/saturation context</x:v>
      </x:c>
      <x:c r="K2140" s="12" t="str">
        <x:v>Business count is from 2018 while population/context indicators are newer; use as a historical proxy, not a current market count.</x:v>
      </x:c>
    </x:row>
    <x:row r="2141">
      <x:c r="A2141" s="12" t="str">
        <x:v>5012</x:v>
      </x:c>
      <x:c r="B2141" s="12" t="str">
        <x:v>Sea and coastal freight water transport</x:v>
      </x:c>
      <x:c r="C2141" s="12" t="str">
        <x:v>مادبا</x:v>
      </x:c>
      <x:c r="D2141" s="14" t="n">
        <x:v>0</x:v>
      </x:c>
      <x:c r="E2141" s="14" t="n">
        <x:f>VLOOKUP(C2141,'Governorate Master'!$A$2:$Q$13,3,FALSE)</x:f>
        <x:v>236200</x:v>
      </x:c>
      <x:c r="F2141" s="66" t="n">
        <x:f>IF(E2141=0,0,D2141/E2141*10000)</x:f>
        <x:v>0</x:v>
      </x:c>
      <x:c r="G2141" s="67" t="n">
        <x:f>VLOOKUP(C2141,'Governorate Master'!$A$2:$Q$13,7,FALSE)</x:f>
        <x:v>251.4</x:v>
      </x:c>
      <x:c r="H2141" s="20" t="n">
        <x:f>VLOOKUP(C2141,'Governorate Master'!$A$2:$Q$13,6,FALSE)</x:f>
        <x:v>0.7823878069432684</x:v>
      </x:c>
      <x:c r="I2141" s="20" t="n">
        <x:f>VLOOKUP(C2141,'Governorate Master'!$A$2:$Q$13,15,FALSE)</x:f>
        <x:v>-0.18823529411764706</x:v>
      </x:c>
      <x:c r="J2141" s="12" t="str">
        <x:v>Location model input - competition/saturation context</x:v>
      </x:c>
      <x:c r="K2141" s="12" t="str">
        <x:v>Business count is from 2018 while population/context indicators are newer; use as a historical proxy, not a current market count.</x:v>
      </x:c>
    </x:row>
    <x:row r="2142">
      <x:c r="A2142" s="12" t="str">
        <x:v>5012</x:v>
      </x:c>
      <x:c r="B2142" s="12" t="str">
        <x:v>Sea and coastal freight water transport</x:v>
      </x:c>
      <x:c r="C2142" s="12" t="str">
        <x:v>إربد</x:v>
      </x:c>
      <x:c r="D2142" s="14" t="n">
        <x:v>0</x:v>
      </x:c>
      <x:c r="E2142" s="14" t="n">
        <x:f>VLOOKUP(C2142,'Governorate Master'!$A$2:$Q$13,3,FALSE)</x:f>
        <x:v>2210500</x:v>
      </x:c>
      <x:c r="F2142" s="66" t="n">
        <x:f>IF(E2142=0,0,D2142/E2142*10000)</x:f>
        <x:v>0</x:v>
      </x:c>
      <x:c r="G2142" s="67" t="n">
        <x:f>VLOOKUP(C2142,'Governorate Master'!$A$2:$Q$13,7,FALSE)</x:f>
        <x:v>1406.4</x:v>
      </x:c>
      <x:c r="H2142" s="20" t="n">
        <x:f>VLOOKUP(C2142,'Governorate Master'!$A$2:$Q$13,6,FALSE)</x:f>
        <x:v>0.9235014702555983</x:v>
      </x:c>
      <x:c r="I2142" s="20" t="n">
        <x:f>VLOOKUP(C2142,'Governorate Master'!$A$2:$Q$13,15,FALSE)</x:f>
        <x:v>0.07086922474549726</x:v>
      </x:c>
      <x:c r="J2142" s="12" t="str">
        <x:v>Location model input - competition/saturation context</x:v>
      </x:c>
      <x:c r="K2142" s="12" t="str">
        <x:v>Business count is from 2018 while population/context indicators are newer; use as a historical proxy, not a current market count.</x:v>
      </x:c>
    </x:row>
    <x:row r="2143">
      <x:c r="A2143" s="12" t="str">
        <x:v>5012</x:v>
      </x:c>
      <x:c r="B2143" s="12" t="str">
        <x:v>Sea and coastal freight water transport</x:v>
      </x:c>
      <x:c r="C2143" s="12" t="str">
        <x:v>المفرق</x:v>
      </x:c>
      <x:c r="D2143" s="14" t="n">
        <x:v>0</x:v>
      </x:c>
      <x:c r="E2143" s="14" t="n">
        <x:f>VLOOKUP(C2143,'Governorate Master'!$A$2:$Q$13,3,FALSE)</x:f>
        <x:v>686800</x:v>
      </x:c>
      <x:c r="F2143" s="66" t="n">
        <x:f>IF(E2143=0,0,D2143/E2143*10000)</x:f>
        <x:v>0</x:v>
      </x:c>
      <x:c r="G2143" s="67" t="n">
        <x:f>VLOOKUP(C2143,'Governorate Master'!$A$2:$Q$13,7,FALSE)</x:f>
        <x:v>25.9</x:v>
      </x:c>
      <x:c r="H2143" s="20" t="n">
        <x:f>VLOOKUP(C2143,'Governorate Master'!$A$2:$Q$13,6,FALSE)</x:f>
        <x:v>0.6965637740244612</x:v>
      </x:c>
      <x:c r="I2143" s="20" t="n">
        <x:f>VLOOKUP(C2143,'Governorate Master'!$A$2:$Q$13,15,FALSE)</x:f>
        <x:v>-0.016638935108153077</x:v>
      </x:c>
      <x:c r="J2143" s="12" t="str">
        <x:v>Location model input - competition/saturation context</x:v>
      </x:c>
      <x:c r="K2143" s="12" t="str">
        <x:v>Business count is from 2018 while population/context indicators are newer; use as a historical proxy, not a current market count.</x:v>
      </x:c>
    </x:row>
    <x:row r="2144">
      <x:c r="A2144" s="12" t="str">
        <x:v>5012</x:v>
      </x:c>
      <x:c r="B2144" s="12" t="str">
        <x:v>Sea and coastal freight water transport</x:v>
      </x:c>
      <x:c r="C2144" s="12" t="str">
        <x:v>جرش</x:v>
      </x:c>
      <x:c r="D2144" s="14" t="n">
        <x:v>0</x:v>
      </x:c>
      <x:c r="E2144" s="14" t="n">
        <x:f>VLOOKUP(C2144,'Governorate Master'!$A$2:$Q$13,3,FALSE)</x:f>
        <x:v>296000</x:v>
      </x:c>
      <x:c r="F2144" s="66" t="n">
        <x:f>IF(E2144=0,0,D2144/E2144*10000)</x:f>
        <x:v>0</x:v>
      </x:c>
      <x:c r="G2144" s="67" t="n">
        <x:f>VLOOKUP(C2144,'Governorate Master'!$A$2:$Q$13,7,FALSE)</x:f>
        <x:v>722.3</x:v>
      </x:c>
      <x:c r="H2144" s="20" t="n">
        <x:f>VLOOKUP(C2144,'Governorate Master'!$A$2:$Q$13,6,FALSE)</x:f>
        <x:v>0.7695945945945946</x:v>
      </x:c>
      <x:c r="I2144" s="20" t="n">
        <x:f>VLOOKUP(C2144,'Governorate Master'!$A$2:$Q$13,15,FALSE)</x:f>
        <x:v>-0.06527415143603134</x:v>
      </x:c>
      <x:c r="J2144" s="12" t="str">
        <x:v>Location model input - competition/saturation context</x:v>
      </x:c>
      <x:c r="K2144" s="12" t="str">
        <x:v>Business count is from 2018 while population/context indicators are newer; use as a historical proxy, not a current market count.</x:v>
      </x:c>
    </x:row>
    <x:row r="2145">
      <x:c r="A2145" s="12" t="str">
        <x:v>5012</x:v>
      </x:c>
      <x:c r="B2145" s="12" t="str">
        <x:v>Sea and coastal freight water transport</x:v>
      </x:c>
      <x:c r="C2145" s="12" t="str">
        <x:v>عجلون</x:v>
      </x:c>
      <x:c r="D2145" s="14" t="n">
        <x:v>0</x:v>
      </x:c>
      <x:c r="E2145" s="14" t="n">
        <x:f>VLOOKUP(C2145,'Governorate Master'!$A$2:$Q$13,3,FALSE)</x:f>
        <x:v>219900</x:v>
      </x:c>
      <x:c r="F2145" s="66" t="n">
        <x:f>IF(E2145=0,0,D2145/E2145*10000)</x:f>
        <x:v>0</x:v>
      </x:c>
      <x:c r="G2145" s="67" t="n">
        <x:f>VLOOKUP(C2145,'Governorate Master'!$A$2:$Q$13,7,FALSE)</x:f>
        <x:v>524</x:v>
      </x:c>
      <x:c r="H2145" s="20" t="n">
        <x:f>VLOOKUP(C2145,'Governorate Master'!$A$2:$Q$13,6,FALSE)</x:f>
        <x:v>0.8390177353342428</x:v>
      </x:c>
      <x:c r="I2145" s="20" t="n">
        <x:f>VLOOKUP(C2145,'Governorate Master'!$A$2:$Q$13,15,FALSE)</x:f>
        <x:v>0.03614457831325301</x:v>
      </x:c>
      <x:c r="J2145" s="12" t="str">
        <x:v>Location model input - competition/saturation context</x:v>
      </x:c>
      <x:c r="K2145" s="12" t="str">
        <x:v>Business count is from 2018 while population/context indicators are newer; use as a historical proxy, not a current market count.</x:v>
      </x:c>
    </x:row>
    <x:row r="2146">
      <x:c r="A2146" s="12" t="str">
        <x:v>5012</x:v>
      </x:c>
      <x:c r="B2146" s="12" t="str">
        <x:v>Sea and coastal freight water transport</x:v>
      </x:c>
      <x:c r="C2146" s="12" t="str">
        <x:v>الكرك</x:v>
      </x:c>
      <x:c r="D2146" s="14" t="n">
        <x:v>0</x:v>
      </x:c>
      <x:c r="E2146" s="14" t="n">
        <x:f>VLOOKUP(C2146,'Governorate Master'!$A$2:$Q$13,3,FALSE)</x:f>
        <x:v>395400</x:v>
      </x:c>
      <x:c r="F2146" s="66" t="n">
        <x:f>IF(E2146=0,0,D2146/E2146*10000)</x:f>
        <x:v>0</x:v>
      </x:c>
      <x:c r="G2146" s="67" t="n">
        <x:f>VLOOKUP(C2146,'Governorate Master'!$A$2:$Q$13,7,FALSE)</x:f>
        <x:v>113.1</x:v>
      </x:c>
      <x:c r="H2146" s="20" t="n">
        <x:f>VLOOKUP(C2146,'Governorate Master'!$A$2:$Q$13,6,FALSE)</x:f>
        <x:v>0.5912999494183105</x:v>
      </x:c>
      <x:c r="I2146" s="20" t="n">
        <x:f>VLOOKUP(C2146,'Governorate Master'!$A$2:$Q$13,15,FALSE)</x:f>
        <x:v>0.08710801393728224</x:v>
      </x:c>
      <x:c r="J2146" s="12" t="str">
        <x:v>Location model input - competition/saturation context</x:v>
      </x:c>
      <x:c r="K2146" s="12" t="str">
        <x:v>Business count is from 2018 while population/context indicators are newer; use as a historical proxy, not a current market count.</x:v>
      </x:c>
    </x:row>
    <x:row r="2147">
      <x:c r="A2147" s="12" t="str">
        <x:v>5012</x:v>
      </x:c>
      <x:c r="B2147" s="12" t="str">
        <x:v>Sea and coastal freight water transport</x:v>
      </x:c>
      <x:c r="C2147" s="12" t="str">
        <x:v>الطفيلة</x:v>
      </x:c>
      <x:c r="D2147" s="14" t="n">
        <x:v>0</x:v>
      </x:c>
      <x:c r="E2147" s="14" t="n">
        <x:f>VLOOKUP(C2147,'Governorate Master'!$A$2:$Q$13,3,FALSE)</x:f>
        <x:v>120300</x:v>
      </x:c>
      <x:c r="F2147" s="66" t="n">
        <x:f>IF(E2147=0,0,D2147/E2147*10000)</x:f>
        <x:v>0</x:v>
      </x:c>
      <x:c r="G2147" s="67" t="n">
        <x:f>VLOOKUP(C2147,'Governorate Master'!$A$2:$Q$13,7,FALSE)</x:f>
        <x:v>54.4</x:v>
      </x:c>
      <x:c r="H2147" s="20" t="n">
        <x:f>VLOOKUP(C2147,'Governorate Master'!$A$2:$Q$13,6,FALSE)</x:f>
        <x:v>0.7797173732335827</x:v>
      </x:c>
      <x:c r="I2147" s="20" t="n">
        <x:f>VLOOKUP(C2147,'Governorate Master'!$A$2:$Q$13,15,FALSE)</x:f>
        <x:v>0.18452380952380953</x:v>
      </x:c>
      <x:c r="J2147" s="12" t="str">
        <x:v>Location model input - competition/saturation context</x:v>
      </x:c>
      <x:c r="K2147" s="12" t="str">
        <x:v>Business count is from 2018 while population/context indicators are newer; use as a historical proxy, not a current market count.</x:v>
      </x:c>
    </x:row>
    <x:row r="2148">
      <x:c r="A2148" s="12" t="str">
        <x:v>5012</x:v>
      </x:c>
      <x:c r="B2148" s="12" t="str">
        <x:v>Sea and coastal freight water transport</x:v>
      </x:c>
      <x:c r="C2148" s="12" t="str">
        <x:v>معان</x:v>
      </x:c>
      <x:c r="D2148" s="14" t="n">
        <x:v>0</x:v>
      </x:c>
      <x:c r="E2148" s="14" t="n">
        <x:f>VLOOKUP(C2148,'Governorate Master'!$A$2:$Q$13,3,FALSE)</x:f>
        <x:v>197900</x:v>
      </x:c>
      <x:c r="F2148" s="66" t="n">
        <x:f>IF(E2148=0,0,D2148/E2148*10000)</x:f>
        <x:v>0</x:v>
      </x:c>
      <x:c r="G2148" s="67" t="n">
        <x:f>VLOOKUP(C2148,'Governorate Master'!$A$2:$Q$13,7,FALSE)</x:f>
        <x:v>6</x:v>
      </x:c>
      <x:c r="H2148" s="20" t="n">
        <x:f>VLOOKUP(C2148,'Governorate Master'!$A$2:$Q$13,6,FALSE)</x:f>
        <x:v>0.5406771096513391</x:v>
      </x:c>
      <x:c r="I2148" s="20" t="n">
        <x:f>VLOOKUP(C2148,'Governorate Master'!$A$2:$Q$13,15,FALSE)</x:f>
        <x:v>0.026845637583892617</x:v>
      </x:c>
      <x:c r="J2148" s="12" t="str">
        <x:v>Location model input - competition/saturation context</x:v>
      </x:c>
      <x:c r="K2148" s="12" t="str">
        <x:v>Business count is from 2018 while population/context indicators are newer; use as a historical proxy, not a current market count.</x:v>
      </x:c>
    </x:row>
    <x:row r="2149">
      <x:c r="A2149" s="12" t="str">
        <x:v>5012</x:v>
      </x:c>
      <x:c r="B2149" s="12" t="str">
        <x:v>Sea and coastal freight water transport</x:v>
      </x:c>
      <x:c r="C2149" s="12" t="str">
        <x:v>العقبة</x:v>
      </x:c>
      <x:c r="D2149" s="14" t="n">
        <x:v>0</x:v>
      </x:c>
      <x:c r="E2149" s="14" t="n">
        <x:f>VLOOKUP(C2149,'Governorate Master'!$A$2:$Q$13,3,FALSE)</x:f>
        <x:v>250900</x:v>
      </x:c>
      <x:c r="F2149" s="66" t="n">
        <x:f>IF(E2149=0,0,D2149/E2149*10000)</x:f>
        <x:v>0</x:v>
      </x:c>
      <x:c r="G2149" s="67" t="n">
        <x:f>VLOOKUP(C2149,'Governorate Master'!$A$2:$Q$13,7,FALSE)</x:f>
        <x:v>36.3</x:v>
      </x:c>
      <x:c r="H2149" s="20" t="n">
        <x:f>VLOOKUP(C2149,'Governorate Master'!$A$2:$Q$13,6,FALSE)</x:f>
        <x:v>0.882024711040255</x:v>
      </x:c>
      <x:c r="I2149" s="20" t="n">
        <x:f>VLOOKUP(C2149,'Governorate Master'!$A$2:$Q$13,15,FALSE)</x:f>
        <x:v>-0.09</x:v>
      </x:c>
      <x:c r="J2149" s="12" t="str">
        <x:v>Location model input - competition/saturation context</x:v>
      </x:c>
      <x:c r="K2149" s="12" t="str">
        <x:v>Business count is from 2018 while population/context indicators are newer; use as a historical proxy, not a current market count.</x:v>
      </x:c>
    </x:row>
    <x:row r="2150">
      <x:c r="A2150" s="12" t="str">
        <x:v>5110</x:v>
      </x:c>
      <x:c r="B2150" s="12" t="str">
        <x:v>Passenger air transport</x:v>
      </x:c>
      <x:c r="C2150" s="12" t="str">
        <x:v>عمان</x:v>
      </x:c>
      <x:c r="D2150" s="14" t="n">
        <x:v>6</x:v>
      </x:c>
      <x:c r="E2150" s="14" t="n">
        <x:f>VLOOKUP(C2150,'Governorate Master'!$A$2:$Q$13,3,FALSE)</x:f>
        <x:v>5004600</x:v>
      </x:c>
      <x:c r="F2150" s="66" t="n">
        <x:f>IF(E2150=0,0,D2150/E2150*10000)</x:f>
        <x:v>0.011988970147464332</x:v>
      </x:c>
      <x:c r="G2150" s="67" t="n">
        <x:f>VLOOKUP(C2150,'Governorate Master'!$A$2:$Q$13,7,FALSE)</x:f>
        <x:v>660.3</x:v>
      </x:c>
      <x:c r="H2150" s="20" t="n">
        <x:f>VLOOKUP(C2150,'Governorate Master'!$A$2:$Q$13,6,FALSE)</x:f>
        <x:v>0.9721656076409703</x:v>
      </x:c>
      <x:c r="I2150" s="20" t="n">
        <x:f>VLOOKUP(C2150,'Governorate Master'!$A$2:$Q$13,15,FALSE)</x:f>
        <x:v>0.06367041198501873</x:v>
      </x:c>
      <x:c r="J2150" s="12" t="str">
        <x:v>Location model input - competition/saturation context</x:v>
      </x:c>
      <x:c r="K2150" s="12" t="str">
        <x:v>Business count is from 2018 while population/context indicators are newer; use as a historical proxy, not a current market count.</x:v>
      </x:c>
    </x:row>
    <x:row r="2151">
      <x:c r="A2151" s="12" t="str">
        <x:v>5110</x:v>
      </x:c>
      <x:c r="B2151" s="12" t="str">
        <x:v>Passenger air transport</x:v>
      </x:c>
      <x:c r="C2151" s="12" t="str">
        <x:v>البلقاء</x:v>
      </x:c>
      <x:c r="D2151" s="14" t="n">
        <x:v>0</x:v>
      </x:c>
      <x:c r="E2151" s="14" t="n">
        <x:f>VLOOKUP(C2151,'Governorate Master'!$A$2:$Q$13,3,FALSE)</x:f>
        <x:v>614000</x:v>
      </x:c>
      <x:c r="F2151" s="66" t="n">
        <x:f>IF(E2151=0,0,D2151/E2151*10000)</x:f>
        <x:v>0</x:v>
      </x:c>
      <x:c r="G2151" s="67" t="n">
        <x:f>VLOOKUP(C2151,'Governorate Master'!$A$2:$Q$13,7,FALSE)</x:f>
        <x:v>548</x:v>
      </x:c>
      <x:c r="H2151" s="20" t="n">
        <x:f>VLOOKUP(C2151,'Governorate Master'!$A$2:$Q$13,6,FALSE)</x:f>
        <x:v>0.8210097719869707</x:v>
      </x:c>
      <x:c r="I2151" s="20" t="n">
        <x:f>VLOOKUP(C2151,'Governorate Master'!$A$2:$Q$13,15,FALSE)</x:f>
        <x:v>0.10794044665012408</x:v>
      </x:c>
      <x:c r="J2151" s="12" t="str">
        <x:v>Location model input - competition/saturation context</x:v>
      </x:c>
      <x:c r="K2151" s="12" t="str">
        <x:v>Business count is from 2018 while population/context indicators are newer; use as a historical proxy, not a current market count.</x:v>
      </x:c>
    </x:row>
    <x:row r="2152">
      <x:c r="A2152" s="12" t="str">
        <x:v>5110</x:v>
      </x:c>
      <x:c r="B2152" s="12" t="str">
        <x:v>Passenger air transport</x:v>
      </x:c>
      <x:c r="C2152" s="12" t="str">
        <x:v>الزرقاء</x:v>
      </x:c>
      <x:c r="D2152" s="14" t="n">
        <x:v>0</x:v>
      </x:c>
      <x:c r="E2152" s="14" t="n">
        <x:f>VLOOKUP(C2152,'Governorate Master'!$A$2:$Q$13,3,FALSE)</x:f>
        <x:v>1704500</x:v>
      </x:c>
      <x:c r="F2152" s="66" t="n">
        <x:f>IF(E2152=0,0,D2152/E2152*10000)</x:f>
        <x:v>0</x:v>
      </x:c>
      <x:c r="G2152" s="67" t="n">
        <x:f>VLOOKUP(C2152,'Governorate Master'!$A$2:$Q$13,7,FALSE)</x:f>
        <x:v>358</x:v>
      </x:c>
      <x:c r="H2152" s="20" t="n">
        <x:f>VLOOKUP(C2152,'Governorate Master'!$A$2:$Q$13,6,FALSE)</x:f>
        <x:v>0.9636256966852449</x:v>
      </x:c>
      <x:c r="I2152" s="20" t="n">
        <x:f>VLOOKUP(C2152,'Governorate Master'!$A$2:$Q$13,15,FALSE)</x:f>
        <x:v>-0.06808762581409118</x:v>
      </x:c>
      <x:c r="J2152" s="12" t="str">
        <x:v>Location model input - competition/saturation context</x:v>
      </x:c>
      <x:c r="K2152" s="12" t="str">
        <x:v>Business count is from 2018 while population/context indicators are newer; use as a historical proxy, not a current market count.</x:v>
      </x:c>
    </x:row>
    <x:row r="2153">
      <x:c r="A2153" s="12" t="str">
        <x:v>5110</x:v>
      </x:c>
      <x:c r="B2153" s="12" t="str">
        <x:v>Passenger air transport</x:v>
      </x:c>
      <x:c r="C2153" s="12" t="str">
        <x:v>مادبا</x:v>
      </x:c>
      <x:c r="D2153" s="14" t="n">
        <x:v>0</x:v>
      </x:c>
      <x:c r="E2153" s="14" t="n">
        <x:f>VLOOKUP(C2153,'Governorate Master'!$A$2:$Q$13,3,FALSE)</x:f>
        <x:v>236200</x:v>
      </x:c>
      <x:c r="F2153" s="66" t="n">
        <x:f>IF(E2153=0,0,D2153/E2153*10000)</x:f>
        <x:v>0</x:v>
      </x:c>
      <x:c r="G2153" s="67" t="n">
        <x:f>VLOOKUP(C2153,'Governorate Master'!$A$2:$Q$13,7,FALSE)</x:f>
        <x:v>251.4</x:v>
      </x:c>
      <x:c r="H2153" s="20" t="n">
        <x:f>VLOOKUP(C2153,'Governorate Master'!$A$2:$Q$13,6,FALSE)</x:f>
        <x:v>0.7823878069432684</x:v>
      </x:c>
      <x:c r="I2153" s="20" t="n">
        <x:f>VLOOKUP(C2153,'Governorate Master'!$A$2:$Q$13,15,FALSE)</x:f>
        <x:v>-0.18823529411764706</x:v>
      </x:c>
      <x:c r="J2153" s="12" t="str">
        <x:v>Location model input - competition/saturation context</x:v>
      </x:c>
      <x:c r="K2153" s="12" t="str">
        <x:v>Business count is from 2018 while population/context indicators are newer; use as a historical proxy, not a current market count.</x:v>
      </x:c>
    </x:row>
    <x:row r="2154">
      <x:c r="A2154" s="12" t="str">
        <x:v>5110</x:v>
      </x:c>
      <x:c r="B2154" s="12" t="str">
        <x:v>Passenger air transport</x:v>
      </x:c>
      <x:c r="C2154" s="12" t="str">
        <x:v>إربد</x:v>
      </x:c>
      <x:c r="D2154" s="14" t="n">
        <x:v>0</x:v>
      </x:c>
      <x:c r="E2154" s="14" t="n">
        <x:f>VLOOKUP(C2154,'Governorate Master'!$A$2:$Q$13,3,FALSE)</x:f>
        <x:v>2210500</x:v>
      </x:c>
      <x:c r="F2154" s="66" t="n">
        <x:f>IF(E2154=0,0,D2154/E2154*10000)</x:f>
        <x:v>0</x:v>
      </x:c>
      <x:c r="G2154" s="67" t="n">
        <x:f>VLOOKUP(C2154,'Governorate Master'!$A$2:$Q$13,7,FALSE)</x:f>
        <x:v>1406.4</x:v>
      </x:c>
      <x:c r="H2154" s="20" t="n">
        <x:f>VLOOKUP(C2154,'Governorate Master'!$A$2:$Q$13,6,FALSE)</x:f>
        <x:v>0.9235014702555983</x:v>
      </x:c>
      <x:c r="I2154" s="20" t="n">
        <x:f>VLOOKUP(C2154,'Governorate Master'!$A$2:$Q$13,15,FALSE)</x:f>
        <x:v>0.07086922474549726</x:v>
      </x:c>
      <x:c r="J2154" s="12" t="str">
        <x:v>Location model input - competition/saturation context</x:v>
      </x:c>
      <x:c r="K2154" s="12" t="str">
        <x:v>Business count is from 2018 while population/context indicators are newer; use as a historical proxy, not a current market count.</x:v>
      </x:c>
    </x:row>
    <x:row r="2155">
      <x:c r="A2155" s="12" t="str">
        <x:v>5110</x:v>
      </x:c>
      <x:c r="B2155" s="12" t="str">
        <x:v>Passenger air transport</x:v>
      </x:c>
      <x:c r="C2155" s="12" t="str">
        <x:v>المفرق</x:v>
      </x:c>
      <x:c r="D2155" s="14" t="n">
        <x:v>0</x:v>
      </x:c>
      <x:c r="E2155" s="14" t="n">
        <x:f>VLOOKUP(C2155,'Governorate Master'!$A$2:$Q$13,3,FALSE)</x:f>
        <x:v>686800</x:v>
      </x:c>
      <x:c r="F2155" s="66" t="n">
        <x:f>IF(E2155=0,0,D2155/E2155*10000)</x:f>
        <x:v>0</x:v>
      </x:c>
      <x:c r="G2155" s="67" t="n">
        <x:f>VLOOKUP(C2155,'Governorate Master'!$A$2:$Q$13,7,FALSE)</x:f>
        <x:v>25.9</x:v>
      </x:c>
      <x:c r="H2155" s="20" t="n">
        <x:f>VLOOKUP(C2155,'Governorate Master'!$A$2:$Q$13,6,FALSE)</x:f>
        <x:v>0.6965637740244612</x:v>
      </x:c>
      <x:c r="I2155" s="20" t="n">
        <x:f>VLOOKUP(C2155,'Governorate Master'!$A$2:$Q$13,15,FALSE)</x:f>
        <x:v>-0.016638935108153077</x:v>
      </x:c>
      <x:c r="J2155" s="12" t="str">
        <x:v>Location model input - competition/saturation context</x:v>
      </x:c>
      <x:c r="K2155" s="12" t="str">
        <x:v>Business count is from 2018 while population/context indicators are newer; use as a historical proxy, not a current market count.</x:v>
      </x:c>
    </x:row>
    <x:row r="2156">
      <x:c r="A2156" s="12" t="str">
        <x:v>5110</x:v>
      </x:c>
      <x:c r="B2156" s="12" t="str">
        <x:v>Passenger air transport</x:v>
      </x:c>
      <x:c r="C2156" s="12" t="str">
        <x:v>جرش</x:v>
      </x:c>
      <x:c r="D2156" s="14" t="n">
        <x:v>0</x:v>
      </x:c>
      <x:c r="E2156" s="14" t="n">
        <x:f>VLOOKUP(C2156,'Governorate Master'!$A$2:$Q$13,3,FALSE)</x:f>
        <x:v>296000</x:v>
      </x:c>
      <x:c r="F2156" s="66" t="n">
        <x:f>IF(E2156=0,0,D2156/E2156*10000)</x:f>
        <x:v>0</x:v>
      </x:c>
      <x:c r="G2156" s="67" t="n">
        <x:f>VLOOKUP(C2156,'Governorate Master'!$A$2:$Q$13,7,FALSE)</x:f>
        <x:v>722.3</x:v>
      </x:c>
      <x:c r="H2156" s="20" t="n">
        <x:f>VLOOKUP(C2156,'Governorate Master'!$A$2:$Q$13,6,FALSE)</x:f>
        <x:v>0.7695945945945946</x:v>
      </x:c>
      <x:c r="I2156" s="20" t="n">
        <x:f>VLOOKUP(C2156,'Governorate Master'!$A$2:$Q$13,15,FALSE)</x:f>
        <x:v>-0.06527415143603134</x:v>
      </x:c>
      <x:c r="J2156" s="12" t="str">
        <x:v>Location model input - competition/saturation context</x:v>
      </x:c>
      <x:c r="K2156" s="12" t="str">
        <x:v>Business count is from 2018 while population/context indicators are newer; use as a historical proxy, not a current market count.</x:v>
      </x:c>
    </x:row>
    <x:row r="2157">
      <x:c r="A2157" s="12" t="str">
        <x:v>5110</x:v>
      </x:c>
      <x:c r="B2157" s="12" t="str">
        <x:v>Passenger air transport</x:v>
      </x:c>
      <x:c r="C2157" s="12" t="str">
        <x:v>عجلون</x:v>
      </x:c>
      <x:c r="D2157" s="14" t="n">
        <x:v>0</x:v>
      </x:c>
      <x:c r="E2157" s="14" t="n">
        <x:f>VLOOKUP(C2157,'Governorate Master'!$A$2:$Q$13,3,FALSE)</x:f>
        <x:v>219900</x:v>
      </x:c>
      <x:c r="F2157" s="66" t="n">
        <x:f>IF(E2157=0,0,D2157/E2157*10000)</x:f>
        <x:v>0</x:v>
      </x:c>
      <x:c r="G2157" s="67" t="n">
        <x:f>VLOOKUP(C2157,'Governorate Master'!$A$2:$Q$13,7,FALSE)</x:f>
        <x:v>524</x:v>
      </x:c>
      <x:c r="H2157" s="20" t="n">
        <x:f>VLOOKUP(C2157,'Governorate Master'!$A$2:$Q$13,6,FALSE)</x:f>
        <x:v>0.8390177353342428</x:v>
      </x:c>
      <x:c r="I2157" s="20" t="n">
        <x:f>VLOOKUP(C2157,'Governorate Master'!$A$2:$Q$13,15,FALSE)</x:f>
        <x:v>0.03614457831325301</x:v>
      </x:c>
      <x:c r="J2157" s="12" t="str">
        <x:v>Location model input - competition/saturation context</x:v>
      </x:c>
      <x:c r="K2157" s="12" t="str">
        <x:v>Business count is from 2018 while population/context indicators are newer; use as a historical proxy, not a current market count.</x:v>
      </x:c>
    </x:row>
    <x:row r="2158">
      <x:c r="A2158" s="12" t="str">
        <x:v>5110</x:v>
      </x:c>
      <x:c r="B2158" s="12" t="str">
        <x:v>Passenger air transport</x:v>
      </x:c>
      <x:c r="C2158" s="12" t="str">
        <x:v>الكرك</x:v>
      </x:c>
      <x:c r="D2158" s="14" t="n">
        <x:v>0</x:v>
      </x:c>
      <x:c r="E2158" s="14" t="n">
        <x:f>VLOOKUP(C2158,'Governorate Master'!$A$2:$Q$13,3,FALSE)</x:f>
        <x:v>395400</x:v>
      </x:c>
      <x:c r="F2158" s="66" t="n">
        <x:f>IF(E2158=0,0,D2158/E2158*10000)</x:f>
        <x:v>0</x:v>
      </x:c>
      <x:c r="G2158" s="67" t="n">
        <x:f>VLOOKUP(C2158,'Governorate Master'!$A$2:$Q$13,7,FALSE)</x:f>
        <x:v>113.1</x:v>
      </x:c>
      <x:c r="H2158" s="20" t="n">
        <x:f>VLOOKUP(C2158,'Governorate Master'!$A$2:$Q$13,6,FALSE)</x:f>
        <x:v>0.5912999494183105</x:v>
      </x:c>
      <x:c r="I2158" s="20" t="n">
        <x:f>VLOOKUP(C2158,'Governorate Master'!$A$2:$Q$13,15,FALSE)</x:f>
        <x:v>0.08710801393728224</x:v>
      </x:c>
      <x:c r="J2158" s="12" t="str">
        <x:v>Location model input - competition/saturation context</x:v>
      </x:c>
      <x:c r="K2158" s="12" t="str">
        <x:v>Business count is from 2018 while population/context indicators are newer; use as a historical proxy, not a current market count.</x:v>
      </x:c>
    </x:row>
    <x:row r="2159">
      <x:c r="A2159" s="12" t="str">
        <x:v>5110</x:v>
      </x:c>
      <x:c r="B2159" s="12" t="str">
        <x:v>Passenger air transport</x:v>
      </x:c>
      <x:c r="C2159" s="12" t="str">
        <x:v>الطفيلة</x:v>
      </x:c>
      <x:c r="D2159" s="14" t="n">
        <x:v>0</x:v>
      </x:c>
      <x:c r="E2159" s="14" t="n">
        <x:f>VLOOKUP(C2159,'Governorate Master'!$A$2:$Q$13,3,FALSE)</x:f>
        <x:v>120300</x:v>
      </x:c>
      <x:c r="F2159" s="66" t="n">
        <x:f>IF(E2159=0,0,D2159/E2159*10000)</x:f>
        <x:v>0</x:v>
      </x:c>
      <x:c r="G2159" s="67" t="n">
        <x:f>VLOOKUP(C2159,'Governorate Master'!$A$2:$Q$13,7,FALSE)</x:f>
        <x:v>54.4</x:v>
      </x:c>
      <x:c r="H2159" s="20" t="n">
        <x:f>VLOOKUP(C2159,'Governorate Master'!$A$2:$Q$13,6,FALSE)</x:f>
        <x:v>0.7797173732335827</x:v>
      </x:c>
      <x:c r="I2159" s="20" t="n">
        <x:f>VLOOKUP(C2159,'Governorate Master'!$A$2:$Q$13,15,FALSE)</x:f>
        <x:v>0.18452380952380953</x:v>
      </x:c>
      <x:c r="J2159" s="12" t="str">
        <x:v>Location model input - competition/saturation context</x:v>
      </x:c>
      <x:c r="K2159" s="12" t="str">
        <x:v>Business count is from 2018 while population/context indicators are newer; use as a historical proxy, not a current market count.</x:v>
      </x:c>
    </x:row>
    <x:row r="2160">
      <x:c r="A2160" s="12" t="str">
        <x:v>5110</x:v>
      </x:c>
      <x:c r="B2160" s="12" t="str">
        <x:v>Passenger air transport</x:v>
      </x:c>
      <x:c r="C2160" s="12" t="str">
        <x:v>معان</x:v>
      </x:c>
      <x:c r="D2160" s="14" t="n">
        <x:v>0</x:v>
      </x:c>
      <x:c r="E2160" s="14" t="n">
        <x:f>VLOOKUP(C2160,'Governorate Master'!$A$2:$Q$13,3,FALSE)</x:f>
        <x:v>197900</x:v>
      </x:c>
      <x:c r="F2160" s="66" t="n">
        <x:f>IF(E2160=0,0,D2160/E2160*10000)</x:f>
        <x:v>0</x:v>
      </x:c>
      <x:c r="G2160" s="67" t="n">
        <x:f>VLOOKUP(C2160,'Governorate Master'!$A$2:$Q$13,7,FALSE)</x:f>
        <x:v>6</x:v>
      </x:c>
      <x:c r="H2160" s="20" t="n">
        <x:f>VLOOKUP(C2160,'Governorate Master'!$A$2:$Q$13,6,FALSE)</x:f>
        <x:v>0.5406771096513391</x:v>
      </x:c>
      <x:c r="I2160" s="20" t="n">
        <x:f>VLOOKUP(C2160,'Governorate Master'!$A$2:$Q$13,15,FALSE)</x:f>
        <x:v>0.026845637583892617</x:v>
      </x:c>
      <x:c r="J2160" s="12" t="str">
        <x:v>Location model input - competition/saturation context</x:v>
      </x:c>
      <x:c r="K2160" s="12" t="str">
        <x:v>Business count is from 2018 while population/context indicators are newer; use as a historical proxy, not a current market count.</x:v>
      </x:c>
    </x:row>
    <x:row r="2161">
      <x:c r="A2161" s="12" t="str">
        <x:v>5110</x:v>
      </x:c>
      <x:c r="B2161" s="12" t="str">
        <x:v>Passenger air transport</x:v>
      </x:c>
      <x:c r="C2161" s="12" t="str">
        <x:v>العقبة</x:v>
      </x:c>
      <x:c r="D2161" s="14" t="n">
        <x:v>0</x:v>
      </x:c>
      <x:c r="E2161" s="14" t="n">
        <x:f>VLOOKUP(C2161,'Governorate Master'!$A$2:$Q$13,3,FALSE)</x:f>
        <x:v>250900</x:v>
      </x:c>
      <x:c r="F2161" s="66" t="n">
        <x:f>IF(E2161=0,0,D2161/E2161*10000)</x:f>
        <x:v>0</x:v>
      </x:c>
      <x:c r="G2161" s="67" t="n">
        <x:f>VLOOKUP(C2161,'Governorate Master'!$A$2:$Q$13,7,FALSE)</x:f>
        <x:v>36.3</x:v>
      </x:c>
      <x:c r="H2161" s="20" t="n">
        <x:f>VLOOKUP(C2161,'Governorate Master'!$A$2:$Q$13,6,FALSE)</x:f>
        <x:v>0.882024711040255</x:v>
      </x:c>
      <x:c r="I2161" s="20" t="n">
        <x:f>VLOOKUP(C2161,'Governorate Master'!$A$2:$Q$13,15,FALSE)</x:f>
        <x:v>-0.09</x:v>
      </x:c>
      <x:c r="J2161" s="12" t="str">
        <x:v>Location model input - competition/saturation context</x:v>
      </x:c>
      <x:c r="K2161" s="12" t="str">
        <x:v>Business count is from 2018 while population/context indicators are newer; use as a historical proxy, not a current market count.</x:v>
      </x:c>
    </x:row>
    <x:row r="2162">
      <x:c r="A2162" s="12" t="str">
        <x:v>5210</x:v>
      </x:c>
      <x:c r="B2162" s="12" t="str">
        <x:v>Warehousing and storage</x:v>
      </x:c>
      <x:c r="C2162" s="12" t="str">
        <x:v>عمان</x:v>
      </x:c>
      <x:c r="D2162" s="14" t="n">
        <x:v>15</x:v>
      </x:c>
      <x:c r="E2162" s="14" t="n">
        <x:f>VLOOKUP(C2162,'Governorate Master'!$A$2:$Q$13,3,FALSE)</x:f>
        <x:v>5004600</x:v>
      </x:c>
      <x:c r="F2162" s="66" t="n">
        <x:f>IF(E2162=0,0,D2162/E2162*10000)</x:f>
        <x:v>0.02997242536866083</x:v>
      </x:c>
      <x:c r="G2162" s="67" t="n">
        <x:f>VLOOKUP(C2162,'Governorate Master'!$A$2:$Q$13,7,FALSE)</x:f>
        <x:v>660.3</x:v>
      </x:c>
      <x:c r="H2162" s="20" t="n">
        <x:f>VLOOKUP(C2162,'Governorate Master'!$A$2:$Q$13,6,FALSE)</x:f>
        <x:v>0.9721656076409703</x:v>
      </x:c>
      <x:c r="I2162" s="20" t="n">
        <x:f>VLOOKUP(C2162,'Governorate Master'!$A$2:$Q$13,15,FALSE)</x:f>
        <x:v>0.06367041198501873</x:v>
      </x:c>
      <x:c r="J2162" s="12" t="str">
        <x:v>Location model input - competition/saturation context</x:v>
      </x:c>
      <x:c r="K2162" s="12" t="str">
        <x:v>Business count is from 2018 while population/context indicators are newer; use as a historical proxy, not a current market count.</x:v>
      </x:c>
    </x:row>
    <x:row r="2163">
      <x:c r="A2163" s="12" t="str">
        <x:v>5210</x:v>
      </x:c>
      <x:c r="B2163" s="12" t="str">
        <x:v>Warehousing and storage</x:v>
      </x:c>
      <x:c r="C2163" s="12" t="str">
        <x:v>البلقاء</x:v>
      </x:c>
      <x:c r="D2163" s="14" t="n">
        <x:v>0</x:v>
      </x:c>
      <x:c r="E2163" s="14" t="n">
        <x:f>VLOOKUP(C2163,'Governorate Master'!$A$2:$Q$13,3,FALSE)</x:f>
        <x:v>614000</x:v>
      </x:c>
      <x:c r="F2163" s="66" t="n">
        <x:f>IF(E2163=0,0,D2163/E2163*10000)</x:f>
        <x:v>0</x:v>
      </x:c>
      <x:c r="G2163" s="67" t="n">
        <x:f>VLOOKUP(C2163,'Governorate Master'!$A$2:$Q$13,7,FALSE)</x:f>
        <x:v>548</x:v>
      </x:c>
      <x:c r="H2163" s="20" t="n">
        <x:f>VLOOKUP(C2163,'Governorate Master'!$A$2:$Q$13,6,FALSE)</x:f>
        <x:v>0.8210097719869707</x:v>
      </x:c>
      <x:c r="I2163" s="20" t="n">
        <x:f>VLOOKUP(C2163,'Governorate Master'!$A$2:$Q$13,15,FALSE)</x:f>
        <x:v>0.10794044665012408</x:v>
      </x:c>
      <x:c r="J2163" s="12" t="str">
        <x:v>Location model input - competition/saturation context</x:v>
      </x:c>
      <x:c r="K2163" s="12" t="str">
        <x:v>Business count is from 2018 while population/context indicators are newer; use as a historical proxy, not a current market count.</x:v>
      </x:c>
    </x:row>
    <x:row r="2164">
      <x:c r="A2164" s="12" t="str">
        <x:v>5210</x:v>
      </x:c>
      <x:c r="B2164" s="12" t="str">
        <x:v>Warehousing and storage</x:v>
      </x:c>
      <x:c r="C2164" s="12" t="str">
        <x:v>الزرقاء</x:v>
      </x:c>
      <x:c r="D2164" s="14" t="n">
        <x:v>2</x:v>
      </x:c>
      <x:c r="E2164" s="14" t="n">
        <x:f>VLOOKUP(C2164,'Governorate Master'!$A$2:$Q$13,3,FALSE)</x:f>
        <x:v>1704500</x:v>
      </x:c>
      <x:c r="F2164" s="66" t="n">
        <x:f>IF(E2164=0,0,D2164/E2164*10000)</x:f>
        <x:v>0.011733646230566148</x:v>
      </x:c>
      <x:c r="G2164" s="67" t="n">
        <x:f>VLOOKUP(C2164,'Governorate Master'!$A$2:$Q$13,7,FALSE)</x:f>
        <x:v>358</x:v>
      </x:c>
      <x:c r="H2164" s="20" t="n">
        <x:f>VLOOKUP(C2164,'Governorate Master'!$A$2:$Q$13,6,FALSE)</x:f>
        <x:v>0.9636256966852449</x:v>
      </x:c>
      <x:c r="I2164" s="20" t="n">
        <x:f>VLOOKUP(C2164,'Governorate Master'!$A$2:$Q$13,15,FALSE)</x:f>
        <x:v>-0.06808762581409118</x:v>
      </x:c>
      <x:c r="J2164" s="12" t="str">
        <x:v>Location model input - competition/saturation context</x:v>
      </x:c>
      <x:c r="K2164" s="12" t="str">
        <x:v>Business count is from 2018 while population/context indicators are newer; use as a historical proxy, not a current market count.</x:v>
      </x:c>
    </x:row>
    <x:row r="2165">
      <x:c r="A2165" s="12" t="str">
        <x:v>5210</x:v>
      </x:c>
      <x:c r="B2165" s="12" t="str">
        <x:v>Warehousing and storage</x:v>
      </x:c>
      <x:c r="C2165" s="12" t="str">
        <x:v>مادبا</x:v>
      </x:c>
      <x:c r="D2165" s="14" t="n">
        <x:v>0</x:v>
      </x:c>
      <x:c r="E2165" s="14" t="n">
        <x:f>VLOOKUP(C2165,'Governorate Master'!$A$2:$Q$13,3,FALSE)</x:f>
        <x:v>236200</x:v>
      </x:c>
      <x:c r="F2165" s="66" t="n">
        <x:f>IF(E2165=0,0,D2165/E2165*10000)</x:f>
        <x:v>0</x:v>
      </x:c>
      <x:c r="G2165" s="67" t="n">
        <x:f>VLOOKUP(C2165,'Governorate Master'!$A$2:$Q$13,7,FALSE)</x:f>
        <x:v>251.4</x:v>
      </x:c>
      <x:c r="H2165" s="20" t="n">
        <x:f>VLOOKUP(C2165,'Governorate Master'!$A$2:$Q$13,6,FALSE)</x:f>
        <x:v>0.7823878069432684</x:v>
      </x:c>
      <x:c r="I2165" s="20" t="n">
        <x:f>VLOOKUP(C2165,'Governorate Master'!$A$2:$Q$13,15,FALSE)</x:f>
        <x:v>-0.18823529411764706</x:v>
      </x:c>
      <x:c r="J2165" s="12" t="str">
        <x:v>Location model input - competition/saturation context</x:v>
      </x:c>
      <x:c r="K2165" s="12" t="str">
        <x:v>Business count is from 2018 while population/context indicators are newer; use as a historical proxy, not a current market count.</x:v>
      </x:c>
    </x:row>
    <x:row r="2166">
      <x:c r="A2166" s="12" t="str">
        <x:v>5210</x:v>
      </x:c>
      <x:c r="B2166" s="12" t="str">
        <x:v>Warehousing and storage</x:v>
      </x:c>
      <x:c r="C2166" s="12" t="str">
        <x:v>إربد</x:v>
      </x:c>
      <x:c r="D2166" s="14" t="n">
        <x:v>1</x:v>
      </x:c>
      <x:c r="E2166" s="14" t="n">
        <x:f>VLOOKUP(C2166,'Governorate Master'!$A$2:$Q$13,3,FALSE)</x:f>
        <x:v>2210500</x:v>
      </x:c>
      <x:c r="F2166" s="66" t="n">
        <x:f>IF(E2166=0,0,D2166/E2166*10000)</x:f>
        <x:v>0.004523863379325944</x:v>
      </x:c>
      <x:c r="G2166" s="67" t="n">
        <x:f>VLOOKUP(C2166,'Governorate Master'!$A$2:$Q$13,7,FALSE)</x:f>
        <x:v>1406.4</x:v>
      </x:c>
      <x:c r="H2166" s="20" t="n">
        <x:f>VLOOKUP(C2166,'Governorate Master'!$A$2:$Q$13,6,FALSE)</x:f>
        <x:v>0.9235014702555983</x:v>
      </x:c>
      <x:c r="I2166" s="20" t="n">
        <x:f>VLOOKUP(C2166,'Governorate Master'!$A$2:$Q$13,15,FALSE)</x:f>
        <x:v>0.07086922474549726</x:v>
      </x:c>
      <x:c r="J2166" s="12" t="str">
        <x:v>Location model input - competition/saturation context</x:v>
      </x:c>
      <x:c r="K2166" s="12" t="str">
        <x:v>Business count is from 2018 while population/context indicators are newer; use as a historical proxy, not a current market count.</x:v>
      </x:c>
    </x:row>
    <x:row r="2167">
      <x:c r="A2167" s="12" t="str">
        <x:v>5210</x:v>
      </x:c>
      <x:c r="B2167" s="12" t="str">
        <x:v>Warehousing and storage</x:v>
      </x:c>
      <x:c r="C2167" s="12" t="str">
        <x:v>المفرق</x:v>
      </x:c>
      <x:c r="D2167" s="14" t="n">
        <x:v>0</x:v>
      </x:c>
      <x:c r="E2167" s="14" t="n">
        <x:f>VLOOKUP(C2167,'Governorate Master'!$A$2:$Q$13,3,FALSE)</x:f>
        <x:v>686800</x:v>
      </x:c>
      <x:c r="F2167" s="66" t="n">
        <x:f>IF(E2167=0,0,D2167/E2167*10000)</x:f>
        <x:v>0</x:v>
      </x:c>
      <x:c r="G2167" s="67" t="n">
        <x:f>VLOOKUP(C2167,'Governorate Master'!$A$2:$Q$13,7,FALSE)</x:f>
        <x:v>25.9</x:v>
      </x:c>
      <x:c r="H2167" s="20" t="n">
        <x:f>VLOOKUP(C2167,'Governorate Master'!$A$2:$Q$13,6,FALSE)</x:f>
        <x:v>0.6965637740244612</x:v>
      </x:c>
      <x:c r="I2167" s="20" t="n">
        <x:f>VLOOKUP(C2167,'Governorate Master'!$A$2:$Q$13,15,FALSE)</x:f>
        <x:v>-0.016638935108153077</x:v>
      </x:c>
      <x:c r="J2167" s="12" t="str">
        <x:v>Location model input - competition/saturation context</x:v>
      </x:c>
      <x:c r="K2167" s="12" t="str">
        <x:v>Business count is from 2018 while population/context indicators are newer; use as a historical proxy, not a current market count.</x:v>
      </x:c>
    </x:row>
    <x:row r="2168">
      <x:c r="A2168" s="12" t="str">
        <x:v>5210</x:v>
      </x:c>
      <x:c r="B2168" s="12" t="str">
        <x:v>Warehousing and storage</x:v>
      </x:c>
      <x:c r="C2168" s="12" t="str">
        <x:v>جرش</x:v>
      </x:c>
      <x:c r="D2168" s="14" t="n">
        <x:v>1</x:v>
      </x:c>
      <x:c r="E2168" s="14" t="n">
        <x:f>VLOOKUP(C2168,'Governorate Master'!$A$2:$Q$13,3,FALSE)</x:f>
        <x:v>296000</x:v>
      </x:c>
      <x:c r="F2168" s="66" t="n">
        <x:f>IF(E2168=0,0,D2168/E2168*10000)</x:f>
        <x:v>0.033783783783783786</x:v>
      </x:c>
      <x:c r="G2168" s="67" t="n">
        <x:f>VLOOKUP(C2168,'Governorate Master'!$A$2:$Q$13,7,FALSE)</x:f>
        <x:v>722.3</x:v>
      </x:c>
      <x:c r="H2168" s="20" t="n">
        <x:f>VLOOKUP(C2168,'Governorate Master'!$A$2:$Q$13,6,FALSE)</x:f>
        <x:v>0.7695945945945946</x:v>
      </x:c>
      <x:c r="I2168" s="20" t="n">
        <x:f>VLOOKUP(C2168,'Governorate Master'!$A$2:$Q$13,15,FALSE)</x:f>
        <x:v>-0.06527415143603134</x:v>
      </x:c>
      <x:c r="J2168" s="12" t="str">
        <x:v>Location model input - competition/saturation context</x:v>
      </x:c>
      <x:c r="K2168" s="12" t="str">
        <x:v>Business count is from 2018 while population/context indicators are newer; use as a historical proxy, not a current market count.</x:v>
      </x:c>
    </x:row>
    <x:row r="2169">
      <x:c r="A2169" s="12" t="str">
        <x:v>5210</x:v>
      </x:c>
      <x:c r="B2169" s="12" t="str">
        <x:v>Warehousing and storage</x:v>
      </x:c>
      <x:c r="C2169" s="12" t="str">
        <x:v>عجلون</x:v>
      </x:c>
      <x:c r="D2169" s="14" t="n">
        <x:v>1</x:v>
      </x:c>
      <x:c r="E2169" s="14" t="n">
        <x:f>VLOOKUP(C2169,'Governorate Master'!$A$2:$Q$13,3,FALSE)</x:f>
        <x:v>219900</x:v>
      </x:c>
      <x:c r="F2169" s="66" t="n">
        <x:f>IF(E2169=0,0,D2169/E2169*10000)</x:f>
        <x:v>0.04547521600727603</x:v>
      </x:c>
      <x:c r="G2169" s="67" t="n">
        <x:f>VLOOKUP(C2169,'Governorate Master'!$A$2:$Q$13,7,FALSE)</x:f>
        <x:v>524</x:v>
      </x:c>
      <x:c r="H2169" s="20" t="n">
        <x:f>VLOOKUP(C2169,'Governorate Master'!$A$2:$Q$13,6,FALSE)</x:f>
        <x:v>0.8390177353342428</x:v>
      </x:c>
      <x:c r="I2169" s="20" t="n">
        <x:f>VLOOKUP(C2169,'Governorate Master'!$A$2:$Q$13,15,FALSE)</x:f>
        <x:v>0.03614457831325301</x:v>
      </x:c>
      <x:c r="J2169" s="12" t="str">
        <x:v>Location model input - competition/saturation context</x:v>
      </x:c>
      <x:c r="K2169" s="12" t="str">
        <x:v>Business count is from 2018 while population/context indicators are newer; use as a historical proxy, not a current market count.</x:v>
      </x:c>
    </x:row>
    <x:row r="2170">
      <x:c r="A2170" s="12" t="str">
        <x:v>5210</x:v>
      </x:c>
      <x:c r="B2170" s="12" t="str">
        <x:v>Warehousing and storage</x:v>
      </x:c>
      <x:c r="C2170" s="12" t="str">
        <x:v>الكرك</x:v>
      </x:c>
      <x:c r="D2170" s="14" t="n">
        <x:v>0</x:v>
      </x:c>
      <x:c r="E2170" s="14" t="n">
        <x:f>VLOOKUP(C2170,'Governorate Master'!$A$2:$Q$13,3,FALSE)</x:f>
        <x:v>395400</x:v>
      </x:c>
      <x:c r="F2170" s="66" t="n">
        <x:f>IF(E2170=0,0,D2170/E2170*10000)</x:f>
        <x:v>0</x:v>
      </x:c>
      <x:c r="G2170" s="67" t="n">
        <x:f>VLOOKUP(C2170,'Governorate Master'!$A$2:$Q$13,7,FALSE)</x:f>
        <x:v>113.1</x:v>
      </x:c>
      <x:c r="H2170" s="20" t="n">
        <x:f>VLOOKUP(C2170,'Governorate Master'!$A$2:$Q$13,6,FALSE)</x:f>
        <x:v>0.5912999494183105</x:v>
      </x:c>
      <x:c r="I2170" s="20" t="n">
        <x:f>VLOOKUP(C2170,'Governorate Master'!$A$2:$Q$13,15,FALSE)</x:f>
        <x:v>0.08710801393728224</x:v>
      </x:c>
      <x:c r="J2170" s="12" t="str">
        <x:v>Location model input - competition/saturation context</x:v>
      </x:c>
      <x:c r="K2170" s="12" t="str">
        <x:v>Business count is from 2018 while population/context indicators are newer; use as a historical proxy, not a current market count.</x:v>
      </x:c>
    </x:row>
    <x:row r="2171">
      <x:c r="A2171" s="12" t="str">
        <x:v>5210</x:v>
      </x:c>
      <x:c r="B2171" s="12" t="str">
        <x:v>Warehousing and storage</x:v>
      </x:c>
      <x:c r="C2171" s="12" t="str">
        <x:v>الطفيلة</x:v>
      </x:c>
      <x:c r="D2171" s="14" t="n">
        <x:v>0</x:v>
      </x:c>
      <x:c r="E2171" s="14" t="n">
        <x:f>VLOOKUP(C2171,'Governorate Master'!$A$2:$Q$13,3,FALSE)</x:f>
        <x:v>120300</x:v>
      </x:c>
      <x:c r="F2171" s="66" t="n">
        <x:f>IF(E2171=0,0,D2171/E2171*10000)</x:f>
        <x:v>0</x:v>
      </x:c>
      <x:c r="G2171" s="67" t="n">
        <x:f>VLOOKUP(C2171,'Governorate Master'!$A$2:$Q$13,7,FALSE)</x:f>
        <x:v>54.4</x:v>
      </x:c>
      <x:c r="H2171" s="20" t="n">
        <x:f>VLOOKUP(C2171,'Governorate Master'!$A$2:$Q$13,6,FALSE)</x:f>
        <x:v>0.7797173732335827</x:v>
      </x:c>
      <x:c r="I2171" s="20" t="n">
        <x:f>VLOOKUP(C2171,'Governorate Master'!$A$2:$Q$13,15,FALSE)</x:f>
        <x:v>0.18452380952380953</x:v>
      </x:c>
      <x:c r="J2171" s="12" t="str">
        <x:v>Location model input - competition/saturation context</x:v>
      </x:c>
      <x:c r="K2171" s="12" t="str">
        <x:v>Business count is from 2018 while population/context indicators are newer; use as a historical proxy, not a current market count.</x:v>
      </x:c>
    </x:row>
    <x:row r="2172">
      <x:c r="A2172" s="12" t="str">
        <x:v>5210</x:v>
      </x:c>
      <x:c r="B2172" s="12" t="str">
        <x:v>Warehousing and storage</x:v>
      </x:c>
      <x:c r="C2172" s="12" t="str">
        <x:v>معان</x:v>
      </x:c>
      <x:c r="D2172" s="14" t="n">
        <x:v>0</x:v>
      </x:c>
      <x:c r="E2172" s="14" t="n">
        <x:f>VLOOKUP(C2172,'Governorate Master'!$A$2:$Q$13,3,FALSE)</x:f>
        <x:v>197900</x:v>
      </x:c>
      <x:c r="F2172" s="66" t="n">
        <x:f>IF(E2172=0,0,D2172/E2172*10000)</x:f>
        <x:v>0</x:v>
      </x:c>
      <x:c r="G2172" s="67" t="n">
        <x:f>VLOOKUP(C2172,'Governorate Master'!$A$2:$Q$13,7,FALSE)</x:f>
        <x:v>6</x:v>
      </x:c>
      <x:c r="H2172" s="20" t="n">
        <x:f>VLOOKUP(C2172,'Governorate Master'!$A$2:$Q$13,6,FALSE)</x:f>
        <x:v>0.5406771096513391</x:v>
      </x:c>
      <x:c r="I2172" s="20" t="n">
        <x:f>VLOOKUP(C2172,'Governorate Master'!$A$2:$Q$13,15,FALSE)</x:f>
        <x:v>0.026845637583892617</x:v>
      </x:c>
      <x:c r="J2172" s="12" t="str">
        <x:v>Location model input - competition/saturation context</x:v>
      </x:c>
      <x:c r="K2172" s="12" t="str">
        <x:v>Business count is from 2018 while population/context indicators are newer; use as a historical proxy, not a current market count.</x:v>
      </x:c>
    </x:row>
    <x:row r="2173">
      <x:c r="A2173" s="12" t="str">
        <x:v>5210</x:v>
      </x:c>
      <x:c r="B2173" s="12" t="str">
        <x:v>Warehousing and storage</x:v>
      </x:c>
      <x:c r="C2173" s="12" t="str">
        <x:v>العقبة</x:v>
      </x:c>
      <x:c r="D2173" s="14" t="n">
        <x:v>2</x:v>
      </x:c>
      <x:c r="E2173" s="14" t="n">
        <x:f>VLOOKUP(C2173,'Governorate Master'!$A$2:$Q$13,3,FALSE)</x:f>
        <x:v>250900</x:v>
      </x:c>
      <x:c r="F2173" s="66" t="n">
        <x:f>IF(E2173=0,0,D2173/E2173*10000)</x:f>
        <x:v>0.07971303308090873</x:v>
      </x:c>
      <x:c r="G2173" s="67" t="n">
        <x:f>VLOOKUP(C2173,'Governorate Master'!$A$2:$Q$13,7,FALSE)</x:f>
        <x:v>36.3</x:v>
      </x:c>
      <x:c r="H2173" s="20" t="n">
        <x:f>VLOOKUP(C2173,'Governorate Master'!$A$2:$Q$13,6,FALSE)</x:f>
        <x:v>0.882024711040255</x:v>
      </x:c>
      <x:c r="I2173" s="20" t="n">
        <x:f>VLOOKUP(C2173,'Governorate Master'!$A$2:$Q$13,15,FALSE)</x:f>
        <x:v>-0.09</x:v>
      </x:c>
      <x:c r="J2173" s="12" t="str">
        <x:v>Location model input - competition/saturation context</x:v>
      </x:c>
      <x:c r="K2173" s="12" t="str">
        <x:v>Business count is from 2018 while population/context indicators are newer; use as a historical proxy, not a current market count.</x:v>
      </x:c>
    </x:row>
    <x:row r="2174">
      <x:c r="A2174" s="12" t="str">
        <x:v>5221</x:v>
      </x:c>
      <x:c r="B2174" s="12" t="str">
        <x:v>Service activities incidental to land transportation</x:v>
      </x:c>
      <x:c r="C2174" s="12" t="str">
        <x:v>عمان</x:v>
      </x:c>
      <x:c r="D2174" s="14" t="n">
        <x:v>276</x:v>
      </x:c>
      <x:c r="E2174" s="14" t="n">
        <x:f>VLOOKUP(C2174,'Governorate Master'!$A$2:$Q$13,3,FALSE)</x:f>
        <x:v>5004600</x:v>
      </x:c>
      <x:c r="F2174" s="66" t="n">
        <x:f>IF(E2174=0,0,D2174/E2174*10000)</x:f>
        <x:v>0.5514926267833593</x:v>
      </x:c>
      <x:c r="G2174" s="67" t="n">
        <x:f>VLOOKUP(C2174,'Governorate Master'!$A$2:$Q$13,7,FALSE)</x:f>
        <x:v>660.3</x:v>
      </x:c>
      <x:c r="H2174" s="20" t="n">
        <x:f>VLOOKUP(C2174,'Governorate Master'!$A$2:$Q$13,6,FALSE)</x:f>
        <x:v>0.9721656076409703</x:v>
      </x:c>
      <x:c r="I2174" s="20" t="n">
        <x:f>VLOOKUP(C2174,'Governorate Master'!$A$2:$Q$13,15,FALSE)</x:f>
        <x:v>0.06367041198501873</x:v>
      </x:c>
      <x:c r="J2174" s="12" t="str">
        <x:v>Location model input - competition/saturation context</x:v>
      </x:c>
      <x:c r="K2174" s="12" t="str">
        <x:v>Business count is from 2018 while population/context indicators are newer; use as a historical proxy, not a current market count.</x:v>
      </x:c>
    </x:row>
    <x:row r="2175">
      <x:c r="A2175" s="12" t="str">
        <x:v>5221</x:v>
      </x:c>
      <x:c r="B2175" s="12" t="str">
        <x:v>Service activities incidental to land transportation</x:v>
      </x:c>
      <x:c r="C2175" s="12" t="str">
        <x:v>البلقاء</x:v>
      </x:c>
      <x:c r="D2175" s="14" t="n">
        <x:v>7</x:v>
      </x:c>
      <x:c r="E2175" s="14" t="n">
        <x:f>VLOOKUP(C2175,'Governorate Master'!$A$2:$Q$13,3,FALSE)</x:f>
        <x:v>614000</x:v>
      </x:c>
      <x:c r="F2175" s="66" t="n">
        <x:f>IF(E2175=0,0,D2175/E2175*10000)</x:f>
        <x:v>0.11400651465798047</x:v>
      </x:c>
      <x:c r="G2175" s="67" t="n">
        <x:f>VLOOKUP(C2175,'Governorate Master'!$A$2:$Q$13,7,FALSE)</x:f>
        <x:v>548</x:v>
      </x:c>
      <x:c r="H2175" s="20" t="n">
        <x:f>VLOOKUP(C2175,'Governorate Master'!$A$2:$Q$13,6,FALSE)</x:f>
        <x:v>0.8210097719869707</x:v>
      </x:c>
      <x:c r="I2175" s="20" t="n">
        <x:f>VLOOKUP(C2175,'Governorate Master'!$A$2:$Q$13,15,FALSE)</x:f>
        <x:v>0.10794044665012408</x:v>
      </x:c>
      <x:c r="J2175" s="12" t="str">
        <x:v>Location model input - competition/saturation context</x:v>
      </x:c>
      <x:c r="K2175" s="12" t="str">
        <x:v>Business count is from 2018 while population/context indicators are newer; use as a historical proxy, not a current market count.</x:v>
      </x:c>
    </x:row>
    <x:row r="2176">
      <x:c r="A2176" s="12" t="str">
        <x:v>5221</x:v>
      </x:c>
      <x:c r="B2176" s="12" t="str">
        <x:v>Service activities incidental to land transportation</x:v>
      </x:c>
      <x:c r="C2176" s="12" t="str">
        <x:v>الزرقاء</x:v>
      </x:c>
      <x:c r="D2176" s="14" t="n">
        <x:v>52</x:v>
      </x:c>
      <x:c r="E2176" s="14" t="n">
        <x:f>VLOOKUP(C2176,'Governorate Master'!$A$2:$Q$13,3,FALSE)</x:f>
        <x:v>1704500</x:v>
      </x:c>
      <x:c r="F2176" s="66" t="n">
        <x:f>IF(E2176=0,0,D2176/E2176*10000)</x:f>
        <x:v>0.30507480199471987</x:v>
      </x:c>
      <x:c r="G2176" s="67" t="n">
        <x:f>VLOOKUP(C2176,'Governorate Master'!$A$2:$Q$13,7,FALSE)</x:f>
        <x:v>358</x:v>
      </x:c>
      <x:c r="H2176" s="20" t="n">
        <x:f>VLOOKUP(C2176,'Governorate Master'!$A$2:$Q$13,6,FALSE)</x:f>
        <x:v>0.9636256966852449</x:v>
      </x:c>
      <x:c r="I2176" s="20" t="n">
        <x:f>VLOOKUP(C2176,'Governorate Master'!$A$2:$Q$13,15,FALSE)</x:f>
        <x:v>-0.06808762581409118</x:v>
      </x:c>
      <x:c r="J2176" s="12" t="str">
        <x:v>Location model input - competition/saturation context</x:v>
      </x:c>
      <x:c r="K2176" s="12" t="str">
        <x:v>Business count is from 2018 while population/context indicators are newer; use as a historical proxy, not a current market count.</x:v>
      </x:c>
    </x:row>
    <x:row r="2177">
      <x:c r="A2177" s="12" t="str">
        <x:v>5221</x:v>
      </x:c>
      <x:c r="B2177" s="12" t="str">
        <x:v>Service activities incidental to land transportation</x:v>
      </x:c>
      <x:c r="C2177" s="12" t="str">
        <x:v>مادبا</x:v>
      </x:c>
      <x:c r="D2177" s="14" t="n">
        <x:v>1</x:v>
      </x:c>
      <x:c r="E2177" s="14" t="n">
        <x:f>VLOOKUP(C2177,'Governorate Master'!$A$2:$Q$13,3,FALSE)</x:f>
        <x:v>236200</x:v>
      </x:c>
      <x:c r="F2177" s="66" t="n">
        <x:f>IF(E2177=0,0,D2177/E2177*10000)</x:f>
        <x:v>0.04233700254022015</x:v>
      </x:c>
      <x:c r="G2177" s="67" t="n">
        <x:f>VLOOKUP(C2177,'Governorate Master'!$A$2:$Q$13,7,FALSE)</x:f>
        <x:v>251.4</x:v>
      </x:c>
      <x:c r="H2177" s="20" t="n">
        <x:f>VLOOKUP(C2177,'Governorate Master'!$A$2:$Q$13,6,FALSE)</x:f>
        <x:v>0.7823878069432684</x:v>
      </x:c>
      <x:c r="I2177" s="20" t="n">
        <x:f>VLOOKUP(C2177,'Governorate Master'!$A$2:$Q$13,15,FALSE)</x:f>
        <x:v>-0.18823529411764706</x:v>
      </x:c>
      <x:c r="J2177" s="12" t="str">
        <x:v>Location model input - competition/saturation context</x:v>
      </x:c>
      <x:c r="K2177" s="12" t="str">
        <x:v>Business count is from 2018 while population/context indicators are newer; use as a historical proxy, not a current market count.</x:v>
      </x:c>
    </x:row>
    <x:row r="2178">
      <x:c r="A2178" s="12" t="str">
        <x:v>5221</x:v>
      </x:c>
      <x:c r="B2178" s="12" t="str">
        <x:v>Service activities incidental to land transportation</x:v>
      </x:c>
      <x:c r="C2178" s="12" t="str">
        <x:v>إربد</x:v>
      </x:c>
      <x:c r="D2178" s="14" t="n">
        <x:v>50</x:v>
      </x:c>
      <x:c r="E2178" s="14" t="n">
        <x:f>VLOOKUP(C2178,'Governorate Master'!$A$2:$Q$13,3,FALSE)</x:f>
        <x:v>2210500</x:v>
      </x:c>
      <x:c r="F2178" s="66" t="n">
        <x:f>IF(E2178=0,0,D2178/E2178*10000)</x:f>
        <x:v>0.2261931689662972</x:v>
      </x:c>
      <x:c r="G2178" s="67" t="n">
        <x:f>VLOOKUP(C2178,'Governorate Master'!$A$2:$Q$13,7,FALSE)</x:f>
        <x:v>1406.4</x:v>
      </x:c>
      <x:c r="H2178" s="20" t="n">
        <x:f>VLOOKUP(C2178,'Governorate Master'!$A$2:$Q$13,6,FALSE)</x:f>
        <x:v>0.9235014702555983</x:v>
      </x:c>
      <x:c r="I2178" s="20" t="n">
        <x:f>VLOOKUP(C2178,'Governorate Master'!$A$2:$Q$13,15,FALSE)</x:f>
        <x:v>0.07086922474549726</x:v>
      </x:c>
      <x:c r="J2178" s="12" t="str">
        <x:v>Location model input - competition/saturation context</x:v>
      </x:c>
      <x:c r="K2178" s="12" t="str">
        <x:v>Business count is from 2018 while population/context indicators are newer; use as a historical proxy, not a current market count.</x:v>
      </x:c>
    </x:row>
    <x:row r="2179">
      <x:c r="A2179" s="12" t="str">
        <x:v>5221</x:v>
      </x:c>
      <x:c r="B2179" s="12" t="str">
        <x:v>Service activities incidental to land transportation</x:v>
      </x:c>
      <x:c r="C2179" s="12" t="str">
        <x:v>المفرق</x:v>
      </x:c>
      <x:c r="D2179" s="14" t="n">
        <x:v>1</x:v>
      </x:c>
      <x:c r="E2179" s="14" t="n">
        <x:f>VLOOKUP(C2179,'Governorate Master'!$A$2:$Q$13,3,FALSE)</x:f>
        <x:v>686800</x:v>
      </x:c>
      <x:c r="F2179" s="66" t="n">
        <x:f>IF(E2179=0,0,D2179/E2179*10000)</x:f>
        <x:v>0.014560279557367502</x:v>
      </x:c>
      <x:c r="G2179" s="67" t="n">
        <x:f>VLOOKUP(C2179,'Governorate Master'!$A$2:$Q$13,7,FALSE)</x:f>
        <x:v>25.9</x:v>
      </x:c>
      <x:c r="H2179" s="20" t="n">
        <x:f>VLOOKUP(C2179,'Governorate Master'!$A$2:$Q$13,6,FALSE)</x:f>
        <x:v>0.6965637740244612</x:v>
      </x:c>
      <x:c r="I2179" s="20" t="n">
        <x:f>VLOOKUP(C2179,'Governorate Master'!$A$2:$Q$13,15,FALSE)</x:f>
        <x:v>-0.016638935108153077</x:v>
      </x:c>
      <x:c r="J2179" s="12" t="str">
        <x:v>Location model input - competition/saturation context</x:v>
      </x:c>
      <x:c r="K2179" s="12" t="str">
        <x:v>Business count is from 2018 while population/context indicators are newer; use as a historical proxy, not a current market count.</x:v>
      </x:c>
    </x:row>
    <x:row r="2180">
      <x:c r="A2180" s="12" t="str">
        <x:v>5221</x:v>
      </x:c>
      <x:c r="B2180" s="12" t="str">
        <x:v>Service activities incidental to land transportation</x:v>
      </x:c>
      <x:c r="C2180" s="12" t="str">
        <x:v>جرش</x:v>
      </x:c>
      <x:c r="D2180" s="14" t="n">
        <x:v>4</x:v>
      </x:c>
      <x:c r="E2180" s="14" t="n">
        <x:f>VLOOKUP(C2180,'Governorate Master'!$A$2:$Q$13,3,FALSE)</x:f>
        <x:v>296000</x:v>
      </x:c>
      <x:c r="F2180" s="66" t="n">
        <x:f>IF(E2180=0,0,D2180/E2180*10000)</x:f>
        <x:v>0.13513513513513514</x:v>
      </x:c>
      <x:c r="G2180" s="67" t="n">
        <x:f>VLOOKUP(C2180,'Governorate Master'!$A$2:$Q$13,7,FALSE)</x:f>
        <x:v>722.3</x:v>
      </x:c>
      <x:c r="H2180" s="20" t="n">
        <x:f>VLOOKUP(C2180,'Governorate Master'!$A$2:$Q$13,6,FALSE)</x:f>
        <x:v>0.7695945945945946</x:v>
      </x:c>
      <x:c r="I2180" s="20" t="n">
        <x:f>VLOOKUP(C2180,'Governorate Master'!$A$2:$Q$13,15,FALSE)</x:f>
        <x:v>-0.06527415143603134</x:v>
      </x:c>
      <x:c r="J2180" s="12" t="str">
        <x:v>Location model input - competition/saturation context</x:v>
      </x:c>
      <x:c r="K2180" s="12" t="str">
        <x:v>Business count is from 2018 while population/context indicators are newer; use as a historical proxy, not a current market count.</x:v>
      </x:c>
    </x:row>
    <x:row r="2181">
      <x:c r="A2181" s="12" t="str">
        <x:v>5221</x:v>
      </x:c>
      <x:c r="B2181" s="12" t="str">
        <x:v>Service activities incidental to land transportation</x:v>
      </x:c>
      <x:c r="C2181" s="12" t="str">
        <x:v>عجلون</x:v>
      </x:c>
      <x:c r="D2181" s="14" t="n">
        <x:v>1</x:v>
      </x:c>
      <x:c r="E2181" s="14" t="n">
        <x:f>VLOOKUP(C2181,'Governorate Master'!$A$2:$Q$13,3,FALSE)</x:f>
        <x:v>219900</x:v>
      </x:c>
      <x:c r="F2181" s="66" t="n">
        <x:f>IF(E2181=0,0,D2181/E2181*10000)</x:f>
        <x:v>0.04547521600727603</x:v>
      </x:c>
      <x:c r="G2181" s="67" t="n">
        <x:f>VLOOKUP(C2181,'Governorate Master'!$A$2:$Q$13,7,FALSE)</x:f>
        <x:v>524</x:v>
      </x:c>
      <x:c r="H2181" s="20" t="n">
        <x:f>VLOOKUP(C2181,'Governorate Master'!$A$2:$Q$13,6,FALSE)</x:f>
        <x:v>0.8390177353342428</x:v>
      </x:c>
      <x:c r="I2181" s="20" t="n">
        <x:f>VLOOKUP(C2181,'Governorate Master'!$A$2:$Q$13,15,FALSE)</x:f>
        <x:v>0.03614457831325301</x:v>
      </x:c>
      <x:c r="J2181" s="12" t="str">
        <x:v>Location model input - competition/saturation context</x:v>
      </x:c>
      <x:c r="K2181" s="12" t="str">
        <x:v>Business count is from 2018 while population/context indicators are newer; use as a historical proxy, not a current market count.</x:v>
      </x:c>
    </x:row>
    <x:row r="2182">
      <x:c r="A2182" s="12" t="str">
        <x:v>5221</x:v>
      </x:c>
      <x:c r="B2182" s="12" t="str">
        <x:v>Service activities incidental to land transportation</x:v>
      </x:c>
      <x:c r="C2182" s="12" t="str">
        <x:v>الكرك</x:v>
      </x:c>
      <x:c r="D2182" s="14" t="n">
        <x:v>1</x:v>
      </x:c>
      <x:c r="E2182" s="14" t="n">
        <x:f>VLOOKUP(C2182,'Governorate Master'!$A$2:$Q$13,3,FALSE)</x:f>
        <x:v>395400</x:v>
      </x:c>
      <x:c r="F2182" s="66" t="n">
        <x:f>IF(E2182=0,0,D2182/E2182*10000)</x:f>
        <x:v>0.025290844714213452</x:v>
      </x:c>
      <x:c r="G2182" s="67" t="n">
        <x:f>VLOOKUP(C2182,'Governorate Master'!$A$2:$Q$13,7,FALSE)</x:f>
        <x:v>113.1</x:v>
      </x:c>
      <x:c r="H2182" s="20" t="n">
        <x:f>VLOOKUP(C2182,'Governorate Master'!$A$2:$Q$13,6,FALSE)</x:f>
        <x:v>0.5912999494183105</x:v>
      </x:c>
      <x:c r="I2182" s="20" t="n">
        <x:f>VLOOKUP(C2182,'Governorate Master'!$A$2:$Q$13,15,FALSE)</x:f>
        <x:v>0.08710801393728224</x:v>
      </x:c>
      <x:c r="J2182" s="12" t="str">
        <x:v>Location model input - competition/saturation context</x:v>
      </x:c>
      <x:c r="K2182" s="12" t="str">
        <x:v>Business count is from 2018 while population/context indicators are newer; use as a historical proxy, not a current market count.</x:v>
      </x:c>
    </x:row>
    <x:row r="2183">
      <x:c r="A2183" s="12" t="str">
        <x:v>5221</x:v>
      </x:c>
      <x:c r="B2183" s="12" t="str">
        <x:v>Service activities incidental to land transportation</x:v>
      </x:c>
      <x:c r="C2183" s="12" t="str">
        <x:v>الطفيلة</x:v>
      </x:c>
      <x:c r="D2183" s="14" t="n">
        <x:v>1</x:v>
      </x:c>
      <x:c r="E2183" s="14" t="n">
        <x:f>VLOOKUP(C2183,'Governorate Master'!$A$2:$Q$13,3,FALSE)</x:f>
        <x:v>120300</x:v>
      </x:c>
      <x:c r="F2183" s="66" t="n">
        <x:f>IF(E2183=0,0,D2183/E2183*10000)</x:f>
        <x:v>0.0831255195344971</x:v>
      </x:c>
      <x:c r="G2183" s="67" t="n">
        <x:f>VLOOKUP(C2183,'Governorate Master'!$A$2:$Q$13,7,FALSE)</x:f>
        <x:v>54.4</x:v>
      </x:c>
      <x:c r="H2183" s="20" t="n">
        <x:f>VLOOKUP(C2183,'Governorate Master'!$A$2:$Q$13,6,FALSE)</x:f>
        <x:v>0.7797173732335827</x:v>
      </x:c>
      <x:c r="I2183" s="20" t="n">
        <x:f>VLOOKUP(C2183,'Governorate Master'!$A$2:$Q$13,15,FALSE)</x:f>
        <x:v>0.18452380952380953</x:v>
      </x:c>
      <x:c r="J2183" s="12" t="str">
        <x:v>Location model input - competition/saturation context</x:v>
      </x:c>
      <x:c r="K2183" s="12" t="str">
        <x:v>Business count is from 2018 while population/context indicators are newer; use as a historical proxy, not a current market count.</x:v>
      </x:c>
    </x:row>
    <x:row r="2184">
      <x:c r="A2184" s="12" t="str">
        <x:v>5221</x:v>
      </x:c>
      <x:c r="B2184" s="12" t="str">
        <x:v>Service activities incidental to land transportation</x:v>
      </x:c>
      <x:c r="C2184" s="12" t="str">
        <x:v>معان</x:v>
      </x:c>
      <x:c r="D2184" s="14" t="n">
        <x:v>9</x:v>
      </x:c>
      <x:c r="E2184" s="14" t="n">
        <x:f>VLOOKUP(C2184,'Governorate Master'!$A$2:$Q$13,3,FALSE)</x:f>
        <x:v>197900</x:v>
      </x:c>
      <x:c r="F2184" s="66" t="n">
        <x:f>IF(E2184=0,0,D2184/E2184*10000)</x:f>
        <x:v>0.45477513895907024</x:v>
      </x:c>
      <x:c r="G2184" s="67" t="n">
        <x:f>VLOOKUP(C2184,'Governorate Master'!$A$2:$Q$13,7,FALSE)</x:f>
        <x:v>6</x:v>
      </x:c>
      <x:c r="H2184" s="20" t="n">
        <x:f>VLOOKUP(C2184,'Governorate Master'!$A$2:$Q$13,6,FALSE)</x:f>
        <x:v>0.5406771096513391</x:v>
      </x:c>
      <x:c r="I2184" s="20" t="n">
        <x:f>VLOOKUP(C2184,'Governorate Master'!$A$2:$Q$13,15,FALSE)</x:f>
        <x:v>0.026845637583892617</x:v>
      </x:c>
      <x:c r="J2184" s="12" t="str">
        <x:v>Location model input - competition/saturation context</x:v>
      </x:c>
      <x:c r="K2184" s="12" t="str">
        <x:v>Business count is from 2018 while population/context indicators are newer; use as a historical proxy, not a current market count.</x:v>
      </x:c>
    </x:row>
    <x:row r="2185">
      <x:c r="A2185" s="12" t="str">
        <x:v>5221</x:v>
      </x:c>
      <x:c r="B2185" s="12" t="str">
        <x:v>Service activities incidental to land transportation</x:v>
      </x:c>
      <x:c r="C2185" s="12" t="str">
        <x:v>العقبة</x:v>
      </x:c>
      <x:c r="D2185" s="14" t="n">
        <x:v>5</x:v>
      </x:c>
      <x:c r="E2185" s="14" t="n">
        <x:f>VLOOKUP(C2185,'Governorate Master'!$A$2:$Q$13,3,FALSE)</x:f>
        <x:v>250900</x:v>
      </x:c>
      <x:c r="F2185" s="66" t="n">
        <x:f>IF(E2185=0,0,D2185/E2185*10000)</x:f>
        <x:v>0.1992825827022718</x:v>
      </x:c>
      <x:c r="G2185" s="67" t="n">
        <x:f>VLOOKUP(C2185,'Governorate Master'!$A$2:$Q$13,7,FALSE)</x:f>
        <x:v>36.3</x:v>
      </x:c>
      <x:c r="H2185" s="20" t="n">
        <x:f>VLOOKUP(C2185,'Governorate Master'!$A$2:$Q$13,6,FALSE)</x:f>
        <x:v>0.882024711040255</x:v>
      </x:c>
      <x:c r="I2185" s="20" t="n">
        <x:f>VLOOKUP(C2185,'Governorate Master'!$A$2:$Q$13,15,FALSE)</x:f>
        <x:v>-0.09</x:v>
      </x:c>
      <x:c r="J2185" s="12" t="str">
        <x:v>Location model input - competition/saturation context</x:v>
      </x:c>
      <x:c r="K2185" s="12" t="str">
        <x:v>Business count is from 2018 while population/context indicators are newer; use as a historical proxy, not a current market count.</x:v>
      </x:c>
    </x:row>
    <x:row r="2186">
      <x:c r="A2186" s="12" t="str">
        <x:v>5222</x:v>
      </x:c>
      <x:c r="B2186" s="12" t="str">
        <x:v>Service activities incidental to water transportation</x:v>
      </x:c>
      <x:c r="C2186" s="12" t="str">
        <x:v>عمان</x:v>
      </x:c>
      <x:c r="D2186" s="14" t="n">
        <x:v>96</x:v>
      </x:c>
      <x:c r="E2186" s="14" t="n">
        <x:f>VLOOKUP(C2186,'Governorate Master'!$A$2:$Q$13,3,FALSE)</x:f>
        <x:v>5004600</x:v>
      </x:c>
      <x:c r="F2186" s="66" t="n">
        <x:f>IF(E2186=0,0,D2186/E2186*10000)</x:f>
        <x:v>0.19182352235942932</x:v>
      </x:c>
      <x:c r="G2186" s="67" t="n">
        <x:f>VLOOKUP(C2186,'Governorate Master'!$A$2:$Q$13,7,FALSE)</x:f>
        <x:v>660.3</x:v>
      </x:c>
      <x:c r="H2186" s="20" t="n">
        <x:f>VLOOKUP(C2186,'Governorate Master'!$A$2:$Q$13,6,FALSE)</x:f>
        <x:v>0.9721656076409703</x:v>
      </x:c>
      <x:c r="I2186" s="20" t="n">
        <x:f>VLOOKUP(C2186,'Governorate Master'!$A$2:$Q$13,15,FALSE)</x:f>
        <x:v>0.06367041198501873</x:v>
      </x:c>
      <x:c r="J2186" s="12" t="str">
        <x:v>Location model input - competition/saturation context</x:v>
      </x:c>
      <x:c r="K2186" s="12" t="str">
        <x:v>Business count is from 2018 while population/context indicators are newer; use as a historical proxy, not a current market count.</x:v>
      </x:c>
    </x:row>
    <x:row r="2187">
      <x:c r="A2187" s="12" t="str">
        <x:v>5222</x:v>
      </x:c>
      <x:c r="B2187" s="12" t="str">
        <x:v>Service activities incidental to water transportation</x:v>
      </x:c>
      <x:c r="C2187" s="12" t="str">
        <x:v>البلقاء</x:v>
      </x:c>
      <x:c r="D2187" s="14" t="n">
        <x:v>0</x:v>
      </x:c>
      <x:c r="E2187" s="14" t="n">
        <x:f>VLOOKUP(C2187,'Governorate Master'!$A$2:$Q$13,3,FALSE)</x:f>
        <x:v>614000</x:v>
      </x:c>
      <x:c r="F2187" s="66" t="n">
        <x:f>IF(E2187=0,0,D2187/E2187*10000)</x:f>
        <x:v>0</x:v>
      </x:c>
      <x:c r="G2187" s="67" t="n">
        <x:f>VLOOKUP(C2187,'Governorate Master'!$A$2:$Q$13,7,FALSE)</x:f>
        <x:v>548</x:v>
      </x:c>
      <x:c r="H2187" s="20" t="n">
        <x:f>VLOOKUP(C2187,'Governorate Master'!$A$2:$Q$13,6,FALSE)</x:f>
        <x:v>0.8210097719869707</x:v>
      </x:c>
      <x:c r="I2187" s="20" t="n">
        <x:f>VLOOKUP(C2187,'Governorate Master'!$A$2:$Q$13,15,FALSE)</x:f>
        <x:v>0.10794044665012408</x:v>
      </x:c>
      <x:c r="J2187" s="12" t="str">
        <x:v>Location model input - competition/saturation context</x:v>
      </x:c>
      <x:c r="K2187" s="12" t="str">
        <x:v>Business count is from 2018 while population/context indicators are newer; use as a historical proxy, not a current market count.</x:v>
      </x:c>
    </x:row>
    <x:row r="2188">
      <x:c r="A2188" s="12" t="str">
        <x:v>5222</x:v>
      </x:c>
      <x:c r="B2188" s="12" t="str">
        <x:v>Service activities incidental to water transportation</x:v>
      </x:c>
      <x:c r="C2188" s="12" t="str">
        <x:v>الزرقاء</x:v>
      </x:c>
      <x:c r="D2188" s="14" t="n">
        <x:v>0</x:v>
      </x:c>
      <x:c r="E2188" s="14" t="n">
        <x:f>VLOOKUP(C2188,'Governorate Master'!$A$2:$Q$13,3,FALSE)</x:f>
        <x:v>1704500</x:v>
      </x:c>
      <x:c r="F2188" s="66" t="n">
        <x:f>IF(E2188=0,0,D2188/E2188*10000)</x:f>
        <x:v>0</x:v>
      </x:c>
      <x:c r="G2188" s="67" t="n">
        <x:f>VLOOKUP(C2188,'Governorate Master'!$A$2:$Q$13,7,FALSE)</x:f>
        <x:v>358</x:v>
      </x:c>
      <x:c r="H2188" s="20" t="n">
        <x:f>VLOOKUP(C2188,'Governorate Master'!$A$2:$Q$13,6,FALSE)</x:f>
        <x:v>0.9636256966852449</x:v>
      </x:c>
      <x:c r="I2188" s="20" t="n">
        <x:f>VLOOKUP(C2188,'Governorate Master'!$A$2:$Q$13,15,FALSE)</x:f>
        <x:v>-0.06808762581409118</x:v>
      </x:c>
      <x:c r="J2188" s="12" t="str">
        <x:v>Location model input - competition/saturation context</x:v>
      </x:c>
      <x:c r="K2188" s="12" t="str">
        <x:v>Business count is from 2018 while population/context indicators are newer; use as a historical proxy, not a current market count.</x:v>
      </x:c>
    </x:row>
    <x:row r="2189">
      <x:c r="A2189" s="12" t="str">
        <x:v>5222</x:v>
      </x:c>
      <x:c r="B2189" s="12" t="str">
        <x:v>Service activities incidental to water transportation</x:v>
      </x:c>
      <x:c r="C2189" s="12" t="str">
        <x:v>مادبا</x:v>
      </x:c>
      <x:c r="D2189" s="14" t="n">
        <x:v>0</x:v>
      </x:c>
      <x:c r="E2189" s="14" t="n">
        <x:f>VLOOKUP(C2189,'Governorate Master'!$A$2:$Q$13,3,FALSE)</x:f>
        <x:v>236200</x:v>
      </x:c>
      <x:c r="F2189" s="66" t="n">
        <x:f>IF(E2189=0,0,D2189/E2189*10000)</x:f>
        <x:v>0</x:v>
      </x:c>
      <x:c r="G2189" s="67" t="n">
        <x:f>VLOOKUP(C2189,'Governorate Master'!$A$2:$Q$13,7,FALSE)</x:f>
        <x:v>251.4</x:v>
      </x:c>
      <x:c r="H2189" s="20" t="n">
        <x:f>VLOOKUP(C2189,'Governorate Master'!$A$2:$Q$13,6,FALSE)</x:f>
        <x:v>0.7823878069432684</x:v>
      </x:c>
      <x:c r="I2189" s="20" t="n">
        <x:f>VLOOKUP(C2189,'Governorate Master'!$A$2:$Q$13,15,FALSE)</x:f>
        <x:v>-0.18823529411764706</x:v>
      </x:c>
      <x:c r="J2189" s="12" t="str">
        <x:v>Location model input - competition/saturation context</x:v>
      </x:c>
      <x:c r="K2189" s="12" t="str">
        <x:v>Business count is from 2018 while population/context indicators are newer; use as a historical proxy, not a current market count.</x:v>
      </x:c>
    </x:row>
    <x:row r="2190">
      <x:c r="A2190" s="12" t="str">
        <x:v>5222</x:v>
      </x:c>
      <x:c r="B2190" s="12" t="str">
        <x:v>Service activities incidental to water transportation</x:v>
      </x:c>
      <x:c r="C2190" s="12" t="str">
        <x:v>إربد</x:v>
      </x:c>
      <x:c r="D2190" s="14" t="n">
        <x:v>0</x:v>
      </x:c>
      <x:c r="E2190" s="14" t="n">
        <x:f>VLOOKUP(C2190,'Governorate Master'!$A$2:$Q$13,3,FALSE)</x:f>
        <x:v>2210500</x:v>
      </x:c>
      <x:c r="F2190" s="66" t="n">
        <x:f>IF(E2190=0,0,D2190/E2190*10000)</x:f>
        <x:v>0</x:v>
      </x:c>
      <x:c r="G2190" s="67" t="n">
        <x:f>VLOOKUP(C2190,'Governorate Master'!$A$2:$Q$13,7,FALSE)</x:f>
        <x:v>1406.4</x:v>
      </x:c>
      <x:c r="H2190" s="20" t="n">
        <x:f>VLOOKUP(C2190,'Governorate Master'!$A$2:$Q$13,6,FALSE)</x:f>
        <x:v>0.9235014702555983</x:v>
      </x:c>
      <x:c r="I2190" s="20" t="n">
        <x:f>VLOOKUP(C2190,'Governorate Master'!$A$2:$Q$13,15,FALSE)</x:f>
        <x:v>0.07086922474549726</x:v>
      </x:c>
      <x:c r="J2190" s="12" t="str">
        <x:v>Location model input - competition/saturation context</x:v>
      </x:c>
      <x:c r="K2190" s="12" t="str">
        <x:v>Business count is from 2018 while population/context indicators are newer; use as a historical proxy, not a current market count.</x:v>
      </x:c>
    </x:row>
    <x:row r="2191">
      <x:c r="A2191" s="12" t="str">
        <x:v>5222</x:v>
      </x:c>
      <x:c r="B2191" s="12" t="str">
        <x:v>Service activities incidental to water transportation</x:v>
      </x:c>
      <x:c r="C2191" s="12" t="str">
        <x:v>المفرق</x:v>
      </x:c>
      <x:c r="D2191" s="14" t="n">
        <x:v>0</x:v>
      </x:c>
      <x:c r="E2191" s="14" t="n">
        <x:f>VLOOKUP(C2191,'Governorate Master'!$A$2:$Q$13,3,FALSE)</x:f>
        <x:v>686800</x:v>
      </x:c>
      <x:c r="F2191" s="66" t="n">
        <x:f>IF(E2191=0,0,D2191/E2191*10000)</x:f>
        <x:v>0</x:v>
      </x:c>
      <x:c r="G2191" s="67" t="n">
        <x:f>VLOOKUP(C2191,'Governorate Master'!$A$2:$Q$13,7,FALSE)</x:f>
        <x:v>25.9</x:v>
      </x:c>
      <x:c r="H2191" s="20" t="n">
        <x:f>VLOOKUP(C2191,'Governorate Master'!$A$2:$Q$13,6,FALSE)</x:f>
        <x:v>0.6965637740244612</x:v>
      </x:c>
      <x:c r="I2191" s="20" t="n">
        <x:f>VLOOKUP(C2191,'Governorate Master'!$A$2:$Q$13,15,FALSE)</x:f>
        <x:v>-0.016638935108153077</x:v>
      </x:c>
      <x:c r="J2191" s="12" t="str">
        <x:v>Location model input - competition/saturation context</x:v>
      </x:c>
      <x:c r="K2191" s="12" t="str">
        <x:v>Business count is from 2018 while population/context indicators are newer; use as a historical proxy, not a current market count.</x:v>
      </x:c>
    </x:row>
    <x:row r="2192">
      <x:c r="A2192" s="12" t="str">
        <x:v>5222</x:v>
      </x:c>
      <x:c r="B2192" s="12" t="str">
        <x:v>Service activities incidental to water transportation</x:v>
      </x:c>
      <x:c r="C2192" s="12" t="str">
        <x:v>جرش</x:v>
      </x:c>
      <x:c r="D2192" s="14" t="n">
        <x:v>0</x:v>
      </x:c>
      <x:c r="E2192" s="14" t="n">
        <x:f>VLOOKUP(C2192,'Governorate Master'!$A$2:$Q$13,3,FALSE)</x:f>
        <x:v>296000</x:v>
      </x:c>
      <x:c r="F2192" s="66" t="n">
        <x:f>IF(E2192=0,0,D2192/E2192*10000)</x:f>
        <x:v>0</x:v>
      </x:c>
      <x:c r="G2192" s="67" t="n">
        <x:f>VLOOKUP(C2192,'Governorate Master'!$A$2:$Q$13,7,FALSE)</x:f>
        <x:v>722.3</x:v>
      </x:c>
      <x:c r="H2192" s="20" t="n">
        <x:f>VLOOKUP(C2192,'Governorate Master'!$A$2:$Q$13,6,FALSE)</x:f>
        <x:v>0.7695945945945946</x:v>
      </x:c>
      <x:c r="I2192" s="20" t="n">
        <x:f>VLOOKUP(C2192,'Governorate Master'!$A$2:$Q$13,15,FALSE)</x:f>
        <x:v>-0.06527415143603134</x:v>
      </x:c>
      <x:c r="J2192" s="12" t="str">
        <x:v>Location model input - competition/saturation context</x:v>
      </x:c>
      <x:c r="K2192" s="12" t="str">
        <x:v>Business count is from 2018 while population/context indicators are newer; use as a historical proxy, not a current market count.</x:v>
      </x:c>
    </x:row>
    <x:row r="2193">
      <x:c r="A2193" s="12" t="str">
        <x:v>5222</x:v>
      </x:c>
      <x:c r="B2193" s="12" t="str">
        <x:v>Service activities incidental to water transportation</x:v>
      </x:c>
      <x:c r="C2193" s="12" t="str">
        <x:v>عجلون</x:v>
      </x:c>
      <x:c r="D2193" s="14" t="n">
        <x:v>0</x:v>
      </x:c>
      <x:c r="E2193" s="14" t="n">
        <x:f>VLOOKUP(C2193,'Governorate Master'!$A$2:$Q$13,3,FALSE)</x:f>
        <x:v>219900</x:v>
      </x:c>
      <x:c r="F2193" s="66" t="n">
        <x:f>IF(E2193=0,0,D2193/E2193*10000)</x:f>
        <x:v>0</x:v>
      </x:c>
      <x:c r="G2193" s="67" t="n">
        <x:f>VLOOKUP(C2193,'Governorate Master'!$A$2:$Q$13,7,FALSE)</x:f>
        <x:v>524</x:v>
      </x:c>
      <x:c r="H2193" s="20" t="n">
        <x:f>VLOOKUP(C2193,'Governorate Master'!$A$2:$Q$13,6,FALSE)</x:f>
        <x:v>0.8390177353342428</x:v>
      </x:c>
      <x:c r="I2193" s="20" t="n">
        <x:f>VLOOKUP(C2193,'Governorate Master'!$A$2:$Q$13,15,FALSE)</x:f>
        <x:v>0.03614457831325301</x:v>
      </x:c>
      <x:c r="J2193" s="12" t="str">
        <x:v>Location model input - competition/saturation context</x:v>
      </x:c>
      <x:c r="K2193" s="12" t="str">
        <x:v>Business count is from 2018 while population/context indicators are newer; use as a historical proxy, not a current market count.</x:v>
      </x:c>
    </x:row>
    <x:row r="2194">
      <x:c r="A2194" s="12" t="str">
        <x:v>5222</x:v>
      </x:c>
      <x:c r="B2194" s="12" t="str">
        <x:v>Service activities incidental to water transportation</x:v>
      </x:c>
      <x:c r="C2194" s="12" t="str">
        <x:v>الكرك</x:v>
      </x:c>
      <x:c r="D2194" s="14" t="n">
        <x:v>0</x:v>
      </x:c>
      <x:c r="E2194" s="14" t="n">
        <x:f>VLOOKUP(C2194,'Governorate Master'!$A$2:$Q$13,3,FALSE)</x:f>
        <x:v>395400</x:v>
      </x:c>
      <x:c r="F2194" s="66" t="n">
        <x:f>IF(E2194=0,0,D2194/E2194*10000)</x:f>
        <x:v>0</x:v>
      </x:c>
      <x:c r="G2194" s="67" t="n">
        <x:f>VLOOKUP(C2194,'Governorate Master'!$A$2:$Q$13,7,FALSE)</x:f>
        <x:v>113.1</x:v>
      </x:c>
      <x:c r="H2194" s="20" t="n">
        <x:f>VLOOKUP(C2194,'Governorate Master'!$A$2:$Q$13,6,FALSE)</x:f>
        <x:v>0.5912999494183105</x:v>
      </x:c>
      <x:c r="I2194" s="20" t="n">
        <x:f>VLOOKUP(C2194,'Governorate Master'!$A$2:$Q$13,15,FALSE)</x:f>
        <x:v>0.08710801393728224</x:v>
      </x:c>
      <x:c r="J2194" s="12" t="str">
        <x:v>Location model input - competition/saturation context</x:v>
      </x:c>
      <x:c r="K2194" s="12" t="str">
        <x:v>Business count is from 2018 while population/context indicators are newer; use as a historical proxy, not a current market count.</x:v>
      </x:c>
    </x:row>
    <x:row r="2195">
      <x:c r="A2195" s="12" t="str">
        <x:v>5222</x:v>
      </x:c>
      <x:c r="B2195" s="12" t="str">
        <x:v>Service activities incidental to water transportation</x:v>
      </x:c>
      <x:c r="C2195" s="12" t="str">
        <x:v>الطفيلة</x:v>
      </x:c>
      <x:c r="D2195" s="14" t="n">
        <x:v>0</x:v>
      </x:c>
      <x:c r="E2195" s="14" t="n">
        <x:f>VLOOKUP(C2195,'Governorate Master'!$A$2:$Q$13,3,FALSE)</x:f>
        <x:v>120300</x:v>
      </x:c>
      <x:c r="F2195" s="66" t="n">
        <x:f>IF(E2195=0,0,D2195/E2195*10000)</x:f>
        <x:v>0</x:v>
      </x:c>
      <x:c r="G2195" s="67" t="n">
        <x:f>VLOOKUP(C2195,'Governorate Master'!$A$2:$Q$13,7,FALSE)</x:f>
        <x:v>54.4</x:v>
      </x:c>
      <x:c r="H2195" s="20" t="n">
        <x:f>VLOOKUP(C2195,'Governorate Master'!$A$2:$Q$13,6,FALSE)</x:f>
        <x:v>0.7797173732335827</x:v>
      </x:c>
      <x:c r="I2195" s="20" t="n">
        <x:f>VLOOKUP(C2195,'Governorate Master'!$A$2:$Q$13,15,FALSE)</x:f>
        <x:v>0.18452380952380953</x:v>
      </x:c>
      <x:c r="J2195" s="12" t="str">
        <x:v>Location model input - competition/saturation context</x:v>
      </x:c>
      <x:c r="K2195" s="12" t="str">
        <x:v>Business count is from 2018 while population/context indicators are newer; use as a historical proxy, not a current market count.</x:v>
      </x:c>
    </x:row>
    <x:row r="2196">
      <x:c r="A2196" s="12" t="str">
        <x:v>5222</x:v>
      </x:c>
      <x:c r="B2196" s="12" t="str">
        <x:v>Service activities incidental to water transportation</x:v>
      </x:c>
      <x:c r="C2196" s="12" t="str">
        <x:v>معان</x:v>
      </x:c>
      <x:c r="D2196" s="14" t="n">
        <x:v>0</x:v>
      </x:c>
      <x:c r="E2196" s="14" t="n">
        <x:f>VLOOKUP(C2196,'Governorate Master'!$A$2:$Q$13,3,FALSE)</x:f>
        <x:v>197900</x:v>
      </x:c>
      <x:c r="F2196" s="66" t="n">
        <x:f>IF(E2196=0,0,D2196/E2196*10000)</x:f>
        <x:v>0</x:v>
      </x:c>
      <x:c r="G2196" s="67" t="n">
        <x:f>VLOOKUP(C2196,'Governorate Master'!$A$2:$Q$13,7,FALSE)</x:f>
        <x:v>6</x:v>
      </x:c>
      <x:c r="H2196" s="20" t="n">
        <x:f>VLOOKUP(C2196,'Governorate Master'!$A$2:$Q$13,6,FALSE)</x:f>
        <x:v>0.5406771096513391</x:v>
      </x:c>
      <x:c r="I2196" s="20" t="n">
        <x:f>VLOOKUP(C2196,'Governorate Master'!$A$2:$Q$13,15,FALSE)</x:f>
        <x:v>0.026845637583892617</x:v>
      </x:c>
      <x:c r="J2196" s="12" t="str">
        <x:v>Location model input - competition/saturation context</x:v>
      </x:c>
      <x:c r="K2196" s="12" t="str">
        <x:v>Business count is from 2018 while population/context indicators are newer; use as a historical proxy, not a current market count.</x:v>
      </x:c>
    </x:row>
    <x:row r="2197">
      <x:c r="A2197" s="12" t="str">
        <x:v>5222</x:v>
      </x:c>
      <x:c r="B2197" s="12" t="str">
        <x:v>Service activities incidental to water transportation</x:v>
      </x:c>
      <x:c r="C2197" s="12" t="str">
        <x:v>العقبة</x:v>
      </x:c>
      <x:c r="D2197" s="14" t="n">
        <x:v>19</x:v>
      </x:c>
      <x:c r="E2197" s="14" t="n">
        <x:f>VLOOKUP(C2197,'Governorate Master'!$A$2:$Q$13,3,FALSE)</x:f>
        <x:v>250900</x:v>
      </x:c>
      <x:c r="F2197" s="66" t="n">
        <x:f>IF(E2197=0,0,D2197/E2197*10000)</x:f>
        <x:v>0.7572738142686329</x:v>
      </x:c>
      <x:c r="G2197" s="67" t="n">
        <x:f>VLOOKUP(C2197,'Governorate Master'!$A$2:$Q$13,7,FALSE)</x:f>
        <x:v>36.3</x:v>
      </x:c>
      <x:c r="H2197" s="20" t="n">
        <x:f>VLOOKUP(C2197,'Governorate Master'!$A$2:$Q$13,6,FALSE)</x:f>
        <x:v>0.882024711040255</x:v>
      </x:c>
      <x:c r="I2197" s="20" t="n">
        <x:f>VLOOKUP(C2197,'Governorate Master'!$A$2:$Q$13,15,FALSE)</x:f>
        <x:v>-0.09</x:v>
      </x:c>
      <x:c r="J2197" s="12" t="str">
        <x:v>Location model input - competition/saturation context</x:v>
      </x:c>
      <x:c r="K2197" s="12" t="str">
        <x:v>Business count is from 2018 while population/context indicators are newer; use as a historical proxy, not a current market count.</x:v>
      </x:c>
    </x:row>
    <x:row r="2198">
      <x:c r="A2198" s="12" t="str">
        <x:v>5223</x:v>
      </x:c>
      <x:c r="B2198" s="12" t="str">
        <x:v>Service activities incidental to air transportation</x:v>
      </x:c>
      <x:c r="C2198" s="12" t="str">
        <x:v>عمان</x:v>
      </x:c>
      <x:c r="D2198" s="14" t="n">
        <x:v>43</x:v>
      </x:c>
      <x:c r="E2198" s="14" t="n">
        <x:f>VLOOKUP(C2198,'Governorate Master'!$A$2:$Q$13,3,FALSE)</x:f>
        <x:v>5004600</x:v>
      </x:c>
      <x:c r="F2198" s="66" t="n">
        <x:f>IF(E2198=0,0,D2198/E2198*10000)</x:f>
        <x:v>0.0859209527234944</x:v>
      </x:c>
      <x:c r="G2198" s="67" t="n">
        <x:f>VLOOKUP(C2198,'Governorate Master'!$A$2:$Q$13,7,FALSE)</x:f>
        <x:v>660.3</x:v>
      </x:c>
      <x:c r="H2198" s="20" t="n">
        <x:f>VLOOKUP(C2198,'Governorate Master'!$A$2:$Q$13,6,FALSE)</x:f>
        <x:v>0.9721656076409703</x:v>
      </x:c>
      <x:c r="I2198" s="20" t="n">
        <x:f>VLOOKUP(C2198,'Governorate Master'!$A$2:$Q$13,15,FALSE)</x:f>
        <x:v>0.06367041198501873</x:v>
      </x:c>
      <x:c r="J2198" s="12" t="str">
        <x:v>Location model input - competition/saturation context</x:v>
      </x:c>
      <x:c r="K2198" s="12" t="str">
        <x:v>Business count is from 2018 while population/context indicators are newer; use as a historical proxy, not a current market count.</x:v>
      </x:c>
    </x:row>
    <x:row r="2199">
      <x:c r="A2199" s="12" t="str">
        <x:v>5223</x:v>
      </x:c>
      <x:c r="B2199" s="12" t="str">
        <x:v>Service activities incidental to air transportation</x:v>
      </x:c>
      <x:c r="C2199" s="12" t="str">
        <x:v>البلقاء</x:v>
      </x:c>
      <x:c r="D2199" s="14" t="n">
        <x:v>0</x:v>
      </x:c>
      <x:c r="E2199" s="14" t="n">
        <x:f>VLOOKUP(C2199,'Governorate Master'!$A$2:$Q$13,3,FALSE)</x:f>
        <x:v>614000</x:v>
      </x:c>
      <x:c r="F2199" s="66" t="n">
        <x:f>IF(E2199=0,0,D2199/E2199*10000)</x:f>
        <x:v>0</x:v>
      </x:c>
      <x:c r="G2199" s="67" t="n">
        <x:f>VLOOKUP(C2199,'Governorate Master'!$A$2:$Q$13,7,FALSE)</x:f>
        <x:v>548</x:v>
      </x:c>
      <x:c r="H2199" s="20" t="n">
        <x:f>VLOOKUP(C2199,'Governorate Master'!$A$2:$Q$13,6,FALSE)</x:f>
        <x:v>0.8210097719869707</x:v>
      </x:c>
      <x:c r="I2199" s="20" t="n">
        <x:f>VLOOKUP(C2199,'Governorate Master'!$A$2:$Q$13,15,FALSE)</x:f>
        <x:v>0.10794044665012408</x:v>
      </x:c>
      <x:c r="J2199" s="12" t="str">
        <x:v>Location model input - competition/saturation context</x:v>
      </x:c>
      <x:c r="K2199" s="12" t="str">
        <x:v>Business count is from 2018 while population/context indicators are newer; use as a historical proxy, not a current market count.</x:v>
      </x:c>
    </x:row>
    <x:row r="2200">
      <x:c r="A2200" s="12" t="str">
        <x:v>5223</x:v>
      </x:c>
      <x:c r="B2200" s="12" t="str">
        <x:v>Service activities incidental to air transportation</x:v>
      </x:c>
      <x:c r="C2200" s="12" t="str">
        <x:v>الزرقاء</x:v>
      </x:c>
      <x:c r="D2200" s="14" t="n">
        <x:v>3</x:v>
      </x:c>
      <x:c r="E2200" s="14" t="n">
        <x:f>VLOOKUP(C2200,'Governorate Master'!$A$2:$Q$13,3,FALSE)</x:f>
        <x:v>1704500</x:v>
      </x:c>
      <x:c r="F2200" s="66" t="n">
        <x:f>IF(E2200=0,0,D2200/E2200*10000)</x:f>
        <x:v>0.01760046934584922</x:v>
      </x:c>
      <x:c r="G2200" s="67" t="n">
        <x:f>VLOOKUP(C2200,'Governorate Master'!$A$2:$Q$13,7,FALSE)</x:f>
        <x:v>358</x:v>
      </x:c>
      <x:c r="H2200" s="20" t="n">
        <x:f>VLOOKUP(C2200,'Governorate Master'!$A$2:$Q$13,6,FALSE)</x:f>
        <x:v>0.9636256966852449</x:v>
      </x:c>
      <x:c r="I2200" s="20" t="n">
        <x:f>VLOOKUP(C2200,'Governorate Master'!$A$2:$Q$13,15,FALSE)</x:f>
        <x:v>-0.06808762581409118</x:v>
      </x:c>
      <x:c r="J2200" s="12" t="str">
        <x:v>Location model input - competition/saturation context</x:v>
      </x:c>
      <x:c r="K2200" s="12" t="str">
        <x:v>Business count is from 2018 while population/context indicators are newer; use as a historical proxy, not a current market count.</x:v>
      </x:c>
    </x:row>
    <x:row r="2201">
      <x:c r="A2201" s="12" t="str">
        <x:v>5223</x:v>
      </x:c>
      <x:c r="B2201" s="12" t="str">
        <x:v>Service activities incidental to air transportation</x:v>
      </x:c>
      <x:c r="C2201" s="12" t="str">
        <x:v>مادبا</x:v>
      </x:c>
      <x:c r="D2201" s="14" t="n">
        <x:v>0</x:v>
      </x:c>
      <x:c r="E2201" s="14" t="n">
        <x:f>VLOOKUP(C2201,'Governorate Master'!$A$2:$Q$13,3,FALSE)</x:f>
        <x:v>236200</x:v>
      </x:c>
      <x:c r="F2201" s="66" t="n">
        <x:f>IF(E2201=0,0,D2201/E2201*10000)</x:f>
        <x:v>0</x:v>
      </x:c>
      <x:c r="G2201" s="67" t="n">
        <x:f>VLOOKUP(C2201,'Governorate Master'!$A$2:$Q$13,7,FALSE)</x:f>
        <x:v>251.4</x:v>
      </x:c>
      <x:c r="H2201" s="20" t="n">
        <x:f>VLOOKUP(C2201,'Governorate Master'!$A$2:$Q$13,6,FALSE)</x:f>
        <x:v>0.7823878069432684</x:v>
      </x:c>
      <x:c r="I2201" s="20" t="n">
        <x:f>VLOOKUP(C2201,'Governorate Master'!$A$2:$Q$13,15,FALSE)</x:f>
        <x:v>-0.18823529411764706</x:v>
      </x:c>
      <x:c r="J2201" s="12" t="str">
        <x:v>Location model input - competition/saturation context</x:v>
      </x:c>
      <x:c r="K2201" s="12" t="str">
        <x:v>Business count is from 2018 while population/context indicators are newer; use as a historical proxy, not a current market count.</x:v>
      </x:c>
    </x:row>
    <x:row r="2202">
      <x:c r="A2202" s="12" t="str">
        <x:v>5223</x:v>
      </x:c>
      <x:c r="B2202" s="12" t="str">
        <x:v>Service activities incidental to air transportation</x:v>
      </x:c>
      <x:c r="C2202" s="12" t="str">
        <x:v>إربد</x:v>
      </x:c>
      <x:c r="D2202" s="14" t="n">
        <x:v>1</x:v>
      </x:c>
      <x:c r="E2202" s="14" t="n">
        <x:f>VLOOKUP(C2202,'Governorate Master'!$A$2:$Q$13,3,FALSE)</x:f>
        <x:v>2210500</x:v>
      </x:c>
      <x:c r="F2202" s="66" t="n">
        <x:f>IF(E2202=0,0,D2202/E2202*10000)</x:f>
        <x:v>0.004523863379325944</x:v>
      </x:c>
      <x:c r="G2202" s="67" t="n">
        <x:f>VLOOKUP(C2202,'Governorate Master'!$A$2:$Q$13,7,FALSE)</x:f>
        <x:v>1406.4</x:v>
      </x:c>
      <x:c r="H2202" s="20" t="n">
        <x:f>VLOOKUP(C2202,'Governorate Master'!$A$2:$Q$13,6,FALSE)</x:f>
        <x:v>0.9235014702555983</x:v>
      </x:c>
      <x:c r="I2202" s="20" t="n">
        <x:f>VLOOKUP(C2202,'Governorate Master'!$A$2:$Q$13,15,FALSE)</x:f>
        <x:v>0.07086922474549726</x:v>
      </x:c>
      <x:c r="J2202" s="12" t="str">
        <x:v>Location model input - competition/saturation context</x:v>
      </x:c>
      <x:c r="K2202" s="12" t="str">
        <x:v>Business count is from 2018 while population/context indicators are newer; use as a historical proxy, not a current market count.</x:v>
      </x:c>
    </x:row>
    <x:row r="2203">
      <x:c r="A2203" s="12" t="str">
        <x:v>5223</x:v>
      </x:c>
      <x:c r="B2203" s="12" t="str">
        <x:v>Service activities incidental to air transportation</x:v>
      </x:c>
      <x:c r="C2203" s="12" t="str">
        <x:v>المفرق</x:v>
      </x:c>
      <x:c r="D2203" s="14" t="n">
        <x:v>0</x:v>
      </x:c>
      <x:c r="E2203" s="14" t="n">
        <x:f>VLOOKUP(C2203,'Governorate Master'!$A$2:$Q$13,3,FALSE)</x:f>
        <x:v>686800</x:v>
      </x:c>
      <x:c r="F2203" s="66" t="n">
        <x:f>IF(E2203=0,0,D2203/E2203*10000)</x:f>
        <x:v>0</x:v>
      </x:c>
      <x:c r="G2203" s="67" t="n">
        <x:f>VLOOKUP(C2203,'Governorate Master'!$A$2:$Q$13,7,FALSE)</x:f>
        <x:v>25.9</x:v>
      </x:c>
      <x:c r="H2203" s="20" t="n">
        <x:f>VLOOKUP(C2203,'Governorate Master'!$A$2:$Q$13,6,FALSE)</x:f>
        <x:v>0.6965637740244612</x:v>
      </x:c>
      <x:c r="I2203" s="20" t="n">
        <x:f>VLOOKUP(C2203,'Governorate Master'!$A$2:$Q$13,15,FALSE)</x:f>
        <x:v>-0.016638935108153077</x:v>
      </x:c>
      <x:c r="J2203" s="12" t="str">
        <x:v>Location model input - competition/saturation context</x:v>
      </x:c>
      <x:c r="K2203" s="12" t="str">
        <x:v>Business count is from 2018 while population/context indicators are newer; use as a historical proxy, not a current market count.</x:v>
      </x:c>
    </x:row>
    <x:row r="2204">
      <x:c r="A2204" s="12" t="str">
        <x:v>5223</x:v>
      </x:c>
      <x:c r="B2204" s="12" t="str">
        <x:v>Service activities incidental to air transportation</x:v>
      </x:c>
      <x:c r="C2204" s="12" t="str">
        <x:v>جرش</x:v>
      </x:c>
      <x:c r="D2204" s="14" t="n">
        <x:v>0</x:v>
      </x:c>
      <x:c r="E2204" s="14" t="n">
        <x:f>VLOOKUP(C2204,'Governorate Master'!$A$2:$Q$13,3,FALSE)</x:f>
        <x:v>296000</x:v>
      </x:c>
      <x:c r="F2204" s="66" t="n">
        <x:f>IF(E2204=0,0,D2204/E2204*10000)</x:f>
        <x:v>0</x:v>
      </x:c>
      <x:c r="G2204" s="67" t="n">
        <x:f>VLOOKUP(C2204,'Governorate Master'!$A$2:$Q$13,7,FALSE)</x:f>
        <x:v>722.3</x:v>
      </x:c>
      <x:c r="H2204" s="20" t="n">
        <x:f>VLOOKUP(C2204,'Governorate Master'!$A$2:$Q$13,6,FALSE)</x:f>
        <x:v>0.7695945945945946</x:v>
      </x:c>
      <x:c r="I2204" s="20" t="n">
        <x:f>VLOOKUP(C2204,'Governorate Master'!$A$2:$Q$13,15,FALSE)</x:f>
        <x:v>-0.06527415143603134</x:v>
      </x:c>
      <x:c r="J2204" s="12" t="str">
        <x:v>Location model input - competition/saturation context</x:v>
      </x:c>
      <x:c r="K2204" s="12" t="str">
        <x:v>Business count is from 2018 while population/context indicators are newer; use as a historical proxy, not a current market count.</x:v>
      </x:c>
    </x:row>
    <x:row r="2205">
      <x:c r="A2205" s="12" t="str">
        <x:v>5223</x:v>
      </x:c>
      <x:c r="B2205" s="12" t="str">
        <x:v>Service activities incidental to air transportation</x:v>
      </x:c>
      <x:c r="C2205" s="12" t="str">
        <x:v>عجلون</x:v>
      </x:c>
      <x:c r="D2205" s="14" t="n">
        <x:v>0</x:v>
      </x:c>
      <x:c r="E2205" s="14" t="n">
        <x:f>VLOOKUP(C2205,'Governorate Master'!$A$2:$Q$13,3,FALSE)</x:f>
        <x:v>219900</x:v>
      </x:c>
      <x:c r="F2205" s="66" t="n">
        <x:f>IF(E2205=0,0,D2205/E2205*10000)</x:f>
        <x:v>0</x:v>
      </x:c>
      <x:c r="G2205" s="67" t="n">
        <x:f>VLOOKUP(C2205,'Governorate Master'!$A$2:$Q$13,7,FALSE)</x:f>
        <x:v>524</x:v>
      </x:c>
      <x:c r="H2205" s="20" t="n">
        <x:f>VLOOKUP(C2205,'Governorate Master'!$A$2:$Q$13,6,FALSE)</x:f>
        <x:v>0.8390177353342428</x:v>
      </x:c>
      <x:c r="I2205" s="20" t="n">
        <x:f>VLOOKUP(C2205,'Governorate Master'!$A$2:$Q$13,15,FALSE)</x:f>
        <x:v>0.03614457831325301</x:v>
      </x:c>
      <x:c r="J2205" s="12" t="str">
        <x:v>Location model input - competition/saturation context</x:v>
      </x:c>
      <x:c r="K2205" s="12" t="str">
        <x:v>Business count is from 2018 while population/context indicators are newer; use as a historical proxy, not a current market count.</x:v>
      </x:c>
    </x:row>
    <x:row r="2206">
      <x:c r="A2206" s="12" t="str">
        <x:v>5223</x:v>
      </x:c>
      <x:c r="B2206" s="12" t="str">
        <x:v>Service activities incidental to air transportation</x:v>
      </x:c>
      <x:c r="C2206" s="12" t="str">
        <x:v>الكرك</x:v>
      </x:c>
      <x:c r="D2206" s="14" t="n">
        <x:v>0</x:v>
      </x:c>
      <x:c r="E2206" s="14" t="n">
        <x:f>VLOOKUP(C2206,'Governorate Master'!$A$2:$Q$13,3,FALSE)</x:f>
        <x:v>395400</x:v>
      </x:c>
      <x:c r="F2206" s="66" t="n">
        <x:f>IF(E2206=0,0,D2206/E2206*10000)</x:f>
        <x:v>0</x:v>
      </x:c>
      <x:c r="G2206" s="67" t="n">
        <x:f>VLOOKUP(C2206,'Governorate Master'!$A$2:$Q$13,7,FALSE)</x:f>
        <x:v>113.1</x:v>
      </x:c>
      <x:c r="H2206" s="20" t="n">
        <x:f>VLOOKUP(C2206,'Governorate Master'!$A$2:$Q$13,6,FALSE)</x:f>
        <x:v>0.5912999494183105</x:v>
      </x:c>
      <x:c r="I2206" s="20" t="n">
        <x:f>VLOOKUP(C2206,'Governorate Master'!$A$2:$Q$13,15,FALSE)</x:f>
        <x:v>0.08710801393728224</x:v>
      </x:c>
      <x:c r="J2206" s="12" t="str">
        <x:v>Location model input - competition/saturation context</x:v>
      </x:c>
      <x:c r="K2206" s="12" t="str">
        <x:v>Business count is from 2018 while population/context indicators are newer; use as a historical proxy, not a current market count.</x:v>
      </x:c>
    </x:row>
    <x:row r="2207">
      <x:c r="A2207" s="12" t="str">
        <x:v>5223</x:v>
      </x:c>
      <x:c r="B2207" s="12" t="str">
        <x:v>Service activities incidental to air transportation</x:v>
      </x:c>
      <x:c r="C2207" s="12" t="str">
        <x:v>الطفيلة</x:v>
      </x:c>
      <x:c r="D2207" s="14" t="n">
        <x:v>0</x:v>
      </x:c>
      <x:c r="E2207" s="14" t="n">
        <x:f>VLOOKUP(C2207,'Governorate Master'!$A$2:$Q$13,3,FALSE)</x:f>
        <x:v>120300</x:v>
      </x:c>
      <x:c r="F2207" s="66" t="n">
        <x:f>IF(E2207=0,0,D2207/E2207*10000)</x:f>
        <x:v>0</x:v>
      </x:c>
      <x:c r="G2207" s="67" t="n">
        <x:f>VLOOKUP(C2207,'Governorate Master'!$A$2:$Q$13,7,FALSE)</x:f>
        <x:v>54.4</x:v>
      </x:c>
      <x:c r="H2207" s="20" t="n">
        <x:f>VLOOKUP(C2207,'Governorate Master'!$A$2:$Q$13,6,FALSE)</x:f>
        <x:v>0.7797173732335827</x:v>
      </x:c>
      <x:c r="I2207" s="20" t="n">
        <x:f>VLOOKUP(C2207,'Governorate Master'!$A$2:$Q$13,15,FALSE)</x:f>
        <x:v>0.18452380952380953</x:v>
      </x:c>
      <x:c r="J2207" s="12" t="str">
        <x:v>Location model input - competition/saturation context</x:v>
      </x:c>
      <x:c r="K2207" s="12" t="str">
        <x:v>Business count is from 2018 while population/context indicators are newer; use as a historical proxy, not a current market count.</x:v>
      </x:c>
    </x:row>
    <x:row r="2208">
      <x:c r="A2208" s="12" t="str">
        <x:v>5223</x:v>
      </x:c>
      <x:c r="B2208" s="12" t="str">
        <x:v>Service activities incidental to air transportation</x:v>
      </x:c>
      <x:c r="C2208" s="12" t="str">
        <x:v>معان</x:v>
      </x:c>
      <x:c r="D2208" s="14" t="n">
        <x:v>0</x:v>
      </x:c>
      <x:c r="E2208" s="14" t="n">
        <x:f>VLOOKUP(C2208,'Governorate Master'!$A$2:$Q$13,3,FALSE)</x:f>
        <x:v>197900</x:v>
      </x:c>
      <x:c r="F2208" s="66" t="n">
        <x:f>IF(E2208=0,0,D2208/E2208*10000)</x:f>
        <x:v>0</x:v>
      </x:c>
      <x:c r="G2208" s="67" t="n">
        <x:f>VLOOKUP(C2208,'Governorate Master'!$A$2:$Q$13,7,FALSE)</x:f>
        <x:v>6</x:v>
      </x:c>
      <x:c r="H2208" s="20" t="n">
        <x:f>VLOOKUP(C2208,'Governorate Master'!$A$2:$Q$13,6,FALSE)</x:f>
        <x:v>0.5406771096513391</x:v>
      </x:c>
      <x:c r="I2208" s="20" t="n">
        <x:f>VLOOKUP(C2208,'Governorate Master'!$A$2:$Q$13,15,FALSE)</x:f>
        <x:v>0.026845637583892617</x:v>
      </x:c>
      <x:c r="J2208" s="12" t="str">
        <x:v>Location model input - competition/saturation context</x:v>
      </x:c>
      <x:c r="K2208" s="12" t="str">
        <x:v>Business count is from 2018 while population/context indicators are newer; use as a historical proxy, not a current market count.</x:v>
      </x:c>
    </x:row>
    <x:row r="2209">
      <x:c r="A2209" s="12" t="str">
        <x:v>5223</x:v>
      </x:c>
      <x:c r="B2209" s="12" t="str">
        <x:v>Service activities incidental to air transportation</x:v>
      </x:c>
      <x:c r="C2209" s="12" t="str">
        <x:v>العقبة</x:v>
      </x:c>
      <x:c r="D2209" s="14" t="n">
        <x:v>1</x:v>
      </x:c>
      <x:c r="E2209" s="14" t="n">
        <x:f>VLOOKUP(C2209,'Governorate Master'!$A$2:$Q$13,3,FALSE)</x:f>
        <x:v>250900</x:v>
      </x:c>
      <x:c r="F2209" s="66" t="n">
        <x:f>IF(E2209=0,0,D2209/E2209*10000)</x:f>
        <x:v>0.03985651654045436</x:v>
      </x:c>
      <x:c r="G2209" s="67" t="n">
        <x:f>VLOOKUP(C2209,'Governorate Master'!$A$2:$Q$13,7,FALSE)</x:f>
        <x:v>36.3</x:v>
      </x:c>
      <x:c r="H2209" s="20" t="n">
        <x:f>VLOOKUP(C2209,'Governorate Master'!$A$2:$Q$13,6,FALSE)</x:f>
        <x:v>0.882024711040255</x:v>
      </x:c>
      <x:c r="I2209" s="20" t="n">
        <x:f>VLOOKUP(C2209,'Governorate Master'!$A$2:$Q$13,15,FALSE)</x:f>
        <x:v>-0.09</x:v>
      </x:c>
      <x:c r="J2209" s="12" t="str">
        <x:v>Location model input - competition/saturation context</x:v>
      </x:c>
      <x:c r="K2209" s="12" t="str">
        <x:v>Business count is from 2018 while population/context indicators are newer; use as a historical proxy, not a current market count.</x:v>
      </x:c>
    </x:row>
    <x:row r="2210">
      <x:c r="A2210" s="12" t="str">
        <x:v>5224</x:v>
      </x:c>
      <x:c r="B2210" s="12" t="str">
        <x:v>Cargo handling</x:v>
      </x:c>
      <x:c r="C2210" s="12" t="str">
        <x:v>عمان</x:v>
      </x:c>
      <x:c r="D2210" s="14" t="n">
        <x:v>0</x:v>
      </x:c>
      <x:c r="E2210" s="14" t="n">
        <x:f>VLOOKUP(C2210,'Governorate Master'!$A$2:$Q$13,3,FALSE)</x:f>
        <x:v>5004600</x:v>
      </x:c>
      <x:c r="F2210" s="66" t="n">
        <x:f>IF(E2210=0,0,D2210/E2210*10000)</x:f>
        <x:v>0</x:v>
      </x:c>
      <x:c r="G2210" s="67" t="n">
        <x:f>VLOOKUP(C2210,'Governorate Master'!$A$2:$Q$13,7,FALSE)</x:f>
        <x:v>660.3</x:v>
      </x:c>
      <x:c r="H2210" s="20" t="n">
        <x:f>VLOOKUP(C2210,'Governorate Master'!$A$2:$Q$13,6,FALSE)</x:f>
        <x:v>0.9721656076409703</x:v>
      </x:c>
      <x:c r="I2210" s="20" t="n">
        <x:f>VLOOKUP(C2210,'Governorate Master'!$A$2:$Q$13,15,FALSE)</x:f>
        <x:v>0.06367041198501873</x:v>
      </x:c>
      <x:c r="J2210" s="12" t="str">
        <x:v>Location model input - competition/saturation context</x:v>
      </x:c>
      <x:c r="K2210" s="12" t="str">
        <x:v>Business count is from 2018 while population/context indicators are newer; use as a historical proxy, not a current market count.</x:v>
      </x:c>
    </x:row>
    <x:row r="2211">
      <x:c r="A2211" s="12" t="str">
        <x:v>5224</x:v>
      </x:c>
      <x:c r="B2211" s="12" t="str">
        <x:v>Cargo handling</x:v>
      </x:c>
      <x:c r="C2211" s="12" t="str">
        <x:v>البلقاء</x:v>
      </x:c>
      <x:c r="D2211" s="14" t="n">
        <x:v>0</x:v>
      </x:c>
      <x:c r="E2211" s="14" t="n">
        <x:f>VLOOKUP(C2211,'Governorate Master'!$A$2:$Q$13,3,FALSE)</x:f>
        <x:v>614000</x:v>
      </x:c>
      <x:c r="F2211" s="66" t="n">
        <x:f>IF(E2211=0,0,D2211/E2211*10000)</x:f>
        <x:v>0</x:v>
      </x:c>
      <x:c r="G2211" s="67" t="n">
        <x:f>VLOOKUP(C2211,'Governorate Master'!$A$2:$Q$13,7,FALSE)</x:f>
        <x:v>548</x:v>
      </x:c>
      <x:c r="H2211" s="20" t="n">
        <x:f>VLOOKUP(C2211,'Governorate Master'!$A$2:$Q$13,6,FALSE)</x:f>
        <x:v>0.8210097719869707</x:v>
      </x:c>
      <x:c r="I2211" s="20" t="n">
        <x:f>VLOOKUP(C2211,'Governorate Master'!$A$2:$Q$13,15,FALSE)</x:f>
        <x:v>0.10794044665012408</x:v>
      </x:c>
      <x:c r="J2211" s="12" t="str">
        <x:v>Location model input - competition/saturation context</x:v>
      </x:c>
      <x:c r="K2211" s="12" t="str">
        <x:v>Business count is from 2018 while population/context indicators are newer; use as a historical proxy, not a current market count.</x:v>
      </x:c>
    </x:row>
    <x:row r="2212">
      <x:c r="A2212" s="12" t="str">
        <x:v>5224</x:v>
      </x:c>
      <x:c r="B2212" s="12" t="str">
        <x:v>Cargo handling</x:v>
      </x:c>
      <x:c r="C2212" s="12" t="str">
        <x:v>الزرقاء</x:v>
      </x:c>
      <x:c r="D2212" s="14" t="n">
        <x:v>0</x:v>
      </x:c>
      <x:c r="E2212" s="14" t="n">
        <x:f>VLOOKUP(C2212,'Governorate Master'!$A$2:$Q$13,3,FALSE)</x:f>
        <x:v>1704500</x:v>
      </x:c>
      <x:c r="F2212" s="66" t="n">
        <x:f>IF(E2212=0,0,D2212/E2212*10000)</x:f>
        <x:v>0</x:v>
      </x:c>
      <x:c r="G2212" s="67" t="n">
        <x:f>VLOOKUP(C2212,'Governorate Master'!$A$2:$Q$13,7,FALSE)</x:f>
        <x:v>358</x:v>
      </x:c>
      <x:c r="H2212" s="20" t="n">
        <x:f>VLOOKUP(C2212,'Governorate Master'!$A$2:$Q$13,6,FALSE)</x:f>
        <x:v>0.9636256966852449</x:v>
      </x:c>
      <x:c r="I2212" s="20" t="n">
        <x:f>VLOOKUP(C2212,'Governorate Master'!$A$2:$Q$13,15,FALSE)</x:f>
        <x:v>-0.06808762581409118</x:v>
      </x:c>
      <x:c r="J2212" s="12" t="str">
        <x:v>Location model input - competition/saturation context</x:v>
      </x:c>
      <x:c r="K2212" s="12" t="str">
        <x:v>Business count is from 2018 while population/context indicators are newer; use as a historical proxy, not a current market count.</x:v>
      </x:c>
    </x:row>
    <x:row r="2213">
      <x:c r="A2213" s="12" t="str">
        <x:v>5224</x:v>
      </x:c>
      <x:c r="B2213" s="12" t="str">
        <x:v>Cargo handling</x:v>
      </x:c>
      <x:c r="C2213" s="12" t="str">
        <x:v>مادبا</x:v>
      </x:c>
      <x:c r="D2213" s="14" t="n">
        <x:v>0</x:v>
      </x:c>
      <x:c r="E2213" s="14" t="n">
        <x:f>VLOOKUP(C2213,'Governorate Master'!$A$2:$Q$13,3,FALSE)</x:f>
        <x:v>236200</x:v>
      </x:c>
      <x:c r="F2213" s="66" t="n">
        <x:f>IF(E2213=0,0,D2213/E2213*10000)</x:f>
        <x:v>0</x:v>
      </x:c>
      <x:c r="G2213" s="67" t="n">
        <x:f>VLOOKUP(C2213,'Governorate Master'!$A$2:$Q$13,7,FALSE)</x:f>
        <x:v>251.4</x:v>
      </x:c>
      <x:c r="H2213" s="20" t="n">
        <x:f>VLOOKUP(C2213,'Governorate Master'!$A$2:$Q$13,6,FALSE)</x:f>
        <x:v>0.7823878069432684</x:v>
      </x:c>
      <x:c r="I2213" s="20" t="n">
        <x:f>VLOOKUP(C2213,'Governorate Master'!$A$2:$Q$13,15,FALSE)</x:f>
        <x:v>-0.18823529411764706</x:v>
      </x:c>
      <x:c r="J2213" s="12" t="str">
        <x:v>Location model input - competition/saturation context</x:v>
      </x:c>
      <x:c r="K2213" s="12" t="str">
        <x:v>Business count is from 2018 while population/context indicators are newer; use as a historical proxy, not a current market count.</x:v>
      </x:c>
    </x:row>
    <x:row r="2214">
      <x:c r="A2214" s="12" t="str">
        <x:v>5224</x:v>
      </x:c>
      <x:c r="B2214" s="12" t="str">
        <x:v>Cargo handling</x:v>
      </x:c>
      <x:c r="C2214" s="12" t="str">
        <x:v>إربد</x:v>
      </x:c>
      <x:c r="D2214" s="14" t="n">
        <x:v>0</x:v>
      </x:c>
      <x:c r="E2214" s="14" t="n">
        <x:f>VLOOKUP(C2214,'Governorate Master'!$A$2:$Q$13,3,FALSE)</x:f>
        <x:v>2210500</x:v>
      </x:c>
      <x:c r="F2214" s="66" t="n">
        <x:f>IF(E2214=0,0,D2214/E2214*10000)</x:f>
        <x:v>0</x:v>
      </x:c>
      <x:c r="G2214" s="67" t="n">
        <x:f>VLOOKUP(C2214,'Governorate Master'!$A$2:$Q$13,7,FALSE)</x:f>
        <x:v>1406.4</x:v>
      </x:c>
      <x:c r="H2214" s="20" t="n">
        <x:f>VLOOKUP(C2214,'Governorate Master'!$A$2:$Q$13,6,FALSE)</x:f>
        <x:v>0.9235014702555983</x:v>
      </x:c>
      <x:c r="I2214" s="20" t="n">
        <x:f>VLOOKUP(C2214,'Governorate Master'!$A$2:$Q$13,15,FALSE)</x:f>
        <x:v>0.07086922474549726</x:v>
      </x:c>
      <x:c r="J2214" s="12" t="str">
        <x:v>Location model input - competition/saturation context</x:v>
      </x:c>
      <x:c r="K2214" s="12" t="str">
        <x:v>Business count is from 2018 while population/context indicators are newer; use as a historical proxy, not a current market count.</x:v>
      </x:c>
    </x:row>
    <x:row r="2215">
      <x:c r="A2215" s="12" t="str">
        <x:v>5224</x:v>
      </x:c>
      <x:c r="B2215" s="12" t="str">
        <x:v>Cargo handling</x:v>
      </x:c>
      <x:c r="C2215" s="12" t="str">
        <x:v>المفرق</x:v>
      </x:c>
      <x:c r="D2215" s="14" t="n">
        <x:v>0</x:v>
      </x:c>
      <x:c r="E2215" s="14" t="n">
        <x:f>VLOOKUP(C2215,'Governorate Master'!$A$2:$Q$13,3,FALSE)</x:f>
        <x:v>686800</x:v>
      </x:c>
      <x:c r="F2215" s="66" t="n">
        <x:f>IF(E2215=0,0,D2215/E2215*10000)</x:f>
        <x:v>0</x:v>
      </x:c>
      <x:c r="G2215" s="67" t="n">
        <x:f>VLOOKUP(C2215,'Governorate Master'!$A$2:$Q$13,7,FALSE)</x:f>
        <x:v>25.9</x:v>
      </x:c>
      <x:c r="H2215" s="20" t="n">
        <x:f>VLOOKUP(C2215,'Governorate Master'!$A$2:$Q$13,6,FALSE)</x:f>
        <x:v>0.6965637740244612</x:v>
      </x:c>
      <x:c r="I2215" s="20" t="n">
        <x:f>VLOOKUP(C2215,'Governorate Master'!$A$2:$Q$13,15,FALSE)</x:f>
        <x:v>-0.016638935108153077</x:v>
      </x:c>
      <x:c r="J2215" s="12" t="str">
        <x:v>Location model input - competition/saturation context</x:v>
      </x:c>
      <x:c r="K2215" s="12" t="str">
        <x:v>Business count is from 2018 while population/context indicators are newer; use as a historical proxy, not a current market count.</x:v>
      </x:c>
    </x:row>
    <x:row r="2216">
      <x:c r="A2216" s="12" t="str">
        <x:v>5224</x:v>
      </x:c>
      <x:c r="B2216" s="12" t="str">
        <x:v>Cargo handling</x:v>
      </x:c>
      <x:c r="C2216" s="12" t="str">
        <x:v>جرش</x:v>
      </x:c>
      <x:c r="D2216" s="14" t="n">
        <x:v>0</x:v>
      </x:c>
      <x:c r="E2216" s="14" t="n">
        <x:f>VLOOKUP(C2216,'Governorate Master'!$A$2:$Q$13,3,FALSE)</x:f>
        <x:v>296000</x:v>
      </x:c>
      <x:c r="F2216" s="66" t="n">
        <x:f>IF(E2216=0,0,D2216/E2216*10000)</x:f>
        <x:v>0</x:v>
      </x:c>
      <x:c r="G2216" s="67" t="n">
        <x:f>VLOOKUP(C2216,'Governorate Master'!$A$2:$Q$13,7,FALSE)</x:f>
        <x:v>722.3</x:v>
      </x:c>
      <x:c r="H2216" s="20" t="n">
        <x:f>VLOOKUP(C2216,'Governorate Master'!$A$2:$Q$13,6,FALSE)</x:f>
        <x:v>0.7695945945945946</x:v>
      </x:c>
      <x:c r="I2216" s="20" t="n">
        <x:f>VLOOKUP(C2216,'Governorate Master'!$A$2:$Q$13,15,FALSE)</x:f>
        <x:v>-0.06527415143603134</x:v>
      </x:c>
      <x:c r="J2216" s="12" t="str">
        <x:v>Location model input - competition/saturation context</x:v>
      </x:c>
      <x:c r="K2216" s="12" t="str">
        <x:v>Business count is from 2018 while population/context indicators are newer; use as a historical proxy, not a current market count.</x:v>
      </x:c>
    </x:row>
    <x:row r="2217">
      <x:c r="A2217" s="12" t="str">
        <x:v>5224</x:v>
      </x:c>
      <x:c r="B2217" s="12" t="str">
        <x:v>Cargo handling</x:v>
      </x:c>
      <x:c r="C2217" s="12" t="str">
        <x:v>عجلون</x:v>
      </x:c>
      <x:c r="D2217" s="14" t="n">
        <x:v>0</x:v>
      </x:c>
      <x:c r="E2217" s="14" t="n">
        <x:f>VLOOKUP(C2217,'Governorate Master'!$A$2:$Q$13,3,FALSE)</x:f>
        <x:v>219900</x:v>
      </x:c>
      <x:c r="F2217" s="66" t="n">
        <x:f>IF(E2217=0,0,D2217/E2217*10000)</x:f>
        <x:v>0</x:v>
      </x:c>
      <x:c r="G2217" s="67" t="n">
        <x:f>VLOOKUP(C2217,'Governorate Master'!$A$2:$Q$13,7,FALSE)</x:f>
        <x:v>524</x:v>
      </x:c>
      <x:c r="H2217" s="20" t="n">
        <x:f>VLOOKUP(C2217,'Governorate Master'!$A$2:$Q$13,6,FALSE)</x:f>
        <x:v>0.8390177353342428</x:v>
      </x:c>
      <x:c r="I2217" s="20" t="n">
        <x:f>VLOOKUP(C2217,'Governorate Master'!$A$2:$Q$13,15,FALSE)</x:f>
        <x:v>0.03614457831325301</x:v>
      </x:c>
      <x:c r="J2217" s="12" t="str">
        <x:v>Location model input - competition/saturation context</x:v>
      </x:c>
      <x:c r="K2217" s="12" t="str">
        <x:v>Business count is from 2018 while population/context indicators are newer; use as a historical proxy, not a current market count.</x:v>
      </x:c>
    </x:row>
    <x:row r="2218">
      <x:c r="A2218" s="12" t="str">
        <x:v>5224</x:v>
      </x:c>
      <x:c r="B2218" s="12" t="str">
        <x:v>Cargo handling</x:v>
      </x:c>
      <x:c r="C2218" s="12" t="str">
        <x:v>الكرك</x:v>
      </x:c>
      <x:c r="D2218" s="14" t="n">
        <x:v>0</x:v>
      </x:c>
      <x:c r="E2218" s="14" t="n">
        <x:f>VLOOKUP(C2218,'Governorate Master'!$A$2:$Q$13,3,FALSE)</x:f>
        <x:v>395400</x:v>
      </x:c>
      <x:c r="F2218" s="66" t="n">
        <x:f>IF(E2218=0,0,D2218/E2218*10000)</x:f>
        <x:v>0</x:v>
      </x:c>
      <x:c r="G2218" s="67" t="n">
        <x:f>VLOOKUP(C2218,'Governorate Master'!$A$2:$Q$13,7,FALSE)</x:f>
        <x:v>113.1</x:v>
      </x:c>
      <x:c r="H2218" s="20" t="n">
        <x:f>VLOOKUP(C2218,'Governorate Master'!$A$2:$Q$13,6,FALSE)</x:f>
        <x:v>0.5912999494183105</x:v>
      </x:c>
      <x:c r="I2218" s="20" t="n">
        <x:f>VLOOKUP(C2218,'Governorate Master'!$A$2:$Q$13,15,FALSE)</x:f>
        <x:v>0.08710801393728224</x:v>
      </x:c>
      <x:c r="J2218" s="12" t="str">
        <x:v>Location model input - competition/saturation context</x:v>
      </x:c>
      <x:c r="K2218" s="12" t="str">
        <x:v>Business count is from 2018 while population/context indicators are newer; use as a historical proxy, not a current market count.</x:v>
      </x:c>
    </x:row>
    <x:row r="2219">
      <x:c r="A2219" s="12" t="str">
        <x:v>5224</x:v>
      </x:c>
      <x:c r="B2219" s="12" t="str">
        <x:v>Cargo handling</x:v>
      </x:c>
      <x:c r="C2219" s="12" t="str">
        <x:v>الطفيلة</x:v>
      </x:c>
      <x:c r="D2219" s="14" t="n">
        <x:v>0</x:v>
      </x:c>
      <x:c r="E2219" s="14" t="n">
        <x:f>VLOOKUP(C2219,'Governorate Master'!$A$2:$Q$13,3,FALSE)</x:f>
        <x:v>120300</x:v>
      </x:c>
      <x:c r="F2219" s="66" t="n">
        <x:f>IF(E2219=0,0,D2219/E2219*10000)</x:f>
        <x:v>0</x:v>
      </x:c>
      <x:c r="G2219" s="67" t="n">
        <x:f>VLOOKUP(C2219,'Governorate Master'!$A$2:$Q$13,7,FALSE)</x:f>
        <x:v>54.4</x:v>
      </x:c>
      <x:c r="H2219" s="20" t="n">
        <x:f>VLOOKUP(C2219,'Governorate Master'!$A$2:$Q$13,6,FALSE)</x:f>
        <x:v>0.7797173732335827</x:v>
      </x:c>
      <x:c r="I2219" s="20" t="n">
        <x:f>VLOOKUP(C2219,'Governorate Master'!$A$2:$Q$13,15,FALSE)</x:f>
        <x:v>0.18452380952380953</x:v>
      </x:c>
      <x:c r="J2219" s="12" t="str">
        <x:v>Location model input - competition/saturation context</x:v>
      </x:c>
      <x:c r="K2219" s="12" t="str">
        <x:v>Business count is from 2018 while population/context indicators are newer; use as a historical proxy, not a current market count.</x:v>
      </x:c>
    </x:row>
    <x:row r="2220">
      <x:c r="A2220" s="12" t="str">
        <x:v>5224</x:v>
      </x:c>
      <x:c r="B2220" s="12" t="str">
        <x:v>Cargo handling</x:v>
      </x:c>
      <x:c r="C2220" s="12" t="str">
        <x:v>معان</x:v>
      </x:c>
      <x:c r="D2220" s="14" t="n">
        <x:v>0</x:v>
      </x:c>
      <x:c r="E2220" s="14" t="n">
        <x:f>VLOOKUP(C2220,'Governorate Master'!$A$2:$Q$13,3,FALSE)</x:f>
        <x:v>197900</x:v>
      </x:c>
      <x:c r="F2220" s="66" t="n">
        <x:f>IF(E2220=0,0,D2220/E2220*10000)</x:f>
        <x:v>0</x:v>
      </x:c>
      <x:c r="G2220" s="67" t="n">
        <x:f>VLOOKUP(C2220,'Governorate Master'!$A$2:$Q$13,7,FALSE)</x:f>
        <x:v>6</x:v>
      </x:c>
      <x:c r="H2220" s="20" t="n">
        <x:f>VLOOKUP(C2220,'Governorate Master'!$A$2:$Q$13,6,FALSE)</x:f>
        <x:v>0.5406771096513391</x:v>
      </x:c>
      <x:c r="I2220" s="20" t="n">
        <x:f>VLOOKUP(C2220,'Governorate Master'!$A$2:$Q$13,15,FALSE)</x:f>
        <x:v>0.026845637583892617</x:v>
      </x:c>
      <x:c r="J2220" s="12" t="str">
        <x:v>Location model input - competition/saturation context</x:v>
      </x:c>
      <x:c r="K2220" s="12" t="str">
        <x:v>Business count is from 2018 while population/context indicators are newer; use as a historical proxy, not a current market count.</x:v>
      </x:c>
    </x:row>
    <x:row r="2221">
      <x:c r="A2221" s="12" t="str">
        <x:v>5224</x:v>
      </x:c>
      <x:c r="B2221" s="12" t="str">
        <x:v>Cargo handling</x:v>
      </x:c>
      <x:c r="C2221" s="12" t="str">
        <x:v>العقبة</x:v>
      </x:c>
      <x:c r="D2221" s="14" t="n">
        <x:v>1</x:v>
      </x:c>
      <x:c r="E2221" s="14" t="n">
        <x:f>VLOOKUP(C2221,'Governorate Master'!$A$2:$Q$13,3,FALSE)</x:f>
        <x:v>250900</x:v>
      </x:c>
      <x:c r="F2221" s="66" t="n">
        <x:f>IF(E2221=0,0,D2221/E2221*10000)</x:f>
        <x:v>0.03985651654045436</x:v>
      </x:c>
      <x:c r="G2221" s="67" t="n">
        <x:f>VLOOKUP(C2221,'Governorate Master'!$A$2:$Q$13,7,FALSE)</x:f>
        <x:v>36.3</x:v>
      </x:c>
      <x:c r="H2221" s="20" t="n">
        <x:f>VLOOKUP(C2221,'Governorate Master'!$A$2:$Q$13,6,FALSE)</x:f>
        <x:v>0.882024711040255</x:v>
      </x:c>
      <x:c r="I2221" s="20" t="n">
        <x:f>VLOOKUP(C2221,'Governorate Master'!$A$2:$Q$13,15,FALSE)</x:f>
        <x:v>-0.09</x:v>
      </x:c>
      <x:c r="J2221" s="12" t="str">
        <x:v>Location model input - competition/saturation context</x:v>
      </x:c>
      <x:c r="K2221" s="12" t="str">
        <x:v>Business count is from 2018 while population/context indicators are newer; use as a historical proxy, not a current market count.</x:v>
      </x:c>
    </x:row>
    <x:row r="2222">
      <x:c r="A2222" s="12" t="str">
        <x:v>5229</x:v>
      </x:c>
      <x:c r="B2222" s="12" t="str">
        <x:v>Other transportation support activities</x:v>
      </x:c>
      <x:c r="C2222" s="12" t="str">
        <x:v>عمان</x:v>
      </x:c>
      <x:c r="D2222" s="14" t="n">
        <x:v>185</x:v>
      </x:c>
      <x:c r="E2222" s="14" t="n">
        <x:f>VLOOKUP(C2222,'Governorate Master'!$A$2:$Q$13,3,FALSE)</x:f>
        <x:v>5004600</x:v>
      </x:c>
      <x:c r="F2222" s="66" t="n">
        <x:f>IF(E2222=0,0,D2222/E2222*10000)</x:f>
        <x:v>0.36965991288015027</x:v>
      </x:c>
      <x:c r="G2222" s="67" t="n">
        <x:f>VLOOKUP(C2222,'Governorate Master'!$A$2:$Q$13,7,FALSE)</x:f>
        <x:v>660.3</x:v>
      </x:c>
      <x:c r="H2222" s="20" t="n">
        <x:f>VLOOKUP(C2222,'Governorate Master'!$A$2:$Q$13,6,FALSE)</x:f>
        <x:v>0.9721656076409703</x:v>
      </x:c>
      <x:c r="I2222" s="20" t="n">
        <x:f>VLOOKUP(C2222,'Governorate Master'!$A$2:$Q$13,15,FALSE)</x:f>
        <x:v>0.06367041198501873</x:v>
      </x:c>
      <x:c r="J2222" s="12" t="str">
        <x:v>Location model input - competition/saturation context</x:v>
      </x:c>
      <x:c r="K2222" s="12" t="str">
        <x:v>Business count is from 2018 while population/context indicators are newer; use as a historical proxy, not a current market count.</x:v>
      </x:c>
    </x:row>
    <x:row r="2223">
      <x:c r="A2223" s="12" t="str">
        <x:v>5229</x:v>
      </x:c>
      <x:c r="B2223" s="12" t="str">
        <x:v>Other transportation support activities</x:v>
      </x:c>
      <x:c r="C2223" s="12" t="str">
        <x:v>البلقاء</x:v>
      </x:c>
      <x:c r="D2223" s="14" t="n">
        <x:v>0</x:v>
      </x:c>
      <x:c r="E2223" s="14" t="n">
        <x:f>VLOOKUP(C2223,'Governorate Master'!$A$2:$Q$13,3,FALSE)</x:f>
        <x:v>614000</x:v>
      </x:c>
      <x:c r="F2223" s="66" t="n">
        <x:f>IF(E2223=0,0,D2223/E2223*10000)</x:f>
        <x:v>0</x:v>
      </x:c>
      <x:c r="G2223" s="67" t="n">
        <x:f>VLOOKUP(C2223,'Governorate Master'!$A$2:$Q$13,7,FALSE)</x:f>
        <x:v>548</x:v>
      </x:c>
      <x:c r="H2223" s="20" t="n">
        <x:f>VLOOKUP(C2223,'Governorate Master'!$A$2:$Q$13,6,FALSE)</x:f>
        <x:v>0.8210097719869707</x:v>
      </x:c>
      <x:c r="I2223" s="20" t="n">
        <x:f>VLOOKUP(C2223,'Governorate Master'!$A$2:$Q$13,15,FALSE)</x:f>
        <x:v>0.10794044665012408</x:v>
      </x:c>
      <x:c r="J2223" s="12" t="str">
        <x:v>Location model input - competition/saturation context</x:v>
      </x:c>
      <x:c r="K2223" s="12" t="str">
        <x:v>Business count is from 2018 while population/context indicators are newer; use as a historical proxy, not a current market count.</x:v>
      </x:c>
    </x:row>
    <x:row r="2224">
      <x:c r="A2224" s="12" t="str">
        <x:v>5229</x:v>
      </x:c>
      <x:c r="B2224" s="12" t="str">
        <x:v>Other transportation support activities</x:v>
      </x:c>
      <x:c r="C2224" s="12" t="str">
        <x:v>الزرقاء</x:v>
      </x:c>
      <x:c r="D2224" s="14" t="n">
        <x:v>86</x:v>
      </x:c>
      <x:c r="E2224" s="14" t="n">
        <x:f>VLOOKUP(C2224,'Governorate Master'!$A$2:$Q$13,3,FALSE)</x:f>
        <x:v>1704500</x:v>
      </x:c>
      <x:c r="F2224" s="66" t="n">
        <x:f>IF(E2224=0,0,D2224/E2224*10000)</x:f>
        <x:v>0.5045467879143444</x:v>
      </x:c>
      <x:c r="G2224" s="67" t="n">
        <x:f>VLOOKUP(C2224,'Governorate Master'!$A$2:$Q$13,7,FALSE)</x:f>
        <x:v>358</x:v>
      </x:c>
      <x:c r="H2224" s="20" t="n">
        <x:f>VLOOKUP(C2224,'Governorate Master'!$A$2:$Q$13,6,FALSE)</x:f>
        <x:v>0.9636256966852449</x:v>
      </x:c>
      <x:c r="I2224" s="20" t="n">
        <x:f>VLOOKUP(C2224,'Governorate Master'!$A$2:$Q$13,15,FALSE)</x:f>
        <x:v>-0.06808762581409118</x:v>
      </x:c>
      <x:c r="J2224" s="12" t="str">
        <x:v>Location model input - competition/saturation context</x:v>
      </x:c>
      <x:c r="K2224" s="12" t="str">
        <x:v>Business count is from 2018 while population/context indicators are newer; use as a historical proxy, not a current market count.</x:v>
      </x:c>
    </x:row>
    <x:row r="2225">
      <x:c r="A2225" s="12" t="str">
        <x:v>5229</x:v>
      </x:c>
      <x:c r="B2225" s="12" t="str">
        <x:v>Other transportation support activities</x:v>
      </x:c>
      <x:c r="C2225" s="12" t="str">
        <x:v>مادبا</x:v>
      </x:c>
      <x:c r="D2225" s="14" t="n">
        <x:v>0</x:v>
      </x:c>
      <x:c r="E2225" s="14" t="n">
        <x:f>VLOOKUP(C2225,'Governorate Master'!$A$2:$Q$13,3,FALSE)</x:f>
        <x:v>236200</x:v>
      </x:c>
      <x:c r="F2225" s="66" t="n">
        <x:f>IF(E2225=0,0,D2225/E2225*10000)</x:f>
        <x:v>0</x:v>
      </x:c>
      <x:c r="G2225" s="67" t="n">
        <x:f>VLOOKUP(C2225,'Governorate Master'!$A$2:$Q$13,7,FALSE)</x:f>
        <x:v>251.4</x:v>
      </x:c>
      <x:c r="H2225" s="20" t="n">
        <x:f>VLOOKUP(C2225,'Governorate Master'!$A$2:$Q$13,6,FALSE)</x:f>
        <x:v>0.7823878069432684</x:v>
      </x:c>
      <x:c r="I2225" s="20" t="n">
        <x:f>VLOOKUP(C2225,'Governorate Master'!$A$2:$Q$13,15,FALSE)</x:f>
        <x:v>-0.18823529411764706</x:v>
      </x:c>
      <x:c r="J2225" s="12" t="str">
        <x:v>Location model input - competition/saturation context</x:v>
      </x:c>
      <x:c r="K2225" s="12" t="str">
        <x:v>Business count is from 2018 while population/context indicators are newer; use as a historical proxy, not a current market count.</x:v>
      </x:c>
    </x:row>
    <x:row r="2226">
      <x:c r="A2226" s="12" t="str">
        <x:v>5229</x:v>
      </x:c>
      <x:c r="B2226" s="12" t="str">
        <x:v>Other transportation support activities</x:v>
      </x:c>
      <x:c r="C2226" s="12" t="str">
        <x:v>إربد</x:v>
      </x:c>
      <x:c r="D2226" s="14" t="n">
        <x:v>5</x:v>
      </x:c>
      <x:c r="E2226" s="14" t="n">
        <x:f>VLOOKUP(C2226,'Governorate Master'!$A$2:$Q$13,3,FALSE)</x:f>
        <x:v>2210500</x:v>
      </x:c>
      <x:c r="F2226" s="66" t="n">
        <x:f>IF(E2226=0,0,D2226/E2226*10000)</x:f>
        <x:v>0.022619316896629722</x:v>
      </x:c>
      <x:c r="G2226" s="67" t="n">
        <x:f>VLOOKUP(C2226,'Governorate Master'!$A$2:$Q$13,7,FALSE)</x:f>
        <x:v>1406.4</x:v>
      </x:c>
      <x:c r="H2226" s="20" t="n">
        <x:f>VLOOKUP(C2226,'Governorate Master'!$A$2:$Q$13,6,FALSE)</x:f>
        <x:v>0.9235014702555983</x:v>
      </x:c>
      <x:c r="I2226" s="20" t="n">
        <x:f>VLOOKUP(C2226,'Governorate Master'!$A$2:$Q$13,15,FALSE)</x:f>
        <x:v>0.07086922474549726</x:v>
      </x:c>
      <x:c r="J2226" s="12" t="str">
        <x:v>Location model input - competition/saturation context</x:v>
      </x:c>
      <x:c r="K2226" s="12" t="str">
        <x:v>Business count is from 2018 while population/context indicators are newer; use as a historical proxy, not a current market count.</x:v>
      </x:c>
    </x:row>
    <x:row r="2227">
      <x:c r="A2227" s="12" t="str">
        <x:v>5229</x:v>
      </x:c>
      <x:c r="B2227" s="12" t="str">
        <x:v>Other transportation support activities</x:v>
      </x:c>
      <x:c r="C2227" s="12" t="str">
        <x:v>المفرق</x:v>
      </x:c>
      <x:c r="D2227" s="14" t="n">
        <x:v>29</x:v>
      </x:c>
      <x:c r="E2227" s="14" t="n">
        <x:f>VLOOKUP(C2227,'Governorate Master'!$A$2:$Q$13,3,FALSE)</x:f>
        <x:v>686800</x:v>
      </x:c>
      <x:c r="F2227" s="66" t="n">
        <x:f>IF(E2227=0,0,D2227/E2227*10000)</x:f>
        <x:v>0.4222481071636575</x:v>
      </x:c>
      <x:c r="G2227" s="67" t="n">
        <x:f>VLOOKUP(C2227,'Governorate Master'!$A$2:$Q$13,7,FALSE)</x:f>
        <x:v>25.9</x:v>
      </x:c>
      <x:c r="H2227" s="20" t="n">
        <x:f>VLOOKUP(C2227,'Governorate Master'!$A$2:$Q$13,6,FALSE)</x:f>
        <x:v>0.6965637740244612</x:v>
      </x:c>
      <x:c r="I2227" s="20" t="n">
        <x:f>VLOOKUP(C2227,'Governorate Master'!$A$2:$Q$13,15,FALSE)</x:f>
        <x:v>-0.016638935108153077</x:v>
      </x:c>
      <x:c r="J2227" s="12" t="str">
        <x:v>Location model input - competition/saturation context</x:v>
      </x:c>
      <x:c r="K2227" s="12" t="str">
        <x:v>Business count is from 2018 while population/context indicators are newer; use as a historical proxy, not a current market count.</x:v>
      </x:c>
    </x:row>
    <x:row r="2228">
      <x:c r="A2228" s="12" t="str">
        <x:v>5229</x:v>
      </x:c>
      <x:c r="B2228" s="12" t="str">
        <x:v>Other transportation support activities</x:v>
      </x:c>
      <x:c r="C2228" s="12" t="str">
        <x:v>جرش</x:v>
      </x:c>
      <x:c r="D2228" s="14" t="n">
        <x:v>0</x:v>
      </x:c>
      <x:c r="E2228" s="14" t="n">
        <x:f>VLOOKUP(C2228,'Governorate Master'!$A$2:$Q$13,3,FALSE)</x:f>
        <x:v>296000</x:v>
      </x:c>
      <x:c r="F2228" s="66" t="n">
        <x:f>IF(E2228=0,0,D2228/E2228*10000)</x:f>
        <x:v>0</x:v>
      </x:c>
      <x:c r="G2228" s="67" t="n">
        <x:f>VLOOKUP(C2228,'Governorate Master'!$A$2:$Q$13,7,FALSE)</x:f>
        <x:v>722.3</x:v>
      </x:c>
      <x:c r="H2228" s="20" t="n">
        <x:f>VLOOKUP(C2228,'Governorate Master'!$A$2:$Q$13,6,FALSE)</x:f>
        <x:v>0.7695945945945946</x:v>
      </x:c>
      <x:c r="I2228" s="20" t="n">
        <x:f>VLOOKUP(C2228,'Governorate Master'!$A$2:$Q$13,15,FALSE)</x:f>
        <x:v>-0.06527415143603134</x:v>
      </x:c>
      <x:c r="J2228" s="12" t="str">
        <x:v>Location model input - competition/saturation context</x:v>
      </x:c>
      <x:c r="K2228" s="12" t="str">
        <x:v>Business count is from 2018 while population/context indicators are newer; use as a historical proxy, not a current market count.</x:v>
      </x:c>
    </x:row>
    <x:row r="2229">
      <x:c r="A2229" s="12" t="str">
        <x:v>5229</x:v>
      </x:c>
      <x:c r="B2229" s="12" t="str">
        <x:v>Other transportation support activities</x:v>
      </x:c>
      <x:c r="C2229" s="12" t="str">
        <x:v>عجلون</x:v>
      </x:c>
      <x:c r="D2229" s="14" t="n">
        <x:v>0</x:v>
      </x:c>
      <x:c r="E2229" s="14" t="n">
        <x:f>VLOOKUP(C2229,'Governorate Master'!$A$2:$Q$13,3,FALSE)</x:f>
        <x:v>219900</x:v>
      </x:c>
      <x:c r="F2229" s="66" t="n">
        <x:f>IF(E2229=0,0,D2229/E2229*10000)</x:f>
        <x:v>0</x:v>
      </x:c>
      <x:c r="G2229" s="67" t="n">
        <x:f>VLOOKUP(C2229,'Governorate Master'!$A$2:$Q$13,7,FALSE)</x:f>
        <x:v>524</x:v>
      </x:c>
      <x:c r="H2229" s="20" t="n">
        <x:f>VLOOKUP(C2229,'Governorate Master'!$A$2:$Q$13,6,FALSE)</x:f>
        <x:v>0.8390177353342428</x:v>
      </x:c>
      <x:c r="I2229" s="20" t="n">
        <x:f>VLOOKUP(C2229,'Governorate Master'!$A$2:$Q$13,15,FALSE)</x:f>
        <x:v>0.03614457831325301</x:v>
      </x:c>
      <x:c r="J2229" s="12" t="str">
        <x:v>Location model input - competition/saturation context</x:v>
      </x:c>
      <x:c r="K2229" s="12" t="str">
        <x:v>Business count is from 2018 while population/context indicators are newer; use as a historical proxy, not a current market count.</x:v>
      </x:c>
    </x:row>
    <x:row r="2230">
      <x:c r="A2230" s="12" t="str">
        <x:v>5229</x:v>
      </x:c>
      <x:c r="B2230" s="12" t="str">
        <x:v>Other transportation support activities</x:v>
      </x:c>
      <x:c r="C2230" s="12" t="str">
        <x:v>الكرك</x:v>
      </x:c>
      <x:c r="D2230" s="14" t="n">
        <x:v>2</x:v>
      </x:c>
      <x:c r="E2230" s="14" t="n">
        <x:f>VLOOKUP(C2230,'Governorate Master'!$A$2:$Q$13,3,FALSE)</x:f>
        <x:v>395400</x:v>
      </x:c>
      <x:c r="F2230" s="66" t="n">
        <x:f>IF(E2230=0,0,D2230/E2230*10000)</x:f>
        <x:v>0.050581689428426904</x:v>
      </x:c>
      <x:c r="G2230" s="67" t="n">
        <x:f>VLOOKUP(C2230,'Governorate Master'!$A$2:$Q$13,7,FALSE)</x:f>
        <x:v>113.1</x:v>
      </x:c>
      <x:c r="H2230" s="20" t="n">
        <x:f>VLOOKUP(C2230,'Governorate Master'!$A$2:$Q$13,6,FALSE)</x:f>
        <x:v>0.5912999494183105</x:v>
      </x:c>
      <x:c r="I2230" s="20" t="n">
        <x:f>VLOOKUP(C2230,'Governorate Master'!$A$2:$Q$13,15,FALSE)</x:f>
        <x:v>0.08710801393728224</x:v>
      </x:c>
      <x:c r="J2230" s="12" t="str">
        <x:v>Location model input - competition/saturation context</x:v>
      </x:c>
      <x:c r="K2230" s="12" t="str">
        <x:v>Business count is from 2018 while population/context indicators are newer; use as a historical proxy, not a current market count.</x:v>
      </x:c>
    </x:row>
    <x:row r="2231">
      <x:c r="A2231" s="12" t="str">
        <x:v>5229</x:v>
      </x:c>
      <x:c r="B2231" s="12" t="str">
        <x:v>Other transportation support activities</x:v>
      </x:c>
      <x:c r="C2231" s="12" t="str">
        <x:v>الطفيلة</x:v>
      </x:c>
      <x:c r="D2231" s="14" t="n">
        <x:v>0</x:v>
      </x:c>
      <x:c r="E2231" s="14" t="n">
        <x:f>VLOOKUP(C2231,'Governorate Master'!$A$2:$Q$13,3,FALSE)</x:f>
        <x:v>120300</x:v>
      </x:c>
      <x:c r="F2231" s="66" t="n">
        <x:f>IF(E2231=0,0,D2231/E2231*10000)</x:f>
        <x:v>0</x:v>
      </x:c>
      <x:c r="G2231" s="67" t="n">
        <x:f>VLOOKUP(C2231,'Governorate Master'!$A$2:$Q$13,7,FALSE)</x:f>
        <x:v>54.4</x:v>
      </x:c>
      <x:c r="H2231" s="20" t="n">
        <x:f>VLOOKUP(C2231,'Governorate Master'!$A$2:$Q$13,6,FALSE)</x:f>
        <x:v>0.7797173732335827</x:v>
      </x:c>
      <x:c r="I2231" s="20" t="n">
        <x:f>VLOOKUP(C2231,'Governorate Master'!$A$2:$Q$13,15,FALSE)</x:f>
        <x:v>0.18452380952380953</x:v>
      </x:c>
      <x:c r="J2231" s="12" t="str">
        <x:v>Location model input - competition/saturation context</x:v>
      </x:c>
      <x:c r="K2231" s="12" t="str">
        <x:v>Business count is from 2018 while population/context indicators are newer; use as a historical proxy, not a current market count.</x:v>
      </x:c>
    </x:row>
    <x:row r="2232">
      <x:c r="A2232" s="12" t="str">
        <x:v>5229</x:v>
      </x:c>
      <x:c r="B2232" s="12" t="str">
        <x:v>Other transportation support activities</x:v>
      </x:c>
      <x:c r="C2232" s="12" t="str">
        <x:v>معان</x:v>
      </x:c>
      <x:c r="D2232" s="14" t="n">
        <x:v>4</x:v>
      </x:c>
      <x:c r="E2232" s="14" t="n">
        <x:f>VLOOKUP(C2232,'Governorate Master'!$A$2:$Q$13,3,FALSE)</x:f>
        <x:v>197900</x:v>
      </x:c>
      <x:c r="F2232" s="66" t="n">
        <x:f>IF(E2232=0,0,D2232/E2232*10000)</x:f>
        <x:v>0.202122283981809</x:v>
      </x:c>
      <x:c r="G2232" s="67" t="n">
        <x:f>VLOOKUP(C2232,'Governorate Master'!$A$2:$Q$13,7,FALSE)</x:f>
        <x:v>6</x:v>
      </x:c>
      <x:c r="H2232" s="20" t="n">
        <x:f>VLOOKUP(C2232,'Governorate Master'!$A$2:$Q$13,6,FALSE)</x:f>
        <x:v>0.5406771096513391</x:v>
      </x:c>
      <x:c r="I2232" s="20" t="n">
        <x:f>VLOOKUP(C2232,'Governorate Master'!$A$2:$Q$13,15,FALSE)</x:f>
        <x:v>0.026845637583892617</x:v>
      </x:c>
      <x:c r="J2232" s="12" t="str">
        <x:v>Location model input - competition/saturation context</x:v>
      </x:c>
      <x:c r="K2232" s="12" t="str">
        <x:v>Business count is from 2018 while population/context indicators are newer; use as a historical proxy, not a current market count.</x:v>
      </x:c>
    </x:row>
    <x:row r="2233">
      <x:c r="A2233" s="12" t="str">
        <x:v>5229</x:v>
      </x:c>
      <x:c r="B2233" s="12" t="str">
        <x:v>Other transportation support activities</x:v>
      </x:c>
      <x:c r="C2233" s="12" t="str">
        <x:v>العقبة</x:v>
      </x:c>
      <x:c r="D2233" s="14" t="n">
        <x:v>27</x:v>
      </x:c>
      <x:c r="E2233" s="14" t="n">
        <x:f>VLOOKUP(C2233,'Governorate Master'!$A$2:$Q$13,3,FALSE)</x:f>
        <x:v>250900</x:v>
      </x:c>
      <x:c r="F2233" s="66" t="n">
        <x:f>IF(E2233=0,0,D2233/E2233*10000)</x:f>
        <x:v>1.076125946592268</x:v>
      </x:c>
      <x:c r="G2233" s="67" t="n">
        <x:f>VLOOKUP(C2233,'Governorate Master'!$A$2:$Q$13,7,FALSE)</x:f>
        <x:v>36.3</x:v>
      </x:c>
      <x:c r="H2233" s="20" t="n">
        <x:f>VLOOKUP(C2233,'Governorate Master'!$A$2:$Q$13,6,FALSE)</x:f>
        <x:v>0.882024711040255</x:v>
      </x:c>
      <x:c r="I2233" s="20" t="n">
        <x:f>VLOOKUP(C2233,'Governorate Master'!$A$2:$Q$13,15,FALSE)</x:f>
        <x:v>-0.09</x:v>
      </x:c>
      <x:c r="J2233" s="12" t="str">
        <x:v>Location model input - competition/saturation context</x:v>
      </x:c>
      <x:c r="K2233" s="12" t="str">
        <x:v>Business count is from 2018 while population/context indicators are newer; use as a historical proxy, not a current market count.</x:v>
      </x:c>
    </x:row>
    <x:row r="2234">
      <x:c r="A2234" s="12" t="str">
        <x:v>5310</x:v>
      </x:c>
      <x:c r="B2234" s="12" t="str">
        <x:v>Postal activities</x:v>
      </x:c>
      <x:c r="C2234" s="12" t="str">
        <x:v>عمان</x:v>
      </x:c>
      <x:c r="D2234" s="14" t="n">
        <x:v>1</x:v>
      </x:c>
      <x:c r="E2234" s="14" t="n">
        <x:f>VLOOKUP(C2234,'Governorate Master'!$A$2:$Q$13,3,FALSE)</x:f>
        <x:v>5004600</x:v>
      </x:c>
      <x:c r="F2234" s="66" t="n">
        <x:f>IF(E2234=0,0,D2234/E2234*10000)</x:f>
        <x:v>0.0019981616912440555</x:v>
      </x:c>
      <x:c r="G2234" s="67" t="n">
        <x:f>VLOOKUP(C2234,'Governorate Master'!$A$2:$Q$13,7,FALSE)</x:f>
        <x:v>660.3</x:v>
      </x:c>
      <x:c r="H2234" s="20" t="n">
        <x:f>VLOOKUP(C2234,'Governorate Master'!$A$2:$Q$13,6,FALSE)</x:f>
        <x:v>0.9721656076409703</x:v>
      </x:c>
      <x:c r="I2234" s="20" t="n">
        <x:f>VLOOKUP(C2234,'Governorate Master'!$A$2:$Q$13,15,FALSE)</x:f>
        <x:v>0.06367041198501873</x:v>
      </x:c>
      <x:c r="J2234" s="12" t="str">
        <x:v>Location model input - competition/saturation context</x:v>
      </x:c>
      <x:c r="K2234" s="12" t="str">
        <x:v>Business count is from 2018 while population/context indicators are newer; use as a historical proxy, not a current market count.</x:v>
      </x:c>
    </x:row>
    <x:row r="2235">
      <x:c r="A2235" s="12" t="str">
        <x:v>5310</x:v>
      </x:c>
      <x:c r="B2235" s="12" t="str">
        <x:v>Postal activities</x:v>
      </x:c>
      <x:c r="C2235" s="12" t="str">
        <x:v>البلقاء</x:v>
      </x:c>
      <x:c r="D2235" s="14" t="n">
        <x:v>0</x:v>
      </x:c>
      <x:c r="E2235" s="14" t="n">
        <x:f>VLOOKUP(C2235,'Governorate Master'!$A$2:$Q$13,3,FALSE)</x:f>
        <x:v>614000</x:v>
      </x:c>
      <x:c r="F2235" s="66" t="n">
        <x:f>IF(E2235=0,0,D2235/E2235*10000)</x:f>
        <x:v>0</x:v>
      </x:c>
      <x:c r="G2235" s="67" t="n">
        <x:f>VLOOKUP(C2235,'Governorate Master'!$A$2:$Q$13,7,FALSE)</x:f>
        <x:v>548</x:v>
      </x:c>
      <x:c r="H2235" s="20" t="n">
        <x:f>VLOOKUP(C2235,'Governorate Master'!$A$2:$Q$13,6,FALSE)</x:f>
        <x:v>0.8210097719869707</x:v>
      </x:c>
      <x:c r="I2235" s="20" t="n">
        <x:f>VLOOKUP(C2235,'Governorate Master'!$A$2:$Q$13,15,FALSE)</x:f>
        <x:v>0.10794044665012408</x:v>
      </x:c>
      <x:c r="J2235" s="12" t="str">
        <x:v>Location model input - competition/saturation context</x:v>
      </x:c>
      <x:c r="K2235" s="12" t="str">
        <x:v>Business count is from 2018 while population/context indicators are newer; use as a historical proxy, not a current market count.</x:v>
      </x:c>
    </x:row>
    <x:row r="2236">
      <x:c r="A2236" s="12" t="str">
        <x:v>5310</x:v>
      </x:c>
      <x:c r="B2236" s="12" t="str">
        <x:v>Postal activities</x:v>
      </x:c>
      <x:c r="C2236" s="12" t="str">
        <x:v>الزرقاء</x:v>
      </x:c>
      <x:c r="D2236" s="14" t="n">
        <x:v>0</x:v>
      </x:c>
      <x:c r="E2236" s="14" t="n">
        <x:f>VLOOKUP(C2236,'Governorate Master'!$A$2:$Q$13,3,FALSE)</x:f>
        <x:v>1704500</x:v>
      </x:c>
      <x:c r="F2236" s="66" t="n">
        <x:f>IF(E2236=0,0,D2236/E2236*10000)</x:f>
        <x:v>0</x:v>
      </x:c>
      <x:c r="G2236" s="67" t="n">
        <x:f>VLOOKUP(C2236,'Governorate Master'!$A$2:$Q$13,7,FALSE)</x:f>
        <x:v>358</x:v>
      </x:c>
      <x:c r="H2236" s="20" t="n">
        <x:f>VLOOKUP(C2236,'Governorate Master'!$A$2:$Q$13,6,FALSE)</x:f>
        <x:v>0.9636256966852449</x:v>
      </x:c>
      <x:c r="I2236" s="20" t="n">
        <x:f>VLOOKUP(C2236,'Governorate Master'!$A$2:$Q$13,15,FALSE)</x:f>
        <x:v>-0.06808762581409118</x:v>
      </x:c>
      <x:c r="J2236" s="12" t="str">
        <x:v>Location model input - competition/saturation context</x:v>
      </x:c>
      <x:c r="K2236" s="12" t="str">
        <x:v>Business count is from 2018 while population/context indicators are newer; use as a historical proxy, not a current market count.</x:v>
      </x:c>
    </x:row>
    <x:row r="2237">
      <x:c r="A2237" s="12" t="str">
        <x:v>5310</x:v>
      </x:c>
      <x:c r="B2237" s="12" t="str">
        <x:v>Postal activities</x:v>
      </x:c>
      <x:c r="C2237" s="12" t="str">
        <x:v>مادبا</x:v>
      </x:c>
      <x:c r="D2237" s="14" t="n">
        <x:v>0</x:v>
      </x:c>
      <x:c r="E2237" s="14" t="n">
        <x:f>VLOOKUP(C2237,'Governorate Master'!$A$2:$Q$13,3,FALSE)</x:f>
        <x:v>236200</x:v>
      </x:c>
      <x:c r="F2237" s="66" t="n">
        <x:f>IF(E2237=0,0,D2237/E2237*10000)</x:f>
        <x:v>0</x:v>
      </x:c>
      <x:c r="G2237" s="67" t="n">
        <x:f>VLOOKUP(C2237,'Governorate Master'!$A$2:$Q$13,7,FALSE)</x:f>
        <x:v>251.4</x:v>
      </x:c>
      <x:c r="H2237" s="20" t="n">
        <x:f>VLOOKUP(C2237,'Governorate Master'!$A$2:$Q$13,6,FALSE)</x:f>
        <x:v>0.7823878069432684</x:v>
      </x:c>
      <x:c r="I2237" s="20" t="n">
        <x:f>VLOOKUP(C2237,'Governorate Master'!$A$2:$Q$13,15,FALSE)</x:f>
        <x:v>-0.18823529411764706</x:v>
      </x:c>
      <x:c r="J2237" s="12" t="str">
        <x:v>Location model input - competition/saturation context</x:v>
      </x:c>
      <x:c r="K2237" s="12" t="str">
        <x:v>Business count is from 2018 while population/context indicators are newer; use as a historical proxy, not a current market count.</x:v>
      </x:c>
    </x:row>
    <x:row r="2238">
      <x:c r="A2238" s="12" t="str">
        <x:v>5310</x:v>
      </x:c>
      <x:c r="B2238" s="12" t="str">
        <x:v>Postal activities</x:v>
      </x:c>
      <x:c r="C2238" s="12" t="str">
        <x:v>إربد</x:v>
      </x:c>
      <x:c r="D2238" s="14" t="n">
        <x:v>0</x:v>
      </x:c>
      <x:c r="E2238" s="14" t="n">
        <x:f>VLOOKUP(C2238,'Governorate Master'!$A$2:$Q$13,3,FALSE)</x:f>
        <x:v>2210500</x:v>
      </x:c>
      <x:c r="F2238" s="66" t="n">
        <x:f>IF(E2238=0,0,D2238/E2238*10000)</x:f>
        <x:v>0</x:v>
      </x:c>
      <x:c r="G2238" s="67" t="n">
        <x:f>VLOOKUP(C2238,'Governorate Master'!$A$2:$Q$13,7,FALSE)</x:f>
        <x:v>1406.4</x:v>
      </x:c>
      <x:c r="H2238" s="20" t="n">
        <x:f>VLOOKUP(C2238,'Governorate Master'!$A$2:$Q$13,6,FALSE)</x:f>
        <x:v>0.9235014702555983</x:v>
      </x:c>
      <x:c r="I2238" s="20" t="n">
        <x:f>VLOOKUP(C2238,'Governorate Master'!$A$2:$Q$13,15,FALSE)</x:f>
        <x:v>0.07086922474549726</x:v>
      </x:c>
      <x:c r="J2238" s="12" t="str">
        <x:v>Location model input - competition/saturation context</x:v>
      </x:c>
      <x:c r="K2238" s="12" t="str">
        <x:v>Business count is from 2018 while population/context indicators are newer; use as a historical proxy, not a current market count.</x:v>
      </x:c>
    </x:row>
    <x:row r="2239">
      <x:c r="A2239" s="12" t="str">
        <x:v>5310</x:v>
      </x:c>
      <x:c r="B2239" s="12" t="str">
        <x:v>Postal activities</x:v>
      </x:c>
      <x:c r="C2239" s="12" t="str">
        <x:v>المفرق</x:v>
      </x:c>
      <x:c r="D2239" s="14" t="n">
        <x:v>0</x:v>
      </x:c>
      <x:c r="E2239" s="14" t="n">
        <x:f>VLOOKUP(C2239,'Governorate Master'!$A$2:$Q$13,3,FALSE)</x:f>
        <x:v>686800</x:v>
      </x:c>
      <x:c r="F2239" s="66" t="n">
        <x:f>IF(E2239=0,0,D2239/E2239*10000)</x:f>
        <x:v>0</x:v>
      </x:c>
      <x:c r="G2239" s="67" t="n">
        <x:f>VLOOKUP(C2239,'Governorate Master'!$A$2:$Q$13,7,FALSE)</x:f>
        <x:v>25.9</x:v>
      </x:c>
      <x:c r="H2239" s="20" t="n">
        <x:f>VLOOKUP(C2239,'Governorate Master'!$A$2:$Q$13,6,FALSE)</x:f>
        <x:v>0.6965637740244612</x:v>
      </x:c>
      <x:c r="I2239" s="20" t="n">
        <x:f>VLOOKUP(C2239,'Governorate Master'!$A$2:$Q$13,15,FALSE)</x:f>
        <x:v>-0.016638935108153077</x:v>
      </x:c>
      <x:c r="J2239" s="12" t="str">
        <x:v>Location model input - competition/saturation context</x:v>
      </x:c>
      <x:c r="K2239" s="12" t="str">
        <x:v>Business count is from 2018 while population/context indicators are newer; use as a historical proxy, not a current market count.</x:v>
      </x:c>
    </x:row>
    <x:row r="2240">
      <x:c r="A2240" s="12" t="str">
        <x:v>5310</x:v>
      </x:c>
      <x:c r="B2240" s="12" t="str">
        <x:v>Postal activities</x:v>
      </x:c>
      <x:c r="C2240" s="12" t="str">
        <x:v>جرش</x:v>
      </x:c>
      <x:c r="D2240" s="14" t="n">
        <x:v>0</x:v>
      </x:c>
      <x:c r="E2240" s="14" t="n">
        <x:f>VLOOKUP(C2240,'Governorate Master'!$A$2:$Q$13,3,FALSE)</x:f>
        <x:v>296000</x:v>
      </x:c>
      <x:c r="F2240" s="66" t="n">
        <x:f>IF(E2240=0,0,D2240/E2240*10000)</x:f>
        <x:v>0</x:v>
      </x:c>
      <x:c r="G2240" s="67" t="n">
        <x:f>VLOOKUP(C2240,'Governorate Master'!$A$2:$Q$13,7,FALSE)</x:f>
        <x:v>722.3</x:v>
      </x:c>
      <x:c r="H2240" s="20" t="n">
        <x:f>VLOOKUP(C2240,'Governorate Master'!$A$2:$Q$13,6,FALSE)</x:f>
        <x:v>0.7695945945945946</x:v>
      </x:c>
      <x:c r="I2240" s="20" t="n">
        <x:f>VLOOKUP(C2240,'Governorate Master'!$A$2:$Q$13,15,FALSE)</x:f>
        <x:v>-0.06527415143603134</x:v>
      </x:c>
      <x:c r="J2240" s="12" t="str">
        <x:v>Location model input - competition/saturation context</x:v>
      </x:c>
      <x:c r="K2240" s="12" t="str">
        <x:v>Business count is from 2018 while population/context indicators are newer; use as a historical proxy, not a current market count.</x:v>
      </x:c>
    </x:row>
    <x:row r="2241">
      <x:c r="A2241" s="12" t="str">
        <x:v>5310</x:v>
      </x:c>
      <x:c r="B2241" s="12" t="str">
        <x:v>Postal activities</x:v>
      </x:c>
      <x:c r="C2241" s="12" t="str">
        <x:v>عجلون</x:v>
      </x:c>
      <x:c r="D2241" s="14" t="n">
        <x:v>0</x:v>
      </x:c>
      <x:c r="E2241" s="14" t="n">
        <x:f>VLOOKUP(C2241,'Governorate Master'!$A$2:$Q$13,3,FALSE)</x:f>
        <x:v>219900</x:v>
      </x:c>
      <x:c r="F2241" s="66" t="n">
        <x:f>IF(E2241=0,0,D2241/E2241*10000)</x:f>
        <x:v>0</x:v>
      </x:c>
      <x:c r="G2241" s="67" t="n">
        <x:f>VLOOKUP(C2241,'Governorate Master'!$A$2:$Q$13,7,FALSE)</x:f>
        <x:v>524</x:v>
      </x:c>
      <x:c r="H2241" s="20" t="n">
        <x:f>VLOOKUP(C2241,'Governorate Master'!$A$2:$Q$13,6,FALSE)</x:f>
        <x:v>0.8390177353342428</x:v>
      </x:c>
      <x:c r="I2241" s="20" t="n">
        <x:f>VLOOKUP(C2241,'Governorate Master'!$A$2:$Q$13,15,FALSE)</x:f>
        <x:v>0.03614457831325301</x:v>
      </x:c>
      <x:c r="J2241" s="12" t="str">
        <x:v>Location model input - competition/saturation context</x:v>
      </x:c>
      <x:c r="K2241" s="12" t="str">
        <x:v>Business count is from 2018 while population/context indicators are newer; use as a historical proxy, not a current market count.</x:v>
      </x:c>
    </x:row>
    <x:row r="2242">
      <x:c r="A2242" s="12" t="str">
        <x:v>5310</x:v>
      </x:c>
      <x:c r="B2242" s="12" t="str">
        <x:v>Postal activities</x:v>
      </x:c>
      <x:c r="C2242" s="12" t="str">
        <x:v>الكرك</x:v>
      </x:c>
      <x:c r="D2242" s="14" t="n">
        <x:v>0</x:v>
      </x:c>
      <x:c r="E2242" s="14" t="n">
        <x:f>VLOOKUP(C2242,'Governorate Master'!$A$2:$Q$13,3,FALSE)</x:f>
        <x:v>395400</x:v>
      </x:c>
      <x:c r="F2242" s="66" t="n">
        <x:f>IF(E2242=0,0,D2242/E2242*10000)</x:f>
        <x:v>0</x:v>
      </x:c>
      <x:c r="G2242" s="67" t="n">
        <x:f>VLOOKUP(C2242,'Governorate Master'!$A$2:$Q$13,7,FALSE)</x:f>
        <x:v>113.1</x:v>
      </x:c>
      <x:c r="H2242" s="20" t="n">
        <x:f>VLOOKUP(C2242,'Governorate Master'!$A$2:$Q$13,6,FALSE)</x:f>
        <x:v>0.5912999494183105</x:v>
      </x:c>
      <x:c r="I2242" s="20" t="n">
        <x:f>VLOOKUP(C2242,'Governorate Master'!$A$2:$Q$13,15,FALSE)</x:f>
        <x:v>0.08710801393728224</x:v>
      </x:c>
      <x:c r="J2242" s="12" t="str">
        <x:v>Location model input - competition/saturation context</x:v>
      </x:c>
      <x:c r="K2242" s="12" t="str">
        <x:v>Business count is from 2018 while population/context indicators are newer; use as a historical proxy, not a current market count.</x:v>
      </x:c>
    </x:row>
    <x:row r="2243">
      <x:c r="A2243" s="12" t="str">
        <x:v>5310</x:v>
      </x:c>
      <x:c r="B2243" s="12" t="str">
        <x:v>Postal activities</x:v>
      </x:c>
      <x:c r="C2243" s="12" t="str">
        <x:v>الطفيلة</x:v>
      </x:c>
      <x:c r="D2243" s="14" t="n">
        <x:v>0</x:v>
      </x:c>
      <x:c r="E2243" s="14" t="n">
        <x:f>VLOOKUP(C2243,'Governorate Master'!$A$2:$Q$13,3,FALSE)</x:f>
        <x:v>120300</x:v>
      </x:c>
      <x:c r="F2243" s="66" t="n">
        <x:f>IF(E2243=0,0,D2243/E2243*10000)</x:f>
        <x:v>0</x:v>
      </x:c>
      <x:c r="G2243" s="67" t="n">
        <x:f>VLOOKUP(C2243,'Governorate Master'!$A$2:$Q$13,7,FALSE)</x:f>
        <x:v>54.4</x:v>
      </x:c>
      <x:c r="H2243" s="20" t="n">
        <x:f>VLOOKUP(C2243,'Governorate Master'!$A$2:$Q$13,6,FALSE)</x:f>
        <x:v>0.7797173732335827</x:v>
      </x:c>
      <x:c r="I2243" s="20" t="n">
        <x:f>VLOOKUP(C2243,'Governorate Master'!$A$2:$Q$13,15,FALSE)</x:f>
        <x:v>0.18452380952380953</x:v>
      </x:c>
      <x:c r="J2243" s="12" t="str">
        <x:v>Location model input - competition/saturation context</x:v>
      </x:c>
      <x:c r="K2243" s="12" t="str">
        <x:v>Business count is from 2018 while population/context indicators are newer; use as a historical proxy, not a current market count.</x:v>
      </x:c>
    </x:row>
    <x:row r="2244">
      <x:c r="A2244" s="12" t="str">
        <x:v>5310</x:v>
      </x:c>
      <x:c r="B2244" s="12" t="str">
        <x:v>Postal activities</x:v>
      </x:c>
      <x:c r="C2244" s="12" t="str">
        <x:v>معان</x:v>
      </x:c>
      <x:c r="D2244" s="14" t="n">
        <x:v>0</x:v>
      </x:c>
      <x:c r="E2244" s="14" t="n">
        <x:f>VLOOKUP(C2244,'Governorate Master'!$A$2:$Q$13,3,FALSE)</x:f>
        <x:v>197900</x:v>
      </x:c>
      <x:c r="F2244" s="66" t="n">
        <x:f>IF(E2244=0,0,D2244/E2244*10000)</x:f>
        <x:v>0</x:v>
      </x:c>
      <x:c r="G2244" s="67" t="n">
        <x:f>VLOOKUP(C2244,'Governorate Master'!$A$2:$Q$13,7,FALSE)</x:f>
        <x:v>6</x:v>
      </x:c>
      <x:c r="H2244" s="20" t="n">
        <x:f>VLOOKUP(C2244,'Governorate Master'!$A$2:$Q$13,6,FALSE)</x:f>
        <x:v>0.5406771096513391</x:v>
      </x:c>
      <x:c r="I2244" s="20" t="n">
        <x:f>VLOOKUP(C2244,'Governorate Master'!$A$2:$Q$13,15,FALSE)</x:f>
        <x:v>0.026845637583892617</x:v>
      </x:c>
      <x:c r="J2244" s="12" t="str">
        <x:v>Location model input - competition/saturation context</x:v>
      </x:c>
      <x:c r="K2244" s="12" t="str">
        <x:v>Business count is from 2018 while population/context indicators are newer; use as a historical proxy, not a current market count.</x:v>
      </x:c>
    </x:row>
    <x:row r="2245">
      <x:c r="A2245" s="12" t="str">
        <x:v>5310</x:v>
      </x:c>
      <x:c r="B2245" s="12" t="str">
        <x:v>Postal activities</x:v>
      </x:c>
      <x:c r="C2245" s="12" t="str">
        <x:v>العقبة</x:v>
      </x:c>
      <x:c r="D2245" s="14" t="n">
        <x:v>0</x:v>
      </x:c>
      <x:c r="E2245" s="14" t="n">
        <x:f>VLOOKUP(C2245,'Governorate Master'!$A$2:$Q$13,3,FALSE)</x:f>
        <x:v>250900</x:v>
      </x:c>
      <x:c r="F2245" s="66" t="n">
        <x:f>IF(E2245=0,0,D2245/E2245*10000)</x:f>
        <x:v>0</x:v>
      </x:c>
      <x:c r="G2245" s="67" t="n">
        <x:f>VLOOKUP(C2245,'Governorate Master'!$A$2:$Q$13,7,FALSE)</x:f>
        <x:v>36.3</x:v>
      </x:c>
      <x:c r="H2245" s="20" t="n">
        <x:f>VLOOKUP(C2245,'Governorate Master'!$A$2:$Q$13,6,FALSE)</x:f>
        <x:v>0.882024711040255</x:v>
      </x:c>
      <x:c r="I2245" s="20" t="n">
        <x:f>VLOOKUP(C2245,'Governorate Master'!$A$2:$Q$13,15,FALSE)</x:f>
        <x:v>-0.09</x:v>
      </x:c>
      <x:c r="J2245" s="12" t="str">
        <x:v>Location model input - competition/saturation context</x:v>
      </x:c>
      <x:c r="K2245" s="12" t="str">
        <x:v>Business count is from 2018 while population/context indicators are newer; use as a historical proxy, not a current market count.</x:v>
      </x:c>
    </x:row>
    <x:row r="2246">
      <x:c r="A2246" s="12" t="str">
        <x:v>5320</x:v>
      </x:c>
      <x:c r="B2246" s="12" t="str">
        <x:v>Courier activities</x:v>
      </x:c>
      <x:c r="C2246" s="12" t="str">
        <x:v>عمان</x:v>
      </x:c>
      <x:c r="D2246" s="14" t="n">
        <x:v>23</x:v>
      </x:c>
      <x:c r="E2246" s="14" t="n">
        <x:f>VLOOKUP(C2246,'Governorate Master'!$A$2:$Q$13,3,FALSE)</x:f>
        <x:v>5004600</x:v>
      </x:c>
      <x:c r="F2246" s="66" t="n">
        <x:f>IF(E2246=0,0,D2246/E2246*10000)</x:f>
        <x:v>0.045957718898613276</x:v>
      </x:c>
      <x:c r="G2246" s="67" t="n">
        <x:f>VLOOKUP(C2246,'Governorate Master'!$A$2:$Q$13,7,FALSE)</x:f>
        <x:v>660.3</x:v>
      </x:c>
      <x:c r="H2246" s="20" t="n">
        <x:f>VLOOKUP(C2246,'Governorate Master'!$A$2:$Q$13,6,FALSE)</x:f>
        <x:v>0.9721656076409703</x:v>
      </x:c>
      <x:c r="I2246" s="20" t="n">
        <x:f>VLOOKUP(C2246,'Governorate Master'!$A$2:$Q$13,15,FALSE)</x:f>
        <x:v>0.06367041198501873</x:v>
      </x:c>
      <x:c r="J2246" s="12" t="str">
        <x:v>Location model input - competition/saturation context</x:v>
      </x:c>
      <x:c r="K2246" s="12" t="str">
        <x:v>Business count is from 2018 while population/context indicators are newer; use as a historical proxy, not a current market count.</x:v>
      </x:c>
    </x:row>
    <x:row r="2247">
      <x:c r="A2247" s="12" t="str">
        <x:v>5320</x:v>
      </x:c>
      <x:c r="B2247" s="12" t="str">
        <x:v>Courier activities</x:v>
      </x:c>
      <x:c r="C2247" s="12" t="str">
        <x:v>البلقاء</x:v>
      </x:c>
      <x:c r="D2247" s="14" t="n">
        <x:v>0</x:v>
      </x:c>
      <x:c r="E2247" s="14" t="n">
        <x:f>VLOOKUP(C2247,'Governorate Master'!$A$2:$Q$13,3,FALSE)</x:f>
        <x:v>614000</x:v>
      </x:c>
      <x:c r="F2247" s="66" t="n">
        <x:f>IF(E2247=0,0,D2247/E2247*10000)</x:f>
        <x:v>0</x:v>
      </x:c>
      <x:c r="G2247" s="67" t="n">
        <x:f>VLOOKUP(C2247,'Governorate Master'!$A$2:$Q$13,7,FALSE)</x:f>
        <x:v>548</x:v>
      </x:c>
      <x:c r="H2247" s="20" t="n">
        <x:f>VLOOKUP(C2247,'Governorate Master'!$A$2:$Q$13,6,FALSE)</x:f>
        <x:v>0.8210097719869707</x:v>
      </x:c>
      <x:c r="I2247" s="20" t="n">
        <x:f>VLOOKUP(C2247,'Governorate Master'!$A$2:$Q$13,15,FALSE)</x:f>
        <x:v>0.10794044665012408</x:v>
      </x:c>
      <x:c r="J2247" s="12" t="str">
        <x:v>Location model input - competition/saturation context</x:v>
      </x:c>
      <x:c r="K2247" s="12" t="str">
        <x:v>Business count is from 2018 while population/context indicators are newer; use as a historical proxy, not a current market count.</x:v>
      </x:c>
    </x:row>
    <x:row r="2248">
      <x:c r="A2248" s="12" t="str">
        <x:v>5320</x:v>
      </x:c>
      <x:c r="B2248" s="12" t="str">
        <x:v>Courier activities</x:v>
      </x:c>
      <x:c r="C2248" s="12" t="str">
        <x:v>الزرقاء</x:v>
      </x:c>
      <x:c r="D2248" s="14" t="n">
        <x:v>0</x:v>
      </x:c>
      <x:c r="E2248" s="14" t="n">
        <x:f>VLOOKUP(C2248,'Governorate Master'!$A$2:$Q$13,3,FALSE)</x:f>
        <x:v>1704500</x:v>
      </x:c>
      <x:c r="F2248" s="66" t="n">
        <x:f>IF(E2248=0,0,D2248/E2248*10000)</x:f>
        <x:v>0</x:v>
      </x:c>
      <x:c r="G2248" s="67" t="n">
        <x:f>VLOOKUP(C2248,'Governorate Master'!$A$2:$Q$13,7,FALSE)</x:f>
        <x:v>358</x:v>
      </x:c>
      <x:c r="H2248" s="20" t="n">
        <x:f>VLOOKUP(C2248,'Governorate Master'!$A$2:$Q$13,6,FALSE)</x:f>
        <x:v>0.9636256966852449</x:v>
      </x:c>
      <x:c r="I2248" s="20" t="n">
        <x:f>VLOOKUP(C2248,'Governorate Master'!$A$2:$Q$13,15,FALSE)</x:f>
        <x:v>-0.06808762581409118</x:v>
      </x:c>
      <x:c r="J2248" s="12" t="str">
        <x:v>Location model input - competition/saturation context</x:v>
      </x:c>
      <x:c r="K2248" s="12" t="str">
        <x:v>Business count is from 2018 while population/context indicators are newer; use as a historical proxy, not a current market count.</x:v>
      </x:c>
    </x:row>
    <x:row r="2249">
      <x:c r="A2249" s="12" t="str">
        <x:v>5320</x:v>
      </x:c>
      <x:c r="B2249" s="12" t="str">
        <x:v>Courier activities</x:v>
      </x:c>
      <x:c r="C2249" s="12" t="str">
        <x:v>مادبا</x:v>
      </x:c>
      <x:c r="D2249" s="14" t="n">
        <x:v>0</x:v>
      </x:c>
      <x:c r="E2249" s="14" t="n">
        <x:f>VLOOKUP(C2249,'Governorate Master'!$A$2:$Q$13,3,FALSE)</x:f>
        <x:v>236200</x:v>
      </x:c>
      <x:c r="F2249" s="66" t="n">
        <x:f>IF(E2249=0,0,D2249/E2249*10000)</x:f>
        <x:v>0</x:v>
      </x:c>
      <x:c r="G2249" s="67" t="n">
        <x:f>VLOOKUP(C2249,'Governorate Master'!$A$2:$Q$13,7,FALSE)</x:f>
        <x:v>251.4</x:v>
      </x:c>
      <x:c r="H2249" s="20" t="n">
        <x:f>VLOOKUP(C2249,'Governorate Master'!$A$2:$Q$13,6,FALSE)</x:f>
        <x:v>0.7823878069432684</x:v>
      </x:c>
      <x:c r="I2249" s="20" t="n">
        <x:f>VLOOKUP(C2249,'Governorate Master'!$A$2:$Q$13,15,FALSE)</x:f>
        <x:v>-0.18823529411764706</x:v>
      </x:c>
      <x:c r="J2249" s="12" t="str">
        <x:v>Location model input - competition/saturation context</x:v>
      </x:c>
      <x:c r="K2249" s="12" t="str">
        <x:v>Business count is from 2018 while population/context indicators are newer; use as a historical proxy, not a current market count.</x:v>
      </x:c>
    </x:row>
    <x:row r="2250">
      <x:c r="A2250" s="12" t="str">
        <x:v>5320</x:v>
      </x:c>
      <x:c r="B2250" s="12" t="str">
        <x:v>Courier activities</x:v>
      </x:c>
      <x:c r="C2250" s="12" t="str">
        <x:v>إربد</x:v>
      </x:c>
      <x:c r="D2250" s="14" t="n">
        <x:v>2</x:v>
      </x:c>
      <x:c r="E2250" s="14" t="n">
        <x:f>VLOOKUP(C2250,'Governorate Master'!$A$2:$Q$13,3,FALSE)</x:f>
        <x:v>2210500</x:v>
      </x:c>
      <x:c r="F2250" s="66" t="n">
        <x:f>IF(E2250=0,0,D2250/E2250*10000)</x:f>
        <x:v>0.009047726758651889</x:v>
      </x:c>
      <x:c r="G2250" s="67" t="n">
        <x:f>VLOOKUP(C2250,'Governorate Master'!$A$2:$Q$13,7,FALSE)</x:f>
        <x:v>1406.4</x:v>
      </x:c>
      <x:c r="H2250" s="20" t="n">
        <x:f>VLOOKUP(C2250,'Governorate Master'!$A$2:$Q$13,6,FALSE)</x:f>
        <x:v>0.9235014702555983</x:v>
      </x:c>
      <x:c r="I2250" s="20" t="n">
        <x:f>VLOOKUP(C2250,'Governorate Master'!$A$2:$Q$13,15,FALSE)</x:f>
        <x:v>0.07086922474549726</x:v>
      </x:c>
      <x:c r="J2250" s="12" t="str">
        <x:v>Location model input - competition/saturation context</x:v>
      </x:c>
      <x:c r="K2250" s="12" t="str">
        <x:v>Business count is from 2018 while population/context indicators are newer; use as a historical proxy, not a current market count.</x:v>
      </x:c>
    </x:row>
    <x:row r="2251">
      <x:c r="A2251" s="12" t="str">
        <x:v>5320</x:v>
      </x:c>
      <x:c r="B2251" s="12" t="str">
        <x:v>Courier activities</x:v>
      </x:c>
      <x:c r="C2251" s="12" t="str">
        <x:v>المفرق</x:v>
      </x:c>
      <x:c r="D2251" s="14" t="n">
        <x:v>0</x:v>
      </x:c>
      <x:c r="E2251" s="14" t="n">
        <x:f>VLOOKUP(C2251,'Governorate Master'!$A$2:$Q$13,3,FALSE)</x:f>
        <x:v>686800</x:v>
      </x:c>
      <x:c r="F2251" s="66" t="n">
        <x:f>IF(E2251=0,0,D2251/E2251*10000)</x:f>
        <x:v>0</x:v>
      </x:c>
      <x:c r="G2251" s="67" t="n">
        <x:f>VLOOKUP(C2251,'Governorate Master'!$A$2:$Q$13,7,FALSE)</x:f>
        <x:v>25.9</x:v>
      </x:c>
      <x:c r="H2251" s="20" t="n">
        <x:f>VLOOKUP(C2251,'Governorate Master'!$A$2:$Q$13,6,FALSE)</x:f>
        <x:v>0.6965637740244612</x:v>
      </x:c>
      <x:c r="I2251" s="20" t="n">
        <x:f>VLOOKUP(C2251,'Governorate Master'!$A$2:$Q$13,15,FALSE)</x:f>
        <x:v>-0.016638935108153077</x:v>
      </x:c>
      <x:c r="J2251" s="12" t="str">
        <x:v>Location model input - competition/saturation context</x:v>
      </x:c>
      <x:c r="K2251" s="12" t="str">
        <x:v>Business count is from 2018 while population/context indicators are newer; use as a historical proxy, not a current market count.</x:v>
      </x:c>
    </x:row>
    <x:row r="2252">
      <x:c r="A2252" s="12" t="str">
        <x:v>5320</x:v>
      </x:c>
      <x:c r="B2252" s="12" t="str">
        <x:v>Courier activities</x:v>
      </x:c>
      <x:c r="C2252" s="12" t="str">
        <x:v>جرش</x:v>
      </x:c>
      <x:c r="D2252" s="14" t="n">
        <x:v>0</x:v>
      </x:c>
      <x:c r="E2252" s="14" t="n">
        <x:f>VLOOKUP(C2252,'Governorate Master'!$A$2:$Q$13,3,FALSE)</x:f>
        <x:v>296000</x:v>
      </x:c>
      <x:c r="F2252" s="66" t="n">
        <x:f>IF(E2252=0,0,D2252/E2252*10000)</x:f>
        <x:v>0</x:v>
      </x:c>
      <x:c r="G2252" s="67" t="n">
        <x:f>VLOOKUP(C2252,'Governorate Master'!$A$2:$Q$13,7,FALSE)</x:f>
        <x:v>722.3</x:v>
      </x:c>
      <x:c r="H2252" s="20" t="n">
        <x:f>VLOOKUP(C2252,'Governorate Master'!$A$2:$Q$13,6,FALSE)</x:f>
        <x:v>0.7695945945945946</x:v>
      </x:c>
      <x:c r="I2252" s="20" t="n">
        <x:f>VLOOKUP(C2252,'Governorate Master'!$A$2:$Q$13,15,FALSE)</x:f>
        <x:v>-0.06527415143603134</x:v>
      </x:c>
      <x:c r="J2252" s="12" t="str">
        <x:v>Location model input - competition/saturation context</x:v>
      </x:c>
      <x:c r="K2252" s="12" t="str">
        <x:v>Business count is from 2018 while population/context indicators are newer; use as a historical proxy, not a current market count.</x:v>
      </x:c>
    </x:row>
    <x:row r="2253">
      <x:c r="A2253" s="12" t="str">
        <x:v>5320</x:v>
      </x:c>
      <x:c r="B2253" s="12" t="str">
        <x:v>Courier activities</x:v>
      </x:c>
      <x:c r="C2253" s="12" t="str">
        <x:v>عجلون</x:v>
      </x:c>
      <x:c r="D2253" s="14" t="n">
        <x:v>0</x:v>
      </x:c>
      <x:c r="E2253" s="14" t="n">
        <x:f>VLOOKUP(C2253,'Governorate Master'!$A$2:$Q$13,3,FALSE)</x:f>
        <x:v>219900</x:v>
      </x:c>
      <x:c r="F2253" s="66" t="n">
        <x:f>IF(E2253=0,0,D2253/E2253*10000)</x:f>
        <x:v>0</x:v>
      </x:c>
      <x:c r="G2253" s="67" t="n">
        <x:f>VLOOKUP(C2253,'Governorate Master'!$A$2:$Q$13,7,FALSE)</x:f>
        <x:v>524</x:v>
      </x:c>
      <x:c r="H2253" s="20" t="n">
        <x:f>VLOOKUP(C2253,'Governorate Master'!$A$2:$Q$13,6,FALSE)</x:f>
        <x:v>0.8390177353342428</x:v>
      </x:c>
      <x:c r="I2253" s="20" t="n">
        <x:f>VLOOKUP(C2253,'Governorate Master'!$A$2:$Q$13,15,FALSE)</x:f>
        <x:v>0.03614457831325301</x:v>
      </x:c>
      <x:c r="J2253" s="12" t="str">
        <x:v>Location model input - competition/saturation context</x:v>
      </x:c>
      <x:c r="K2253" s="12" t="str">
        <x:v>Business count is from 2018 while population/context indicators are newer; use as a historical proxy, not a current market count.</x:v>
      </x:c>
    </x:row>
    <x:row r="2254">
      <x:c r="A2254" s="12" t="str">
        <x:v>5320</x:v>
      </x:c>
      <x:c r="B2254" s="12" t="str">
        <x:v>Courier activities</x:v>
      </x:c>
      <x:c r="C2254" s="12" t="str">
        <x:v>الكرك</x:v>
      </x:c>
      <x:c r="D2254" s="14" t="n">
        <x:v>0</x:v>
      </x:c>
      <x:c r="E2254" s="14" t="n">
        <x:f>VLOOKUP(C2254,'Governorate Master'!$A$2:$Q$13,3,FALSE)</x:f>
        <x:v>395400</x:v>
      </x:c>
      <x:c r="F2254" s="66" t="n">
        <x:f>IF(E2254=0,0,D2254/E2254*10000)</x:f>
        <x:v>0</x:v>
      </x:c>
      <x:c r="G2254" s="67" t="n">
        <x:f>VLOOKUP(C2254,'Governorate Master'!$A$2:$Q$13,7,FALSE)</x:f>
        <x:v>113.1</x:v>
      </x:c>
      <x:c r="H2254" s="20" t="n">
        <x:f>VLOOKUP(C2254,'Governorate Master'!$A$2:$Q$13,6,FALSE)</x:f>
        <x:v>0.5912999494183105</x:v>
      </x:c>
      <x:c r="I2254" s="20" t="n">
        <x:f>VLOOKUP(C2254,'Governorate Master'!$A$2:$Q$13,15,FALSE)</x:f>
        <x:v>0.08710801393728224</x:v>
      </x:c>
      <x:c r="J2254" s="12" t="str">
        <x:v>Location model input - competition/saturation context</x:v>
      </x:c>
      <x:c r="K2254" s="12" t="str">
        <x:v>Business count is from 2018 while population/context indicators are newer; use as a historical proxy, not a current market count.</x:v>
      </x:c>
    </x:row>
    <x:row r="2255">
      <x:c r="A2255" s="12" t="str">
        <x:v>5320</x:v>
      </x:c>
      <x:c r="B2255" s="12" t="str">
        <x:v>Courier activities</x:v>
      </x:c>
      <x:c r="C2255" s="12" t="str">
        <x:v>الطفيلة</x:v>
      </x:c>
      <x:c r="D2255" s="14" t="n">
        <x:v>0</x:v>
      </x:c>
      <x:c r="E2255" s="14" t="n">
        <x:f>VLOOKUP(C2255,'Governorate Master'!$A$2:$Q$13,3,FALSE)</x:f>
        <x:v>120300</x:v>
      </x:c>
      <x:c r="F2255" s="66" t="n">
        <x:f>IF(E2255=0,0,D2255/E2255*10000)</x:f>
        <x:v>0</x:v>
      </x:c>
      <x:c r="G2255" s="67" t="n">
        <x:f>VLOOKUP(C2255,'Governorate Master'!$A$2:$Q$13,7,FALSE)</x:f>
        <x:v>54.4</x:v>
      </x:c>
      <x:c r="H2255" s="20" t="n">
        <x:f>VLOOKUP(C2255,'Governorate Master'!$A$2:$Q$13,6,FALSE)</x:f>
        <x:v>0.7797173732335827</x:v>
      </x:c>
      <x:c r="I2255" s="20" t="n">
        <x:f>VLOOKUP(C2255,'Governorate Master'!$A$2:$Q$13,15,FALSE)</x:f>
        <x:v>0.18452380952380953</x:v>
      </x:c>
      <x:c r="J2255" s="12" t="str">
        <x:v>Location model input - competition/saturation context</x:v>
      </x:c>
      <x:c r="K2255" s="12" t="str">
        <x:v>Business count is from 2018 while population/context indicators are newer; use as a historical proxy, not a current market count.</x:v>
      </x:c>
    </x:row>
    <x:row r="2256">
      <x:c r="A2256" s="12" t="str">
        <x:v>5320</x:v>
      </x:c>
      <x:c r="B2256" s="12" t="str">
        <x:v>Courier activities</x:v>
      </x:c>
      <x:c r="C2256" s="12" t="str">
        <x:v>معان</x:v>
      </x:c>
      <x:c r="D2256" s="14" t="n">
        <x:v>0</x:v>
      </x:c>
      <x:c r="E2256" s="14" t="n">
        <x:f>VLOOKUP(C2256,'Governorate Master'!$A$2:$Q$13,3,FALSE)</x:f>
        <x:v>197900</x:v>
      </x:c>
      <x:c r="F2256" s="66" t="n">
        <x:f>IF(E2256=0,0,D2256/E2256*10000)</x:f>
        <x:v>0</x:v>
      </x:c>
      <x:c r="G2256" s="67" t="n">
        <x:f>VLOOKUP(C2256,'Governorate Master'!$A$2:$Q$13,7,FALSE)</x:f>
        <x:v>6</x:v>
      </x:c>
      <x:c r="H2256" s="20" t="n">
        <x:f>VLOOKUP(C2256,'Governorate Master'!$A$2:$Q$13,6,FALSE)</x:f>
        <x:v>0.5406771096513391</x:v>
      </x:c>
      <x:c r="I2256" s="20" t="n">
        <x:f>VLOOKUP(C2256,'Governorate Master'!$A$2:$Q$13,15,FALSE)</x:f>
        <x:v>0.026845637583892617</x:v>
      </x:c>
      <x:c r="J2256" s="12" t="str">
        <x:v>Location model input - competition/saturation context</x:v>
      </x:c>
      <x:c r="K2256" s="12" t="str">
        <x:v>Business count is from 2018 while population/context indicators are newer; use as a historical proxy, not a current market count.</x:v>
      </x:c>
    </x:row>
    <x:row r="2257">
      <x:c r="A2257" s="12" t="str">
        <x:v>5320</x:v>
      </x:c>
      <x:c r="B2257" s="12" t="str">
        <x:v>Courier activities</x:v>
      </x:c>
      <x:c r="C2257" s="12" t="str">
        <x:v>العقبة</x:v>
      </x:c>
      <x:c r="D2257" s="14" t="n">
        <x:v>0</x:v>
      </x:c>
      <x:c r="E2257" s="14" t="n">
        <x:f>VLOOKUP(C2257,'Governorate Master'!$A$2:$Q$13,3,FALSE)</x:f>
        <x:v>250900</x:v>
      </x:c>
      <x:c r="F2257" s="66" t="n">
        <x:f>IF(E2257=0,0,D2257/E2257*10000)</x:f>
        <x:v>0</x:v>
      </x:c>
      <x:c r="G2257" s="67" t="n">
        <x:f>VLOOKUP(C2257,'Governorate Master'!$A$2:$Q$13,7,FALSE)</x:f>
        <x:v>36.3</x:v>
      </x:c>
      <x:c r="H2257" s="20" t="n">
        <x:f>VLOOKUP(C2257,'Governorate Master'!$A$2:$Q$13,6,FALSE)</x:f>
        <x:v>0.882024711040255</x:v>
      </x:c>
      <x:c r="I2257" s="20" t="n">
        <x:f>VLOOKUP(C2257,'Governorate Master'!$A$2:$Q$13,15,FALSE)</x:f>
        <x:v>-0.09</x:v>
      </x:c>
      <x:c r="J2257" s="12" t="str">
        <x:v>Location model input - competition/saturation context</x:v>
      </x:c>
      <x:c r="K2257" s="12" t="str">
        <x:v>Business count is from 2018 while population/context indicators are newer; use as a historical proxy, not a current market count.</x:v>
      </x:c>
    </x:row>
    <x:row r="2258">
      <x:c r="A2258" s="12" t="str">
        <x:v>5510</x:v>
      </x:c>
      <x:c r="B2258" s="12" t="str">
        <x:v>Short term accommodation activities</x:v>
      </x:c>
      <x:c r="C2258" s="12" t="str">
        <x:v>عمان</x:v>
      </x:c>
      <x:c r="D2258" s="14" t="n">
        <x:v>322</x:v>
      </x:c>
      <x:c r="E2258" s="14" t="n">
        <x:f>VLOOKUP(C2258,'Governorate Master'!$A$2:$Q$13,3,FALSE)</x:f>
        <x:v>5004600</x:v>
      </x:c>
      <x:c r="F2258" s="66" t="n">
        <x:f>IF(E2258=0,0,D2258/E2258*10000)</x:f>
        <x:v>0.6434080645805859</x:v>
      </x:c>
      <x:c r="G2258" s="67" t="n">
        <x:f>VLOOKUP(C2258,'Governorate Master'!$A$2:$Q$13,7,FALSE)</x:f>
        <x:v>660.3</x:v>
      </x:c>
      <x:c r="H2258" s="20" t="n">
        <x:f>VLOOKUP(C2258,'Governorate Master'!$A$2:$Q$13,6,FALSE)</x:f>
        <x:v>0.9721656076409703</x:v>
      </x:c>
      <x:c r="I2258" s="20" t="n">
        <x:f>VLOOKUP(C2258,'Governorate Master'!$A$2:$Q$13,15,FALSE)</x:f>
        <x:v>0.06367041198501873</x:v>
      </x:c>
      <x:c r="J2258" s="12" t="str">
        <x:v>Location model input - competition/saturation context</x:v>
      </x:c>
      <x:c r="K2258" s="12" t="str">
        <x:v>Business count is from 2018 while population/context indicators are newer; use as a historical proxy, not a current market count.</x:v>
      </x:c>
    </x:row>
    <x:row r="2259">
      <x:c r="A2259" s="12" t="str">
        <x:v>5510</x:v>
      </x:c>
      <x:c r="B2259" s="12" t="str">
        <x:v>Short term accommodation activities</x:v>
      </x:c>
      <x:c r="C2259" s="12" t="str">
        <x:v>البلقاء</x:v>
      </x:c>
      <x:c r="D2259" s="14" t="n">
        <x:v>14</x:v>
      </x:c>
      <x:c r="E2259" s="14" t="n">
        <x:f>VLOOKUP(C2259,'Governorate Master'!$A$2:$Q$13,3,FALSE)</x:f>
        <x:v>614000</x:v>
      </x:c>
      <x:c r="F2259" s="66" t="n">
        <x:f>IF(E2259=0,0,D2259/E2259*10000)</x:f>
        <x:v>0.22801302931596093</x:v>
      </x:c>
      <x:c r="G2259" s="67" t="n">
        <x:f>VLOOKUP(C2259,'Governorate Master'!$A$2:$Q$13,7,FALSE)</x:f>
        <x:v>548</x:v>
      </x:c>
      <x:c r="H2259" s="20" t="n">
        <x:f>VLOOKUP(C2259,'Governorate Master'!$A$2:$Q$13,6,FALSE)</x:f>
        <x:v>0.8210097719869707</x:v>
      </x:c>
      <x:c r="I2259" s="20" t="n">
        <x:f>VLOOKUP(C2259,'Governorate Master'!$A$2:$Q$13,15,FALSE)</x:f>
        <x:v>0.10794044665012408</x:v>
      </x:c>
      <x:c r="J2259" s="12" t="str">
        <x:v>Location model input - competition/saturation context</x:v>
      </x:c>
      <x:c r="K2259" s="12" t="str">
        <x:v>Business count is from 2018 while population/context indicators are newer; use as a historical proxy, not a current market count.</x:v>
      </x:c>
    </x:row>
    <x:row r="2260">
      <x:c r="A2260" s="12" t="str">
        <x:v>5510</x:v>
      </x:c>
      <x:c r="B2260" s="12" t="str">
        <x:v>Short term accommodation activities</x:v>
      </x:c>
      <x:c r="C2260" s="12" t="str">
        <x:v>الزرقاء</x:v>
      </x:c>
      <x:c r="D2260" s="14" t="n">
        <x:v>9</x:v>
      </x:c>
      <x:c r="E2260" s="14" t="n">
        <x:f>VLOOKUP(C2260,'Governorate Master'!$A$2:$Q$13,3,FALSE)</x:f>
        <x:v>1704500</x:v>
      </x:c>
      <x:c r="F2260" s="66" t="n">
        <x:f>IF(E2260=0,0,D2260/E2260*10000)</x:f>
        <x:v>0.05280140803754767</x:v>
      </x:c>
      <x:c r="G2260" s="67" t="n">
        <x:f>VLOOKUP(C2260,'Governorate Master'!$A$2:$Q$13,7,FALSE)</x:f>
        <x:v>358</x:v>
      </x:c>
      <x:c r="H2260" s="20" t="n">
        <x:f>VLOOKUP(C2260,'Governorate Master'!$A$2:$Q$13,6,FALSE)</x:f>
        <x:v>0.9636256966852449</x:v>
      </x:c>
      <x:c r="I2260" s="20" t="n">
        <x:f>VLOOKUP(C2260,'Governorate Master'!$A$2:$Q$13,15,FALSE)</x:f>
        <x:v>-0.06808762581409118</x:v>
      </x:c>
      <x:c r="J2260" s="12" t="str">
        <x:v>Location model input - competition/saturation context</x:v>
      </x:c>
      <x:c r="K2260" s="12" t="str">
        <x:v>Business count is from 2018 while population/context indicators are newer; use as a historical proxy, not a current market count.</x:v>
      </x:c>
    </x:row>
    <x:row r="2261">
      <x:c r="A2261" s="12" t="str">
        <x:v>5510</x:v>
      </x:c>
      <x:c r="B2261" s="12" t="str">
        <x:v>Short term accommodation activities</x:v>
      </x:c>
      <x:c r="C2261" s="12" t="str">
        <x:v>مادبا</x:v>
      </x:c>
      <x:c r="D2261" s="14" t="n">
        <x:v>12</x:v>
      </x:c>
      <x:c r="E2261" s="14" t="n">
        <x:f>VLOOKUP(C2261,'Governorate Master'!$A$2:$Q$13,3,FALSE)</x:f>
        <x:v>236200</x:v>
      </x:c>
      <x:c r="F2261" s="66" t="n">
        <x:f>IF(E2261=0,0,D2261/E2261*10000)</x:f>
        <x:v>0.5080440304826418</x:v>
      </x:c>
      <x:c r="G2261" s="67" t="n">
        <x:f>VLOOKUP(C2261,'Governorate Master'!$A$2:$Q$13,7,FALSE)</x:f>
        <x:v>251.4</x:v>
      </x:c>
      <x:c r="H2261" s="20" t="n">
        <x:f>VLOOKUP(C2261,'Governorate Master'!$A$2:$Q$13,6,FALSE)</x:f>
        <x:v>0.7823878069432684</x:v>
      </x:c>
      <x:c r="I2261" s="20" t="n">
        <x:f>VLOOKUP(C2261,'Governorate Master'!$A$2:$Q$13,15,FALSE)</x:f>
        <x:v>-0.18823529411764706</x:v>
      </x:c>
      <x:c r="J2261" s="12" t="str">
        <x:v>Location model input - competition/saturation context</x:v>
      </x:c>
      <x:c r="K2261" s="12" t="str">
        <x:v>Business count is from 2018 while population/context indicators are newer; use as a historical proxy, not a current market count.</x:v>
      </x:c>
    </x:row>
    <x:row r="2262">
      <x:c r="A2262" s="12" t="str">
        <x:v>5510</x:v>
      </x:c>
      <x:c r="B2262" s="12" t="str">
        <x:v>Short term accommodation activities</x:v>
      </x:c>
      <x:c r="C2262" s="12" t="str">
        <x:v>إربد</x:v>
      </x:c>
      <x:c r="D2262" s="14" t="n">
        <x:v>11</x:v>
      </x:c>
      <x:c r="E2262" s="14" t="n">
        <x:f>VLOOKUP(C2262,'Governorate Master'!$A$2:$Q$13,3,FALSE)</x:f>
        <x:v>2210500</x:v>
      </x:c>
      <x:c r="F2262" s="66" t="n">
        <x:f>IF(E2262=0,0,D2262/E2262*10000)</x:f>
        <x:v>0.049762497172585386</x:v>
      </x:c>
      <x:c r="G2262" s="67" t="n">
        <x:f>VLOOKUP(C2262,'Governorate Master'!$A$2:$Q$13,7,FALSE)</x:f>
        <x:v>1406.4</x:v>
      </x:c>
      <x:c r="H2262" s="20" t="n">
        <x:f>VLOOKUP(C2262,'Governorate Master'!$A$2:$Q$13,6,FALSE)</x:f>
        <x:v>0.9235014702555983</x:v>
      </x:c>
      <x:c r="I2262" s="20" t="n">
        <x:f>VLOOKUP(C2262,'Governorate Master'!$A$2:$Q$13,15,FALSE)</x:f>
        <x:v>0.07086922474549726</x:v>
      </x:c>
      <x:c r="J2262" s="12" t="str">
        <x:v>Location model input - competition/saturation context</x:v>
      </x:c>
      <x:c r="K2262" s="12" t="str">
        <x:v>Business count is from 2018 while population/context indicators are newer; use as a historical proxy, not a current market count.</x:v>
      </x:c>
    </x:row>
    <x:row r="2263">
      <x:c r="A2263" s="12" t="str">
        <x:v>5510</x:v>
      </x:c>
      <x:c r="B2263" s="12" t="str">
        <x:v>Short term accommodation activities</x:v>
      </x:c>
      <x:c r="C2263" s="12" t="str">
        <x:v>المفرق</x:v>
      </x:c>
      <x:c r="D2263" s="14" t="n">
        <x:v>4</x:v>
      </x:c>
      <x:c r="E2263" s="14" t="n">
        <x:f>VLOOKUP(C2263,'Governorate Master'!$A$2:$Q$13,3,FALSE)</x:f>
        <x:v>686800</x:v>
      </x:c>
      <x:c r="F2263" s="66" t="n">
        <x:f>IF(E2263=0,0,D2263/E2263*10000)</x:f>
        <x:v>0.05824111822947001</x:v>
      </x:c>
      <x:c r="G2263" s="67" t="n">
        <x:f>VLOOKUP(C2263,'Governorate Master'!$A$2:$Q$13,7,FALSE)</x:f>
        <x:v>25.9</x:v>
      </x:c>
      <x:c r="H2263" s="20" t="n">
        <x:f>VLOOKUP(C2263,'Governorate Master'!$A$2:$Q$13,6,FALSE)</x:f>
        <x:v>0.6965637740244612</x:v>
      </x:c>
      <x:c r="I2263" s="20" t="n">
        <x:f>VLOOKUP(C2263,'Governorate Master'!$A$2:$Q$13,15,FALSE)</x:f>
        <x:v>-0.016638935108153077</x:v>
      </x:c>
      <x:c r="J2263" s="12" t="str">
        <x:v>Location model input - competition/saturation context</x:v>
      </x:c>
      <x:c r="K2263" s="12" t="str">
        <x:v>Business count is from 2018 while population/context indicators are newer; use as a historical proxy, not a current market count.</x:v>
      </x:c>
    </x:row>
    <x:row r="2264">
      <x:c r="A2264" s="12" t="str">
        <x:v>5510</x:v>
      </x:c>
      <x:c r="B2264" s="12" t="str">
        <x:v>Short term accommodation activities</x:v>
      </x:c>
      <x:c r="C2264" s="12" t="str">
        <x:v>جرش</x:v>
      </x:c>
      <x:c r="D2264" s="14" t="n">
        <x:v>3</x:v>
      </x:c>
      <x:c r="E2264" s="14" t="n">
        <x:f>VLOOKUP(C2264,'Governorate Master'!$A$2:$Q$13,3,FALSE)</x:f>
        <x:v>296000</x:v>
      </x:c>
      <x:c r="F2264" s="66" t="n">
        <x:f>IF(E2264=0,0,D2264/E2264*10000)</x:f>
        <x:v>0.10135135135135134</x:v>
      </x:c>
      <x:c r="G2264" s="67" t="n">
        <x:f>VLOOKUP(C2264,'Governorate Master'!$A$2:$Q$13,7,FALSE)</x:f>
        <x:v>722.3</x:v>
      </x:c>
      <x:c r="H2264" s="20" t="n">
        <x:f>VLOOKUP(C2264,'Governorate Master'!$A$2:$Q$13,6,FALSE)</x:f>
        <x:v>0.7695945945945946</x:v>
      </x:c>
      <x:c r="I2264" s="20" t="n">
        <x:f>VLOOKUP(C2264,'Governorate Master'!$A$2:$Q$13,15,FALSE)</x:f>
        <x:v>-0.06527415143603134</x:v>
      </x:c>
      <x:c r="J2264" s="12" t="str">
        <x:v>Location model input - competition/saturation context</x:v>
      </x:c>
      <x:c r="K2264" s="12" t="str">
        <x:v>Business count is from 2018 while population/context indicators are newer; use as a historical proxy, not a current market count.</x:v>
      </x:c>
    </x:row>
    <x:row r="2265">
      <x:c r="A2265" s="12" t="str">
        <x:v>5510</x:v>
      </x:c>
      <x:c r="B2265" s="12" t="str">
        <x:v>Short term accommodation activities</x:v>
      </x:c>
      <x:c r="C2265" s="12" t="str">
        <x:v>عجلون</x:v>
      </x:c>
      <x:c r="D2265" s="14" t="n">
        <x:v>4</x:v>
      </x:c>
      <x:c r="E2265" s="14" t="n">
        <x:f>VLOOKUP(C2265,'Governorate Master'!$A$2:$Q$13,3,FALSE)</x:f>
        <x:v>219900</x:v>
      </x:c>
      <x:c r="F2265" s="66" t="n">
        <x:f>IF(E2265=0,0,D2265/E2265*10000)</x:f>
        <x:v>0.18190086402910413</x:v>
      </x:c>
      <x:c r="G2265" s="67" t="n">
        <x:f>VLOOKUP(C2265,'Governorate Master'!$A$2:$Q$13,7,FALSE)</x:f>
        <x:v>524</x:v>
      </x:c>
      <x:c r="H2265" s="20" t="n">
        <x:f>VLOOKUP(C2265,'Governorate Master'!$A$2:$Q$13,6,FALSE)</x:f>
        <x:v>0.8390177353342428</x:v>
      </x:c>
      <x:c r="I2265" s="20" t="n">
        <x:f>VLOOKUP(C2265,'Governorate Master'!$A$2:$Q$13,15,FALSE)</x:f>
        <x:v>0.03614457831325301</x:v>
      </x:c>
      <x:c r="J2265" s="12" t="str">
        <x:v>Location model input - competition/saturation context</x:v>
      </x:c>
      <x:c r="K2265" s="12" t="str">
        <x:v>Business count is from 2018 while population/context indicators are newer; use as a historical proxy, not a current market count.</x:v>
      </x:c>
    </x:row>
    <x:row r="2266">
      <x:c r="A2266" s="12" t="str">
        <x:v>5510</x:v>
      </x:c>
      <x:c r="B2266" s="12" t="str">
        <x:v>Short term accommodation activities</x:v>
      </x:c>
      <x:c r="C2266" s="12" t="str">
        <x:v>الكرك</x:v>
      </x:c>
      <x:c r="D2266" s="14" t="n">
        <x:v>5</x:v>
      </x:c>
      <x:c r="E2266" s="14" t="n">
        <x:f>VLOOKUP(C2266,'Governorate Master'!$A$2:$Q$13,3,FALSE)</x:f>
        <x:v>395400</x:v>
      </x:c>
      <x:c r="F2266" s="66" t="n">
        <x:f>IF(E2266=0,0,D2266/E2266*10000)</x:f>
        <x:v>0.12645422357106728</x:v>
      </x:c>
      <x:c r="G2266" s="67" t="n">
        <x:f>VLOOKUP(C2266,'Governorate Master'!$A$2:$Q$13,7,FALSE)</x:f>
        <x:v>113.1</x:v>
      </x:c>
      <x:c r="H2266" s="20" t="n">
        <x:f>VLOOKUP(C2266,'Governorate Master'!$A$2:$Q$13,6,FALSE)</x:f>
        <x:v>0.5912999494183105</x:v>
      </x:c>
      <x:c r="I2266" s="20" t="n">
        <x:f>VLOOKUP(C2266,'Governorate Master'!$A$2:$Q$13,15,FALSE)</x:f>
        <x:v>0.08710801393728224</x:v>
      </x:c>
      <x:c r="J2266" s="12" t="str">
        <x:v>Location model input - competition/saturation context</x:v>
      </x:c>
      <x:c r="K2266" s="12" t="str">
        <x:v>Business count is from 2018 while population/context indicators are newer; use as a historical proxy, not a current market count.</x:v>
      </x:c>
    </x:row>
    <x:row r="2267">
      <x:c r="A2267" s="12" t="str">
        <x:v>5510</x:v>
      </x:c>
      <x:c r="B2267" s="12" t="str">
        <x:v>Short term accommodation activities</x:v>
      </x:c>
      <x:c r="C2267" s="12" t="str">
        <x:v>الطفيلة</x:v>
      </x:c>
      <x:c r="D2267" s="14" t="n">
        <x:v>5</x:v>
      </x:c>
      <x:c r="E2267" s="14" t="n">
        <x:f>VLOOKUP(C2267,'Governorate Master'!$A$2:$Q$13,3,FALSE)</x:f>
        <x:v>120300</x:v>
      </x:c>
      <x:c r="F2267" s="66" t="n">
        <x:f>IF(E2267=0,0,D2267/E2267*10000)</x:f>
        <x:v>0.41562759767248547</x:v>
      </x:c>
      <x:c r="G2267" s="67" t="n">
        <x:f>VLOOKUP(C2267,'Governorate Master'!$A$2:$Q$13,7,FALSE)</x:f>
        <x:v>54.4</x:v>
      </x:c>
      <x:c r="H2267" s="20" t="n">
        <x:f>VLOOKUP(C2267,'Governorate Master'!$A$2:$Q$13,6,FALSE)</x:f>
        <x:v>0.7797173732335827</x:v>
      </x:c>
      <x:c r="I2267" s="20" t="n">
        <x:f>VLOOKUP(C2267,'Governorate Master'!$A$2:$Q$13,15,FALSE)</x:f>
        <x:v>0.18452380952380953</x:v>
      </x:c>
      <x:c r="J2267" s="12" t="str">
        <x:v>Location model input - competition/saturation context</x:v>
      </x:c>
      <x:c r="K2267" s="12" t="str">
        <x:v>Business count is from 2018 while population/context indicators are newer; use as a historical proxy, not a current market count.</x:v>
      </x:c>
    </x:row>
    <x:row r="2268">
      <x:c r="A2268" s="12" t="str">
        <x:v>5510</x:v>
      </x:c>
      <x:c r="B2268" s="12" t="str">
        <x:v>Short term accommodation activities</x:v>
      </x:c>
      <x:c r="C2268" s="12" t="str">
        <x:v>معان</x:v>
      </x:c>
      <x:c r="D2268" s="14" t="n">
        <x:v>43</x:v>
      </x:c>
      <x:c r="E2268" s="14" t="n">
        <x:f>VLOOKUP(C2268,'Governorate Master'!$A$2:$Q$13,3,FALSE)</x:f>
        <x:v>197900</x:v>
      </x:c>
      <x:c r="F2268" s="66" t="n">
        <x:f>IF(E2268=0,0,D2268/E2268*10000)</x:f>
        <x:v>2.1728145528044465</x:v>
      </x:c>
      <x:c r="G2268" s="67" t="n">
        <x:f>VLOOKUP(C2268,'Governorate Master'!$A$2:$Q$13,7,FALSE)</x:f>
        <x:v>6</x:v>
      </x:c>
      <x:c r="H2268" s="20" t="n">
        <x:f>VLOOKUP(C2268,'Governorate Master'!$A$2:$Q$13,6,FALSE)</x:f>
        <x:v>0.5406771096513391</x:v>
      </x:c>
      <x:c r="I2268" s="20" t="n">
        <x:f>VLOOKUP(C2268,'Governorate Master'!$A$2:$Q$13,15,FALSE)</x:f>
        <x:v>0.026845637583892617</x:v>
      </x:c>
      <x:c r="J2268" s="12" t="str">
        <x:v>Location model input - competition/saturation context</x:v>
      </x:c>
      <x:c r="K2268" s="12" t="str">
        <x:v>Business count is from 2018 while population/context indicators are newer; use as a historical proxy, not a current market count.</x:v>
      </x:c>
    </x:row>
    <x:row r="2269">
      <x:c r="A2269" s="12" t="str">
        <x:v>5510</x:v>
      </x:c>
      <x:c r="B2269" s="12" t="str">
        <x:v>Short term accommodation activities</x:v>
      </x:c>
      <x:c r="C2269" s="12" t="str">
        <x:v>العقبة</x:v>
      </x:c>
      <x:c r="D2269" s="14" t="n">
        <x:v>154</x:v>
      </x:c>
      <x:c r="E2269" s="14" t="n">
        <x:f>VLOOKUP(C2269,'Governorate Master'!$A$2:$Q$13,3,FALSE)</x:f>
        <x:v>250900</x:v>
      </x:c>
      <x:c r="F2269" s="66" t="n">
        <x:f>IF(E2269=0,0,D2269/E2269*10000)</x:f>
        <x:v>6.137903547229972</x:v>
      </x:c>
      <x:c r="G2269" s="67" t="n">
        <x:f>VLOOKUP(C2269,'Governorate Master'!$A$2:$Q$13,7,FALSE)</x:f>
        <x:v>36.3</x:v>
      </x:c>
      <x:c r="H2269" s="20" t="n">
        <x:f>VLOOKUP(C2269,'Governorate Master'!$A$2:$Q$13,6,FALSE)</x:f>
        <x:v>0.882024711040255</x:v>
      </x:c>
      <x:c r="I2269" s="20" t="n">
        <x:f>VLOOKUP(C2269,'Governorate Master'!$A$2:$Q$13,15,FALSE)</x:f>
        <x:v>-0.09</x:v>
      </x:c>
      <x:c r="J2269" s="12" t="str">
        <x:v>Location model input - competition/saturation context</x:v>
      </x:c>
      <x:c r="K2269" s="12" t="str">
        <x:v>Business count is from 2018 while population/context indicators are newer; use as a historical proxy, not a current market count.</x:v>
      </x:c>
    </x:row>
    <x:row r="2270">
      <x:c r="A2270" s="12" t="str">
        <x:v>5520</x:v>
      </x:c>
      <x:c r="B2270" s="12" t="str">
        <x:v>Camping grounds, recreational vehicle parks and trailer parks</x:v>
      </x:c>
      <x:c r="C2270" s="12" t="str">
        <x:v>عمان</x:v>
      </x:c>
      <x:c r="D2270" s="14" t="n">
        <x:v>0</x:v>
      </x:c>
      <x:c r="E2270" s="14" t="n">
        <x:f>VLOOKUP(C2270,'Governorate Master'!$A$2:$Q$13,3,FALSE)</x:f>
        <x:v>5004600</x:v>
      </x:c>
      <x:c r="F2270" s="66" t="n">
        <x:f>IF(E2270=0,0,D2270/E2270*10000)</x:f>
        <x:v>0</x:v>
      </x:c>
      <x:c r="G2270" s="67" t="n">
        <x:f>VLOOKUP(C2270,'Governorate Master'!$A$2:$Q$13,7,FALSE)</x:f>
        <x:v>660.3</x:v>
      </x:c>
      <x:c r="H2270" s="20" t="n">
        <x:f>VLOOKUP(C2270,'Governorate Master'!$A$2:$Q$13,6,FALSE)</x:f>
        <x:v>0.9721656076409703</x:v>
      </x:c>
      <x:c r="I2270" s="20" t="n">
        <x:f>VLOOKUP(C2270,'Governorate Master'!$A$2:$Q$13,15,FALSE)</x:f>
        <x:v>0.06367041198501873</x:v>
      </x:c>
      <x:c r="J2270" s="12" t="str">
        <x:v>Location model input - competition/saturation context</x:v>
      </x:c>
      <x:c r="K2270" s="12" t="str">
        <x:v>Business count is from 2018 while population/context indicators are newer; use as a historical proxy, not a current market count.</x:v>
      </x:c>
    </x:row>
    <x:row r="2271">
      <x:c r="A2271" s="12" t="str">
        <x:v>5520</x:v>
      </x:c>
      <x:c r="B2271" s="12" t="str">
        <x:v>Camping grounds, recreational vehicle parks and trailer parks</x:v>
      </x:c>
      <x:c r="C2271" s="12" t="str">
        <x:v>البلقاء</x:v>
      </x:c>
      <x:c r="D2271" s="14" t="n">
        <x:v>0</x:v>
      </x:c>
      <x:c r="E2271" s="14" t="n">
        <x:f>VLOOKUP(C2271,'Governorate Master'!$A$2:$Q$13,3,FALSE)</x:f>
        <x:v>614000</x:v>
      </x:c>
      <x:c r="F2271" s="66" t="n">
        <x:f>IF(E2271=0,0,D2271/E2271*10000)</x:f>
        <x:v>0</x:v>
      </x:c>
      <x:c r="G2271" s="67" t="n">
        <x:f>VLOOKUP(C2271,'Governorate Master'!$A$2:$Q$13,7,FALSE)</x:f>
        <x:v>548</x:v>
      </x:c>
      <x:c r="H2271" s="20" t="n">
        <x:f>VLOOKUP(C2271,'Governorate Master'!$A$2:$Q$13,6,FALSE)</x:f>
        <x:v>0.8210097719869707</x:v>
      </x:c>
      <x:c r="I2271" s="20" t="n">
        <x:f>VLOOKUP(C2271,'Governorate Master'!$A$2:$Q$13,15,FALSE)</x:f>
        <x:v>0.10794044665012408</x:v>
      </x:c>
      <x:c r="J2271" s="12" t="str">
        <x:v>Location model input - competition/saturation context</x:v>
      </x:c>
      <x:c r="K2271" s="12" t="str">
        <x:v>Business count is from 2018 while population/context indicators are newer; use as a historical proxy, not a current market count.</x:v>
      </x:c>
    </x:row>
    <x:row r="2272">
      <x:c r="A2272" s="12" t="str">
        <x:v>5520</x:v>
      </x:c>
      <x:c r="B2272" s="12" t="str">
        <x:v>Camping grounds, recreational vehicle parks and trailer parks</x:v>
      </x:c>
      <x:c r="C2272" s="12" t="str">
        <x:v>الزرقاء</x:v>
      </x:c>
      <x:c r="D2272" s="14" t="n">
        <x:v>0</x:v>
      </x:c>
      <x:c r="E2272" s="14" t="n">
        <x:f>VLOOKUP(C2272,'Governorate Master'!$A$2:$Q$13,3,FALSE)</x:f>
        <x:v>1704500</x:v>
      </x:c>
      <x:c r="F2272" s="66" t="n">
        <x:f>IF(E2272=0,0,D2272/E2272*10000)</x:f>
        <x:v>0</x:v>
      </x:c>
      <x:c r="G2272" s="67" t="n">
        <x:f>VLOOKUP(C2272,'Governorate Master'!$A$2:$Q$13,7,FALSE)</x:f>
        <x:v>358</x:v>
      </x:c>
      <x:c r="H2272" s="20" t="n">
        <x:f>VLOOKUP(C2272,'Governorate Master'!$A$2:$Q$13,6,FALSE)</x:f>
        <x:v>0.9636256966852449</x:v>
      </x:c>
      <x:c r="I2272" s="20" t="n">
        <x:f>VLOOKUP(C2272,'Governorate Master'!$A$2:$Q$13,15,FALSE)</x:f>
        <x:v>-0.06808762581409118</x:v>
      </x:c>
      <x:c r="J2272" s="12" t="str">
        <x:v>Location model input - competition/saturation context</x:v>
      </x:c>
      <x:c r="K2272" s="12" t="str">
        <x:v>Business count is from 2018 while population/context indicators are newer; use as a historical proxy, not a current market count.</x:v>
      </x:c>
    </x:row>
    <x:row r="2273">
      <x:c r="A2273" s="12" t="str">
        <x:v>5520</x:v>
      </x:c>
      <x:c r="B2273" s="12" t="str">
        <x:v>Camping grounds, recreational vehicle parks and trailer parks</x:v>
      </x:c>
      <x:c r="C2273" s="12" t="str">
        <x:v>مادبا</x:v>
      </x:c>
      <x:c r="D2273" s="14" t="n">
        <x:v>0</x:v>
      </x:c>
      <x:c r="E2273" s="14" t="n">
        <x:f>VLOOKUP(C2273,'Governorate Master'!$A$2:$Q$13,3,FALSE)</x:f>
        <x:v>236200</x:v>
      </x:c>
      <x:c r="F2273" s="66" t="n">
        <x:f>IF(E2273=0,0,D2273/E2273*10000)</x:f>
        <x:v>0</x:v>
      </x:c>
      <x:c r="G2273" s="67" t="n">
        <x:f>VLOOKUP(C2273,'Governorate Master'!$A$2:$Q$13,7,FALSE)</x:f>
        <x:v>251.4</x:v>
      </x:c>
      <x:c r="H2273" s="20" t="n">
        <x:f>VLOOKUP(C2273,'Governorate Master'!$A$2:$Q$13,6,FALSE)</x:f>
        <x:v>0.7823878069432684</x:v>
      </x:c>
      <x:c r="I2273" s="20" t="n">
        <x:f>VLOOKUP(C2273,'Governorate Master'!$A$2:$Q$13,15,FALSE)</x:f>
        <x:v>-0.18823529411764706</x:v>
      </x:c>
      <x:c r="J2273" s="12" t="str">
        <x:v>Location model input - competition/saturation context</x:v>
      </x:c>
      <x:c r="K2273" s="12" t="str">
        <x:v>Business count is from 2018 while population/context indicators are newer; use as a historical proxy, not a current market count.</x:v>
      </x:c>
    </x:row>
    <x:row r="2274">
      <x:c r="A2274" s="12" t="str">
        <x:v>5520</x:v>
      </x:c>
      <x:c r="B2274" s="12" t="str">
        <x:v>Camping grounds, recreational vehicle parks and trailer parks</x:v>
      </x:c>
      <x:c r="C2274" s="12" t="str">
        <x:v>إربد</x:v>
      </x:c>
      <x:c r="D2274" s="14" t="n">
        <x:v>0</x:v>
      </x:c>
      <x:c r="E2274" s="14" t="n">
        <x:f>VLOOKUP(C2274,'Governorate Master'!$A$2:$Q$13,3,FALSE)</x:f>
        <x:v>2210500</x:v>
      </x:c>
      <x:c r="F2274" s="66" t="n">
        <x:f>IF(E2274=0,0,D2274/E2274*10000)</x:f>
        <x:v>0</x:v>
      </x:c>
      <x:c r="G2274" s="67" t="n">
        <x:f>VLOOKUP(C2274,'Governorate Master'!$A$2:$Q$13,7,FALSE)</x:f>
        <x:v>1406.4</x:v>
      </x:c>
      <x:c r="H2274" s="20" t="n">
        <x:f>VLOOKUP(C2274,'Governorate Master'!$A$2:$Q$13,6,FALSE)</x:f>
        <x:v>0.9235014702555983</x:v>
      </x:c>
      <x:c r="I2274" s="20" t="n">
        <x:f>VLOOKUP(C2274,'Governorate Master'!$A$2:$Q$13,15,FALSE)</x:f>
        <x:v>0.07086922474549726</x:v>
      </x:c>
      <x:c r="J2274" s="12" t="str">
        <x:v>Location model input - competition/saturation context</x:v>
      </x:c>
      <x:c r="K2274" s="12" t="str">
        <x:v>Business count is from 2018 while population/context indicators are newer; use as a historical proxy, not a current market count.</x:v>
      </x:c>
    </x:row>
    <x:row r="2275">
      <x:c r="A2275" s="12" t="str">
        <x:v>5520</x:v>
      </x:c>
      <x:c r="B2275" s="12" t="str">
        <x:v>Camping grounds, recreational vehicle parks and trailer parks</x:v>
      </x:c>
      <x:c r="C2275" s="12" t="str">
        <x:v>المفرق</x:v>
      </x:c>
      <x:c r="D2275" s="14" t="n">
        <x:v>0</x:v>
      </x:c>
      <x:c r="E2275" s="14" t="n">
        <x:f>VLOOKUP(C2275,'Governorate Master'!$A$2:$Q$13,3,FALSE)</x:f>
        <x:v>686800</x:v>
      </x:c>
      <x:c r="F2275" s="66" t="n">
        <x:f>IF(E2275=0,0,D2275/E2275*10000)</x:f>
        <x:v>0</x:v>
      </x:c>
      <x:c r="G2275" s="67" t="n">
        <x:f>VLOOKUP(C2275,'Governorate Master'!$A$2:$Q$13,7,FALSE)</x:f>
        <x:v>25.9</x:v>
      </x:c>
      <x:c r="H2275" s="20" t="n">
        <x:f>VLOOKUP(C2275,'Governorate Master'!$A$2:$Q$13,6,FALSE)</x:f>
        <x:v>0.6965637740244612</x:v>
      </x:c>
      <x:c r="I2275" s="20" t="n">
        <x:f>VLOOKUP(C2275,'Governorate Master'!$A$2:$Q$13,15,FALSE)</x:f>
        <x:v>-0.016638935108153077</x:v>
      </x:c>
      <x:c r="J2275" s="12" t="str">
        <x:v>Location model input - competition/saturation context</x:v>
      </x:c>
      <x:c r="K2275" s="12" t="str">
        <x:v>Business count is from 2018 while population/context indicators are newer; use as a historical proxy, not a current market count.</x:v>
      </x:c>
    </x:row>
    <x:row r="2276">
      <x:c r="A2276" s="12" t="str">
        <x:v>5520</x:v>
      </x:c>
      <x:c r="B2276" s="12" t="str">
        <x:v>Camping grounds, recreational vehicle parks and trailer parks</x:v>
      </x:c>
      <x:c r="C2276" s="12" t="str">
        <x:v>جرش</x:v>
      </x:c>
      <x:c r="D2276" s="14" t="n">
        <x:v>0</x:v>
      </x:c>
      <x:c r="E2276" s="14" t="n">
        <x:f>VLOOKUP(C2276,'Governorate Master'!$A$2:$Q$13,3,FALSE)</x:f>
        <x:v>296000</x:v>
      </x:c>
      <x:c r="F2276" s="66" t="n">
        <x:f>IF(E2276=0,0,D2276/E2276*10000)</x:f>
        <x:v>0</x:v>
      </x:c>
      <x:c r="G2276" s="67" t="n">
        <x:f>VLOOKUP(C2276,'Governorate Master'!$A$2:$Q$13,7,FALSE)</x:f>
        <x:v>722.3</x:v>
      </x:c>
      <x:c r="H2276" s="20" t="n">
        <x:f>VLOOKUP(C2276,'Governorate Master'!$A$2:$Q$13,6,FALSE)</x:f>
        <x:v>0.7695945945945946</x:v>
      </x:c>
      <x:c r="I2276" s="20" t="n">
        <x:f>VLOOKUP(C2276,'Governorate Master'!$A$2:$Q$13,15,FALSE)</x:f>
        <x:v>-0.06527415143603134</x:v>
      </x:c>
      <x:c r="J2276" s="12" t="str">
        <x:v>Location model input - competition/saturation context</x:v>
      </x:c>
      <x:c r="K2276" s="12" t="str">
        <x:v>Business count is from 2018 while population/context indicators are newer; use as a historical proxy, not a current market count.</x:v>
      </x:c>
    </x:row>
    <x:row r="2277">
      <x:c r="A2277" s="12" t="str">
        <x:v>5520</x:v>
      </x:c>
      <x:c r="B2277" s="12" t="str">
        <x:v>Camping grounds, recreational vehicle parks and trailer parks</x:v>
      </x:c>
      <x:c r="C2277" s="12" t="str">
        <x:v>عجلون</x:v>
      </x:c>
      <x:c r="D2277" s="14" t="n">
        <x:v>0</x:v>
      </x:c>
      <x:c r="E2277" s="14" t="n">
        <x:f>VLOOKUP(C2277,'Governorate Master'!$A$2:$Q$13,3,FALSE)</x:f>
        <x:v>219900</x:v>
      </x:c>
      <x:c r="F2277" s="66" t="n">
        <x:f>IF(E2277=0,0,D2277/E2277*10000)</x:f>
        <x:v>0</x:v>
      </x:c>
      <x:c r="G2277" s="67" t="n">
        <x:f>VLOOKUP(C2277,'Governorate Master'!$A$2:$Q$13,7,FALSE)</x:f>
        <x:v>524</x:v>
      </x:c>
      <x:c r="H2277" s="20" t="n">
        <x:f>VLOOKUP(C2277,'Governorate Master'!$A$2:$Q$13,6,FALSE)</x:f>
        <x:v>0.8390177353342428</x:v>
      </x:c>
      <x:c r="I2277" s="20" t="n">
        <x:f>VLOOKUP(C2277,'Governorate Master'!$A$2:$Q$13,15,FALSE)</x:f>
        <x:v>0.03614457831325301</x:v>
      </x:c>
      <x:c r="J2277" s="12" t="str">
        <x:v>Location model input - competition/saturation context</x:v>
      </x:c>
      <x:c r="K2277" s="12" t="str">
        <x:v>Business count is from 2018 while population/context indicators are newer; use as a historical proxy, not a current market count.</x:v>
      </x:c>
    </x:row>
    <x:row r="2278">
      <x:c r="A2278" s="12" t="str">
        <x:v>5520</x:v>
      </x:c>
      <x:c r="B2278" s="12" t="str">
        <x:v>Camping grounds, recreational vehicle parks and trailer parks</x:v>
      </x:c>
      <x:c r="C2278" s="12" t="str">
        <x:v>الكرك</x:v>
      </x:c>
      <x:c r="D2278" s="14" t="n">
        <x:v>0</x:v>
      </x:c>
      <x:c r="E2278" s="14" t="n">
        <x:f>VLOOKUP(C2278,'Governorate Master'!$A$2:$Q$13,3,FALSE)</x:f>
        <x:v>395400</x:v>
      </x:c>
      <x:c r="F2278" s="66" t="n">
        <x:f>IF(E2278=0,0,D2278/E2278*10000)</x:f>
        <x:v>0</x:v>
      </x:c>
      <x:c r="G2278" s="67" t="n">
        <x:f>VLOOKUP(C2278,'Governorate Master'!$A$2:$Q$13,7,FALSE)</x:f>
        <x:v>113.1</x:v>
      </x:c>
      <x:c r="H2278" s="20" t="n">
        <x:f>VLOOKUP(C2278,'Governorate Master'!$A$2:$Q$13,6,FALSE)</x:f>
        <x:v>0.5912999494183105</x:v>
      </x:c>
      <x:c r="I2278" s="20" t="n">
        <x:f>VLOOKUP(C2278,'Governorate Master'!$A$2:$Q$13,15,FALSE)</x:f>
        <x:v>0.08710801393728224</x:v>
      </x:c>
      <x:c r="J2278" s="12" t="str">
        <x:v>Location model input - competition/saturation context</x:v>
      </x:c>
      <x:c r="K2278" s="12" t="str">
        <x:v>Business count is from 2018 while population/context indicators are newer; use as a historical proxy, not a current market count.</x:v>
      </x:c>
    </x:row>
    <x:row r="2279">
      <x:c r="A2279" s="12" t="str">
        <x:v>5520</x:v>
      </x:c>
      <x:c r="B2279" s="12" t="str">
        <x:v>Camping grounds, recreational vehicle parks and trailer parks</x:v>
      </x:c>
      <x:c r="C2279" s="12" t="str">
        <x:v>الطفيلة</x:v>
      </x:c>
      <x:c r="D2279" s="14" t="n">
        <x:v>1</x:v>
      </x:c>
      <x:c r="E2279" s="14" t="n">
        <x:f>VLOOKUP(C2279,'Governorate Master'!$A$2:$Q$13,3,FALSE)</x:f>
        <x:v>120300</x:v>
      </x:c>
      <x:c r="F2279" s="66" t="n">
        <x:f>IF(E2279=0,0,D2279/E2279*10000)</x:f>
        <x:v>0.0831255195344971</x:v>
      </x:c>
      <x:c r="G2279" s="67" t="n">
        <x:f>VLOOKUP(C2279,'Governorate Master'!$A$2:$Q$13,7,FALSE)</x:f>
        <x:v>54.4</x:v>
      </x:c>
      <x:c r="H2279" s="20" t="n">
        <x:f>VLOOKUP(C2279,'Governorate Master'!$A$2:$Q$13,6,FALSE)</x:f>
        <x:v>0.7797173732335827</x:v>
      </x:c>
      <x:c r="I2279" s="20" t="n">
        <x:f>VLOOKUP(C2279,'Governorate Master'!$A$2:$Q$13,15,FALSE)</x:f>
        <x:v>0.18452380952380953</x:v>
      </x:c>
      <x:c r="J2279" s="12" t="str">
        <x:v>Location model input - competition/saturation context</x:v>
      </x:c>
      <x:c r="K2279" s="12" t="str">
        <x:v>Business count is from 2018 while population/context indicators are newer; use as a historical proxy, not a current market count.</x:v>
      </x:c>
    </x:row>
    <x:row r="2280">
      <x:c r="A2280" s="12" t="str">
        <x:v>5520</x:v>
      </x:c>
      <x:c r="B2280" s="12" t="str">
        <x:v>Camping grounds, recreational vehicle parks and trailer parks</x:v>
      </x:c>
      <x:c r="C2280" s="12" t="str">
        <x:v>معان</x:v>
      </x:c>
      <x:c r="D2280" s="14" t="n">
        <x:v>0</x:v>
      </x:c>
      <x:c r="E2280" s="14" t="n">
        <x:f>VLOOKUP(C2280,'Governorate Master'!$A$2:$Q$13,3,FALSE)</x:f>
        <x:v>197900</x:v>
      </x:c>
      <x:c r="F2280" s="66" t="n">
        <x:f>IF(E2280=0,0,D2280/E2280*10000)</x:f>
        <x:v>0</x:v>
      </x:c>
      <x:c r="G2280" s="67" t="n">
        <x:f>VLOOKUP(C2280,'Governorate Master'!$A$2:$Q$13,7,FALSE)</x:f>
        <x:v>6</x:v>
      </x:c>
      <x:c r="H2280" s="20" t="n">
        <x:f>VLOOKUP(C2280,'Governorate Master'!$A$2:$Q$13,6,FALSE)</x:f>
        <x:v>0.5406771096513391</x:v>
      </x:c>
      <x:c r="I2280" s="20" t="n">
        <x:f>VLOOKUP(C2280,'Governorate Master'!$A$2:$Q$13,15,FALSE)</x:f>
        <x:v>0.026845637583892617</x:v>
      </x:c>
      <x:c r="J2280" s="12" t="str">
        <x:v>Location model input - competition/saturation context</x:v>
      </x:c>
      <x:c r="K2280" s="12" t="str">
        <x:v>Business count is from 2018 while population/context indicators are newer; use as a historical proxy, not a current market count.</x:v>
      </x:c>
    </x:row>
    <x:row r="2281">
      <x:c r="A2281" s="12" t="str">
        <x:v>5520</x:v>
      </x:c>
      <x:c r="B2281" s="12" t="str">
        <x:v>Camping grounds, recreational vehicle parks and trailer parks</x:v>
      </x:c>
      <x:c r="C2281" s="12" t="str">
        <x:v>العقبة</x:v>
      </x:c>
      <x:c r="D2281" s="14" t="n">
        <x:v>9</x:v>
      </x:c>
      <x:c r="E2281" s="14" t="n">
        <x:f>VLOOKUP(C2281,'Governorate Master'!$A$2:$Q$13,3,FALSE)</x:f>
        <x:v>250900</x:v>
      </x:c>
      <x:c r="F2281" s="66" t="n">
        <x:f>IF(E2281=0,0,D2281/E2281*10000)</x:f>
        <x:v>0.3587086488640893</x:v>
      </x:c>
      <x:c r="G2281" s="67" t="n">
        <x:f>VLOOKUP(C2281,'Governorate Master'!$A$2:$Q$13,7,FALSE)</x:f>
        <x:v>36.3</x:v>
      </x:c>
      <x:c r="H2281" s="20" t="n">
        <x:f>VLOOKUP(C2281,'Governorate Master'!$A$2:$Q$13,6,FALSE)</x:f>
        <x:v>0.882024711040255</x:v>
      </x:c>
      <x:c r="I2281" s="20" t="n">
        <x:f>VLOOKUP(C2281,'Governorate Master'!$A$2:$Q$13,15,FALSE)</x:f>
        <x:v>-0.09</x:v>
      </x:c>
      <x:c r="J2281" s="12" t="str">
        <x:v>Location model input - competition/saturation context</x:v>
      </x:c>
      <x:c r="K2281" s="12" t="str">
        <x:v>Business count is from 2018 while population/context indicators are newer; use as a historical proxy, not a current market count.</x:v>
      </x:c>
    </x:row>
    <x:row r="2282">
      <x:c r="A2282" s="12" t="str">
        <x:v>5590</x:v>
      </x:c>
      <x:c r="B2282" s="12" t="str">
        <x:v>Other accommodation</x:v>
      </x:c>
      <x:c r="C2282" s="12" t="str">
        <x:v>عمان</x:v>
      </x:c>
      <x:c r="D2282" s="14" t="n">
        <x:v>21</x:v>
      </x:c>
      <x:c r="E2282" s="14" t="n">
        <x:f>VLOOKUP(C2282,'Governorate Master'!$A$2:$Q$13,3,FALSE)</x:f>
        <x:v>5004600</x:v>
      </x:c>
      <x:c r="F2282" s="66" t="n">
        <x:f>IF(E2282=0,0,D2282/E2282*10000)</x:f>
        <x:v>0.04196139551612516</x:v>
      </x:c>
      <x:c r="G2282" s="67" t="n">
        <x:f>VLOOKUP(C2282,'Governorate Master'!$A$2:$Q$13,7,FALSE)</x:f>
        <x:v>660.3</x:v>
      </x:c>
      <x:c r="H2282" s="20" t="n">
        <x:f>VLOOKUP(C2282,'Governorate Master'!$A$2:$Q$13,6,FALSE)</x:f>
        <x:v>0.9721656076409703</x:v>
      </x:c>
      <x:c r="I2282" s="20" t="n">
        <x:f>VLOOKUP(C2282,'Governorate Master'!$A$2:$Q$13,15,FALSE)</x:f>
        <x:v>0.06367041198501873</x:v>
      </x:c>
      <x:c r="J2282" s="12" t="str">
        <x:v>Location model input - competition/saturation context</x:v>
      </x:c>
      <x:c r="K2282" s="12" t="str">
        <x:v>Business count is from 2018 while population/context indicators are newer; use as a historical proxy, not a current market count.</x:v>
      </x:c>
    </x:row>
    <x:row r="2283">
      <x:c r="A2283" s="12" t="str">
        <x:v>5590</x:v>
      </x:c>
      <x:c r="B2283" s="12" t="str">
        <x:v>Other accommodation</x:v>
      </x:c>
      <x:c r="C2283" s="12" t="str">
        <x:v>البلقاء</x:v>
      </x:c>
      <x:c r="D2283" s="14" t="n">
        <x:v>0</x:v>
      </x:c>
      <x:c r="E2283" s="14" t="n">
        <x:f>VLOOKUP(C2283,'Governorate Master'!$A$2:$Q$13,3,FALSE)</x:f>
        <x:v>614000</x:v>
      </x:c>
      <x:c r="F2283" s="66" t="n">
        <x:f>IF(E2283=0,0,D2283/E2283*10000)</x:f>
        <x:v>0</x:v>
      </x:c>
      <x:c r="G2283" s="67" t="n">
        <x:f>VLOOKUP(C2283,'Governorate Master'!$A$2:$Q$13,7,FALSE)</x:f>
        <x:v>548</x:v>
      </x:c>
      <x:c r="H2283" s="20" t="n">
        <x:f>VLOOKUP(C2283,'Governorate Master'!$A$2:$Q$13,6,FALSE)</x:f>
        <x:v>0.8210097719869707</x:v>
      </x:c>
      <x:c r="I2283" s="20" t="n">
        <x:f>VLOOKUP(C2283,'Governorate Master'!$A$2:$Q$13,15,FALSE)</x:f>
        <x:v>0.10794044665012408</x:v>
      </x:c>
      <x:c r="J2283" s="12" t="str">
        <x:v>Location model input - competition/saturation context</x:v>
      </x:c>
      <x:c r="K2283" s="12" t="str">
        <x:v>Business count is from 2018 while population/context indicators are newer; use as a historical proxy, not a current market count.</x:v>
      </x:c>
    </x:row>
    <x:row r="2284">
      <x:c r="A2284" s="12" t="str">
        <x:v>5590</x:v>
      </x:c>
      <x:c r="B2284" s="12" t="str">
        <x:v>Other accommodation</x:v>
      </x:c>
      <x:c r="C2284" s="12" t="str">
        <x:v>الزرقاء</x:v>
      </x:c>
      <x:c r="D2284" s="14" t="n">
        <x:v>1</x:v>
      </x:c>
      <x:c r="E2284" s="14" t="n">
        <x:f>VLOOKUP(C2284,'Governorate Master'!$A$2:$Q$13,3,FALSE)</x:f>
        <x:v>1704500</x:v>
      </x:c>
      <x:c r="F2284" s="66" t="n">
        <x:f>IF(E2284=0,0,D2284/E2284*10000)</x:f>
        <x:v>0.005866823115283074</x:v>
      </x:c>
      <x:c r="G2284" s="67" t="n">
        <x:f>VLOOKUP(C2284,'Governorate Master'!$A$2:$Q$13,7,FALSE)</x:f>
        <x:v>358</x:v>
      </x:c>
      <x:c r="H2284" s="20" t="n">
        <x:f>VLOOKUP(C2284,'Governorate Master'!$A$2:$Q$13,6,FALSE)</x:f>
        <x:v>0.9636256966852449</x:v>
      </x:c>
      <x:c r="I2284" s="20" t="n">
        <x:f>VLOOKUP(C2284,'Governorate Master'!$A$2:$Q$13,15,FALSE)</x:f>
        <x:v>-0.06808762581409118</x:v>
      </x:c>
      <x:c r="J2284" s="12" t="str">
        <x:v>Location model input - competition/saturation context</x:v>
      </x:c>
      <x:c r="K2284" s="12" t="str">
        <x:v>Business count is from 2018 while population/context indicators are newer; use as a historical proxy, not a current market count.</x:v>
      </x:c>
    </x:row>
    <x:row r="2285">
      <x:c r="A2285" s="12" t="str">
        <x:v>5590</x:v>
      </x:c>
      <x:c r="B2285" s="12" t="str">
        <x:v>Other accommodation</x:v>
      </x:c>
      <x:c r="C2285" s="12" t="str">
        <x:v>مادبا</x:v>
      </x:c>
      <x:c r="D2285" s="14" t="n">
        <x:v>0</x:v>
      </x:c>
      <x:c r="E2285" s="14" t="n">
        <x:f>VLOOKUP(C2285,'Governorate Master'!$A$2:$Q$13,3,FALSE)</x:f>
        <x:v>236200</x:v>
      </x:c>
      <x:c r="F2285" s="66" t="n">
        <x:f>IF(E2285=0,0,D2285/E2285*10000)</x:f>
        <x:v>0</x:v>
      </x:c>
      <x:c r="G2285" s="67" t="n">
        <x:f>VLOOKUP(C2285,'Governorate Master'!$A$2:$Q$13,7,FALSE)</x:f>
        <x:v>251.4</x:v>
      </x:c>
      <x:c r="H2285" s="20" t="n">
        <x:f>VLOOKUP(C2285,'Governorate Master'!$A$2:$Q$13,6,FALSE)</x:f>
        <x:v>0.7823878069432684</x:v>
      </x:c>
      <x:c r="I2285" s="20" t="n">
        <x:f>VLOOKUP(C2285,'Governorate Master'!$A$2:$Q$13,15,FALSE)</x:f>
        <x:v>-0.18823529411764706</x:v>
      </x:c>
      <x:c r="J2285" s="12" t="str">
        <x:v>Location model input - competition/saturation context</x:v>
      </x:c>
      <x:c r="K2285" s="12" t="str">
        <x:v>Business count is from 2018 while population/context indicators are newer; use as a historical proxy, not a current market count.</x:v>
      </x:c>
    </x:row>
    <x:row r="2286">
      <x:c r="A2286" s="12" t="str">
        <x:v>5590</x:v>
      </x:c>
      <x:c r="B2286" s="12" t="str">
        <x:v>Other accommodation</x:v>
      </x:c>
      <x:c r="C2286" s="12" t="str">
        <x:v>إربد</x:v>
      </x:c>
      <x:c r="D2286" s="14" t="n">
        <x:v>18</x:v>
      </x:c>
      <x:c r="E2286" s="14" t="n">
        <x:f>VLOOKUP(C2286,'Governorate Master'!$A$2:$Q$13,3,FALSE)</x:f>
        <x:v>2210500</x:v>
      </x:c>
      <x:c r="F2286" s="66" t="n">
        <x:f>IF(E2286=0,0,D2286/E2286*10000)</x:f>
        <x:v>0.081429540827867</x:v>
      </x:c>
      <x:c r="G2286" s="67" t="n">
        <x:f>VLOOKUP(C2286,'Governorate Master'!$A$2:$Q$13,7,FALSE)</x:f>
        <x:v>1406.4</x:v>
      </x:c>
      <x:c r="H2286" s="20" t="n">
        <x:f>VLOOKUP(C2286,'Governorate Master'!$A$2:$Q$13,6,FALSE)</x:f>
        <x:v>0.9235014702555983</x:v>
      </x:c>
      <x:c r="I2286" s="20" t="n">
        <x:f>VLOOKUP(C2286,'Governorate Master'!$A$2:$Q$13,15,FALSE)</x:f>
        <x:v>0.07086922474549726</x:v>
      </x:c>
      <x:c r="J2286" s="12" t="str">
        <x:v>Location model input - competition/saturation context</x:v>
      </x:c>
      <x:c r="K2286" s="12" t="str">
        <x:v>Business count is from 2018 while population/context indicators are newer; use as a historical proxy, not a current market count.</x:v>
      </x:c>
    </x:row>
    <x:row r="2287">
      <x:c r="A2287" s="12" t="str">
        <x:v>5590</x:v>
      </x:c>
      <x:c r="B2287" s="12" t="str">
        <x:v>Other accommodation</x:v>
      </x:c>
      <x:c r="C2287" s="12" t="str">
        <x:v>المفرق</x:v>
      </x:c>
      <x:c r="D2287" s="14" t="n">
        <x:v>4</x:v>
      </x:c>
      <x:c r="E2287" s="14" t="n">
        <x:f>VLOOKUP(C2287,'Governorate Master'!$A$2:$Q$13,3,FALSE)</x:f>
        <x:v>686800</x:v>
      </x:c>
      <x:c r="F2287" s="66" t="n">
        <x:f>IF(E2287=0,0,D2287/E2287*10000)</x:f>
        <x:v>0.05824111822947001</x:v>
      </x:c>
      <x:c r="G2287" s="67" t="n">
        <x:f>VLOOKUP(C2287,'Governorate Master'!$A$2:$Q$13,7,FALSE)</x:f>
        <x:v>25.9</x:v>
      </x:c>
      <x:c r="H2287" s="20" t="n">
        <x:f>VLOOKUP(C2287,'Governorate Master'!$A$2:$Q$13,6,FALSE)</x:f>
        <x:v>0.6965637740244612</x:v>
      </x:c>
      <x:c r="I2287" s="20" t="n">
        <x:f>VLOOKUP(C2287,'Governorate Master'!$A$2:$Q$13,15,FALSE)</x:f>
        <x:v>-0.016638935108153077</x:v>
      </x:c>
      <x:c r="J2287" s="12" t="str">
        <x:v>Location model input - competition/saturation context</x:v>
      </x:c>
      <x:c r="K2287" s="12" t="str">
        <x:v>Business count is from 2018 while population/context indicators are newer; use as a historical proxy, not a current market count.</x:v>
      </x:c>
    </x:row>
    <x:row r="2288">
      <x:c r="A2288" s="12" t="str">
        <x:v>5590</x:v>
      </x:c>
      <x:c r="B2288" s="12" t="str">
        <x:v>Other accommodation</x:v>
      </x:c>
      <x:c r="C2288" s="12" t="str">
        <x:v>جرش</x:v>
      </x:c>
      <x:c r="D2288" s="14" t="n">
        <x:v>0</x:v>
      </x:c>
      <x:c r="E2288" s="14" t="n">
        <x:f>VLOOKUP(C2288,'Governorate Master'!$A$2:$Q$13,3,FALSE)</x:f>
        <x:v>296000</x:v>
      </x:c>
      <x:c r="F2288" s="66" t="n">
        <x:f>IF(E2288=0,0,D2288/E2288*10000)</x:f>
        <x:v>0</x:v>
      </x:c>
      <x:c r="G2288" s="67" t="n">
        <x:f>VLOOKUP(C2288,'Governorate Master'!$A$2:$Q$13,7,FALSE)</x:f>
        <x:v>722.3</x:v>
      </x:c>
      <x:c r="H2288" s="20" t="n">
        <x:f>VLOOKUP(C2288,'Governorate Master'!$A$2:$Q$13,6,FALSE)</x:f>
        <x:v>0.7695945945945946</x:v>
      </x:c>
      <x:c r="I2288" s="20" t="n">
        <x:f>VLOOKUP(C2288,'Governorate Master'!$A$2:$Q$13,15,FALSE)</x:f>
        <x:v>-0.06527415143603134</x:v>
      </x:c>
      <x:c r="J2288" s="12" t="str">
        <x:v>Location model input - competition/saturation context</x:v>
      </x:c>
      <x:c r="K2288" s="12" t="str">
        <x:v>Business count is from 2018 while population/context indicators are newer; use as a historical proxy, not a current market count.</x:v>
      </x:c>
    </x:row>
    <x:row r="2289">
      <x:c r="A2289" s="12" t="str">
        <x:v>5590</x:v>
      </x:c>
      <x:c r="B2289" s="12" t="str">
        <x:v>Other accommodation</x:v>
      </x:c>
      <x:c r="C2289" s="12" t="str">
        <x:v>عجلون</x:v>
      </x:c>
      <x:c r="D2289" s="14" t="n">
        <x:v>0</x:v>
      </x:c>
      <x:c r="E2289" s="14" t="n">
        <x:f>VLOOKUP(C2289,'Governorate Master'!$A$2:$Q$13,3,FALSE)</x:f>
        <x:v>219900</x:v>
      </x:c>
      <x:c r="F2289" s="66" t="n">
        <x:f>IF(E2289=0,0,D2289/E2289*10000)</x:f>
        <x:v>0</x:v>
      </x:c>
      <x:c r="G2289" s="67" t="n">
        <x:f>VLOOKUP(C2289,'Governorate Master'!$A$2:$Q$13,7,FALSE)</x:f>
        <x:v>524</x:v>
      </x:c>
      <x:c r="H2289" s="20" t="n">
        <x:f>VLOOKUP(C2289,'Governorate Master'!$A$2:$Q$13,6,FALSE)</x:f>
        <x:v>0.8390177353342428</x:v>
      </x:c>
      <x:c r="I2289" s="20" t="n">
        <x:f>VLOOKUP(C2289,'Governorate Master'!$A$2:$Q$13,15,FALSE)</x:f>
        <x:v>0.03614457831325301</x:v>
      </x:c>
      <x:c r="J2289" s="12" t="str">
        <x:v>Location model input - competition/saturation context</x:v>
      </x:c>
      <x:c r="K2289" s="12" t="str">
        <x:v>Business count is from 2018 while population/context indicators are newer; use as a historical proxy, not a current market count.</x:v>
      </x:c>
    </x:row>
    <x:row r="2290">
      <x:c r="A2290" s="12" t="str">
        <x:v>5590</x:v>
      </x:c>
      <x:c r="B2290" s="12" t="str">
        <x:v>Other accommodation</x:v>
      </x:c>
      <x:c r="C2290" s="12" t="str">
        <x:v>الكرك</x:v>
      </x:c>
      <x:c r="D2290" s="14" t="n">
        <x:v>41</x:v>
      </x:c>
      <x:c r="E2290" s="14" t="n">
        <x:f>VLOOKUP(C2290,'Governorate Master'!$A$2:$Q$13,3,FALSE)</x:f>
        <x:v>395400</x:v>
      </x:c>
      <x:c r="F2290" s="66" t="n">
        <x:f>IF(E2290=0,0,D2290/E2290*10000)</x:f>
        <x:v>1.0369246332827518</x:v>
      </x:c>
      <x:c r="G2290" s="67" t="n">
        <x:f>VLOOKUP(C2290,'Governorate Master'!$A$2:$Q$13,7,FALSE)</x:f>
        <x:v>113.1</x:v>
      </x:c>
      <x:c r="H2290" s="20" t="n">
        <x:f>VLOOKUP(C2290,'Governorate Master'!$A$2:$Q$13,6,FALSE)</x:f>
        <x:v>0.5912999494183105</x:v>
      </x:c>
      <x:c r="I2290" s="20" t="n">
        <x:f>VLOOKUP(C2290,'Governorate Master'!$A$2:$Q$13,15,FALSE)</x:f>
        <x:v>0.08710801393728224</x:v>
      </x:c>
      <x:c r="J2290" s="12" t="str">
        <x:v>Location model input - competition/saturation context</x:v>
      </x:c>
      <x:c r="K2290" s="12" t="str">
        <x:v>Business count is from 2018 while population/context indicators are newer; use as a historical proxy, not a current market count.</x:v>
      </x:c>
    </x:row>
    <x:row r="2291">
      <x:c r="A2291" s="12" t="str">
        <x:v>5590</x:v>
      </x:c>
      <x:c r="B2291" s="12" t="str">
        <x:v>Other accommodation</x:v>
      </x:c>
      <x:c r="C2291" s="12" t="str">
        <x:v>الطفيلة</x:v>
      </x:c>
      <x:c r="D2291" s="14" t="n">
        <x:v>1</x:v>
      </x:c>
      <x:c r="E2291" s="14" t="n">
        <x:f>VLOOKUP(C2291,'Governorate Master'!$A$2:$Q$13,3,FALSE)</x:f>
        <x:v>120300</x:v>
      </x:c>
      <x:c r="F2291" s="66" t="n">
        <x:f>IF(E2291=0,0,D2291/E2291*10000)</x:f>
        <x:v>0.0831255195344971</x:v>
      </x:c>
      <x:c r="G2291" s="67" t="n">
        <x:f>VLOOKUP(C2291,'Governorate Master'!$A$2:$Q$13,7,FALSE)</x:f>
        <x:v>54.4</x:v>
      </x:c>
      <x:c r="H2291" s="20" t="n">
        <x:f>VLOOKUP(C2291,'Governorate Master'!$A$2:$Q$13,6,FALSE)</x:f>
        <x:v>0.7797173732335827</x:v>
      </x:c>
      <x:c r="I2291" s="20" t="n">
        <x:f>VLOOKUP(C2291,'Governorate Master'!$A$2:$Q$13,15,FALSE)</x:f>
        <x:v>0.18452380952380953</x:v>
      </x:c>
      <x:c r="J2291" s="12" t="str">
        <x:v>Location model input - competition/saturation context</x:v>
      </x:c>
      <x:c r="K2291" s="12" t="str">
        <x:v>Business count is from 2018 while population/context indicators are newer; use as a historical proxy, not a current market count.</x:v>
      </x:c>
    </x:row>
    <x:row r="2292">
      <x:c r="A2292" s="12" t="str">
        <x:v>5590</x:v>
      </x:c>
      <x:c r="B2292" s="12" t="str">
        <x:v>Other accommodation</x:v>
      </x:c>
      <x:c r="C2292" s="12" t="str">
        <x:v>معان</x:v>
      </x:c>
      <x:c r="D2292" s="14" t="n">
        <x:v>2</x:v>
      </x:c>
      <x:c r="E2292" s="14" t="n">
        <x:f>VLOOKUP(C2292,'Governorate Master'!$A$2:$Q$13,3,FALSE)</x:f>
        <x:v>197900</x:v>
      </x:c>
      <x:c r="F2292" s="66" t="n">
        <x:f>IF(E2292=0,0,D2292/E2292*10000)</x:f>
        <x:v>0.1010611419909045</x:v>
      </x:c>
      <x:c r="G2292" s="67" t="n">
        <x:f>VLOOKUP(C2292,'Governorate Master'!$A$2:$Q$13,7,FALSE)</x:f>
        <x:v>6</x:v>
      </x:c>
      <x:c r="H2292" s="20" t="n">
        <x:f>VLOOKUP(C2292,'Governorate Master'!$A$2:$Q$13,6,FALSE)</x:f>
        <x:v>0.5406771096513391</x:v>
      </x:c>
      <x:c r="I2292" s="20" t="n">
        <x:f>VLOOKUP(C2292,'Governorate Master'!$A$2:$Q$13,15,FALSE)</x:f>
        <x:v>0.026845637583892617</x:v>
      </x:c>
      <x:c r="J2292" s="12" t="str">
        <x:v>Location model input - competition/saturation context</x:v>
      </x:c>
      <x:c r="K2292" s="12" t="str">
        <x:v>Business count is from 2018 while population/context indicators are newer; use as a historical proxy, not a current market count.</x:v>
      </x:c>
    </x:row>
    <x:row r="2293">
      <x:c r="A2293" s="12" t="str">
        <x:v>5590</x:v>
      </x:c>
      <x:c r="B2293" s="12" t="str">
        <x:v>Other accommodation</x:v>
      </x:c>
      <x:c r="C2293" s="12" t="str">
        <x:v>العقبة</x:v>
      </x:c>
      <x:c r="D2293" s="14" t="n">
        <x:v>0</x:v>
      </x:c>
      <x:c r="E2293" s="14" t="n">
        <x:f>VLOOKUP(C2293,'Governorate Master'!$A$2:$Q$13,3,FALSE)</x:f>
        <x:v>250900</x:v>
      </x:c>
      <x:c r="F2293" s="66" t="n">
        <x:f>IF(E2293=0,0,D2293/E2293*10000)</x:f>
        <x:v>0</x:v>
      </x:c>
      <x:c r="G2293" s="67" t="n">
        <x:f>VLOOKUP(C2293,'Governorate Master'!$A$2:$Q$13,7,FALSE)</x:f>
        <x:v>36.3</x:v>
      </x:c>
      <x:c r="H2293" s="20" t="n">
        <x:f>VLOOKUP(C2293,'Governorate Master'!$A$2:$Q$13,6,FALSE)</x:f>
        <x:v>0.882024711040255</x:v>
      </x:c>
      <x:c r="I2293" s="20" t="n">
        <x:f>VLOOKUP(C2293,'Governorate Master'!$A$2:$Q$13,15,FALSE)</x:f>
        <x:v>-0.09</x:v>
      </x:c>
      <x:c r="J2293" s="12" t="str">
        <x:v>Location model input - competition/saturation context</x:v>
      </x:c>
      <x:c r="K2293" s="12" t="str">
        <x:v>Business count is from 2018 while population/context indicators are newer; use as a historical proxy, not a current market count.</x:v>
      </x:c>
    </x:row>
    <x:row r="2294">
      <x:c r="A2294" s="12" t="str">
        <x:v>5610</x:v>
      </x:c>
      <x:c r="B2294" s="12" t="str">
        <x:v>Restaurants and mobile food service activities</x:v>
      </x:c>
      <x:c r="C2294" s="12" t="str">
        <x:v>عمان</x:v>
      </x:c>
      <x:c r="D2294" s="14" t="n">
        <x:v>2680</x:v>
      </x:c>
      <x:c r="E2294" s="14" t="n">
        <x:f>VLOOKUP(C2294,'Governorate Master'!$A$2:$Q$13,3,FALSE)</x:f>
        <x:v>5004600</x:v>
      </x:c>
      <x:c r="F2294" s="66" t="n">
        <x:f>IF(E2294=0,0,D2294/E2294*10000)</x:f>
        <x:v>5.35507333253407</x:v>
      </x:c>
      <x:c r="G2294" s="67" t="n">
        <x:f>VLOOKUP(C2294,'Governorate Master'!$A$2:$Q$13,7,FALSE)</x:f>
        <x:v>660.3</x:v>
      </x:c>
      <x:c r="H2294" s="20" t="n">
        <x:f>VLOOKUP(C2294,'Governorate Master'!$A$2:$Q$13,6,FALSE)</x:f>
        <x:v>0.9721656076409703</x:v>
      </x:c>
      <x:c r="I2294" s="20" t="n">
        <x:f>VLOOKUP(C2294,'Governorate Master'!$A$2:$Q$13,15,FALSE)</x:f>
        <x:v>0.06367041198501873</x:v>
      </x:c>
      <x:c r="J2294" s="12" t="str">
        <x:v>Location model input - competition/saturation context</x:v>
      </x:c>
      <x:c r="K2294" s="12" t="str">
        <x:v>Business count is from 2018 while population/context indicators are newer; use as a historical proxy, not a current market count.</x:v>
      </x:c>
    </x:row>
    <x:row r="2295">
      <x:c r="A2295" s="12" t="str">
        <x:v>5610</x:v>
      </x:c>
      <x:c r="B2295" s="12" t="str">
        <x:v>Restaurants and mobile food service activities</x:v>
      </x:c>
      <x:c r="C2295" s="12" t="str">
        <x:v>البلقاء</x:v>
      </x:c>
      <x:c r="D2295" s="14" t="n">
        <x:v>483</x:v>
      </x:c>
      <x:c r="E2295" s="14" t="n">
        <x:f>VLOOKUP(C2295,'Governorate Master'!$A$2:$Q$13,3,FALSE)</x:f>
        <x:v>614000</x:v>
      </x:c>
      <x:c r="F2295" s="66" t="n">
        <x:f>IF(E2295=0,0,D2295/E2295*10000)</x:f>
        <x:v>7.866449511400651</x:v>
      </x:c>
      <x:c r="G2295" s="67" t="n">
        <x:f>VLOOKUP(C2295,'Governorate Master'!$A$2:$Q$13,7,FALSE)</x:f>
        <x:v>548</x:v>
      </x:c>
      <x:c r="H2295" s="20" t="n">
        <x:f>VLOOKUP(C2295,'Governorate Master'!$A$2:$Q$13,6,FALSE)</x:f>
        <x:v>0.8210097719869707</x:v>
      </x:c>
      <x:c r="I2295" s="20" t="n">
        <x:f>VLOOKUP(C2295,'Governorate Master'!$A$2:$Q$13,15,FALSE)</x:f>
        <x:v>0.10794044665012408</x:v>
      </x:c>
      <x:c r="J2295" s="12" t="str">
        <x:v>Location model input - competition/saturation context</x:v>
      </x:c>
      <x:c r="K2295" s="12" t="str">
        <x:v>Business count is from 2018 while population/context indicators are newer; use as a historical proxy, not a current market count.</x:v>
      </x:c>
    </x:row>
    <x:row r="2296">
      <x:c r="A2296" s="12" t="str">
        <x:v>5610</x:v>
      </x:c>
      <x:c r="B2296" s="12" t="str">
        <x:v>Restaurants and mobile food service activities</x:v>
      </x:c>
      <x:c r="C2296" s="12" t="str">
        <x:v>الزرقاء</x:v>
      </x:c>
      <x:c r="D2296" s="14" t="n">
        <x:v>876</x:v>
      </x:c>
      <x:c r="E2296" s="14" t="n">
        <x:f>VLOOKUP(C2296,'Governorate Master'!$A$2:$Q$13,3,FALSE)</x:f>
        <x:v>1704500</x:v>
      </x:c>
      <x:c r="F2296" s="66" t="n">
        <x:f>IF(E2296=0,0,D2296/E2296*10000)</x:f>
        <x:v>5.139337048987973</x:v>
      </x:c>
      <x:c r="G2296" s="67" t="n">
        <x:f>VLOOKUP(C2296,'Governorate Master'!$A$2:$Q$13,7,FALSE)</x:f>
        <x:v>358</x:v>
      </x:c>
      <x:c r="H2296" s="20" t="n">
        <x:f>VLOOKUP(C2296,'Governorate Master'!$A$2:$Q$13,6,FALSE)</x:f>
        <x:v>0.9636256966852449</x:v>
      </x:c>
      <x:c r="I2296" s="20" t="n">
        <x:f>VLOOKUP(C2296,'Governorate Master'!$A$2:$Q$13,15,FALSE)</x:f>
        <x:v>-0.06808762581409118</x:v>
      </x:c>
      <x:c r="J2296" s="12" t="str">
        <x:v>Location model input - competition/saturation context</x:v>
      </x:c>
      <x:c r="K2296" s="12" t="str">
        <x:v>Business count is from 2018 while population/context indicators are newer; use as a historical proxy, not a current market count.</x:v>
      </x:c>
    </x:row>
    <x:row r="2297">
      <x:c r="A2297" s="12" t="str">
        <x:v>5610</x:v>
      </x:c>
      <x:c r="B2297" s="12" t="str">
        <x:v>Restaurants and mobile food service activities</x:v>
      </x:c>
      <x:c r="C2297" s="12" t="str">
        <x:v>مادبا</x:v>
      </x:c>
      <x:c r="D2297" s="14" t="n">
        <x:v>173</x:v>
      </x:c>
      <x:c r="E2297" s="14" t="n">
        <x:f>VLOOKUP(C2297,'Governorate Master'!$A$2:$Q$13,3,FALSE)</x:f>
        <x:v>236200</x:v>
      </x:c>
      <x:c r="F2297" s="66" t="n">
        <x:f>IF(E2297=0,0,D2297/E2297*10000)</x:f>
        <x:v>7.324301439458087</x:v>
      </x:c>
      <x:c r="G2297" s="67" t="n">
        <x:f>VLOOKUP(C2297,'Governorate Master'!$A$2:$Q$13,7,FALSE)</x:f>
        <x:v>251.4</x:v>
      </x:c>
      <x:c r="H2297" s="20" t="n">
        <x:f>VLOOKUP(C2297,'Governorate Master'!$A$2:$Q$13,6,FALSE)</x:f>
        <x:v>0.7823878069432684</x:v>
      </x:c>
      <x:c r="I2297" s="20" t="n">
        <x:f>VLOOKUP(C2297,'Governorate Master'!$A$2:$Q$13,15,FALSE)</x:f>
        <x:v>-0.18823529411764706</x:v>
      </x:c>
      <x:c r="J2297" s="12" t="str">
        <x:v>Location model input - competition/saturation context</x:v>
      </x:c>
      <x:c r="K2297" s="12" t="str">
        <x:v>Business count is from 2018 while population/context indicators are newer; use as a historical proxy, not a current market count.</x:v>
      </x:c>
    </x:row>
    <x:row r="2298">
      <x:c r="A2298" s="12" t="str">
        <x:v>5610</x:v>
      </x:c>
      <x:c r="B2298" s="12" t="str">
        <x:v>Restaurants and mobile food service activities</x:v>
      </x:c>
      <x:c r="C2298" s="12" t="str">
        <x:v>إربد</x:v>
      </x:c>
      <x:c r="D2298" s="14" t="n">
        <x:v>933</x:v>
      </x:c>
      <x:c r="E2298" s="14" t="n">
        <x:f>VLOOKUP(C2298,'Governorate Master'!$A$2:$Q$13,3,FALSE)</x:f>
        <x:v>2210500</x:v>
      </x:c>
      <x:c r="F2298" s="66" t="n">
        <x:f>IF(E2298=0,0,D2298/E2298*10000)</x:f>
        <x:v>4.220764532911106</x:v>
      </x:c>
      <x:c r="G2298" s="67" t="n">
        <x:f>VLOOKUP(C2298,'Governorate Master'!$A$2:$Q$13,7,FALSE)</x:f>
        <x:v>1406.4</x:v>
      </x:c>
      <x:c r="H2298" s="20" t="n">
        <x:f>VLOOKUP(C2298,'Governorate Master'!$A$2:$Q$13,6,FALSE)</x:f>
        <x:v>0.9235014702555983</x:v>
      </x:c>
      <x:c r="I2298" s="20" t="n">
        <x:f>VLOOKUP(C2298,'Governorate Master'!$A$2:$Q$13,15,FALSE)</x:f>
        <x:v>0.07086922474549726</x:v>
      </x:c>
      <x:c r="J2298" s="12" t="str">
        <x:v>Location model input - competition/saturation context</x:v>
      </x:c>
      <x:c r="K2298" s="12" t="str">
        <x:v>Business count is from 2018 while population/context indicators are newer; use as a historical proxy, not a current market count.</x:v>
      </x:c>
    </x:row>
    <x:row r="2299">
      <x:c r="A2299" s="12" t="str">
        <x:v>5610</x:v>
      </x:c>
      <x:c r="B2299" s="12" t="str">
        <x:v>Restaurants and mobile food service activities</x:v>
      </x:c>
      <x:c r="C2299" s="12" t="str">
        <x:v>المفرق</x:v>
      </x:c>
      <x:c r="D2299" s="14" t="n">
        <x:v>227</x:v>
      </x:c>
      <x:c r="E2299" s="14" t="n">
        <x:f>VLOOKUP(C2299,'Governorate Master'!$A$2:$Q$13,3,FALSE)</x:f>
        <x:v>686800</x:v>
      </x:c>
      <x:c r="F2299" s="66" t="n">
        <x:f>IF(E2299=0,0,D2299/E2299*10000)</x:f>
        <x:v>3.305183459522423</x:v>
      </x:c>
      <x:c r="G2299" s="67" t="n">
        <x:f>VLOOKUP(C2299,'Governorate Master'!$A$2:$Q$13,7,FALSE)</x:f>
        <x:v>25.9</x:v>
      </x:c>
      <x:c r="H2299" s="20" t="n">
        <x:f>VLOOKUP(C2299,'Governorate Master'!$A$2:$Q$13,6,FALSE)</x:f>
        <x:v>0.6965637740244612</x:v>
      </x:c>
      <x:c r="I2299" s="20" t="n">
        <x:f>VLOOKUP(C2299,'Governorate Master'!$A$2:$Q$13,15,FALSE)</x:f>
        <x:v>-0.016638935108153077</x:v>
      </x:c>
      <x:c r="J2299" s="12" t="str">
        <x:v>Location model input - competition/saturation context</x:v>
      </x:c>
      <x:c r="K2299" s="12" t="str">
        <x:v>Business count is from 2018 while population/context indicators are newer; use as a historical proxy, not a current market count.</x:v>
      </x:c>
    </x:row>
    <x:row r="2300">
      <x:c r="A2300" s="12" t="str">
        <x:v>5610</x:v>
      </x:c>
      <x:c r="B2300" s="12" t="str">
        <x:v>Restaurants and mobile food service activities</x:v>
      </x:c>
      <x:c r="C2300" s="12" t="str">
        <x:v>جرش</x:v>
      </x:c>
      <x:c r="D2300" s="14" t="n">
        <x:v>166</x:v>
      </x:c>
      <x:c r="E2300" s="14" t="n">
        <x:f>VLOOKUP(C2300,'Governorate Master'!$A$2:$Q$13,3,FALSE)</x:f>
        <x:v>296000</x:v>
      </x:c>
      <x:c r="F2300" s="66" t="n">
        <x:f>IF(E2300=0,0,D2300/E2300*10000)</x:f>
        <x:v>5.608108108108108</x:v>
      </x:c>
      <x:c r="G2300" s="67" t="n">
        <x:f>VLOOKUP(C2300,'Governorate Master'!$A$2:$Q$13,7,FALSE)</x:f>
        <x:v>722.3</x:v>
      </x:c>
      <x:c r="H2300" s="20" t="n">
        <x:f>VLOOKUP(C2300,'Governorate Master'!$A$2:$Q$13,6,FALSE)</x:f>
        <x:v>0.7695945945945946</x:v>
      </x:c>
      <x:c r="I2300" s="20" t="n">
        <x:f>VLOOKUP(C2300,'Governorate Master'!$A$2:$Q$13,15,FALSE)</x:f>
        <x:v>-0.06527415143603134</x:v>
      </x:c>
      <x:c r="J2300" s="12" t="str">
        <x:v>Location model input - competition/saturation context</x:v>
      </x:c>
      <x:c r="K2300" s="12" t="str">
        <x:v>Business count is from 2018 while population/context indicators are newer; use as a historical proxy, not a current market count.</x:v>
      </x:c>
    </x:row>
    <x:row r="2301">
      <x:c r="A2301" s="12" t="str">
        <x:v>5610</x:v>
      </x:c>
      <x:c r="B2301" s="12" t="str">
        <x:v>Restaurants and mobile food service activities</x:v>
      </x:c>
      <x:c r="C2301" s="12" t="str">
        <x:v>عجلون</x:v>
      </x:c>
      <x:c r="D2301" s="14" t="n">
        <x:v>128</x:v>
      </x:c>
      <x:c r="E2301" s="14" t="n">
        <x:f>VLOOKUP(C2301,'Governorate Master'!$A$2:$Q$13,3,FALSE)</x:f>
        <x:v>219900</x:v>
      </x:c>
      <x:c r="F2301" s="66" t="n">
        <x:f>IF(E2301=0,0,D2301/E2301*10000)</x:f>
        <x:v>5.820827648931332</x:v>
      </x:c>
      <x:c r="G2301" s="67" t="n">
        <x:f>VLOOKUP(C2301,'Governorate Master'!$A$2:$Q$13,7,FALSE)</x:f>
        <x:v>524</x:v>
      </x:c>
      <x:c r="H2301" s="20" t="n">
        <x:f>VLOOKUP(C2301,'Governorate Master'!$A$2:$Q$13,6,FALSE)</x:f>
        <x:v>0.8390177353342428</x:v>
      </x:c>
      <x:c r="I2301" s="20" t="n">
        <x:f>VLOOKUP(C2301,'Governorate Master'!$A$2:$Q$13,15,FALSE)</x:f>
        <x:v>0.03614457831325301</x:v>
      </x:c>
      <x:c r="J2301" s="12" t="str">
        <x:v>Location model input - competition/saturation context</x:v>
      </x:c>
      <x:c r="K2301" s="12" t="str">
        <x:v>Business count is from 2018 while population/context indicators are newer; use as a historical proxy, not a current market count.</x:v>
      </x:c>
    </x:row>
    <x:row r="2302">
      <x:c r="A2302" s="12" t="str">
        <x:v>5610</x:v>
      </x:c>
      <x:c r="B2302" s="12" t="str">
        <x:v>Restaurants and mobile food service activities</x:v>
      </x:c>
      <x:c r="C2302" s="12" t="str">
        <x:v>الكرك</x:v>
      </x:c>
      <x:c r="D2302" s="14" t="n">
        <x:v>207</x:v>
      </x:c>
      <x:c r="E2302" s="14" t="n">
        <x:f>VLOOKUP(C2302,'Governorate Master'!$A$2:$Q$13,3,FALSE)</x:f>
        <x:v>395400</x:v>
      </x:c>
      <x:c r="F2302" s="66" t="n">
        <x:f>IF(E2302=0,0,D2302/E2302*10000)</x:f>
        <x:v>5.235204855842185</x:v>
      </x:c>
      <x:c r="G2302" s="67" t="n">
        <x:f>VLOOKUP(C2302,'Governorate Master'!$A$2:$Q$13,7,FALSE)</x:f>
        <x:v>113.1</x:v>
      </x:c>
      <x:c r="H2302" s="20" t="n">
        <x:f>VLOOKUP(C2302,'Governorate Master'!$A$2:$Q$13,6,FALSE)</x:f>
        <x:v>0.5912999494183105</x:v>
      </x:c>
      <x:c r="I2302" s="20" t="n">
        <x:f>VLOOKUP(C2302,'Governorate Master'!$A$2:$Q$13,15,FALSE)</x:f>
        <x:v>0.08710801393728224</x:v>
      </x:c>
      <x:c r="J2302" s="12" t="str">
        <x:v>Location model input - competition/saturation context</x:v>
      </x:c>
      <x:c r="K2302" s="12" t="str">
        <x:v>Business count is from 2018 while population/context indicators are newer; use as a historical proxy, not a current market count.</x:v>
      </x:c>
    </x:row>
    <x:row r="2303">
      <x:c r="A2303" s="12" t="str">
        <x:v>5610</x:v>
      </x:c>
      <x:c r="B2303" s="12" t="str">
        <x:v>Restaurants and mobile food service activities</x:v>
      </x:c>
      <x:c r="C2303" s="12" t="str">
        <x:v>الطفيلة</x:v>
      </x:c>
      <x:c r="D2303" s="14" t="n">
        <x:v>95</x:v>
      </x:c>
      <x:c r="E2303" s="14" t="n">
        <x:f>VLOOKUP(C2303,'Governorate Master'!$A$2:$Q$13,3,FALSE)</x:f>
        <x:v>120300</x:v>
      </x:c>
      <x:c r="F2303" s="66" t="n">
        <x:f>IF(E2303=0,0,D2303/E2303*10000)</x:f>
        <x:v>7.896924355777224</x:v>
      </x:c>
      <x:c r="G2303" s="67" t="n">
        <x:f>VLOOKUP(C2303,'Governorate Master'!$A$2:$Q$13,7,FALSE)</x:f>
        <x:v>54.4</x:v>
      </x:c>
      <x:c r="H2303" s="20" t="n">
        <x:f>VLOOKUP(C2303,'Governorate Master'!$A$2:$Q$13,6,FALSE)</x:f>
        <x:v>0.7797173732335827</x:v>
      </x:c>
      <x:c r="I2303" s="20" t="n">
        <x:f>VLOOKUP(C2303,'Governorate Master'!$A$2:$Q$13,15,FALSE)</x:f>
        <x:v>0.18452380952380953</x:v>
      </x:c>
      <x:c r="J2303" s="12" t="str">
        <x:v>Location model input - competition/saturation context</x:v>
      </x:c>
      <x:c r="K2303" s="12" t="str">
        <x:v>Business count is from 2018 while population/context indicators are newer; use as a historical proxy, not a current market count.</x:v>
      </x:c>
    </x:row>
    <x:row r="2304">
      <x:c r="A2304" s="12" t="str">
        <x:v>5610</x:v>
      </x:c>
      <x:c r="B2304" s="12" t="str">
        <x:v>Restaurants and mobile food service activities</x:v>
      </x:c>
      <x:c r="C2304" s="12" t="str">
        <x:v>معان</x:v>
      </x:c>
      <x:c r="D2304" s="14" t="n">
        <x:v>116</x:v>
      </x:c>
      <x:c r="E2304" s="14" t="n">
        <x:f>VLOOKUP(C2304,'Governorate Master'!$A$2:$Q$13,3,FALSE)</x:f>
        <x:v>197900</x:v>
      </x:c>
      <x:c r="F2304" s="66" t="n">
        <x:f>IF(E2304=0,0,D2304/E2304*10000)</x:f>
        <x:v>5.861546235472461</x:v>
      </x:c>
      <x:c r="G2304" s="67" t="n">
        <x:f>VLOOKUP(C2304,'Governorate Master'!$A$2:$Q$13,7,FALSE)</x:f>
        <x:v>6</x:v>
      </x:c>
      <x:c r="H2304" s="20" t="n">
        <x:f>VLOOKUP(C2304,'Governorate Master'!$A$2:$Q$13,6,FALSE)</x:f>
        <x:v>0.5406771096513391</x:v>
      </x:c>
      <x:c r="I2304" s="20" t="n">
        <x:f>VLOOKUP(C2304,'Governorate Master'!$A$2:$Q$13,15,FALSE)</x:f>
        <x:v>0.026845637583892617</x:v>
      </x:c>
      <x:c r="J2304" s="12" t="str">
        <x:v>Location model input - competition/saturation context</x:v>
      </x:c>
      <x:c r="K2304" s="12" t="str">
        <x:v>Business count is from 2018 while population/context indicators are newer; use as a historical proxy, not a current market count.</x:v>
      </x:c>
    </x:row>
    <x:row r="2305">
      <x:c r="A2305" s="12" t="str">
        <x:v>5610</x:v>
      </x:c>
      <x:c r="B2305" s="12" t="str">
        <x:v>Restaurants and mobile food service activities</x:v>
      </x:c>
      <x:c r="C2305" s="12" t="str">
        <x:v>العقبة</x:v>
      </x:c>
      <x:c r="D2305" s="14" t="n">
        <x:v>219</x:v>
      </x:c>
      <x:c r="E2305" s="14" t="n">
        <x:f>VLOOKUP(C2305,'Governorate Master'!$A$2:$Q$13,3,FALSE)</x:f>
        <x:v>250900</x:v>
      </x:c>
      <x:c r="F2305" s="66" t="n">
        <x:f>IF(E2305=0,0,D2305/E2305*10000)</x:f>
        <x:v>8.728577122359505</x:v>
      </x:c>
      <x:c r="G2305" s="67" t="n">
        <x:f>VLOOKUP(C2305,'Governorate Master'!$A$2:$Q$13,7,FALSE)</x:f>
        <x:v>36.3</x:v>
      </x:c>
      <x:c r="H2305" s="20" t="n">
        <x:f>VLOOKUP(C2305,'Governorate Master'!$A$2:$Q$13,6,FALSE)</x:f>
        <x:v>0.882024711040255</x:v>
      </x:c>
      <x:c r="I2305" s="20" t="n">
        <x:f>VLOOKUP(C2305,'Governorate Master'!$A$2:$Q$13,15,FALSE)</x:f>
        <x:v>-0.09</x:v>
      </x:c>
      <x:c r="J2305" s="12" t="str">
        <x:v>Location model input - competition/saturation context</x:v>
      </x:c>
      <x:c r="K2305" s="12" t="str">
        <x:v>Business count is from 2018 while population/context indicators are newer; use as a historical proxy, not a current market count.</x:v>
      </x:c>
    </x:row>
    <x:row r="2306">
      <x:c r="A2306" s="12" t="str">
        <x:v>5621</x:v>
      </x:c>
      <x:c r="B2306" s="12" t="str">
        <x:v>Event catering</x:v>
      </x:c>
      <x:c r="C2306" s="12" t="str">
        <x:v>عمان</x:v>
      </x:c>
      <x:c r="D2306" s="14" t="n">
        <x:v>39</x:v>
      </x:c>
      <x:c r="E2306" s="14" t="n">
        <x:f>VLOOKUP(C2306,'Governorate Master'!$A$2:$Q$13,3,FALSE)</x:f>
        <x:v>5004600</x:v>
      </x:c>
      <x:c r="F2306" s="66" t="n">
        <x:f>IF(E2306=0,0,D2306/E2306*10000)</x:f>
        <x:v>0.07792830595851817</x:v>
      </x:c>
      <x:c r="G2306" s="67" t="n">
        <x:f>VLOOKUP(C2306,'Governorate Master'!$A$2:$Q$13,7,FALSE)</x:f>
        <x:v>660.3</x:v>
      </x:c>
      <x:c r="H2306" s="20" t="n">
        <x:f>VLOOKUP(C2306,'Governorate Master'!$A$2:$Q$13,6,FALSE)</x:f>
        <x:v>0.9721656076409703</x:v>
      </x:c>
      <x:c r="I2306" s="20" t="n">
        <x:f>VLOOKUP(C2306,'Governorate Master'!$A$2:$Q$13,15,FALSE)</x:f>
        <x:v>0.06367041198501873</x:v>
      </x:c>
      <x:c r="J2306" s="12" t="str">
        <x:v>Location model input - competition/saturation context</x:v>
      </x:c>
      <x:c r="K2306" s="12" t="str">
        <x:v>Business count is from 2018 while population/context indicators are newer; use as a historical proxy, not a current market count.</x:v>
      </x:c>
    </x:row>
    <x:row r="2307">
      <x:c r="A2307" s="12" t="str">
        <x:v>5621</x:v>
      </x:c>
      <x:c r="B2307" s="12" t="str">
        <x:v>Event catering</x:v>
      </x:c>
      <x:c r="C2307" s="12" t="str">
        <x:v>البلقاء</x:v>
      </x:c>
      <x:c r="D2307" s="14" t="n">
        <x:v>11</x:v>
      </x:c>
      <x:c r="E2307" s="14" t="n">
        <x:f>VLOOKUP(C2307,'Governorate Master'!$A$2:$Q$13,3,FALSE)</x:f>
        <x:v>614000</x:v>
      </x:c>
      <x:c r="F2307" s="66" t="n">
        <x:f>IF(E2307=0,0,D2307/E2307*10000)</x:f>
        <x:v>0.1791530944625407</x:v>
      </x:c>
      <x:c r="G2307" s="67" t="n">
        <x:f>VLOOKUP(C2307,'Governorate Master'!$A$2:$Q$13,7,FALSE)</x:f>
        <x:v>548</x:v>
      </x:c>
      <x:c r="H2307" s="20" t="n">
        <x:f>VLOOKUP(C2307,'Governorate Master'!$A$2:$Q$13,6,FALSE)</x:f>
        <x:v>0.8210097719869707</x:v>
      </x:c>
      <x:c r="I2307" s="20" t="n">
        <x:f>VLOOKUP(C2307,'Governorate Master'!$A$2:$Q$13,15,FALSE)</x:f>
        <x:v>0.10794044665012408</x:v>
      </x:c>
      <x:c r="J2307" s="12" t="str">
        <x:v>Location model input - competition/saturation context</x:v>
      </x:c>
      <x:c r="K2307" s="12" t="str">
        <x:v>Business count is from 2018 while population/context indicators are newer; use as a historical proxy, not a current market count.</x:v>
      </x:c>
    </x:row>
    <x:row r="2308">
      <x:c r="A2308" s="12" t="str">
        <x:v>5621</x:v>
      </x:c>
      <x:c r="B2308" s="12" t="str">
        <x:v>Event catering</x:v>
      </x:c>
      <x:c r="C2308" s="12" t="str">
        <x:v>الزرقاء</x:v>
      </x:c>
      <x:c r="D2308" s="14" t="n">
        <x:v>2</x:v>
      </x:c>
      <x:c r="E2308" s="14" t="n">
        <x:f>VLOOKUP(C2308,'Governorate Master'!$A$2:$Q$13,3,FALSE)</x:f>
        <x:v>1704500</x:v>
      </x:c>
      <x:c r="F2308" s="66" t="n">
        <x:f>IF(E2308=0,0,D2308/E2308*10000)</x:f>
        <x:v>0.011733646230566148</x:v>
      </x:c>
      <x:c r="G2308" s="67" t="n">
        <x:f>VLOOKUP(C2308,'Governorate Master'!$A$2:$Q$13,7,FALSE)</x:f>
        <x:v>358</x:v>
      </x:c>
      <x:c r="H2308" s="20" t="n">
        <x:f>VLOOKUP(C2308,'Governorate Master'!$A$2:$Q$13,6,FALSE)</x:f>
        <x:v>0.9636256966852449</x:v>
      </x:c>
      <x:c r="I2308" s="20" t="n">
        <x:f>VLOOKUP(C2308,'Governorate Master'!$A$2:$Q$13,15,FALSE)</x:f>
        <x:v>-0.06808762581409118</x:v>
      </x:c>
      <x:c r="J2308" s="12" t="str">
        <x:v>Location model input - competition/saturation context</x:v>
      </x:c>
      <x:c r="K2308" s="12" t="str">
        <x:v>Business count is from 2018 while population/context indicators are newer; use as a historical proxy, not a current market count.</x:v>
      </x:c>
    </x:row>
    <x:row r="2309">
      <x:c r="A2309" s="12" t="str">
        <x:v>5621</x:v>
      </x:c>
      <x:c r="B2309" s="12" t="str">
        <x:v>Event catering</x:v>
      </x:c>
      <x:c r="C2309" s="12" t="str">
        <x:v>مادبا</x:v>
      </x:c>
      <x:c r="D2309" s="14" t="n">
        <x:v>5</x:v>
      </x:c>
      <x:c r="E2309" s="14" t="n">
        <x:f>VLOOKUP(C2309,'Governorate Master'!$A$2:$Q$13,3,FALSE)</x:f>
        <x:v>236200</x:v>
      </x:c>
      <x:c r="F2309" s="66" t="n">
        <x:f>IF(E2309=0,0,D2309/E2309*10000)</x:f>
        <x:v>0.21168501270110077</x:v>
      </x:c>
      <x:c r="G2309" s="67" t="n">
        <x:f>VLOOKUP(C2309,'Governorate Master'!$A$2:$Q$13,7,FALSE)</x:f>
        <x:v>251.4</x:v>
      </x:c>
      <x:c r="H2309" s="20" t="n">
        <x:f>VLOOKUP(C2309,'Governorate Master'!$A$2:$Q$13,6,FALSE)</x:f>
        <x:v>0.7823878069432684</x:v>
      </x:c>
      <x:c r="I2309" s="20" t="n">
        <x:f>VLOOKUP(C2309,'Governorate Master'!$A$2:$Q$13,15,FALSE)</x:f>
        <x:v>-0.18823529411764706</x:v>
      </x:c>
      <x:c r="J2309" s="12" t="str">
        <x:v>Location model input - competition/saturation context</x:v>
      </x:c>
      <x:c r="K2309" s="12" t="str">
        <x:v>Business count is from 2018 while population/context indicators are newer; use as a historical proxy, not a current market count.</x:v>
      </x:c>
    </x:row>
    <x:row r="2310">
      <x:c r="A2310" s="12" t="str">
        <x:v>5621</x:v>
      </x:c>
      <x:c r="B2310" s="12" t="str">
        <x:v>Event catering</x:v>
      </x:c>
      <x:c r="C2310" s="12" t="str">
        <x:v>إربد</x:v>
      </x:c>
      <x:c r="D2310" s="14" t="n">
        <x:v>8</x:v>
      </x:c>
      <x:c r="E2310" s="14" t="n">
        <x:f>VLOOKUP(C2310,'Governorate Master'!$A$2:$Q$13,3,FALSE)</x:f>
        <x:v>2210500</x:v>
      </x:c>
      <x:c r="F2310" s="66" t="n">
        <x:f>IF(E2310=0,0,D2310/E2310*10000)</x:f>
        <x:v>0.036190907034607554</x:v>
      </x:c>
      <x:c r="G2310" s="67" t="n">
        <x:f>VLOOKUP(C2310,'Governorate Master'!$A$2:$Q$13,7,FALSE)</x:f>
        <x:v>1406.4</x:v>
      </x:c>
      <x:c r="H2310" s="20" t="n">
        <x:f>VLOOKUP(C2310,'Governorate Master'!$A$2:$Q$13,6,FALSE)</x:f>
        <x:v>0.9235014702555983</x:v>
      </x:c>
      <x:c r="I2310" s="20" t="n">
        <x:f>VLOOKUP(C2310,'Governorate Master'!$A$2:$Q$13,15,FALSE)</x:f>
        <x:v>0.07086922474549726</x:v>
      </x:c>
      <x:c r="J2310" s="12" t="str">
        <x:v>Location model input - competition/saturation context</x:v>
      </x:c>
      <x:c r="K2310" s="12" t="str">
        <x:v>Business count is from 2018 while population/context indicators are newer; use as a historical proxy, not a current market count.</x:v>
      </x:c>
    </x:row>
    <x:row r="2311">
      <x:c r="A2311" s="12" t="str">
        <x:v>5621</x:v>
      </x:c>
      <x:c r="B2311" s="12" t="str">
        <x:v>Event catering</x:v>
      </x:c>
      <x:c r="C2311" s="12" t="str">
        <x:v>المفرق</x:v>
      </x:c>
      <x:c r="D2311" s="14" t="n">
        <x:v>2</x:v>
      </x:c>
      <x:c r="E2311" s="14" t="n">
        <x:f>VLOOKUP(C2311,'Governorate Master'!$A$2:$Q$13,3,FALSE)</x:f>
        <x:v>686800</x:v>
      </x:c>
      <x:c r="F2311" s="66" t="n">
        <x:f>IF(E2311=0,0,D2311/E2311*10000)</x:f>
        <x:v>0.029120559114735003</x:v>
      </x:c>
      <x:c r="G2311" s="67" t="n">
        <x:f>VLOOKUP(C2311,'Governorate Master'!$A$2:$Q$13,7,FALSE)</x:f>
        <x:v>25.9</x:v>
      </x:c>
      <x:c r="H2311" s="20" t="n">
        <x:f>VLOOKUP(C2311,'Governorate Master'!$A$2:$Q$13,6,FALSE)</x:f>
        <x:v>0.6965637740244612</x:v>
      </x:c>
      <x:c r="I2311" s="20" t="n">
        <x:f>VLOOKUP(C2311,'Governorate Master'!$A$2:$Q$13,15,FALSE)</x:f>
        <x:v>-0.016638935108153077</x:v>
      </x:c>
      <x:c r="J2311" s="12" t="str">
        <x:v>Location model input - competition/saturation context</x:v>
      </x:c>
      <x:c r="K2311" s="12" t="str">
        <x:v>Business count is from 2018 while population/context indicators are newer; use as a historical proxy, not a current market count.</x:v>
      </x:c>
    </x:row>
    <x:row r="2312">
      <x:c r="A2312" s="12" t="str">
        <x:v>5621</x:v>
      </x:c>
      <x:c r="B2312" s="12" t="str">
        <x:v>Event catering</x:v>
      </x:c>
      <x:c r="C2312" s="12" t="str">
        <x:v>جرش</x:v>
      </x:c>
      <x:c r="D2312" s="14" t="n">
        <x:v>2</x:v>
      </x:c>
      <x:c r="E2312" s="14" t="n">
        <x:f>VLOOKUP(C2312,'Governorate Master'!$A$2:$Q$13,3,FALSE)</x:f>
        <x:v>296000</x:v>
      </x:c>
      <x:c r="F2312" s="66" t="n">
        <x:f>IF(E2312=0,0,D2312/E2312*10000)</x:f>
        <x:v>0.06756756756756757</x:v>
      </x:c>
      <x:c r="G2312" s="67" t="n">
        <x:f>VLOOKUP(C2312,'Governorate Master'!$A$2:$Q$13,7,FALSE)</x:f>
        <x:v>722.3</x:v>
      </x:c>
      <x:c r="H2312" s="20" t="n">
        <x:f>VLOOKUP(C2312,'Governorate Master'!$A$2:$Q$13,6,FALSE)</x:f>
        <x:v>0.7695945945945946</x:v>
      </x:c>
      <x:c r="I2312" s="20" t="n">
        <x:f>VLOOKUP(C2312,'Governorate Master'!$A$2:$Q$13,15,FALSE)</x:f>
        <x:v>-0.06527415143603134</x:v>
      </x:c>
      <x:c r="J2312" s="12" t="str">
        <x:v>Location model input - competition/saturation context</x:v>
      </x:c>
      <x:c r="K2312" s="12" t="str">
        <x:v>Business count is from 2018 while population/context indicators are newer; use as a historical proxy, not a current market count.</x:v>
      </x:c>
    </x:row>
    <x:row r="2313">
      <x:c r="A2313" s="12" t="str">
        <x:v>5621</x:v>
      </x:c>
      <x:c r="B2313" s="12" t="str">
        <x:v>Event catering</x:v>
      </x:c>
      <x:c r="C2313" s="12" t="str">
        <x:v>عجلون</x:v>
      </x:c>
      <x:c r="D2313" s="14" t="n">
        <x:v>1</x:v>
      </x:c>
      <x:c r="E2313" s="14" t="n">
        <x:f>VLOOKUP(C2313,'Governorate Master'!$A$2:$Q$13,3,FALSE)</x:f>
        <x:v>219900</x:v>
      </x:c>
      <x:c r="F2313" s="66" t="n">
        <x:f>IF(E2313=0,0,D2313/E2313*10000)</x:f>
        <x:v>0.04547521600727603</x:v>
      </x:c>
      <x:c r="G2313" s="67" t="n">
        <x:f>VLOOKUP(C2313,'Governorate Master'!$A$2:$Q$13,7,FALSE)</x:f>
        <x:v>524</x:v>
      </x:c>
      <x:c r="H2313" s="20" t="n">
        <x:f>VLOOKUP(C2313,'Governorate Master'!$A$2:$Q$13,6,FALSE)</x:f>
        <x:v>0.8390177353342428</x:v>
      </x:c>
      <x:c r="I2313" s="20" t="n">
        <x:f>VLOOKUP(C2313,'Governorate Master'!$A$2:$Q$13,15,FALSE)</x:f>
        <x:v>0.03614457831325301</x:v>
      </x:c>
      <x:c r="J2313" s="12" t="str">
        <x:v>Location model input - competition/saturation context</x:v>
      </x:c>
      <x:c r="K2313" s="12" t="str">
        <x:v>Business count is from 2018 while population/context indicators are newer; use as a historical proxy, not a current market count.</x:v>
      </x:c>
    </x:row>
    <x:row r="2314">
      <x:c r="A2314" s="12" t="str">
        <x:v>5621</x:v>
      </x:c>
      <x:c r="B2314" s="12" t="str">
        <x:v>Event catering</x:v>
      </x:c>
      <x:c r="C2314" s="12" t="str">
        <x:v>الكرك</x:v>
      </x:c>
      <x:c r="D2314" s="14" t="n">
        <x:v>6</x:v>
      </x:c>
      <x:c r="E2314" s="14" t="n">
        <x:f>VLOOKUP(C2314,'Governorate Master'!$A$2:$Q$13,3,FALSE)</x:f>
        <x:v>395400</x:v>
      </x:c>
      <x:c r="F2314" s="66" t="n">
        <x:f>IF(E2314=0,0,D2314/E2314*10000)</x:f>
        <x:v>0.15174506828528073</x:v>
      </x:c>
      <x:c r="G2314" s="67" t="n">
        <x:f>VLOOKUP(C2314,'Governorate Master'!$A$2:$Q$13,7,FALSE)</x:f>
        <x:v>113.1</x:v>
      </x:c>
      <x:c r="H2314" s="20" t="n">
        <x:f>VLOOKUP(C2314,'Governorate Master'!$A$2:$Q$13,6,FALSE)</x:f>
        <x:v>0.5912999494183105</x:v>
      </x:c>
      <x:c r="I2314" s="20" t="n">
        <x:f>VLOOKUP(C2314,'Governorate Master'!$A$2:$Q$13,15,FALSE)</x:f>
        <x:v>0.08710801393728224</x:v>
      </x:c>
      <x:c r="J2314" s="12" t="str">
        <x:v>Location model input - competition/saturation context</x:v>
      </x:c>
      <x:c r="K2314" s="12" t="str">
        <x:v>Business count is from 2018 while population/context indicators are newer; use as a historical proxy, not a current market count.</x:v>
      </x:c>
    </x:row>
    <x:row r="2315">
      <x:c r="A2315" s="12" t="str">
        <x:v>5621</x:v>
      </x:c>
      <x:c r="B2315" s="12" t="str">
        <x:v>Event catering</x:v>
      </x:c>
      <x:c r="C2315" s="12" t="str">
        <x:v>الطفيلة</x:v>
      </x:c>
      <x:c r="D2315" s="14" t="n">
        <x:v>1</x:v>
      </x:c>
      <x:c r="E2315" s="14" t="n">
        <x:f>VLOOKUP(C2315,'Governorate Master'!$A$2:$Q$13,3,FALSE)</x:f>
        <x:v>120300</x:v>
      </x:c>
      <x:c r="F2315" s="66" t="n">
        <x:f>IF(E2315=0,0,D2315/E2315*10000)</x:f>
        <x:v>0.0831255195344971</x:v>
      </x:c>
      <x:c r="G2315" s="67" t="n">
        <x:f>VLOOKUP(C2315,'Governorate Master'!$A$2:$Q$13,7,FALSE)</x:f>
        <x:v>54.4</x:v>
      </x:c>
      <x:c r="H2315" s="20" t="n">
        <x:f>VLOOKUP(C2315,'Governorate Master'!$A$2:$Q$13,6,FALSE)</x:f>
        <x:v>0.7797173732335827</x:v>
      </x:c>
      <x:c r="I2315" s="20" t="n">
        <x:f>VLOOKUP(C2315,'Governorate Master'!$A$2:$Q$13,15,FALSE)</x:f>
        <x:v>0.18452380952380953</x:v>
      </x:c>
      <x:c r="J2315" s="12" t="str">
        <x:v>Location model input - competition/saturation context</x:v>
      </x:c>
      <x:c r="K2315" s="12" t="str">
        <x:v>Business count is from 2018 while population/context indicators are newer; use as a historical proxy, not a current market count.</x:v>
      </x:c>
    </x:row>
    <x:row r="2316">
      <x:c r="A2316" s="12" t="str">
        <x:v>5621</x:v>
      </x:c>
      <x:c r="B2316" s="12" t="str">
        <x:v>Event catering</x:v>
      </x:c>
      <x:c r="C2316" s="12" t="str">
        <x:v>معان</x:v>
      </x:c>
      <x:c r="D2316" s="14" t="n">
        <x:v>1</x:v>
      </x:c>
      <x:c r="E2316" s="14" t="n">
        <x:f>VLOOKUP(C2316,'Governorate Master'!$A$2:$Q$13,3,FALSE)</x:f>
        <x:v>197900</x:v>
      </x:c>
      <x:c r="F2316" s="66" t="n">
        <x:f>IF(E2316=0,0,D2316/E2316*10000)</x:f>
        <x:v>0.05053057099545225</x:v>
      </x:c>
      <x:c r="G2316" s="67" t="n">
        <x:f>VLOOKUP(C2316,'Governorate Master'!$A$2:$Q$13,7,FALSE)</x:f>
        <x:v>6</x:v>
      </x:c>
      <x:c r="H2316" s="20" t="n">
        <x:f>VLOOKUP(C2316,'Governorate Master'!$A$2:$Q$13,6,FALSE)</x:f>
        <x:v>0.5406771096513391</x:v>
      </x:c>
      <x:c r="I2316" s="20" t="n">
        <x:f>VLOOKUP(C2316,'Governorate Master'!$A$2:$Q$13,15,FALSE)</x:f>
        <x:v>0.026845637583892617</x:v>
      </x:c>
      <x:c r="J2316" s="12" t="str">
        <x:v>Location model input - competition/saturation context</x:v>
      </x:c>
      <x:c r="K2316" s="12" t="str">
        <x:v>Business count is from 2018 while population/context indicators are newer; use as a historical proxy, not a current market count.</x:v>
      </x:c>
    </x:row>
    <x:row r="2317">
      <x:c r="A2317" s="12" t="str">
        <x:v>5621</x:v>
      </x:c>
      <x:c r="B2317" s="12" t="str">
        <x:v>Event catering</x:v>
      </x:c>
      <x:c r="C2317" s="12" t="str">
        <x:v>العقبة</x:v>
      </x:c>
      <x:c r="D2317" s="14" t="n">
        <x:v>2</x:v>
      </x:c>
      <x:c r="E2317" s="14" t="n">
        <x:f>VLOOKUP(C2317,'Governorate Master'!$A$2:$Q$13,3,FALSE)</x:f>
        <x:v>250900</x:v>
      </x:c>
      <x:c r="F2317" s="66" t="n">
        <x:f>IF(E2317=0,0,D2317/E2317*10000)</x:f>
        <x:v>0.07971303308090873</x:v>
      </x:c>
      <x:c r="G2317" s="67" t="n">
        <x:f>VLOOKUP(C2317,'Governorate Master'!$A$2:$Q$13,7,FALSE)</x:f>
        <x:v>36.3</x:v>
      </x:c>
      <x:c r="H2317" s="20" t="n">
        <x:f>VLOOKUP(C2317,'Governorate Master'!$A$2:$Q$13,6,FALSE)</x:f>
        <x:v>0.882024711040255</x:v>
      </x:c>
      <x:c r="I2317" s="20" t="n">
        <x:f>VLOOKUP(C2317,'Governorate Master'!$A$2:$Q$13,15,FALSE)</x:f>
        <x:v>-0.09</x:v>
      </x:c>
      <x:c r="J2317" s="12" t="str">
        <x:v>Location model input - competition/saturation context</x:v>
      </x:c>
      <x:c r="K2317" s="12" t="str">
        <x:v>Business count is from 2018 while population/context indicators are newer; use as a historical proxy, not a current market count.</x:v>
      </x:c>
    </x:row>
    <x:row r="2318">
      <x:c r="A2318" s="12" t="str">
        <x:v>5630</x:v>
      </x:c>
      <x:c r="B2318" s="12" t="str">
        <x:v>Beverage serving activities</x:v>
      </x:c>
      <x:c r="C2318" s="12" t="str">
        <x:v>عمان</x:v>
      </x:c>
      <x:c r="D2318" s="14" t="n">
        <x:v>2536</x:v>
      </x:c>
      <x:c r="E2318" s="14" t="n">
        <x:f>VLOOKUP(C2318,'Governorate Master'!$A$2:$Q$13,3,FALSE)</x:f>
        <x:v>5004600</x:v>
      </x:c>
      <x:c r="F2318" s="66" t="n">
        <x:f>IF(E2318=0,0,D2318/E2318*10000)</x:f>
        <x:v>5.067338048994924</x:v>
      </x:c>
      <x:c r="G2318" s="67" t="n">
        <x:f>VLOOKUP(C2318,'Governorate Master'!$A$2:$Q$13,7,FALSE)</x:f>
        <x:v>660.3</x:v>
      </x:c>
      <x:c r="H2318" s="20" t="n">
        <x:f>VLOOKUP(C2318,'Governorate Master'!$A$2:$Q$13,6,FALSE)</x:f>
        <x:v>0.9721656076409703</x:v>
      </x:c>
      <x:c r="I2318" s="20" t="n">
        <x:f>VLOOKUP(C2318,'Governorate Master'!$A$2:$Q$13,15,FALSE)</x:f>
        <x:v>0.06367041198501873</x:v>
      </x:c>
      <x:c r="J2318" s="12" t="str">
        <x:v>Location model input - competition/saturation context</x:v>
      </x:c>
      <x:c r="K2318" s="12" t="str">
        <x:v>Business count is from 2018 while population/context indicators are newer; use as a historical proxy, not a current market count.</x:v>
      </x:c>
    </x:row>
    <x:row r="2319">
      <x:c r="A2319" s="12" t="str">
        <x:v>5630</x:v>
      </x:c>
      <x:c r="B2319" s="12" t="str">
        <x:v>Beverage serving activities</x:v>
      </x:c>
      <x:c r="C2319" s="12" t="str">
        <x:v>البلقاء</x:v>
      </x:c>
      <x:c r="D2319" s="14" t="n">
        <x:v>647</x:v>
      </x:c>
      <x:c r="E2319" s="14" t="n">
        <x:f>VLOOKUP(C2319,'Governorate Master'!$A$2:$Q$13,3,FALSE)</x:f>
        <x:v>614000</x:v>
      </x:c>
      <x:c r="F2319" s="66" t="n">
        <x:f>IF(E2319=0,0,D2319/E2319*10000)</x:f>
        <x:v>10.537459283387623</x:v>
      </x:c>
      <x:c r="G2319" s="67" t="n">
        <x:f>VLOOKUP(C2319,'Governorate Master'!$A$2:$Q$13,7,FALSE)</x:f>
        <x:v>548</x:v>
      </x:c>
      <x:c r="H2319" s="20" t="n">
        <x:f>VLOOKUP(C2319,'Governorate Master'!$A$2:$Q$13,6,FALSE)</x:f>
        <x:v>0.8210097719869707</x:v>
      </x:c>
      <x:c r="I2319" s="20" t="n">
        <x:f>VLOOKUP(C2319,'Governorate Master'!$A$2:$Q$13,15,FALSE)</x:f>
        <x:v>0.10794044665012408</x:v>
      </x:c>
      <x:c r="J2319" s="12" t="str">
        <x:v>Location model input - competition/saturation context</x:v>
      </x:c>
      <x:c r="K2319" s="12" t="str">
        <x:v>Business count is from 2018 while population/context indicators are newer; use as a historical proxy, not a current market count.</x:v>
      </x:c>
    </x:row>
    <x:row r="2320">
      <x:c r="A2320" s="12" t="str">
        <x:v>5630</x:v>
      </x:c>
      <x:c r="B2320" s="12" t="str">
        <x:v>Beverage serving activities</x:v>
      </x:c>
      <x:c r="C2320" s="12" t="str">
        <x:v>الزرقاء</x:v>
      </x:c>
      <x:c r="D2320" s="14" t="n">
        <x:v>995</x:v>
      </x:c>
      <x:c r="E2320" s="14" t="n">
        <x:f>VLOOKUP(C2320,'Governorate Master'!$A$2:$Q$13,3,FALSE)</x:f>
        <x:v>1704500</x:v>
      </x:c>
      <x:c r="F2320" s="66" t="n">
        <x:f>IF(E2320=0,0,D2320/E2320*10000)</x:f>
        <x:v>5.837488999706658</x:v>
      </x:c>
      <x:c r="G2320" s="67" t="n">
        <x:f>VLOOKUP(C2320,'Governorate Master'!$A$2:$Q$13,7,FALSE)</x:f>
        <x:v>358</x:v>
      </x:c>
      <x:c r="H2320" s="20" t="n">
        <x:f>VLOOKUP(C2320,'Governorate Master'!$A$2:$Q$13,6,FALSE)</x:f>
        <x:v>0.9636256966852449</x:v>
      </x:c>
      <x:c r="I2320" s="20" t="n">
        <x:f>VLOOKUP(C2320,'Governorate Master'!$A$2:$Q$13,15,FALSE)</x:f>
        <x:v>-0.06808762581409118</x:v>
      </x:c>
      <x:c r="J2320" s="12" t="str">
        <x:v>Location model input - competition/saturation context</x:v>
      </x:c>
      <x:c r="K2320" s="12" t="str">
        <x:v>Business count is from 2018 while population/context indicators are newer; use as a historical proxy, not a current market count.</x:v>
      </x:c>
    </x:row>
    <x:row r="2321">
      <x:c r="A2321" s="12" t="str">
        <x:v>5630</x:v>
      </x:c>
      <x:c r="B2321" s="12" t="str">
        <x:v>Beverage serving activities</x:v>
      </x:c>
      <x:c r="C2321" s="12" t="str">
        <x:v>مادبا</x:v>
      </x:c>
      <x:c r="D2321" s="14" t="n">
        <x:v>192</x:v>
      </x:c>
      <x:c r="E2321" s="14" t="n">
        <x:f>VLOOKUP(C2321,'Governorate Master'!$A$2:$Q$13,3,FALSE)</x:f>
        <x:v>236200</x:v>
      </x:c>
      <x:c r="F2321" s="66" t="n">
        <x:f>IF(E2321=0,0,D2321/E2321*10000)</x:f>
        <x:v>8.128704487722269</x:v>
      </x:c>
      <x:c r="G2321" s="67" t="n">
        <x:f>VLOOKUP(C2321,'Governorate Master'!$A$2:$Q$13,7,FALSE)</x:f>
        <x:v>251.4</x:v>
      </x:c>
      <x:c r="H2321" s="20" t="n">
        <x:f>VLOOKUP(C2321,'Governorate Master'!$A$2:$Q$13,6,FALSE)</x:f>
        <x:v>0.7823878069432684</x:v>
      </x:c>
      <x:c r="I2321" s="20" t="n">
        <x:f>VLOOKUP(C2321,'Governorate Master'!$A$2:$Q$13,15,FALSE)</x:f>
        <x:v>-0.18823529411764706</x:v>
      </x:c>
      <x:c r="J2321" s="12" t="str">
        <x:v>Location model input - competition/saturation context</x:v>
      </x:c>
      <x:c r="K2321" s="12" t="str">
        <x:v>Business count is from 2018 while population/context indicators are newer; use as a historical proxy, not a current market count.</x:v>
      </x:c>
    </x:row>
    <x:row r="2322">
      <x:c r="A2322" s="12" t="str">
        <x:v>5630</x:v>
      </x:c>
      <x:c r="B2322" s="12" t="str">
        <x:v>Beverage serving activities</x:v>
      </x:c>
      <x:c r="C2322" s="12" t="str">
        <x:v>إربد</x:v>
      </x:c>
      <x:c r="D2322" s="14" t="n">
        <x:v>988</x:v>
      </x:c>
      <x:c r="E2322" s="14" t="n">
        <x:f>VLOOKUP(C2322,'Governorate Master'!$A$2:$Q$13,3,FALSE)</x:f>
        <x:v>2210500</x:v>
      </x:c>
      <x:c r="F2322" s="66" t="n">
        <x:f>IF(E2322=0,0,D2322/E2322*10000)</x:f>
        <x:v>4.469577018774033</x:v>
      </x:c>
      <x:c r="G2322" s="67" t="n">
        <x:f>VLOOKUP(C2322,'Governorate Master'!$A$2:$Q$13,7,FALSE)</x:f>
        <x:v>1406.4</x:v>
      </x:c>
      <x:c r="H2322" s="20" t="n">
        <x:f>VLOOKUP(C2322,'Governorate Master'!$A$2:$Q$13,6,FALSE)</x:f>
        <x:v>0.9235014702555983</x:v>
      </x:c>
      <x:c r="I2322" s="20" t="n">
        <x:f>VLOOKUP(C2322,'Governorate Master'!$A$2:$Q$13,15,FALSE)</x:f>
        <x:v>0.07086922474549726</x:v>
      </x:c>
      <x:c r="J2322" s="12" t="str">
        <x:v>Location model input - competition/saturation context</x:v>
      </x:c>
      <x:c r="K2322" s="12" t="str">
        <x:v>Business count is from 2018 while population/context indicators are newer; use as a historical proxy, not a current market count.</x:v>
      </x:c>
    </x:row>
    <x:row r="2323">
      <x:c r="A2323" s="12" t="str">
        <x:v>5630</x:v>
      </x:c>
      <x:c r="B2323" s="12" t="str">
        <x:v>Beverage serving activities</x:v>
      </x:c>
      <x:c r="C2323" s="12" t="str">
        <x:v>المفرق</x:v>
      </x:c>
      <x:c r="D2323" s="14" t="n">
        <x:v>147</x:v>
      </x:c>
      <x:c r="E2323" s="14" t="n">
        <x:f>VLOOKUP(C2323,'Governorate Master'!$A$2:$Q$13,3,FALSE)</x:f>
        <x:v>686800</x:v>
      </x:c>
      <x:c r="F2323" s="66" t="n">
        <x:f>IF(E2323=0,0,D2323/E2323*10000)</x:f>
        <x:v>2.1403610949330227</x:v>
      </x:c>
      <x:c r="G2323" s="67" t="n">
        <x:f>VLOOKUP(C2323,'Governorate Master'!$A$2:$Q$13,7,FALSE)</x:f>
        <x:v>25.9</x:v>
      </x:c>
      <x:c r="H2323" s="20" t="n">
        <x:f>VLOOKUP(C2323,'Governorate Master'!$A$2:$Q$13,6,FALSE)</x:f>
        <x:v>0.6965637740244612</x:v>
      </x:c>
      <x:c r="I2323" s="20" t="n">
        <x:f>VLOOKUP(C2323,'Governorate Master'!$A$2:$Q$13,15,FALSE)</x:f>
        <x:v>-0.016638935108153077</x:v>
      </x:c>
      <x:c r="J2323" s="12" t="str">
        <x:v>Location model input - competition/saturation context</x:v>
      </x:c>
      <x:c r="K2323" s="12" t="str">
        <x:v>Business count is from 2018 while population/context indicators are newer; use as a historical proxy, not a current market count.</x:v>
      </x:c>
    </x:row>
    <x:row r="2324">
      <x:c r="A2324" s="12" t="str">
        <x:v>5630</x:v>
      </x:c>
      <x:c r="B2324" s="12" t="str">
        <x:v>Beverage serving activities</x:v>
      </x:c>
      <x:c r="C2324" s="12" t="str">
        <x:v>جرش</x:v>
      </x:c>
      <x:c r="D2324" s="14" t="n">
        <x:v>171</x:v>
      </x:c>
      <x:c r="E2324" s="14" t="n">
        <x:f>VLOOKUP(C2324,'Governorate Master'!$A$2:$Q$13,3,FALSE)</x:f>
        <x:v>296000</x:v>
      </x:c>
      <x:c r="F2324" s="66" t="n">
        <x:f>IF(E2324=0,0,D2324/E2324*10000)</x:f>
        <x:v>5.777027027027027</x:v>
      </x:c>
      <x:c r="G2324" s="67" t="n">
        <x:f>VLOOKUP(C2324,'Governorate Master'!$A$2:$Q$13,7,FALSE)</x:f>
        <x:v>722.3</x:v>
      </x:c>
      <x:c r="H2324" s="20" t="n">
        <x:f>VLOOKUP(C2324,'Governorate Master'!$A$2:$Q$13,6,FALSE)</x:f>
        <x:v>0.7695945945945946</x:v>
      </x:c>
      <x:c r="I2324" s="20" t="n">
        <x:f>VLOOKUP(C2324,'Governorate Master'!$A$2:$Q$13,15,FALSE)</x:f>
        <x:v>-0.06527415143603134</x:v>
      </x:c>
      <x:c r="J2324" s="12" t="str">
        <x:v>Location model input - competition/saturation context</x:v>
      </x:c>
      <x:c r="K2324" s="12" t="str">
        <x:v>Business count is from 2018 while population/context indicators are newer; use as a historical proxy, not a current market count.</x:v>
      </x:c>
    </x:row>
    <x:row r="2325">
      <x:c r="A2325" s="12" t="str">
        <x:v>5630</x:v>
      </x:c>
      <x:c r="B2325" s="12" t="str">
        <x:v>Beverage serving activities</x:v>
      </x:c>
      <x:c r="C2325" s="12" t="str">
        <x:v>عجلون</x:v>
      </x:c>
      <x:c r="D2325" s="14" t="n">
        <x:v>130</x:v>
      </x:c>
      <x:c r="E2325" s="14" t="n">
        <x:f>VLOOKUP(C2325,'Governorate Master'!$A$2:$Q$13,3,FALSE)</x:f>
        <x:v>219900</x:v>
      </x:c>
      <x:c r="F2325" s="66" t="n">
        <x:f>IF(E2325=0,0,D2325/E2325*10000)</x:f>
        <x:v>5.911778080945885</x:v>
      </x:c>
      <x:c r="G2325" s="67" t="n">
        <x:f>VLOOKUP(C2325,'Governorate Master'!$A$2:$Q$13,7,FALSE)</x:f>
        <x:v>524</x:v>
      </x:c>
      <x:c r="H2325" s="20" t="n">
        <x:f>VLOOKUP(C2325,'Governorate Master'!$A$2:$Q$13,6,FALSE)</x:f>
        <x:v>0.8390177353342428</x:v>
      </x:c>
      <x:c r="I2325" s="20" t="n">
        <x:f>VLOOKUP(C2325,'Governorate Master'!$A$2:$Q$13,15,FALSE)</x:f>
        <x:v>0.03614457831325301</x:v>
      </x:c>
      <x:c r="J2325" s="12" t="str">
        <x:v>Location model input - competition/saturation context</x:v>
      </x:c>
      <x:c r="K2325" s="12" t="str">
        <x:v>Business count is from 2018 while population/context indicators are newer; use as a historical proxy, not a current market count.</x:v>
      </x:c>
    </x:row>
    <x:row r="2326">
      <x:c r="A2326" s="12" t="str">
        <x:v>5630</x:v>
      </x:c>
      <x:c r="B2326" s="12" t="str">
        <x:v>Beverage serving activities</x:v>
      </x:c>
      <x:c r="C2326" s="12" t="str">
        <x:v>الكرك</x:v>
      </x:c>
      <x:c r="D2326" s="14" t="n">
        <x:v>197</x:v>
      </x:c>
      <x:c r="E2326" s="14" t="n">
        <x:f>VLOOKUP(C2326,'Governorate Master'!$A$2:$Q$13,3,FALSE)</x:f>
        <x:v>395400</x:v>
      </x:c>
      <x:c r="F2326" s="66" t="n">
        <x:f>IF(E2326=0,0,D2326/E2326*10000)</x:f>
        <x:v>4.9822964087000505</x:v>
      </x:c>
      <x:c r="G2326" s="67" t="n">
        <x:f>VLOOKUP(C2326,'Governorate Master'!$A$2:$Q$13,7,FALSE)</x:f>
        <x:v>113.1</x:v>
      </x:c>
      <x:c r="H2326" s="20" t="n">
        <x:f>VLOOKUP(C2326,'Governorate Master'!$A$2:$Q$13,6,FALSE)</x:f>
        <x:v>0.5912999494183105</x:v>
      </x:c>
      <x:c r="I2326" s="20" t="n">
        <x:f>VLOOKUP(C2326,'Governorate Master'!$A$2:$Q$13,15,FALSE)</x:f>
        <x:v>0.08710801393728224</x:v>
      </x:c>
      <x:c r="J2326" s="12" t="str">
        <x:v>Location model input - competition/saturation context</x:v>
      </x:c>
      <x:c r="K2326" s="12" t="str">
        <x:v>Business count is from 2018 while population/context indicators are newer; use as a historical proxy, not a current market count.</x:v>
      </x:c>
    </x:row>
    <x:row r="2327">
      <x:c r="A2327" s="12" t="str">
        <x:v>5630</x:v>
      </x:c>
      <x:c r="B2327" s="12" t="str">
        <x:v>Beverage serving activities</x:v>
      </x:c>
      <x:c r="C2327" s="12" t="str">
        <x:v>الطفيلة</x:v>
      </x:c>
      <x:c r="D2327" s="14" t="n">
        <x:v>75</x:v>
      </x:c>
      <x:c r="E2327" s="14" t="n">
        <x:f>VLOOKUP(C2327,'Governorate Master'!$A$2:$Q$13,3,FALSE)</x:f>
        <x:v>120300</x:v>
      </x:c>
      <x:c r="F2327" s="66" t="n">
        <x:f>IF(E2327=0,0,D2327/E2327*10000)</x:f>
        <x:v>6.234413965087282</x:v>
      </x:c>
      <x:c r="G2327" s="67" t="n">
        <x:f>VLOOKUP(C2327,'Governorate Master'!$A$2:$Q$13,7,FALSE)</x:f>
        <x:v>54.4</x:v>
      </x:c>
      <x:c r="H2327" s="20" t="n">
        <x:f>VLOOKUP(C2327,'Governorate Master'!$A$2:$Q$13,6,FALSE)</x:f>
        <x:v>0.7797173732335827</x:v>
      </x:c>
      <x:c r="I2327" s="20" t="n">
        <x:f>VLOOKUP(C2327,'Governorate Master'!$A$2:$Q$13,15,FALSE)</x:f>
        <x:v>0.18452380952380953</x:v>
      </x:c>
      <x:c r="J2327" s="12" t="str">
        <x:v>Location model input - competition/saturation context</x:v>
      </x:c>
      <x:c r="K2327" s="12" t="str">
        <x:v>Business count is from 2018 while population/context indicators are newer; use as a historical proxy, not a current market count.</x:v>
      </x:c>
    </x:row>
    <x:row r="2328">
      <x:c r="A2328" s="12" t="str">
        <x:v>5630</x:v>
      </x:c>
      <x:c r="B2328" s="12" t="str">
        <x:v>Beverage serving activities</x:v>
      </x:c>
      <x:c r="C2328" s="12" t="str">
        <x:v>معان</x:v>
      </x:c>
      <x:c r="D2328" s="14" t="n">
        <x:v>133</x:v>
      </x:c>
      <x:c r="E2328" s="14" t="n">
        <x:f>VLOOKUP(C2328,'Governorate Master'!$A$2:$Q$13,3,FALSE)</x:f>
        <x:v>197900</x:v>
      </x:c>
      <x:c r="F2328" s="66" t="n">
        <x:f>IF(E2328=0,0,D2328/E2328*10000)</x:f>
        <x:v>6.720565942395149</x:v>
      </x:c>
      <x:c r="G2328" s="67" t="n">
        <x:f>VLOOKUP(C2328,'Governorate Master'!$A$2:$Q$13,7,FALSE)</x:f>
        <x:v>6</x:v>
      </x:c>
      <x:c r="H2328" s="20" t="n">
        <x:f>VLOOKUP(C2328,'Governorate Master'!$A$2:$Q$13,6,FALSE)</x:f>
        <x:v>0.5406771096513391</x:v>
      </x:c>
      <x:c r="I2328" s="20" t="n">
        <x:f>VLOOKUP(C2328,'Governorate Master'!$A$2:$Q$13,15,FALSE)</x:f>
        <x:v>0.026845637583892617</x:v>
      </x:c>
      <x:c r="J2328" s="12" t="str">
        <x:v>Location model input - competition/saturation context</x:v>
      </x:c>
      <x:c r="K2328" s="12" t="str">
        <x:v>Business count is from 2018 while population/context indicators are newer; use as a historical proxy, not a current market count.</x:v>
      </x:c>
    </x:row>
    <x:row r="2329">
      <x:c r="A2329" s="12" t="str">
        <x:v>5630</x:v>
      </x:c>
      <x:c r="B2329" s="12" t="str">
        <x:v>Beverage serving activities</x:v>
      </x:c>
      <x:c r="C2329" s="12" t="str">
        <x:v>العقبة</x:v>
      </x:c>
      <x:c r="D2329" s="14" t="n">
        <x:v>129</x:v>
      </x:c>
      <x:c r="E2329" s="14" t="n">
        <x:f>VLOOKUP(C2329,'Governorate Master'!$A$2:$Q$13,3,FALSE)</x:f>
        <x:v>250900</x:v>
      </x:c>
      <x:c r="F2329" s="66" t="n">
        <x:f>IF(E2329=0,0,D2329/E2329*10000)</x:f>
        <x:v>5.141490633718614</x:v>
      </x:c>
      <x:c r="G2329" s="67" t="n">
        <x:f>VLOOKUP(C2329,'Governorate Master'!$A$2:$Q$13,7,FALSE)</x:f>
        <x:v>36.3</x:v>
      </x:c>
      <x:c r="H2329" s="20" t="n">
        <x:f>VLOOKUP(C2329,'Governorate Master'!$A$2:$Q$13,6,FALSE)</x:f>
        <x:v>0.882024711040255</x:v>
      </x:c>
      <x:c r="I2329" s="20" t="n">
        <x:f>VLOOKUP(C2329,'Governorate Master'!$A$2:$Q$13,15,FALSE)</x:f>
        <x:v>-0.09</x:v>
      </x:c>
      <x:c r="J2329" s="12" t="str">
        <x:v>Location model input - competition/saturation context</x:v>
      </x:c>
      <x:c r="K2329" s="12" t="str">
        <x:v>Business count is from 2018 while population/context indicators are newer; use as a historical proxy, not a current market count.</x:v>
      </x:c>
    </x:row>
    <x:row r="2330">
      <x:c r="A2330" s="12" t="str">
        <x:v>5811</x:v>
      </x:c>
      <x:c r="B2330" s="12" t="str">
        <x:v>Book publishing</x:v>
      </x:c>
      <x:c r="C2330" s="12" t="str">
        <x:v>عمان</x:v>
      </x:c>
      <x:c r="D2330" s="14" t="n">
        <x:v>35</x:v>
      </x:c>
      <x:c r="E2330" s="14" t="n">
        <x:f>VLOOKUP(C2330,'Governorate Master'!$A$2:$Q$13,3,FALSE)</x:f>
        <x:v>5004600</x:v>
      </x:c>
      <x:c r="F2330" s="66" t="n">
        <x:f>IF(E2330=0,0,D2330/E2330*10000)</x:f>
        <x:v>0.06993565919354194</x:v>
      </x:c>
      <x:c r="G2330" s="67" t="n">
        <x:f>VLOOKUP(C2330,'Governorate Master'!$A$2:$Q$13,7,FALSE)</x:f>
        <x:v>660.3</x:v>
      </x:c>
      <x:c r="H2330" s="20" t="n">
        <x:f>VLOOKUP(C2330,'Governorate Master'!$A$2:$Q$13,6,FALSE)</x:f>
        <x:v>0.9721656076409703</x:v>
      </x:c>
      <x:c r="I2330" s="20" t="n">
        <x:f>VLOOKUP(C2330,'Governorate Master'!$A$2:$Q$13,15,FALSE)</x:f>
        <x:v>0.06367041198501873</x:v>
      </x:c>
      <x:c r="J2330" s="12" t="str">
        <x:v>Location model input - competition/saturation context</x:v>
      </x:c>
      <x:c r="K2330" s="12" t="str">
        <x:v>Business count is from 2018 while population/context indicators are newer; use as a historical proxy, not a current market count.</x:v>
      </x:c>
    </x:row>
    <x:row r="2331">
      <x:c r="A2331" s="12" t="str">
        <x:v>5811</x:v>
      </x:c>
      <x:c r="B2331" s="12" t="str">
        <x:v>Book publishing</x:v>
      </x:c>
      <x:c r="C2331" s="12" t="str">
        <x:v>البلقاء</x:v>
      </x:c>
      <x:c r="D2331" s="14" t="n">
        <x:v>0</x:v>
      </x:c>
      <x:c r="E2331" s="14" t="n">
        <x:f>VLOOKUP(C2331,'Governorate Master'!$A$2:$Q$13,3,FALSE)</x:f>
        <x:v>614000</x:v>
      </x:c>
      <x:c r="F2331" s="66" t="n">
        <x:f>IF(E2331=0,0,D2331/E2331*10000)</x:f>
        <x:v>0</x:v>
      </x:c>
      <x:c r="G2331" s="67" t="n">
        <x:f>VLOOKUP(C2331,'Governorate Master'!$A$2:$Q$13,7,FALSE)</x:f>
        <x:v>548</x:v>
      </x:c>
      <x:c r="H2331" s="20" t="n">
        <x:f>VLOOKUP(C2331,'Governorate Master'!$A$2:$Q$13,6,FALSE)</x:f>
        <x:v>0.8210097719869707</x:v>
      </x:c>
      <x:c r="I2331" s="20" t="n">
        <x:f>VLOOKUP(C2331,'Governorate Master'!$A$2:$Q$13,15,FALSE)</x:f>
        <x:v>0.10794044665012408</x:v>
      </x:c>
      <x:c r="J2331" s="12" t="str">
        <x:v>Location model input - competition/saturation context</x:v>
      </x:c>
      <x:c r="K2331" s="12" t="str">
        <x:v>Business count is from 2018 while population/context indicators are newer; use as a historical proxy, not a current market count.</x:v>
      </x:c>
    </x:row>
    <x:row r="2332">
      <x:c r="A2332" s="12" t="str">
        <x:v>5811</x:v>
      </x:c>
      <x:c r="B2332" s="12" t="str">
        <x:v>Book publishing</x:v>
      </x:c>
      <x:c r="C2332" s="12" t="str">
        <x:v>الزرقاء</x:v>
      </x:c>
      <x:c r="D2332" s="14" t="n">
        <x:v>0</x:v>
      </x:c>
      <x:c r="E2332" s="14" t="n">
        <x:f>VLOOKUP(C2332,'Governorate Master'!$A$2:$Q$13,3,FALSE)</x:f>
        <x:v>1704500</x:v>
      </x:c>
      <x:c r="F2332" s="66" t="n">
        <x:f>IF(E2332=0,0,D2332/E2332*10000)</x:f>
        <x:v>0</x:v>
      </x:c>
      <x:c r="G2332" s="67" t="n">
        <x:f>VLOOKUP(C2332,'Governorate Master'!$A$2:$Q$13,7,FALSE)</x:f>
        <x:v>358</x:v>
      </x:c>
      <x:c r="H2332" s="20" t="n">
        <x:f>VLOOKUP(C2332,'Governorate Master'!$A$2:$Q$13,6,FALSE)</x:f>
        <x:v>0.9636256966852449</x:v>
      </x:c>
      <x:c r="I2332" s="20" t="n">
        <x:f>VLOOKUP(C2332,'Governorate Master'!$A$2:$Q$13,15,FALSE)</x:f>
        <x:v>-0.06808762581409118</x:v>
      </x:c>
      <x:c r="J2332" s="12" t="str">
        <x:v>Location model input - competition/saturation context</x:v>
      </x:c>
      <x:c r="K2332" s="12" t="str">
        <x:v>Business count is from 2018 while population/context indicators are newer; use as a historical proxy, not a current market count.</x:v>
      </x:c>
    </x:row>
    <x:row r="2333">
      <x:c r="A2333" s="12" t="str">
        <x:v>5811</x:v>
      </x:c>
      <x:c r="B2333" s="12" t="str">
        <x:v>Book publishing</x:v>
      </x:c>
      <x:c r="C2333" s="12" t="str">
        <x:v>مادبا</x:v>
      </x:c>
      <x:c r="D2333" s="14" t="n">
        <x:v>0</x:v>
      </x:c>
      <x:c r="E2333" s="14" t="n">
        <x:f>VLOOKUP(C2333,'Governorate Master'!$A$2:$Q$13,3,FALSE)</x:f>
        <x:v>236200</x:v>
      </x:c>
      <x:c r="F2333" s="66" t="n">
        <x:f>IF(E2333=0,0,D2333/E2333*10000)</x:f>
        <x:v>0</x:v>
      </x:c>
      <x:c r="G2333" s="67" t="n">
        <x:f>VLOOKUP(C2333,'Governorate Master'!$A$2:$Q$13,7,FALSE)</x:f>
        <x:v>251.4</x:v>
      </x:c>
      <x:c r="H2333" s="20" t="n">
        <x:f>VLOOKUP(C2333,'Governorate Master'!$A$2:$Q$13,6,FALSE)</x:f>
        <x:v>0.7823878069432684</x:v>
      </x:c>
      <x:c r="I2333" s="20" t="n">
        <x:f>VLOOKUP(C2333,'Governorate Master'!$A$2:$Q$13,15,FALSE)</x:f>
        <x:v>-0.18823529411764706</x:v>
      </x:c>
      <x:c r="J2333" s="12" t="str">
        <x:v>Location model input - competition/saturation context</x:v>
      </x:c>
      <x:c r="K2333" s="12" t="str">
        <x:v>Business count is from 2018 while population/context indicators are newer; use as a historical proxy, not a current market count.</x:v>
      </x:c>
    </x:row>
    <x:row r="2334">
      <x:c r="A2334" s="12" t="str">
        <x:v>5811</x:v>
      </x:c>
      <x:c r="B2334" s="12" t="str">
        <x:v>Book publishing</x:v>
      </x:c>
      <x:c r="C2334" s="12" t="str">
        <x:v>إربد</x:v>
      </x:c>
      <x:c r="D2334" s="14" t="n">
        <x:v>0</x:v>
      </x:c>
      <x:c r="E2334" s="14" t="n">
        <x:f>VLOOKUP(C2334,'Governorate Master'!$A$2:$Q$13,3,FALSE)</x:f>
        <x:v>2210500</x:v>
      </x:c>
      <x:c r="F2334" s="66" t="n">
        <x:f>IF(E2334=0,0,D2334/E2334*10000)</x:f>
        <x:v>0</x:v>
      </x:c>
      <x:c r="G2334" s="67" t="n">
        <x:f>VLOOKUP(C2334,'Governorate Master'!$A$2:$Q$13,7,FALSE)</x:f>
        <x:v>1406.4</x:v>
      </x:c>
      <x:c r="H2334" s="20" t="n">
        <x:f>VLOOKUP(C2334,'Governorate Master'!$A$2:$Q$13,6,FALSE)</x:f>
        <x:v>0.9235014702555983</x:v>
      </x:c>
      <x:c r="I2334" s="20" t="n">
        <x:f>VLOOKUP(C2334,'Governorate Master'!$A$2:$Q$13,15,FALSE)</x:f>
        <x:v>0.07086922474549726</x:v>
      </x:c>
      <x:c r="J2334" s="12" t="str">
        <x:v>Location model input - competition/saturation context</x:v>
      </x:c>
      <x:c r="K2334" s="12" t="str">
        <x:v>Business count is from 2018 while population/context indicators are newer; use as a historical proxy, not a current market count.</x:v>
      </x:c>
    </x:row>
    <x:row r="2335">
      <x:c r="A2335" s="12" t="str">
        <x:v>5811</x:v>
      </x:c>
      <x:c r="B2335" s="12" t="str">
        <x:v>Book publishing</x:v>
      </x:c>
      <x:c r="C2335" s="12" t="str">
        <x:v>المفرق</x:v>
      </x:c>
      <x:c r="D2335" s="14" t="n">
        <x:v>0</x:v>
      </x:c>
      <x:c r="E2335" s="14" t="n">
        <x:f>VLOOKUP(C2335,'Governorate Master'!$A$2:$Q$13,3,FALSE)</x:f>
        <x:v>686800</x:v>
      </x:c>
      <x:c r="F2335" s="66" t="n">
        <x:f>IF(E2335=0,0,D2335/E2335*10000)</x:f>
        <x:v>0</x:v>
      </x:c>
      <x:c r="G2335" s="67" t="n">
        <x:f>VLOOKUP(C2335,'Governorate Master'!$A$2:$Q$13,7,FALSE)</x:f>
        <x:v>25.9</x:v>
      </x:c>
      <x:c r="H2335" s="20" t="n">
        <x:f>VLOOKUP(C2335,'Governorate Master'!$A$2:$Q$13,6,FALSE)</x:f>
        <x:v>0.6965637740244612</x:v>
      </x:c>
      <x:c r="I2335" s="20" t="n">
        <x:f>VLOOKUP(C2335,'Governorate Master'!$A$2:$Q$13,15,FALSE)</x:f>
        <x:v>-0.016638935108153077</x:v>
      </x:c>
      <x:c r="J2335" s="12" t="str">
        <x:v>Location model input - competition/saturation context</x:v>
      </x:c>
      <x:c r="K2335" s="12" t="str">
        <x:v>Business count is from 2018 while population/context indicators are newer; use as a historical proxy, not a current market count.</x:v>
      </x:c>
    </x:row>
    <x:row r="2336">
      <x:c r="A2336" s="12" t="str">
        <x:v>5811</x:v>
      </x:c>
      <x:c r="B2336" s="12" t="str">
        <x:v>Book publishing</x:v>
      </x:c>
      <x:c r="C2336" s="12" t="str">
        <x:v>جرش</x:v>
      </x:c>
      <x:c r="D2336" s="14" t="n">
        <x:v>0</x:v>
      </x:c>
      <x:c r="E2336" s="14" t="n">
        <x:f>VLOOKUP(C2336,'Governorate Master'!$A$2:$Q$13,3,FALSE)</x:f>
        <x:v>296000</x:v>
      </x:c>
      <x:c r="F2336" s="66" t="n">
        <x:f>IF(E2336=0,0,D2336/E2336*10000)</x:f>
        <x:v>0</x:v>
      </x:c>
      <x:c r="G2336" s="67" t="n">
        <x:f>VLOOKUP(C2336,'Governorate Master'!$A$2:$Q$13,7,FALSE)</x:f>
        <x:v>722.3</x:v>
      </x:c>
      <x:c r="H2336" s="20" t="n">
        <x:f>VLOOKUP(C2336,'Governorate Master'!$A$2:$Q$13,6,FALSE)</x:f>
        <x:v>0.7695945945945946</x:v>
      </x:c>
      <x:c r="I2336" s="20" t="n">
        <x:f>VLOOKUP(C2336,'Governorate Master'!$A$2:$Q$13,15,FALSE)</x:f>
        <x:v>-0.06527415143603134</x:v>
      </x:c>
      <x:c r="J2336" s="12" t="str">
        <x:v>Location model input - competition/saturation context</x:v>
      </x:c>
      <x:c r="K2336" s="12" t="str">
        <x:v>Business count is from 2018 while population/context indicators are newer; use as a historical proxy, not a current market count.</x:v>
      </x:c>
    </x:row>
    <x:row r="2337">
      <x:c r="A2337" s="12" t="str">
        <x:v>5811</x:v>
      </x:c>
      <x:c r="B2337" s="12" t="str">
        <x:v>Book publishing</x:v>
      </x:c>
      <x:c r="C2337" s="12" t="str">
        <x:v>عجلون</x:v>
      </x:c>
      <x:c r="D2337" s="14" t="n">
        <x:v>0</x:v>
      </x:c>
      <x:c r="E2337" s="14" t="n">
        <x:f>VLOOKUP(C2337,'Governorate Master'!$A$2:$Q$13,3,FALSE)</x:f>
        <x:v>219900</x:v>
      </x:c>
      <x:c r="F2337" s="66" t="n">
        <x:f>IF(E2337=0,0,D2337/E2337*10000)</x:f>
        <x:v>0</x:v>
      </x:c>
      <x:c r="G2337" s="67" t="n">
        <x:f>VLOOKUP(C2337,'Governorate Master'!$A$2:$Q$13,7,FALSE)</x:f>
        <x:v>524</x:v>
      </x:c>
      <x:c r="H2337" s="20" t="n">
        <x:f>VLOOKUP(C2337,'Governorate Master'!$A$2:$Q$13,6,FALSE)</x:f>
        <x:v>0.8390177353342428</x:v>
      </x:c>
      <x:c r="I2337" s="20" t="n">
        <x:f>VLOOKUP(C2337,'Governorate Master'!$A$2:$Q$13,15,FALSE)</x:f>
        <x:v>0.03614457831325301</x:v>
      </x:c>
      <x:c r="J2337" s="12" t="str">
        <x:v>Location model input - competition/saturation context</x:v>
      </x:c>
      <x:c r="K2337" s="12" t="str">
        <x:v>Business count is from 2018 while population/context indicators are newer; use as a historical proxy, not a current market count.</x:v>
      </x:c>
    </x:row>
    <x:row r="2338">
      <x:c r="A2338" s="12" t="str">
        <x:v>5811</x:v>
      </x:c>
      <x:c r="B2338" s="12" t="str">
        <x:v>Book publishing</x:v>
      </x:c>
      <x:c r="C2338" s="12" t="str">
        <x:v>الكرك</x:v>
      </x:c>
      <x:c r="D2338" s="14" t="n">
        <x:v>0</x:v>
      </x:c>
      <x:c r="E2338" s="14" t="n">
        <x:f>VLOOKUP(C2338,'Governorate Master'!$A$2:$Q$13,3,FALSE)</x:f>
        <x:v>395400</x:v>
      </x:c>
      <x:c r="F2338" s="66" t="n">
        <x:f>IF(E2338=0,0,D2338/E2338*10000)</x:f>
        <x:v>0</x:v>
      </x:c>
      <x:c r="G2338" s="67" t="n">
        <x:f>VLOOKUP(C2338,'Governorate Master'!$A$2:$Q$13,7,FALSE)</x:f>
        <x:v>113.1</x:v>
      </x:c>
      <x:c r="H2338" s="20" t="n">
        <x:f>VLOOKUP(C2338,'Governorate Master'!$A$2:$Q$13,6,FALSE)</x:f>
        <x:v>0.5912999494183105</x:v>
      </x:c>
      <x:c r="I2338" s="20" t="n">
        <x:f>VLOOKUP(C2338,'Governorate Master'!$A$2:$Q$13,15,FALSE)</x:f>
        <x:v>0.08710801393728224</x:v>
      </x:c>
      <x:c r="J2338" s="12" t="str">
        <x:v>Location model input - competition/saturation context</x:v>
      </x:c>
      <x:c r="K2338" s="12" t="str">
        <x:v>Business count is from 2018 while population/context indicators are newer; use as a historical proxy, not a current market count.</x:v>
      </x:c>
    </x:row>
    <x:row r="2339">
      <x:c r="A2339" s="12" t="str">
        <x:v>5811</x:v>
      </x:c>
      <x:c r="B2339" s="12" t="str">
        <x:v>Book publishing</x:v>
      </x:c>
      <x:c r="C2339" s="12" t="str">
        <x:v>الطفيلة</x:v>
      </x:c>
      <x:c r="D2339" s="14" t="n">
        <x:v>0</x:v>
      </x:c>
      <x:c r="E2339" s="14" t="n">
        <x:f>VLOOKUP(C2339,'Governorate Master'!$A$2:$Q$13,3,FALSE)</x:f>
        <x:v>120300</x:v>
      </x:c>
      <x:c r="F2339" s="66" t="n">
        <x:f>IF(E2339=0,0,D2339/E2339*10000)</x:f>
        <x:v>0</x:v>
      </x:c>
      <x:c r="G2339" s="67" t="n">
        <x:f>VLOOKUP(C2339,'Governorate Master'!$A$2:$Q$13,7,FALSE)</x:f>
        <x:v>54.4</x:v>
      </x:c>
      <x:c r="H2339" s="20" t="n">
        <x:f>VLOOKUP(C2339,'Governorate Master'!$A$2:$Q$13,6,FALSE)</x:f>
        <x:v>0.7797173732335827</x:v>
      </x:c>
      <x:c r="I2339" s="20" t="n">
        <x:f>VLOOKUP(C2339,'Governorate Master'!$A$2:$Q$13,15,FALSE)</x:f>
        <x:v>0.18452380952380953</x:v>
      </x:c>
      <x:c r="J2339" s="12" t="str">
        <x:v>Location model input - competition/saturation context</x:v>
      </x:c>
      <x:c r="K2339" s="12" t="str">
        <x:v>Business count is from 2018 while population/context indicators are newer; use as a historical proxy, not a current market count.</x:v>
      </x:c>
    </x:row>
    <x:row r="2340">
      <x:c r="A2340" s="12" t="str">
        <x:v>5811</x:v>
      </x:c>
      <x:c r="B2340" s="12" t="str">
        <x:v>Book publishing</x:v>
      </x:c>
      <x:c r="C2340" s="12" t="str">
        <x:v>معان</x:v>
      </x:c>
      <x:c r="D2340" s="14" t="n">
        <x:v>0</x:v>
      </x:c>
      <x:c r="E2340" s="14" t="n">
        <x:f>VLOOKUP(C2340,'Governorate Master'!$A$2:$Q$13,3,FALSE)</x:f>
        <x:v>197900</x:v>
      </x:c>
      <x:c r="F2340" s="66" t="n">
        <x:f>IF(E2340=0,0,D2340/E2340*10000)</x:f>
        <x:v>0</x:v>
      </x:c>
      <x:c r="G2340" s="67" t="n">
        <x:f>VLOOKUP(C2340,'Governorate Master'!$A$2:$Q$13,7,FALSE)</x:f>
        <x:v>6</x:v>
      </x:c>
      <x:c r="H2340" s="20" t="n">
        <x:f>VLOOKUP(C2340,'Governorate Master'!$A$2:$Q$13,6,FALSE)</x:f>
        <x:v>0.5406771096513391</x:v>
      </x:c>
      <x:c r="I2340" s="20" t="n">
        <x:f>VLOOKUP(C2340,'Governorate Master'!$A$2:$Q$13,15,FALSE)</x:f>
        <x:v>0.026845637583892617</x:v>
      </x:c>
      <x:c r="J2340" s="12" t="str">
        <x:v>Location model input - competition/saturation context</x:v>
      </x:c>
      <x:c r="K2340" s="12" t="str">
        <x:v>Business count is from 2018 while population/context indicators are newer; use as a historical proxy, not a current market count.</x:v>
      </x:c>
    </x:row>
    <x:row r="2341">
      <x:c r="A2341" s="12" t="str">
        <x:v>5811</x:v>
      </x:c>
      <x:c r="B2341" s="12" t="str">
        <x:v>Book publishing</x:v>
      </x:c>
      <x:c r="C2341" s="12" t="str">
        <x:v>العقبة</x:v>
      </x:c>
      <x:c r="D2341" s="14" t="n">
        <x:v>0</x:v>
      </x:c>
      <x:c r="E2341" s="14" t="n">
        <x:f>VLOOKUP(C2341,'Governorate Master'!$A$2:$Q$13,3,FALSE)</x:f>
        <x:v>250900</x:v>
      </x:c>
      <x:c r="F2341" s="66" t="n">
        <x:f>IF(E2341=0,0,D2341/E2341*10000)</x:f>
        <x:v>0</x:v>
      </x:c>
      <x:c r="G2341" s="67" t="n">
        <x:f>VLOOKUP(C2341,'Governorate Master'!$A$2:$Q$13,7,FALSE)</x:f>
        <x:v>36.3</x:v>
      </x:c>
      <x:c r="H2341" s="20" t="n">
        <x:f>VLOOKUP(C2341,'Governorate Master'!$A$2:$Q$13,6,FALSE)</x:f>
        <x:v>0.882024711040255</x:v>
      </x:c>
      <x:c r="I2341" s="20" t="n">
        <x:f>VLOOKUP(C2341,'Governorate Master'!$A$2:$Q$13,15,FALSE)</x:f>
        <x:v>-0.09</x:v>
      </x:c>
      <x:c r="J2341" s="12" t="str">
        <x:v>Location model input - competition/saturation context</x:v>
      </x:c>
      <x:c r="K2341" s="12" t="str">
        <x:v>Business count is from 2018 while population/context indicators are newer; use as a historical proxy, not a current market count.</x:v>
      </x:c>
    </x:row>
    <x:row r="2342">
      <x:c r="A2342" s="12" t="str">
        <x:v>5813</x:v>
      </x:c>
      <x:c r="B2342" s="12" t="str">
        <x:v>Publishing of newspapers, journals and periodicals</x:v>
      </x:c>
      <x:c r="C2342" s="12" t="str">
        <x:v>عمان</x:v>
      </x:c>
      <x:c r="D2342" s="14" t="n">
        <x:v>4</x:v>
      </x:c>
      <x:c r="E2342" s="14" t="n">
        <x:f>VLOOKUP(C2342,'Governorate Master'!$A$2:$Q$13,3,FALSE)</x:f>
        <x:v>5004600</x:v>
      </x:c>
      <x:c r="F2342" s="66" t="n">
        <x:f>IF(E2342=0,0,D2342/E2342*10000)</x:f>
        <x:v>0.007992646764976222</x:v>
      </x:c>
      <x:c r="G2342" s="67" t="n">
        <x:f>VLOOKUP(C2342,'Governorate Master'!$A$2:$Q$13,7,FALSE)</x:f>
        <x:v>660.3</x:v>
      </x:c>
      <x:c r="H2342" s="20" t="n">
        <x:f>VLOOKUP(C2342,'Governorate Master'!$A$2:$Q$13,6,FALSE)</x:f>
        <x:v>0.9721656076409703</x:v>
      </x:c>
      <x:c r="I2342" s="20" t="n">
        <x:f>VLOOKUP(C2342,'Governorate Master'!$A$2:$Q$13,15,FALSE)</x:f>
        <x:v>0.06367041198501873</x:v>
      </x:c>
      <x:c r="J2342" s="12" t="str">
        <x:v>Location model input - competition/saturation context</x:v>
      </x:c>
      <x:c r="K2342" s="12" t="str">
        <x:v>Business count is from 2018 while population/context indicators are newer; use as a historical proxy, not a current market count.</x:v>
      </x:c>
    </x:row>
    <x:row r="2343">
      <x:c r="A2343" s="12" t="str">
        <x:v>5813</x:v>
      </x:c>
      <x:c r="B2343" s="12" t="str">
        <x:v>Publishing of newspapers, journals and periodicals</x:v>
      </x:c>
      <x:c r="C2343" s="12" t="str">
        <x:v>البلقاء</x:v>
      </x:c>
      <x:c r="D2343" s="14" t="n">
        <x:v>0</x:v>
      </x:c>
      <x:c r="E2343" s="14" t="n">
        <x:f>VLOOKUP(C2343,'Governorate Master'!$A$2:$Q$13,3,FALSE)</x:f>
        <x:v>614000</x:v>
      </x:c>
      <x:c r="F2343" s="66" t="n">
        <x:f>IF(E2343=0,0,D2343/E2343*10000)</x:f>
        <x:v>0</x:v>
      </x:c>
      <x:c r="G2343" s="67" t="n">
        <x:f>VLOOKUP(C2343,'Governorate Master'!$A$2:$Q$13,7,FALSE)</x:f>
        <x:v>548</x:v>
      </x:c>
      <x:c r="H2343" s="20" t="n">
        <x:f>VLOOKUP(C2343,'Governorate Master'!$A$2:$Q$13,6,FALSE)</x:f>
        <x:v>0.8210097719869707</x:v>
      </x:c>
      <x:c r="I2343" s="20" t="n">
        <x:f>VLOOKUP(C2343,'Governorate Master'!$A$2:$Q$13,15,FALSE)</x:f>
        <x:v>0.10794044665012408</x:v>
      </x:c>
      <x:c r="J2343" s="12" t="str">
        <x:v>Location model input - competition/saturation context</x:v>
      </x:c>
      <x:c r="K2343" s="12" t="str">
        <x:v>Business count is from 2018 while population/context indicators are newer; use as a historical proxy, not a current market count.</x:v>
      </x:c>
    </x:row>
    <x:row r="2344">
      <x:c r="A2344" s="12" t="str">
        <x:v>5813</x:v>
      </x:c>
      <x:c r="B2344" s="12" t="str">
        <x:v>Publishing of newspapers, journals and periodicals</x:v>
      </x:c>
      <x:c r="C2344" s="12" t="str">
        <x:v>الزرقاء</x:v>
      </x:c>
      <x:c r="D2344" s="14" t="n">
        <x:v>0</x:v>
      </x:c>
      <x:c r="E2344" s="14" t="n">
        <x:f>VLOOKUP(C2344,'Governorate Master'!$A$2:$Q$13,3,FALSE)</x:f>
        <x:v>1704500</x:v>
      </x:c>
      <x:c r="F2344" s="66" t="n">
        <x:f>IF(E2344=0,0,D2344/E2344*10000)</x:f>
        <x:v>0</x:v>
      </x:c>
      <x:c r="G2344" s="67" t="n">
        <x:f>VLOOKUP(C2344,'Governorate Master'!$A$2:$Q$13,7,FALSE)</x:f>
        <x:v>358</x:v>
      </x:c>
      <x:c r="H2344" s="20" t="n">
        <x:f>VLOOKUP(C2344,'Governorate Master'!$A$2:$Q$13,6,FALSE)</x:f>
        <x:v>0.9636256966852449</x:v>
      </x:c>
      <x:c r="I2344" s="20" t="n">
        <x:f>VLOOKUP(C2344,'Governorate Master'!$A$2:$Q$13,15,FALSE)</x:f>
        <x:v>-0.06808762581409118</x:v>
      </x:c>
      <x:c r="J2344" s="12" t="str">
        <x:v>Location model input - competition/saturation context</x:v>
      </x:c>
      <x:c r="K2344" s="12" t="str">
        <x:v>Business count is from 2018 while population/context indicators are newer; use as a historical proxy, not a current market count.</x:v>
      </x:c>
    </x:row>
    <x:row r="2345">
      <x:c r="A2345" s="12" t="str">
        <x:v>5813</x:v>
      </x:c>
      <x:c r="B2345" s="12" t="str">
        <x:v>Publishing of newspapers, journals and periodicals</x:v>
      </x:c>
      <x:c r="C2345" s="12" t="str">
        <x:v>مادبا</x:v>
      </x:c>
      <x:c r="D2345" s="14" t="n">
        <x:v>0</x:v>
      </x:c>
      <x:c r="E2345" s="14" t="n">
        <x:f>VLOOKUP(C2345,'Governorate Master'!$A$2:$Q$13,3,FALSE)</x:f>
        <x:v>236200</x:v>
      </x:c>
      <x:c r="F2345" s="66" t="n">
        <x:f>IF(E2345=0,0,D2345/E2345*10000)</x:f>
        <x:v>0</x:v>
      </x:c>
      <x:c r="G2345" s="67" t="n">
        <x:f>VLOOKUP(C2345,'Governorate Master'!$A$2:$Q$13,7,FALSE)</x:f>
        <x:v>251.4</x:v>
      </x:c>
      <x:c r="H2345" s="20" t="n">
        <x:f>VLOOKUP(C2345,'Governorate Master'!$A$2:$Q$13,6,FALSE)</x:f>
        <x:v>0.7823878069432684</x:v>
      </x:c>
      <x:c r="I2345" s="20" t="n">
        <x:f>VLOOKUP(C2345,'Governorate Master'!$A$2:$Q$13,15,FALSE)</x:f>
        <x:v>-0.18823529411764706</x:v>
      </x:c>
      <x:c r="J2345" s="12" t="str">
        <x:v>Location model input - competition/saturation context</x:v>
      </x:c>
      <x:c r="K2345" s="12" t="str">
        <x:v>Business count is from 2018 while population/context indicators are newer; use as a historical proxy, not a current market count.</x:v>
      </x:c>
    </x:row>
    <x:row r="2346">
      <x:c r="A2346" s="12" t="str">
        <x:v>5813</x:v>
      </x:c>
      <x:c r="B2346" s="12" t="str">
        <x:v>Publishing of newspapers, journals and periodicals</x:v>
      </x:c>
      <x:c r="C2346" s="12" t="str">
        <x:v>إربد</x:v>
      </x:c>
      <x:c r="D2346" s="14" t="n">
        <x:v>0</x:v>
      </x:c>
      <x:c r="E2346" s="14" t="n">
        <x:f>VLOOKUP(C2346,'Governorate Master'!$A$2:$Q$13,3,FALSE)</x:f>
        <x:v>2210500</x:v>
      </x:c>
      <x:c r="F2346" s="66" t="n">
        <x:f>IF(E2346=0,0,D2346/E2346*10000)</x:f>
        <x:v>0</x:v>
      </x:c>
      <x:c r="G2346" s="67" t="n">
        <x:f>VLOOKUP(C2346,'Governorate Master'!$A$2:$Q$13,7,FALSE)</x:f>
        <x:v>1406.4</x:v>
      </x:c>
      <x:c r="H2346" s="20" t="n">
        <x:f>VLOOKUP(C2346,'Governorate Master'!$A$2:$Q$13,6,FALSE)</x:f>
        <x:v>0.9235014702555983</x:v>
      </x:c>
      <x:c r="I2346" s="20" t="n">
        <x:f>VLOOKUP(C2346,'Governorate Master'!$A$2:$Q$13,15,FALSE)</x:f>
        <x:v>0.07086922474549726</x:v>
      </x:c>
      <x:c r="J2346" s="12" t="str">
        <x:v>Location model input - competition/saturation context</x:v>
      </x:c>
      <x:c r="K2346" s="12" t="str">
        <x:v>Business count is from 2018 while population/context indicators are newer; use as a historical proxy, not a current market count.</x:v>
      </x:c>
    </x:row>
    <x:row r="2347">
      <x:c r="A2347" s="12" t="str">
        <x:v>5813</x:v>
      </x:c>
      <x:c r="B2347" s="12" t="str">
        <x:v>Publishing of newspapers, journals and periodicals</x:v>
      </x:c>
      <x:c r="C2347" s="12" t="str">
        <x:v>المفرق</x:v>
      </x:c>
      <x:c r="D2347" s="14" t="n">
        <x:v>0</x:v>
      </x:c>
      <x:c r="E2347" s="14" t="n">
        <x:f>VLOOKUP(C2347,'Governorate Master'!$A$2:$Q$13,3,FALSE)</x:f>
        <x:v>686800</x:v>
      </x:c>
      <x:c r="F2347" s="66" t="n">
        <x:f>IF(E2347=0,0,D2347/E2347*10000)</x:f>
        <x:v>0</x:v>
      </x:c>
      <x:c r="G2347" s="67" t="n">
        <x:f>VLOOKUP(C2347,'Governorate Master'!$A$2:$Q$13,7,FALSE)</x:f>
        <x:v>25.9</x:v>
      </x:c>
      <x:c r="H2347" s="20" t="n">
        <x:f>VLOOKUP(C2347,'Governorate Master'!$A$2:$Q$13,6,FALSE)</x:f>
        <x:v>0.6965637740244612</x:v>
      </x:c>
      <x:c r="I2347" s="20" t="n">
        <x:f>VLOOKUP(C2347,'Governorate Master'!$A$2:$Q$13,15,FALSE)</x:f>
        <x:v>-0.016638935108153077</x:v>
      </x:c>
      <x:c r="J2347" s="12" t="str">
        <x:v>Location model input - competition/saturation context</x:v>
      </x:c>
      <x:c r="K2347" s="12" t="str">
        <x:v>Business count is from 2018 while population/context indicators are newer; use as a historical proxy, not a current market count.</x:v>
      </x:c>
    </x:row>
    <x:row r="2348">
      <x:c r="A2348" s="12" t="str">
        <x:v>5813</x:v>
      </x:c>
      <x:c r="B2348" s="12" t="str">
        <x:v>Publishing of newspapers, journals and periodicals</x:v>
      </x:c>
      <x:c r="C2348" s="12" t="str">
        <x:v>جرش</x:v>
      </x:c>
      <x:c r="D2348" s="14" t="n">
        <x:v>0</x:v>
      </x:c>
      <x:c r="E2348" s="14" t="n">
        <x:f>VLOOKUP(C2348,'Governorate Master'!$A$2:$Q$13,3,FALSE)</x:f>
        <x:v>296000</x:v>
      </x:c>
      <x:c r="F2348" s="66" t="n">
        <x:f>IF(E2348=0,0,D2348/E2348*10000)</x:f>
        <x:v>0</x:v>
      </x:c>
      <x:c r="G2348" s="67" t="n">
        <x:f>VLOOKUP(C2348,'Governorate Master'!$A$2:$Q$13,7,FALSE)</x:f>
        <x:v>722.3</x:v>
      </x:c>
      <x:c r="H2348" s="20" t="n">
        <x:f>VLOOKUP(C2348,'Governorate Master'!$A$2:$Q$13,6,FALSE)</x:f>
        <x:v>0.7695945945945946</x:v>
      </x:c>
      <x:c r="I2348" s="20" t="n">
        <x:f>VLOOKUP(C2348,'Governorate Master'!$A$2:$Q$13,15,FALSE)</x:f>
        <x:v>-0.06527415143603134</x:v>
      </x:c>
      <x:c r="J2348" s="12" t="str">
        <x:v>Location model input - competition/saturation context</x:v>
      </x:c>
      <x:c r="K2348" s="12" t="str">
        <x:v>Business count is from 2018 while population/context indicators are newer; use as a historical proxy, not a current market count.</x:v>
      </x:c>
    </x:row>
    <x:row r="2349">
      <x:c r="A2349" s="12" t="str">
        <x:v>5813</x:v>
      </x:c>
      <x:c r="B2349" s="12" t="str">
        <x:v>Publishing of newspapers, journals and periodicals</x:v>
      </x:c>
      <x:c r="C2349" s="12" t="str">
        <x:v>عجلون</x:v>
      </x:c>
      <x:c r="D2349" s="14" t="n">
        <x:v>0</x:v>
      </x:c>
      <x:c r="E2349" s="14" t="n">
        <x:f>VLOOKUP(C2349,'Governorate Master'!$A$2:$Q$13,3,FALSE)</x:f>
        <x:v>219900</x:v>
      </x:c>
      <x:c r="F2349" s="66" t="n">
        <x:f>IF(E2349=0,0,D2349/E2349*10000)</x:f>
        <x:v>0</x:v>
      </x:c>
      <x:c r="G2349" s="67" t="n">
        <x:f>VLOOKUP(C2349,'Governorate Master'!$A$2:$Q$13,7,FALSE)</x:f>
        <x:v>524</x:v>
      </x:c>
      <x:c r="H2349" s="20" t="n">
        <x:f>VLOOKUP(C2349,'Governorate Master'!$A$2:$Q$13,6,FALSE)</x:f>
        <x:v>0.8390177353342428</x:v>
      </x:c>
      <x:c r="I2349" s="20" t="n">
        <x:f>VLOOKUP(C2349,'Governorate Master'!$A$2:$Q$13,15,FALSE)</x:f>
        <x:v>0.03614457831325301</x:v>
      </x:c>
      <x:c r="J2349" s="12" t="str">
        <x:v>Location model input - competition/saturation context</x:v>
      </x:c>
      <x:c r="K2349" s="12" t="str">
        <x:v>Business count is from 2018 while population/context indicators are newer; use as a historical proxy, not a current market count.</x:v>
      </x:c>
    </x:row>
    <x:row r="2350">
      <x:c r="A2350" s="12" t="str">
        <x:v>5813</x:v>
      </x:c>
      <x:c r="B2350" s="12" t="str">
        <x:v>Publishing of newspapers, journals and periodicals</x:v>
      </x:c>
      <x:c r="C2350" s="12" t="str">
        <x:v>الكرك</x:v>
      </x:c>
      <x:c r="D2350" s="14" t="n">
        <x:v>0</x:v>
      </x:c>
      <x:c r="E2350" s="14" t="n">
        <x:f>VLOOKUP(C2350,'Governorate Master'!$A$2:$Q$13,3,FALSE)</x:f>
        <x:v>395400</x:v>
      </x:c>
      <x:c r="F2350" s="66" t="n">
        <x:f>IF(E2350=0,0,D2350/E2350*10000)</x:f>
        <x:v>0</x:v>
      </x:c>
      <x:c r="G2350" s="67" t="n">
        <x:f>VLOOKUP(C2350,'Governorate Master'!$A$2:$Q$13,7,FALSE)</x:f>
        <x:v>113.1</x:v>
      </x:c>
      <x:c r="H2350" s="20" t="n">
        <x:f>VLOOKUP(C2350,'Governorate Master'!$A$2:$Q$13,6,FALSE)</x:f>
        <x:v>0.5912999494183105</x:v>
      </x:c>
      <x:c r="I2350" s="20" t="n">
        <x:f>VLOOKUP(C2350,'Governorate Master'!$A$2:$Q$13,15,FALSE)</x:f>
        <x:v>0.08710801393728224</x:v>
      </x:c>
      <x:c r="J2350" s="12" t="str">
        <x:v>Location model input - competition/saturation context</x:v>
      </x:c>
      <x:c r="K2350" s="12" t="str">
        <x:v>Business count is from 2018 while population/context indicators are newer; use as a historical proxy, not a current market count.</x:v>
      </x:c>
    </x:row>
    <x:row r="2351">
      <x:c r="A2351" s="12" t="str">
        <x:v>5813</x:v>
      </x:c>
      <x:c r="B2351" s="12" t="str">
        <x:v>Publishing of newspapers, journals and periodicals</x:v>
      </x:c>
      <x:c r="C2351" s="12" t="str">
        <x:v>الطفيلة</x:v>
      </x:c>
      <x:c r="D2351" s="14" t="n">
        <x:v>0</x:v>
      </x:c>
      <x:c r="E2351" s="14" t="n">
        <x:f>VLOOKUP(C2351,'Governorate Master'!$A$2:$Q$13,3,FALSE)</x:f>
        <x:v>120300</x:v>
      </x:c>
      <x:c r="F2351" s="66" t="n">
        <x:f>IF(E2351=0,0,D2351/E2351*10000)</x:f>
        <x:v>0</x:v>
      </x:c>
      <x:c r="G2351" s="67" t="n">
        <x:f>VLOOKUP(C2351,'Governorate Master'!$A$2:$Q$13,7,FALSE)</x:f>
        <x:v>54.4</x:v>
      </x:c>
      <x:c r="H2351" s="20" t="n">
        <x:f>VLOOKUP(C2351,'Governorate Master'!$A$2:$Q$13,6,FALSE)</x:f>
        <x:v>0.7797173732335827</x:v>
      </x:c>
      <x:c r="I2351" s="20" t="n">
        <x:f>VLOOKUP(C2351,'Governorate Master'!$A$2:$Q$13,15,FALSE)</x:f>
        <x:v>0.18452380952380953</x:v>
      </x:c>
      <x:c r="J2351" s="12" t="str">
        <x:v>Location model input - competition/saturation context</x:v>
      </x:c>
      <x:c r="K2351" s="12" t="str">
        <x:v>Business count is from 2018 while population/context indicators are newer; use as a historical proxy, not a current market count.</x:v>
      </x:c>
    </x:row>
    <x:row r="2352">
      <x:c r="A2352" s="12" t="str">
        <x:v>5813</x:v>
      </x:c>
      <x:c r="B2352" s="12" t="str">
        <x:v>Publishing of newspapers, journals and periodicals</x:v>
      </x:c>
      <x:c r="C2352" s="12" t="str">
        <x:v>معان</x:v>
      </x:c>
      <x:c r="D2352" s="14" t="n">
        <x:v>0</x:v>
      </x:c>
      <x:c r="E2352" s="14" t="n">
        <x:f>VLOOKUP(C2352,'Governorate Master'!$A$2:$Q$13,3,FALSE)</x:f>
        <x:v>197900</x:v>
      </x:c>
      <x:c r="F2352" s="66" t="n">
        <x:f>IF(E2352=0,0,D2352/E2352*10000)</x:f>
        <x:v>0</x:v>
      </x:c>
      <x:c r="G2352" s="67" t="n">
        <x:f>VLOOKUP(C2352,'Governorate Master'!$A$2:$Q$13,7,FALSE)</x:f>
        <x:v>6</x:v>
      </x:c>
      <x:c r="H2352" s="20" t="n">
        <x:f>VLOOKUP(C2352,'Governorate Master'!$A$2:$Q$13,6,FALSE)</x:f>
        <x:v>0.5406771096513391</x:v>
      </x:c>
      <x:c r="I2352" s="20" t="n">
        <x:f>VLOOKUP(C2352,'Governorate Master'!$A$2:$Q$13,15,FALSE)</x:f>
        <x:v>0.026845637583892617</x:v>
      </x:c>
      <x:c r="J2352" s="12" t="str">
        <x:v>Location model input - competition/saturation context</x:v>
      </x:c>
      <x:c r="K2352" s="12" t="str">
        <x:v>Business count is from 2018 while population/context indicators are newer; use as a historical proxy, not a current market count.</x:v>
      </x:c>
    </x:row>
    <x:row r="2353">
      <x:c r="A2353" s="12" t="str">
        <x:v>5813</x:v>
      </x:c>
      <x:c r="B2353" s="12" t="str">
        <x:v>Publishing of newspapers, journals and periodicals</x:v>
      </x:c>
      <x:c r="C2353" s="12" t="str">
        <x:v>العقبة</x:v>
      </x:c>
      <x:c r="D2353" s="14" t="n">
        <x:v>0</x:v>
      </x:c>
      <x:c r="E2353" s="14" t="n">
        <x:f>VLOOKUP(C2353,'Governorate Master'!$A$2:$Q$13,3,FALSE)</x:f>
        <x:v>250900</x:v>
      </x:c>
      <x:c r="F2353" s="66" t="n">
        <x:f>IF(E2353=0,0,D2353/E2353*10000)</x:f>
        <x:v>0</x:v>
      </x:c>
      <x:c r="G2353" s="67" t="n">
        <x:f>VLOOKUP(C2353,'Governorate Master'!$A$2:$Q$13,7,FALSE)</x:f>
        <x:v>36.3</x:v>
      </x:c>
      <x:c r="H2353" s="20" t="n">
        <x:f>VLOOKUP(C2353,'Governorate Master'!$A$2:$Q$13,6,FALSE)</x:f>
        <x:v>0.882024711040255</x:v>
      </x:c>
      <x:c r="I2353" s="20" t="n">
        <x:f>VLOOKUP(C2353,'Governorate Master'!$A$2:$Q$13,15,FALSE)</x:f>
        <x:v>-0.09</x:v>
      </x:c>
      <x:c r="J2353" s="12" t="str">
        <x:v>Location model input - competition/saturation context</x:v>
      </x:c>
      <x:c r="K2353" s="12" t="str">
        <x:v>Business count is from 2018 while population/context indicators are newer; use as a historical proxy, not a current market count.</x:v>
      </x:c>
    </x:row>
    <x:row r="2354">
      <x:c r="A2354" s="12" t="str">
        <x:v>5819</x:v>
      </x:c>
      <x:c r="B2354" s="12" t="str">
        <x:v>Other publishing activities</x:v>
      </x:c>
      <x:c r="C2354" s="12" t="str">
        <x:v>عمان</x:v>
      </x:c>
      <x:c r="D2354" s="14" t="n">
        <x:v>11</x:v>
      </x:c>
      <x:c r="E2354" s="14" t="n">
        <x:f>VLOOKUP(C2354,'Governorate Master'!$A$2:$Q$13,3,FALSE)</x:f>
        <x:v>5004600</x:v>
      </x:c>
      <x:c r="F2354" s="66" t="n">
        <x:f>IF(E2354=0,0,D2354/E2354*10000)</x:f>
        <x:v>0.02197977860368461</x:v>
      </x:c>
      <x:c r="G2354" s="67" t="n">
        <x:f>VLOOKUP(C2354,'Governorate Master'!$A$2:$Q$13,7,FALSE)</x:f>
        <x:v>660.3</x:v>
      </x:c>
      <x:c r="H2354" s="20" t="n">
        <x:f>VLOOKUP(C2354,'Governorate Master'!$A$2:$Q$13,6,FALSE)</x:f>
        <x:v>0.9721656076409703</x:v>
      </x:c>
      <x:c r="I2354" s="20" t="n">
        <x:f>VLOOKUP(C2354,'Governorate Master'!$A$2:$Q$13,15,FALSE)</x:f>
        <x:v>0.06367041198501873</x:v>
      </x:c>
      <x:c r="J2354" s="12" t="str">
        <x:v>Location model input - competition/saturation context</x:v>
      </x:c>
      <x:c r="K2354" s="12" t="str">
        <x:v>Business count is from 2018 while population/context indicators are newer; use as a historical proxy, not a current market count.</x:v>
      </x:c>
    </x:row>
    <x:row r="2355">
      <x:c r="A2355" s="12" t="str">
        <x:v>5819</x:v>
      </x:c>
      <x:c r="B2355" s="12" t="str">
        <x:v>Other publishing activities</x:v>
      </x:c>
      <x:c r="C2355" s="12" t="str">
        <x:v>البلقاء</x:v>
      </x:c>
      <x:c r="D2355" s="14" t="n">
        <x:v>0</x:v>
      </x:c>
      <x:c r="E2355" s="14" t="n">
        <x:f>VLOOKUP(C2355,'Governorate Master'!$A$2:$Q$13,3,FALSE)</x:f>
        <x:v>614000</x:v>
      </x:c>
      <x:c r="F2355" s="66" t="n">
        <x:f>IF(E2355=0,0,D2355/E2355*10000)</x:f>
        <x:v>0</x:v>
      </x:c>
      <x:c r="G2355" s="67" t="n">
        <x:f>VLOOKUP(C2355,'Governorate Master'!$A$2:$Q$13,7,FALSE)</x:f>
        <x:v>548</x:v>
      </x:c>
      <x:c r="H2355" s="20" t="n">
        <x:f>VLOOKUP(C2355,'Governorate Master'!$A$2:$Q$13,6,FALSE)</x:f>
        <x:v>0.8210097719869707</x:v>
      </x:c>
      <x:c r="I2355" s="20" t="n">
        <x:f>VLOOKUP(C2355,'Governorate Master'!$A$2:$Q$13,15,FALSE)</x:f>
        <x:v>0.10794044665012408</x:v>
      </x:c>
      <x:c r="J2355" s="12" t="str">
        <x:v>Location model input - competition/saturation context</x:v>
      </x:c>
      <x:c r="K2355" s="12" t="str">
        <x:v>Business count is from 2018 while population/context indicators are newer; use as a historical proxy, not a current market count.</x:v>
      </x:c>
    </x:row>
    <x:row r="2356">
      <x:c r="A2356" s="12" t="str">
        <x:v>5819</x:v>
      </x:c>
      <x:c r="B2356" s="12" t="str">
        <x:v>Other publishing activities</x:v>
      </x:c>
      <x:c r="C2356" s="12" t="str">
        <x:v>الزرقاء</x:v>
      </x:c>
      <x:c r="D2356" s="14" t="n">
        <x:v>1</x:v>
      </x:c>
      <x:c r="E2356" s="14" t="n">
        <x:f>VLOOKUP(C2356,'Governorate Master'!$A$2:$Q$13,3,FALSE)</x:f>
        <x:v>1704500</x:v>
      </x:c>
      <x:c r="F2356" s="66" t="n">
        <x:f>IF(E2356=0,0,D2356/E2356*10000)</x:f>
        <x:v>0.005866823115283074</x:v>
      </x:c>
      <x:c r="G2356" s="67" t="n">
        <x:f>VLOOKUP(C2356,'Governorate Master'!$A$2:$Q$13,7,FALSE)</x:f>
        <x:v>358</x:v>
      </x:c>
      <x:c r="H2356" s="20" t="n">
        <x:f>VLOOKUP(C2356,'Governorate Master'!$A$2:$Q$13,6,FALSE)</x:f>
        <x:v>0.9636256966852449</x:v>
      </x:c>
      <x:c r="I2356" s="20" t="n">
        <x:f>VLOOKUP(C2356,'Governorate Master'!$A$2:$Q$13,15,FALSE)</x:f>
        <x:v>-0.06808762581409118</x:v>
      </x:c>
      <x:c r="J2356" s="12" t="str">
        <x:v>Location model input - competition/saturation context</x:v>
      </x:c>
      <x:c r="K2356" s="12" t="str">
        <x:v>Business count is from 2018 while population/context indicators are newer; use as a historical proxy, not a current market count.</x:v>
      </x:c>
    </x:row>
    <x:row r="2357">
      <x:c r="A2357" s="12" t="str">
        <x:v>5819</x:v>
      </x:c>
      <x:c r="B2357" s="12" t="str">
        <x:v>Other publishing activities</x:v>
      </x:c>
      <x:c r="C2357" s="12" t="str">
        <x:v>مادبا</x:v>
      </x:c>
      <x:c r="D2357" s="14" t="n">
        <x:v>0</x:v>
      </x:c>
      <x:c r="E2357" s="14" t="n">
        <x:f>VLOOKUP(C2357,'Governorate Master'!$A$2:$Q$13,3,FALSE)</x:f>
        <x:v>236200</x:v>
      </x:c>
      <x:c r="F2357" s="66" t="n">
        <x:f>IF(E2357=0,0,D2357/E2357*10000)</x:f>
        <x:v>0</x:v>
      </x:c>
      <x:c r="G2357" s="67" t="n">
        <x:f>VLOOKUP(C2357,'Governorate Master'!$A$2:$Q$13,7,FALSE)</x:f>
        <x:v>251.4</x:v>
      </x:c>
      <x:c r="H2357" s="20" t="n">
        <x:f>VLOOKUP(C2357,'Governorate Master'!$A$2:$Q$13,6,FALSE)</x:f>
        <x:v>0.7823878069432684</x:v>
      </x:c>
      <x:c r="I2357" s="20" t="n">
        <x:f>VLOOKUP(C2357,'Governorate Master'!$A$2:$Q$13,15,FALSE)</x:f>
        <x:v>-0.18823529411764706</x:v>
      </x:c>
      <x:c r="J2357" s="12" t="str">
        <x:v>Location model input - competition/saturation context</x:v>
      </x:c>
      <x:c r="K2357" s="12" t="str">
        <x:v>Business count is from 2018 while population/context indicators are newer; use as a historical proxy, not a current market count.</x:v>
      </x:c>
    </x:row>
    <x:row r="2358">
      <x:c r="A2358" s="12" t="str">
        <x:v>5819</x:v>
      </x:c>
      <x:c r="B2358" s="12" t="str">
        <x:v>Other publishing activities</x:v>
      </x:c>
      <x:c r="C2358" s="12" t="str">
        <x:v>إربد</x:v>
      </x:c>
      <x:c r="D2358" s="14" t="n">
        <x:v>0</x:v>
      </x:c>
      <x:c r="E2358" s="14" t="n">
        <x:f>VLOOKUP(C2358,'Governorate Master'!$A$2:$Q$13,3,FALSE)</x:f>
        <x:v>2210500</x:v>
      </x:c>
      <x:c r="F2358" s="66" t="n">
        <x:f>IF(E2358=0,0,D2358/E2358*10000)</x:f>
        <x:v>0</x:v>
      </x:c>
      <x:c r="G2358" s="67" t="n">
        <x:f>VLOOKUP(C2358,'Governorate Master'!$A$2:$Q$13,7,FALSE)</x:f>
        <x:v>1406.4</x:v>
      </x:c>
      <x:c r="H2358" s="20" t="n">
        <x:f>VLOOKUP(C2358,'Governorate Master'!$A$2:$Q$13,6,FALSE)</x:f>
        <x:v>0.9235014702555983</x:v>
      </x:c>
      <x:c r="I2358" s="20" t="n">
        <x:f>VLOOKUP(C2358,'Governorate Master'!$A$2:$Q$13,15,FALSE)</x:f>
        <x:v>0.07086922474549726</x:v>
      </x:c>
      <x:c r="J2358" s="12" t="str">
        <x:v>Location model input - competition/saturation context</x:v>
      </x:c>
      <x:c r="K2358" s="12" t="str">
        <x:v>Business count is from 2018 while population/context indicators are newer; use as a historical proxy, not a current market count.</x:v>
      </x:c>
    </x:row>
    <x:row r="2359">
      <x:c r="A2359" s="12" t="str">
        <x:v>5819</x:v>
      </x:c>
      <x:c r="B2359" s="12" t="str">
        <x:v>Other publishing activities</x:v>
      </x:c>
      <x:c r="C2359" s="12" t="str">
        <x:v>المفرق</x:v>
      </x:c>
      <x:c r="D2359" s="14" t="n">
        <x:v>0</x:v>
      </x:c>
      <x:c r="E2359" s="14" t="n">
        <x:f>VLOOKUP(C2359,'Governorate Master'!$A$2:$Q$13,3,FALSE)</x:f>
        <x:v>686800</x:v>
      </x:c>
      <x:c r="F2359" s="66" t="n">
        <x:f>IF(E2359=0,0,D2359/E2359*10000)</x:f>
        <x:v>0</x:v>
      </x:c>
      <x:c r="G2359" s="67" t="n">
        <x:f>VLOOKUP(C2359,'Governorate Master'!$A$2:$Q$13,7,FALSE)</x:f>
        <x:v>25.9</x:v>
      </x:c>
      <x:c r="H2359" s="20" t="n">
        <x:f>VLOOKUP(C2359,'Governorate Master'!$A$2:$Q$13,6,FALSE)</x:f>
        <x:v>0.6965637740244612</x:v>
      </x:c>
      <x:c r="I2359" s="20" t="n">
        <x:f>VLOOKUP(C2359,'Governorate Master'!$A$2:$Q$13,15,FALSE)</x:f>
        <x:v>-0.016638935108153077</x:v>
      </x:c>
      <x:c r="J2359" s="12" t="str">
        <x:v>Location model input - competition/saturation context</x:v>
      </x:c>
      <x:c r="K2359" s="12" t="str">
        <x:v>Business count is from 2018 while population/context indicators are newer; use as a historical proxy, not a current market count.</x:v>
      </x:c>
    </x:row>
    <x:row r="2360">
      <x:c r="A2360" s="12" t="str">
        <x:v>5819</x:v>
      </x:c>
      <x:c r="B2360" s="12" t="str">
        <x:v>Other publishing activities</x:v>
      </x:c>
      <x:c r="C2360" s="12" t="str">
        <x:v>جرش</x:v>
      </x:c>
      <x:c r="D2360" s="14" t="n">
        <x:v>0</x:v>
      </x:c>
      <x:c r="E2360" s="14" t="n">
        <x:f>VLOOKUP(C2360,'Governorate Master'!$A$2:$Q$13,3,FALSE)</x:f>
        <x:v>296000</x:v>
      </x:c>
      <x:c r="F2360" s="66" t="n">
        <x:f>IF(E2360=0,0,D2360/E2360*10000)</x:f>
        <x:v>0</x:v>
      </x:c>
      <x:c r="G2360" s="67" t="n">
        <x:f>VLOOKUP(C2360,'Governorate Master'!$A$2:$Q$13,7,FALSE)</x:f>
        <x:v>722.3</x:v>
      </x:c>
      <x:c r="H2360" s="20" t="n">
        <x:f>VLOOKUP(C2360,'Governorate Master'!$A$2:$Q$13,6,FALSE)</x:f>
        <x:v>0.7695945945945946</x:v>
      </x:c>
      <x:c r="I2360" s="20" t="n">
        <x:f>VLOOKUP(C2360,'Governorate Master'!$A$2:$Q$13,15,FALSE)</x:f>
        <x:v>-0.06527415143603134</x:v>
      </x:c>
      <x:c r="J2360" s="12" t="str">
        <x:v>Location model input - competition/saturation context</x:v>
      </x:c>
      <x:c r="K2360" s="12" t="str">
        <x:v>Business count is from 2018 while population/context indicators are newer; use as a historical proxy, not a current market count.</x:v>
      </x:c>
    </x:row>
    <x:row r="2361">
      <x:c r="A2361" s="12" t="str">
        <x:v>5819</x:v>
      </x:c>
      <x:c r="B2361" s="12" t="str">
        <x:v>Other publishing activities</x:v>
      </x:c>
      <x:c r="C2361" s="12" t="str">
        <x:v>عجلون</x:v>
      </x:c>
      <x:c r="D2361" s="14" t="n">
        <x:v>0</x:v>
      </x:c>
      <x:c r="E2361" s="14" t="n">
        <x:f>VLOOKUP(C2361,'Governorate Master'!$A$2:$Q$13,3,FALSE)</x:f>
        <x:v>219900</x:v>
      </x:c>
      <x:c r="F2361" s="66" t="n">
        <x:f>IF(E2361=0,0,D2361/E2361*10000)</x:f>
        <x:v>0</x:v>
      </x:c>
      <x:c r="G2361" s="67" t="n">
        <x:f>VLOOKUP(C2361,'Governorate Master'!$A$2:$Q$13,7,FALSE)</x:f>
        <x:v>524</x:v>
      </x:c>
      <x:c r="H2361" s="20" t="n">
        <x:f>VLOOKUP(C2361,'Governorate Master'!$A$2:$Q$13,6,FALSE)</x:f>
        <x:v>0.8390177353342428</x:v>
      </x:c>
      <x:c r="I2361" s="20" t="n">
        <x:f>VLOOKUP(C2361,'Governorate Master'!$A$2:$Q$13,15,FALSE)</x:f>
        <x:v>0.03614457831325301</x:v>
      </x:c>
      <x:c r="J2361" s="12" t="str">
        <x:v>Location model input - competition/saturation context</x:v>
      </x:c>
      <x:c r="K2361" s="12" t="str">
        <x:v>Business count is from 2018 while population/context indicators are newer; use as a historical proxy, not a current market count.</x:v>
      </x:c>
    </x:row>
    <x:row r="2362">
      <x:c r="A2362" s="12" t="str">
        <x:v>5819</x:v>
      </x:c>
      <x:c r="B2362" s="12" t="str">
        <x:v>Other publishing activities</x:v>
      </x:c>
      <x:c r="C2362" s="12" t="str">
        <x:v>الكرك</x:v>
      </x:c>
      <x:c r="D2362" s="14" t="n">
        <x:v>0</x:v>
      </x:c>
      <x:c r="E2362" s="14" t="n">
        <x:f>VLOOKUP(C2362,'Governorate Master'!$A$2:$Q$13,3,FALSE)</x:f>
        <x:v>395400</x:v>
      </x:c>
      <x:c r="F2362" s="66" t="n">
        <x:f>IF(E2362=0,0,D2362/E2362*10000)</x:f>
        <x:v>0</x:v>
      </x:c>
      <x:c r="G2362" s="67" t="n">
        <x:f>VLOOKUP(C2362,'Governorate Master'!$A$2:$Q$13,7,FALSE)</x:f>
        <x:v>113.1</x:v>
      </x:c>
      <x:c r="H2362" s="20" t="n">
        <x:f>VLOOKUP(C2362,'Governorate Master'!$A$2:$Q$13,6,FALSE)</x:f>
        <x:v>0.5912999494183105</x:v>
      </x:c>
      <x:c r="I2362" s="20" t="n">
        <x:f>VLOOKUP(C2362,'Governorate Master'!$A$2:$Q$13,15,FALSE)</x:f>
        <x:v>0.08710801393728224</x:v>
      </x:c>
      <x:c r="J2362" s="12" t="str">
        <x:v>Location model input - competition/saturation context</x:v>
      </x:c>
      <x:c r="K2362" s="12" t="str">
        <x:v>Business count is from 2018 while population/context indicators are newer; use as a historical proxy, not a current market count.</x:v>
      </x:c>
    </x:row>
    <x:row r="2363">
      <x:c r="A2363" s="12" t="str">
        <x:v>5819</x:v>
      </x:c>
      <x:c r="B2363" s="12" t="str">
        <x:v>Other publishing activities</x:v>
      </x:c>
      <x:c r="C2363" s="12" t="str">
        <x:v>الطفيلة</x:v>
      </x:c>
      <x:c r="D2363" s="14" t="n">
        <x:v>0</x:v>
      </x:c>
      <x:c r="E2363" s="14" t="n">
        <x:f>VLOOKUP(C2363,'Governorate Master'!$A$2:$Q$13,3,FALSE)</x:f>
        <x:v>120300</x:v>
      </x:c>
      <x:c r="F2363" s="66" t="n">
        <x:f>IF(E2363=0,0,D2363/E2363*10000)</x:f>
        <x:v>0</x:v>
      </x:c>
      <x:c r="G2363" s="67" t="n">
        <x:f>VLOOKUP(C2363,'Governorate Master'!$A$2:$Q$13,7,FALSE)</x:f>
        <x:v>54.4</x:v>
      </x:c>
      <x:c r="H2363" s="20" t="n">
        <x:f>VLOOKUP(C2363,'Governorate Master'!$A$2:$Q$13,6,FALSE)</x:f>
        <x:v>0.7797173732335827</x:v>
      </x:c>
      <x:c r="I2363" s="20" t="n">
        <x:f>VLOOKUP(C2363,'Governorate Master'!$A$2:$Q$13,15,FALSE)</x:f>
        <x:v>0.18452380952380953</x:v>
      </x:c>
      <x:c r="J2363" s="12" t="str">
        <x:v>Location model input - competition/saturation context</x:v>
      </x:c>
      <x:c r="K2363" s="12" t="str">
        <x:v>Business count is from 2018 while population/context indicators are newer; use as a historical proxy, not a current market count.</x:v>
      </x:c>
    </x:row>
    <x:row r="2364">
      <x:c r="A2364" s="12" t="str">
        <x:v>5819</x:v>
      </x:c>
      <x:c r="B2364" s="12" t="str">
        <x:v>Other publishing activities</x:v>
      </x:c>
      <x:c r="C2364" s="12" t="str">
        <x:v>معان</x:v>
      </x:c>
      <x:c r="D2364" s="14" t="n">
        <x:v>0</x:v>
      </x:c>
      <x:c r="E2364" s="14" t="n">
        <x:f>VLOOKUP(C2364,'Governorate Master'!$A$2:$Q$13,3,FALSE)</x:f>
        <x:v>197900</x:v>
      </x:c>
      <x:c r="F2364" s="66" t="n">
        <x:f>IF(E2364=0,0,D2364/E2364*10000)</x:f>
        <x:v>0</x:v>
      </x:c>
      <x:c r="G2364" s="67" t="n">
        <x:f>VLOOKUP(C2364,'Governorate Master'!$A$2:$Q$13,7,FALSE)</x:f>
        <x:v>6</x:v>
      </x:c>
      <x:c r="H2364" s="20" t="n">
        <x:f>VLOOKUP(C2364,'Governorate Master'!$A$2:$Q$13,6,FALSE)</x:f>
        <x:v>0.5406771096513391</x:v>
      </x:c>
      <x:c r="I2364" s="20" t="n">
        <x:f>VLOOKUP(C2364,'Governorate Master'!$A$2:$Q$13,15,FALSE)</x:f>
        <x:v>0.026845637583892617</x:v>
      </x:c>
      <x:c r="J2364" s="12" t="str">
        <x:v>Location model input - competition/saturation context</x:v>
      </x:c>
      <x:c r="K2364" s="12" t="str">
        <x:v>Business count is from 2018 while population/context indicators are newer; use as a historical proxy, not a current market count.</x:v>
      </x:c>
    </x:row>
    <x:row r="2365">
      <x:c r="A2365" s="12" t="str">
        <x:v>5819</x:v>
      </x:c>
      <x:c r="B2365" s="12" t="str">
        <x:v>Other publishing activities</x:v>
      </x:c>
      <x:c r="C2365" s="12" t="str">
        <x:v>العقبة</x:v>
      </x:c>
      <x:c r="D2365" s="14" t="n">
        <x:v>0</x:v>
      </x:c>
      <x:c r="E2365" s="14" t="n">
        <x:f>VLOOKUP(C2365,'Governorate Master'!$A$2:$Q$13,3,FALSE)</x:f>
        <x:v>250900</x:v>
      </x:c>
      <x:c r="F2365" s="66" t="n">
        <x:f>IF(E2365=0,0,D2365/E2365*10000)</x:f>
        <x:v>0</x:v>
      </x:c>
      <x:c r="G2365" s="67" t="n">
        <x:f>VLOOKUP(C2365,'Governorate Master'!$A$2:$Q$13,7,FALSE)</x:f>
        <x:v>36.3</x:v>
      </x:c>
      <x:c r="H2365" s="20" t="n">
        <x:f>VLOOKUP(C2365,'Governorate Master'!$A$2:$Q$13,6,FALSE)</x:f>
        <x:v>0.882024711040255</x:v>
      </x:c>
      <x:c r="I2365" s="20" t="n">
        <x:f>VLOOKUP(C2365,'Governorate Master'!$A$2:$Q$13,15,FALSE)</x:f>
        <x:v>-0.09</x:v>
      </x:c>
      <x:c r="J2365" s="12" t="str">
        <x:v>Location model input - competition/saturation context</x:v>
      </x:c>
      <x:c r="K2365" s="12" t="str">
        <x:v>Business count is from 2018 while population/context indicators are newer; use as a historical proxy, not a current market count.</x:v>
      </x:c>
    </x:row>
    <x:row r="2366">
      <x:c r="A2366" s="12" t="str">
        <x:v>5911</x:v>
      </x:c>
      <x:c r="B2366" s="12" t="str">
        <x:v>Motion picture, video and television programme production activities</x:v>
      </x:c>
      <x:c r="C2366" s="12" t="str">
        <x:v>عمان</x:v>
      </x:c>
      <x:c r="D2366" s="14" t="n">
        <x:v>40</x:v>
      </x:c>
      <x:c r="E2366" s="14" t="n">
        <x:f>VLOOKUP(C2366,'Governorate Master'!$A$2:$Q$13,3,FALSE)</x:f>
        <x:v>5004600</x:v>
      </x:c>
      <x:c r="F2366" s="66" t="n">
        <x:f>IF(E2366=0,0,D2366/E2366*10000)</x:f>
        <x:v>0.07992646764976222</x:v>
      </x:c>
      <x:c r="G2366" s="67" t="n">
        <x:f>VLOOKUP(C2366,'Governorate Master'!$A$2:$Q$13,7,FALSE)</x:f>
        <x:v>660.3</x:v>
      </x:c>
      <x:c r="H2366" s="20" t="n">
        <x:f>VLOOKUP(C2366,'Governorate Master'!$A$2:$Q$13,6,FALSE)</x:f>
        <x:v>0.9721656076409703</x:v>
      </x:c>
      <x:c r="I2366" s="20" t="n">
        <x:f>VLOOKUP(C2366,'Governorate Master'!$A$2:$Q$13,15,FALSE)</x:f>
        <x:v>0.06367041198501873</x:v>
      </x:c>
      <x:c r="J2366" s="12" t="str">
        <x:v>Location model input - competition/saturation context</x:v>
      </x:c>
      <x:c r="K2366" s="12" t="str">
        <x:v>Business count is from 2018 while population/context indicators are newer; use as a historical proxy, not a current market count.</x:v>
      </x:c>
    </x:row>
    <x:row r="2367">
      <x:c r="A2367" s="12" t="str">
        <x:v>5911</x:v>
      </x:c>
      <x:c r="B2367" s="12" t="str">
        <x:v>Motion picture, video and television programme production activities</x:v>
      </x:c>
      <x:c r="C2367" s="12" t="str">
        <x:v>البلقاء</x:v>
      </x:c>
      <x:c r="D2367" s="14" t="n">
        <x:v>1</x:v>
      </x:c>
      <x:c r="E2367" s="14" t="n">
        <x:f>VLOOKUP(C2367,'Governorate Master'!$A$2:$Q$13,3,FALSE)</x:f>
        <x:v>614000</x:v>
      </x:c>
      <x:c r="F2367" s="66" t="n">
        <x:f>IF(E2367=0,0,D2367/E2367*10000)</x:f>
        <x:v>0.016286644951140065</x:v>
      </x:c>
      <x:c r="G2367" s="67" t="n">
        <x:f>VLOOKUP(C2367,'Governorate Master'!$A$2:$Q$13,7,FALSE)</x:f>
        <x:v>548</x:v>
      </x:c>
      <x:c r="H2367" s="20" t="n">
        <x:f>VLOOKUP(C2367,'Governorate Master'!$A$2:$Q$13,6,FALSE)</x:f>
        <x:v>0.8210097719869707</x:v>
      </x:c>
      <x:c r="I2367" s="20" t="n">
        <x:f>VLOOKUP(C2367,'Governorate Master'!$A$2:$Q$13,15,FALSE)</x:f>
        <x:v>0.10794044665012408</x:v>
      </x:c>
      <x:c r="J2367" s="12" t="str">
        <x:v>Location model input - competition/saturation context</x:v>
      </x:c>
      <x:c r="K2367" s="12" t="str">
        <x:v>Business count is from 2018 while population/context indicators are newer; use as a historical proxy, not a current market count.</x:v>
      </x:c>
    </x:row>
    <x:row r="2368">
      <x:c r="A2368" s="12" t="str">
        <x:v>5911</x:v>
      </x:c>
      <x:c r="B2368" s="12" t="str">
        <x:v>Motion picture, video and television programme production activities</x:v>
      </x:c>
      <x:c r="C2368" s="12" t="str">
        <x:v>الزرقاء</x:v>
      </x:c>
      <x:c r="D2368" s="14" t="n">
        <x:v>0</x:v>
      </x:c>
      <x:c r="E2368" s="14" t="n">
        <x:f>VLOOKUP(C2368,'Governorate Master'!$A$2:$Q$13,3,FALSE)</x:f>
        <x:v>1704500</x:v>
      </x:c>
      <x:c r="F2368" s="66" t="n">
        <x:f>IF(E2368=0,0,D2368/E2368*10000)</x:f>
        <x:v>0</x:v>
      </x:c>
      <x:c r="G2368" s="67" t="n">
        <x:f>VLOOKUP(C2368,'Governorate Master'!$A$2:$Q$13,7,FALSE)</x:f>
        <x:v>358</x:v>
      </x:c>
      <x:c r="H2368" s="20" t="n">
        <x:f>VLOOKUP(C2368,'Governorate Master'!$A$2:$Q$13,6,FALSE)</x:f>
        <x:v>0.9636256966852449</x:v>
      </x:c>
      <x:c r="I2368" s="20" t="n">
        <x:f>VLOOKUP(C2368,'Governorate Master'!$A$2:$Q$13,15,FALSE)</x:f>
        <x:v>-0.06808762581409118</x:v>
      </x:c>
      <x:c r="J2368" s="12" t="str">
        <x:v>Location model input - competition/saturation context</x:v>
      </x:c>
      <x:c r="K2368" s="12" t="str">
        <x:v>Business count is from 2018 while population/context indicators are newer; use as a historical proxy, not a current market count.</x:v>
      </x:c>
    </x:row>
    <x:row r="2369">
      <x:c r="A2369" s="12" t="str">
        <x:v>5911</x:v>
      </x:c>
      <x:c r="B2369" s="12" t="str">
        <x:v>Motion picture, video and television programme production activities</x:v>
      </x:c>
      <x:c r="C2369" s="12" t="str">
        <x:v>مادبا</x:v>
      </x:c>
      <x:c r="D2369" s="14" t="n">
        <x:v>0</x:v>
      </x:c>
      <x:c r="E2369" s="14" t="n">
        <x:f>VLOOKUP(C2369,'Governorate Master'!$A$2:$Q$13,3,FALSE)</x:f>
        <x:v>236200</x:v>
      </x:c>
      <x:c r="F2369" s="66" t="n">
        <x:f>IF(E2369=0,0,D2369/E2369*10000)</x:f>
        <x:v>0</x:v>
      </x:c>
      <x:c r="G2369" s="67" t="n">
        <x:f>VLOOKUP(C2369,'Governorate Master'!$A$2:$Q$13,7,FALSE)</x:f>
        <x:v>251.4</x:v>
      </x:c>
      <x:c r="H2369" s="20" t="n">
        <x:f>VLOOKUP(C2369,'Governorate Master'!$A$2:$Q$13,6,FALSE)</x:f>
        <x:v>0.7823878069432684</x:v>
      </x:c>
      <x:c r="I2369" s="20" t="n">
        <x:f>VLOOKUP(C2369,'Governorate Master'!$A$2:$Q$13,15,FALSE)</x:f>
        <x:v>-0.18823529411764706</x:v>
      </x:c>
      <x:c r="J2369" s="12" t="str">
        <x:v>Location model input - competition/saturation context</x:v>
      </x:c>
      <x:c r="K2369" s="12" t="str">
        <x:v>Business count is from 2018 while population/context indicators are newer; use as a historical proxy, not a current market count.</x:v>
      </x:c>
    </x:row>
    <x:row r="2370">
      <x:c r="A2370" s="12" t="str">
        <x:v>5911</x:v>
      </x:c>
      <x:c r="B2370" s="12" t="str">
        <x:v>Motion picture, video and television programme production activities</x:v>
      </x:c>
      <x:c r="C2370" s="12" t="str">
        <x:v>إربد</x:v>
      </x:c>
      <x:c r="D2370" s="14" t="n">
        <x:v>2</x:v>
      </x:c>
      <x:c r="E2370" s="14" t="n">
        <x:f>VLOOKUP(C2370,'Governorate Master'!$A$2:$Q$13,3,FALSE)</x:f>
        <x:v>2210500</x:v>
      </x:c>
      <x:c r="F2370" s="66" t="n">
        <x:f>IF(E2370=0,0,D2370/E2370*10000)</x:f>
        <x:v>0.009047726758651889</x:v>
      </x:c>
      <x:c r="G2370" s="67" t="n">
        <x:f>VLOOKUP(C2370,'Governorate Master'!$A$2:$Q$13,7,FALSE)</x:f>
        <x:v>1406.4</x:v>
      </x:c>
      <x:c r="H2370" s="20" t="n">
        <x:f>VLOOKUP(C2370,'Governorate Master'!$A$2:$Q$13,6,FALSE)</x:f>
        <x:v>0.9235014702555983</x:v>
      </x:c>
      <x:c r="I2370" s="20" t="n">
        <x:f>VLOOKUP(C2370,'Governorate Master'!$A$2:$Q$13,15,FALSE)</x:f>
        <x:v>0.07086922474549726</x:v>
      </x:c>
      <x:c r="J2370" s="12" t="str">
        <x:v>Location model input - competition/saturation context</x:v>
      </x:c>
      <x:c r="K2370" s="12" t="str">
        <x:v>Business count is from 2018 while population/context indicators are newer; use as a historical proxy, not a current market count.</x:v>
      </x:c>
    </x:row>
    <x:row r="2371">
      <x:c r="A2371" s="12" t="str">
        <x:v>5911</x:v>
      </x:c>
      <x:c r="B2371" s="12" t="str">
        <x:v>Motion picture, video and television programme production activities</x:v>
      </x:c>
      <x:c r="C2371" s="12" t="str">
        <x:v>المفرق</x:v>
      </x:c>
      <x:c r="D2371" s="14" t="n">
        <x:v>0</x:v>
      </x:c>
      <x:c r="E2371" s="14" t="n">
        <x:f>VLOOKUP(C2371,'Governorate Master'!$A$2:$Q$13,3,FALSE)</x:f>
        <x:v>686800</x:v>
      </x:c>
      <x:c r="F2371" s="66" t="n">
        <x:f>IF(E2371=0,0,D2371/E2371*10000)</x:f>
        <x:v>0</x:v>
      </x:c>
      <x:c r="G2371" s="67" t="n">
        <x:f>VLOOKUP(C2371,'Governorate Master'!$A$2:$Q$13,7,FALSE)</x:f>
        <x:v>25.9</x:v>
      </x:c>
      <x:c r="H2371" s="20" t="n">
        <x:f>VLOOKUP(C2371,'Governorate Master'!$A$2:$Q$13,6,FALSE)</x:f>
        <x:v>0.6965637740244612</x:v>
      </x:c>
      <x:c r="I2371" s="20" t="n">
        <x:f>VLOOKUP(C2371,'Governorate Master'!$A$2:$Q$13,15,FALSE)</x:f>
        <x:v>-0.016638935108153077</x:v>
      </x:c>
      <x:c r="J2371" s="12" t="str">
        <x:v>Location model input - competition/saturation context</x:v>
      </x:c>
      <x:c r="K2371" s="12" t="str">
        <x:v>Business count is from 2018 while population/context indicators are newer; use as a historical proxy, not a current market count.</x:v>
      </x:c>
    </x:row>
    <x:row r="2372">
      <x:c r="A2372" s="12" t="str">
        <x:v>5911</x:v>
      </x:c>
      <x:c r="B2372" s="12" t="str">
        <x:v>Motion picture, video and television programme production activities</x:v>
      </x:c>
      <x:c r="C2372" s="12" t="str">
        <x:v>جرش</x:v>
      </x:c>
      <x:c r="D2372" s="14" t="n">
        <x:v>0</x:v>
      </x:c>
      <x:c r="E2372" s="14" t="n">
        <x:f>VLOOKUP(C2372,'Governorate Master'!$A$2:$Q$13,3,FALSE)</x:f>
        <x:v>296000</x:v>
      </x:c>
      <x:c r="F2372" s="66" t="n">
        <x:f>IF(E2372=0,0,D2372/E2372*10000)</x:f>
        <x:v>0</x:v>
      </x:c>
      <x:c r="G2372" s="67" t="n">
        <x:f>VLOOKUP(C2372,'Governorate Master'!$A$2:$Q$13,7,FALSE)</x:f>
        <x:v>722.3</x:v>
      </x:c>
      <x:c r="H2372" s="20" t="n">
        <x:f>VLOOKUP(C2372,'Governorate Master'!$A$2:$Q$13,6,FALSE)</x:f>
        <x:v>0.7695945945945946</x:v>
      </x:c>
      <x:c r="I2372" s="20" t="n">
        <x:f>VLOOKUP(C2372,'Governorate Master'!$A$2:$Q$13,15,FALSE)</x:f>
        <x:v>-0.06527415143603134</x:v>
      </x:c>
      <x:c r="J2372" s="12" t="str">
        <x:v>Location model input - competition/saturation context</x:v>
      </x:c>
      <x:c r="K2372" s="12" t="str">
        <x:v>Business count is from 2018 while population/context indicators are newer; use as a historical proxy, not a current market count.</x:v>
      </x:c>
    </x:row>
    <x:row r="2373">
      <x:c r="A2373" s="12" t="str">
        <x:v>5911</x:v>
      </x:c>
      <x:c r="B2373" s="12" t="str">
        <x:v>Motion picture, video and television programme production activities</x:v>
      </x:c>
      <x:c r="C2373" s="12" t="str">
        <x:v>عجلون</x:v>
      </x:c>
      <x:c r="D2373" s="14" t="n">
        <x:v>0</x:v>
      </x:c>
      <x:c r="E2373" s="14" t="n">
        <x:f>VLOOKUP(C2373,'Governorate Master'!$A$2:$Q$13,3,FALSE)</x:f>
        <x:v>219900</x:v>
      </x:c>
      <x:c r="F2373" s="66" t="n">
        <x:f>IF(E2373=0,0,D2373/E2373*10000)</x:f>
        <x:v>0</x:v>
      </x:c>
      <x:c r="G2373" s="67" t="n">
        <x:f>VLOOKUP(C2373,'Governorate Master'!$A$2:$Q$13,7,FALSE)</x:f>
        <x:v>524</x:v>
      </x:c>
      <x:c r="H2373" s="20" t="n">
        <x:f>VLOOKUP(C2373,'Governorate Master'!$A$2:$Q$13,6,FALSE)</x:f>
        <x:v>0.8390177353342428</x:v>
      </x:c>
      <x:c r="I2373" s="20" t="n">
        <x:f>VLOOKUP(C2373,'Governorate Master'!$A$2:$Q$13,15,FALSE)</x:f>
        <x:v>0.03614457831325301</x:v>
      </x:c>
      <x:c r="J2373" s="12" t="str">
        <x:v>Location model input - competition/saturation context</x:v>
      </x:c>
      <x:c r="K2373" s="12" t="str">
        <x:v>Business count is from 2018 while population/context indicators are newer; use as a historical proxy, not a current market count.</x:v>
      </x:c>
    </x:row>
    <x:row r="2374">
      <x:c r="A2374" s="12" t="str">
        <x:v>5911</x:v>
      </x:c>
      <x:c r="B2374" s="12" t="str">
        <x:v>Motion picture, video and television programme production activities</x:v>
      </x:c>
      <x:c r="C2374" s="12" t="str">
        <x:v>الكرك</x:v>
      </x:c>
      <x:c r="D2374" s="14" t="n">
        <x:v>0</x:v>
      </x:c>
      <x:c r="E2374" s="14" t="n">
        <x:f>VLOOKUP(C2374,'Governorate Master'!$A$2:$Q$13,3,FALSE)</x:f>
        <x:v>395400</x:v>
      </x:c>
      <x:c r="F2374" s="66" t="n">
        <x:f>IF(E2374=0,0,D2374/E2374*10000)</x:f>
        <x:v>0</x:v>
      </x:c>
      <x:c r="G2374" s="67" t="n">
        <x:f>VLOOKUP(C2374,'Governorate Master'!$A$2:$Q$13,7,FALSE)</x:f>
        <x:v>113.1</x:v>
      </x:c>
      <x:c r="H2374" s="20" t="n">
        <x:f>VLOOKUP(C2374,'Governorate Master'!$A$2:$Q$13,6,FALSE)</x:f>
        <x:v>0.5912999494183105</x:v>
      </x:c>
      <x:c r="I2374" s="20" t="n">
        <x:f>VLOOKUP(C2374,'Governorate Master'!$A$2:$Q$13,15,FALSE)</x:f>
        <x:v>0.08710801393728224</x:v>
      </x:c>
      <x:c r="J2374" s="12" t="str">
        <x:v>Location model input - competition/saturation context</x:v>
      </x:c>
      <x:c r="K2374" s="12" t="str">
        <x:v>Business count is from 2018 while population/context indicators are newer; use as a historical proxy, not a current market count.</x:v>
      </x:c>
    </x:row>
    <x:row r="2375">
      <x:c r="A2375" s="12" t="str">
        <x:v>5911</x:v>
      </x:c>
      <x:c r="B2375" s="12" t="str">
        <x:v>Motion picture, video and television programme production activities</x:v>
      </x:c>
      <x:c r="C2375" s="12" t="str">
        <x:v>الطفيلة</x:v>
      </x:c>
      <x:c r="D2375" s="14" t="n">
        <x:v>0</x:v>
      </x:c>
      <x:c r="E2375" s="14" t="n">
        <x:f>VLOOKUP(C2375,'Governorate Master'!$A$2:$Q$13,3,FALSE)</x:f>
        <x:v>120300</x:v>
      </x:c>
      <x:c r="F2375" s="66" t="n">
        <x:f>IF(E2375=0,0,D2375/E2375*10000)</x:f>
        <x:v>0</x:v>
      </x:c>
      <x:c r="G2375" s="67" t="n">
        <x:f>VLOOKUP(C2375,'Governorate Master'!$A$2:$Q$13,7,FALSE)</x:f>
        <x:v>54.4</x:v>
      </x:c>
      <x:c r="H2375" s="20" t="n">
        <x:f>VLOOKUP(C2375,'Governorate Master'!$A$2:$Q$13,6,FALSE)</x:f>
        <x:v>0.7797173732335827</x:v>
      </x:c>
      <x:c r="I2375" s="20" t="n">
        <x:f>VLOOKUP(C2375,'Governorate Master'!$A$2:$Q$13,15,FALSE)</x:f>
        <x:v>0.18452380952380953</x:v>
      </x:c>
      <x:c r="J2375" s="12" t="str">
        <x:v>Location model input - competition/saturation context</x:v>
      </x:c>
      <x:c r="K2375" s="12" t="str">
        <x:v>Business count is from 2018 while population/context indicators are newer; use as a historical proxy, not a current market count.</x:v>
      </x:c>
    </x:row>
    <x:row r="2376">
      <x:c r="A2376" s="12" t="str">
        <x:v>5911</x:v>
      </x:c>
      <x:c r="B2376" s="12" t="str">
        <x:v>Motion picture, video and television programme production activities</x:v>
      </x:c>
      <x:c r="C2376" s="12" t="str">
        <x:v>معان</x:v>
      </x:c>
      <x:c r="D2376" s="14" t="n">
        <x:v>0</x:v>
      </x:c>
      <x:c r="E2376" s="14" t="n">
        <x:f>VLOOKUP(C2376,'Governorate Master'!$A$2:$Q$13,3,FALSE)</x:f>
        <x:v>197900</x:v>
      </x:c>
      <x:c r="F2376" s="66" t="n">
        <x:f>IF(E2376=0,0,D2376/E2376*10000)</x:f>
        <x:v>0</x:v>
      </x:c>
      <x:c r="G2376" s="67" t="n">
        <x:f>VLOOKUP(C2376,'Governorate Master'!$A$2:$Q$13,7,FALSE)</x:f>
        <x:v>6</x:v>
      </x:c>
      <x:c r="H2376" s="20" t="n">
        <x:f>VLOOKUP(C2376,'Governorate Master'!$A$2:$Q$13,6,FALSE)</x:f>
        <x:v>0.5406771096513391</x:v>
      </x:c>
      <x:c r="I2376" s="20" t="n">
        <x:f>VLOOKUP(C2376,'Governorate Master'!$A$2:$Q$13,15,FALSE)</x:f>
        <x:v>0.026845637583892617</x:v>
      </x:c>
      <x:c r="J2376" s="12" t="str">
        <x:v>Location model input - competition/saturation context</x:v>
      </x:c>
      <x:c r="K2376" s="12" t="str">
        <x:v>Business count is from 2018 while population/context indicators are newer; use as a historical proxy, not a current market count.</x:v>
      </x:c>
    </x:row>
    <x:row r="2377">
      <x:c r="A2377" s="12" t="str">
        <x:v>5911</x:v>
      </x:c>
      <x:c r="B2377" s="12" t="str">
        <x:v>Motion picture, video and television programme production activities</x:v>
      </x:c>
      <x:c r="C2377" s="12" t="str">
        <x:v>العقبة</x:v>
      </x:c>
      <x:c r="D2377" s="14" t="n">
        <x:v>1</x:v>
      </x:c>
      <x:c r="E2377" s="14" t="n">
        <x:f>VLOOKUP(C2377,'Governorate Master'!$A$2:$Q$13,3,FALSE)</x:f>
        <x:v>250900</x:v>
      </x:c>
      <x:c r="F2377" s="66" t="n">
        <x:f>IF(E2377=0,0,D2377/E2377*10000)</x:f>
        <x:v>0.03985651654045436</x:v>
      </x:c>
      <x:c r="G2377" s="67" t="n">
        <x:f>VLOOKUP(C2377,'Governorate Master'!$A$2:$Q$13,7,FALSE)</x:f>
        <x:v>36.3</x:v>
      </x:c>
      <x:c r="H2377" s="20" t="n">
        <x:f>VLOOKUP(C2377,'Governorate Master'!$A$2:$Q$13,6,FALSE)</x:f>
        <x:v>0.882024711040255</x:v>
      </x:c>
      <x:c r="I2377" s="20" t="n">
        <x:f>VLOOKUP(C2377,'Governorate Master'!$A$2:$Q$13,15,FALSE)</x:f>
        <x:v>-0.09</x:v>
      </x:c>
      <x:c r="J2377" s="12" t="str">
        <x:v>Location model input - competition/saturation context</x:v>
      </x:c>
      <x:c r="K2377" s="12" t="str">
        <x:v>Business count is from 2018 while population/context indicators are newer; use as a historical proxy, not a current market count.</x:v>
      </x:c>
    </x:row>
    <x:row r="2378">
      <x:c r="A2378" s="12" t="str">
        <x:v>5913</x:v>
      </x:c>
      <x:c r="B2378" s="12" t="str">
        <x:v>Motion picture, video and television programme distribution activities</x:v>
      </x:c>
      <x:c r="C2378" s="12" t="str">
        <x:v>عمان</x:v>
      </x:c>
      <x:c r="D2378" s="14" t="n">
        <x:v>1</x:v>
      </x:c>
      <x:c r="E2378" s="14" t="n">
        <x:f>VLOOKUP(C2378,'Governorate Master'!$A$2:$Q$13,3,FALSE)</x:f>
        <x:v>5004600</x:v>
      </x:c>
      <x:c r="F2378" s="66" t="n">
        <x:f>IF(E2378=0,0,D2378/E2378*10000)</x:f>
        <x:v>0.0019981616912440555</x:v>
      </x:c>
      <x:c r="G2378" s="67" t="n">
        <x:f>VLOOKUP(C2378,'Governorate Master'!$A$2:$Q$13,7,FALSE)</x:f>
        <x:v>660.3</x:v>
      </x:c>
      <x:c r="H2378" s="20" t="n">
        <x:f>VLOOKUP(C2378,'Governorate Master'!$A$2:$Q$13,6,FALSE)</x:f>
        <x:v>0.9721656076409703</x:v>
      </x:c>
      <x:c r="I2378" s="20" t="n">
        <x:f>VLOOKUP(C2378,'Governorate Master'!$A$2:$Q$13,15,FALSE)</x:f>
        <x:v>0.06367041198501873</x:v>
      </x:c>
      <x:c r="J2378" s="12" t="str">
        <x:v>Location model input - competition/saturation context</x:v>
      </x:c>
      <x:c r="K2378" s="12" t="str">
        <x:v>Business count is from 2018 while population/context indicators are newer; use as a historical proxy, not a current market count.</x:v>
      </x:c>
    </x:row>
    <x:row r="2379">
      <x:c r="A2379" s="12" t="str">
        <x:v>5913</x:v>
      </x:c>
      <x:c r="B2379" s="12" t="str">
        <x:v>Motion picture, video and television programme distribution activities</x:v>
      </x:c>
      <x:c r="C2379" s="12" t="str">
        <x:v>البلقاء</x:v>
      </x:c>
      <x:c r="D2379" s="14" t="n">
        <x:v>0</x:v>
      </x:c>
      <x:c r="E2379" s="14" t="n">
        <x:f>VLOOKUP(C2379,'Governorate Master'!$A$2:$Q$13,3,FALSE)</x:f>
        <x:v>614000</x:v>
      </x:c>
      <x:c r="F2379" s="66" t="n">
        <x:f>IF(E2379=0,0,D2379/E2379*10000)</x:f>
        <x:v>0</x:v>
      </x:c>
      <x:c r="G2379" s="67" t="n">
        <x:f>VLOOKUP(C2379,'Governorate Master'!$A$2:$Q$13,7,FALSE)</x:f>
        <x:v>548</x:v>
      </x:c>
      <x:c r="H2379" s="20" t="n">
        <x:f>VLOOKUP(C2379,'Governorate Master'!$A$2:$Q$13,6,FALSE)</x:f>
        <x:v>0.8210097719869707</x:v>
      </x:c>
      <x:c r="I2379" s="20" t="n">
        <x:f>VLOOKUP(C2379,'Governorate Master'!$A$2:$Q$13,15,FALSE)</x:f>
        <x:v>0.10794044665012408</x:v>
      </x:c>
      <x:c r="J2379" s="12" t="str">
        <x:v>Location model input - competition/saturation context</x:v>
      </x:c>
      <x:c r="K2379" s="12" t="str">
        <x:v>Business count is from 2018 while population/context indicators are newer; use as a historical proxy, not a current market count.</x:v>
      </x:c>
    </x:row>
    <x:row r="2380">
      <x:c r="A2380" s="12" t="str">
        <x:v>5913</x:v>
      </x:c>
      <x:c r="B2380" s="12" t="str">
        <x:v>Motion picture, video and television programme distribution activities</x:v>
      </x:c>
      <x:c r="C2380" s="12" t="str">
        <x:v>الزرقاء</x:v>
      </x:c>
      <x:c r="D2380" s="14" t="n">
        <x:v>0</x:v>
      </x:c>
      <x:c r="E2380" s="14" t="n">
        <x:f>VLOOKUP(C2380,'Governorate Master'!$A$2:$Q$13,3,FALSE)</x:f>
        <x:v>1704500</x:v>
      </x:c>
      <x:c r="F2380" s="66" t="n">
        <x:f>IF(E2380=0,0,D2380/E2380*10000)</x:f>
        <x:v>0</x:v>
      </x:c>
      <x:c r="G2380" s="67" t="n">
        <x:f>VLOOKUP(C2380,'Governorate Master'!$A$2:$Q$13,7,FALSE)</x:f>
        <x:v>358</x:v>
      </x:c>
      <x:c r="H2380" s="20" t="n">
        <x:f>VLOOKUP(C2380,'Governorate Master'!$A$2:$Q$13,6,FALSE)</x:f>
        <x:v>0.9636256966852449</x:v>
      </x:c>
      <x:c r="I2380" s="20" t="n">
        <x:f>VLOOKUP(C2380,'Governorate Master'!$A$2:$Q$13,15,FALSE)</x:f>
        <x:v>-0.06808762581409118</x:v>
      </x:c>
      <x:c r="J2380" s="12" t="str">
        <x:v>Location model input - competition/saturation context</x:v>
      </x:c>
      <x:c r="K2380" s="12" t="str">
        <x:v>Business count is from 2018 while population/context indicators are newer; use as a historical proxy, not a current market count.</x:v>
      </x:c>
    </x:row>
    <x:row r="2381">
      <x:c r="A2381" s="12" t="str">
        <x:v>5913</x:v>
      </x:c>
      <x:c r="B2381" s="12" t="str">
        <x:v>Motion picture, video and television programme distribution activities</x:v>
      </x:c>
      <x:c r="C2381" s="12" t="str">
        <x:v>مادبا</x:v>
      </x:c>
      <x:c r="D2381" s="14" t="n">
        <x:v>0</x:v>
      </x:c>
      <x:c r="E2381" s="14" t="n">
        <x:f>VLOOKUP(C2381,'Governorate Master'!$A$2:$Q$13,3,FALSE)</x:f>
        <x:v>236200</x:v>
      </x:c>
      <x:c r="F2381" s="66" t="n">
        <x:f>IF(E2381=0,0,D2381/E2381*10000)</x:f>
        <x:v>0</x:v>
      </x:c>
      <x:c r="G2381" s="67" t="n">
        <x:f>VLOOKUP(C2381,'Governorate Master'!$A$2:$Q$13,7,FALSE)</x:f>
        <x:v>251.4</x:v>
      </x:c>
      <x:c r="H2381" s="20" t="n">
        <x:f>VLOOKUP(C2381,'Governorate Master'!$A$2:$Q$13,6,FALSE)</x:f>
        <x:v>0.7823878069432684</x:v>
      </x:c>
      <x:c r="I2381" s="20" t="n">
        <x:f>VLOOKUP(C2381,'Governorate Master'!$A$2:$Q$13,15,FALSE)</x:f>
        <x:v>-0.18823529411764706</x:v>
      </x:c>
      <x:c r="J2381" s="12" t="str">
        <x:v>Location model input - competition/saturation context</x:v>
      </x:c>
      <x:c r="K2381" s="12" t="str">
        <x:v>Business count is from 2018 while population/context indicators are newer; use as a historical proxy, not a current market count.</x:v>
      </x:c>
    </x:row>
    <x:row r="2382">
      <x:c r="A2382" s="12" t="str">
        <x:v>5913</x:v>
      </x:c>
      <x:c r="B2382" s="12" t="str">
        <x:v>Motion picture, video and television programme distribution activities</x:v>
      </x:c>
      <x:c r="C2382" s="12" t="str">
        <x:v>إربد</x:v>
      </x:c>
      <x:c r="D2382" s="14" t="n">
        <x:v>0</x:v>
      </x:c>
      <x:c r="E2382" s="14" t="n">
        <x:f>VLOOKUP(C2382,'Governorate Master'!$A$2:$Q$13,3,FALSE)</x:f>
        <x:v>2210500</x:v>
      </x:c>
      <x:c r="F2382" s="66" t="n">
        <x:f>IF(E2382=0,0,D2382/E2382*10000)</x:f>
        <x:v>0</x:v>
      </x:c>
      <x:c r="G2382" s="67" t="n">
        <x:f>VLOOKUP(C2382,'Governorate Master'!$A$2:$Q$13,7,FALSE)</x:f>
        <x:v>1406.4</x:v>
      </x:c>
      <x:c r="H2382" s="20" t="n">
        <x:f>VLOOKUP(C2382,'Governorate Master'!$A$2:$Q$13,6,FALSE)</x:f>
        <x:v>0.9235014702555983</x:v>
      </x:c>
      <x:c r="I2382" s="20" t="n">
        <x:f>VLOOKUP(C2382,'Governorate Master'!$A$2:$Q$13,15,FALSE)</x:f>
        <x:v>0.07086922474549726</x:v>
      </x:c>
      <x:c r="J2382" s="12" t="str">
        <x:v>Location model input - competition/saturation context</x:v>
      </x:c>
      <x:c r="K2382" s="12" t="str">
        <x:v>Business count is from 2018 while population/context indicators are newer; use as a historical proxy, not a current market count.</x:v>
      </x:c>
    </x:row>
    <x:row r="2383">
      <x:c r="A2383" s="12" t="str">
        <x:v>5913</x:v>
      </x:c>
      <x:c r="B2383" s="12" t="str">
        <x:v>Motion picture, video and television programme distribution activities</x:v>
      </x:c>
      <x:c r="C2383" s="12" t="str">
        <x:v>المفرق</x:v>
      </x:c>
      <x:c r="D2383" s="14" t="n">
        <x:v>0</x:v>
      </x:c>
      <x:c r="E2383" s="14" t="n">
        <x:f>VLOOKUP(C2383,'Governorate Master'!$A$2:$Q$13,3,FALSE)</x:f>
        <x:v>686800</x:v>
      </x:c>
      <x:c r="F2383" s="66" t="n">
        <x:f>IF(E2383=0,0,D2383/E2383*10000)</x:f>
        <x:v>0</x:v>
      </x:c>
      <x:c r="G2383" s="67" t="n">
        <x:f>VLOOKUP(C2383,'Governorate Master'!$A$2:$Q$13,7,FALSE)</x:f>
        <x:v>25.9</x:v>
      </x:c>
      <x:c r="H2383" s="20" t="n">
        <x:f>VLOOKUP(C2383,'Governorate Master'!$A$2:$Q$13,6,FALSE)</x:f>
        <x:v>0.6965637740244612</x:v>
      </x:c>
      <x:c r="I2383" s="20" t="n">
        <x:f>VLOOKUP(C2383,'Governorate Master'!$A$2:$Q$13,15,FALSE)</x:f>
        <x:v>-0.016638935108153077</x:v>
      </x:c>
      <x:c r="J2383" s="12" t="str">
        <x:v>Location model input - competition/saturation context</x:v>
      </x:c>
      <x:c r="K2383" s="12" t="str">
        <x:v>Business count is from 2018 while population/context indicators are newer; use as a historical proxy, not a current market count.</x:v>
      </x:c>
    </x:row>
    <x:row r="2384">
      <x:c r="A2384" s="12" t="str">
        <x:v>5913</x:v>
      </x:c>
      <x:c r="B2384" s="12" t="str">
        <x:v>Motion picture, video and television programme distribution activities</x:v>
      </x:c>
      <x:c r="C2384" s="12" t="str">
        <x:v>جرش</x:v>
      </x:c>
      <x:c r="D2384" s="14" t="n">
        <x:v>0</x:v>
      </x:c>
      <x:c r="E2384" s="14" t="n">
        <x:f>VLOOKUP(C2384,'Governorate Master'!$A$2:$Q$13,3,FALSE)</x:f>
        <x:v>296000</x:v>
      </x:c>
      <x:c r="F2384" s="66" t="n">
        <x:f>IF(E2384=0,0,D2384/E2384*10000)</x:f>
        <x:v>0</x:v>
      </x:c>
      <x:c r="G2384" s="67" t="n">
        <x:f>VLOOKUP(C2384,'Governorate Master'!$A$2:$Q$13,7,FALSE)</x:f>
        <x:v>722.3</x:v>
      </x:c>
      <x:c r="H2384" s="20" t="n">
        <x:f>VLOOKUP(C2384,'Governorate Master'!$A$2:$Q$13,6,FALSE)</x:f>
        <x:v>0.7695945945945946</x:v>
      </x:c>
      <x:c r="I2384" s="20" t="n">
        <x:f>VLOOKUP(C2384,'Governorate Master'!$A$2:$Q$13,15,FALSE)</x:f>
        <x:v>-0.06527415143603134</x:v>
      </x:c>
      <x:c r="J2384" s="12" t="str">
        <x:v>Location model input - competition/saturation context</x:v>
      </x:c>
      <x:c r="K2384" s="12" t="str">
        <x:v>Business count is from 2018 while population/context indicators are newer; use as a historical proxy, not a current market count.</x:v>
      </x:c>
    </x:row>
    <x:row r="2385">
      <x:c r="A2385" s="12" t="str">
        <x:v>5913</x:v>
      </x:c>
      <x:c r="B2385" s="12" t="str">
        <x:v>Motion picture, video and television programme distribution activities</x:v>
      </x:c>
      <x:c r="C2385" s="12" t="str">
        <x:v>عجلون</x:v>
      </x:c>
      <x:c r="D2385" s="14" t="n">
        <x:v>0</x:v>
      </x:c>
      <x:c r="E2385" s="14" t="n">
        <x:f>VLOOKUP(C2385,'Governorate Master'!$A$2:$Q$13,3,FALSE)</x:f>
        <x:v>219900</x:v>
      </x:c>
      <x:c r="F2385" s="66" t="n">
        <x:f>IF(E2385=0,0,D2385/E2385*10000)</x:f>
        <x:v>0</x:v>
      </x:c>
      <x:c r="G2385" s="67" t="n">
        <x:f>VLOOKUP(C2385,'Governorate Master'!$A$2:$Q$13,7,FALSE)</x:f>
        <x:v>524</x:v>
      </x:c>
      <x:c r="H2385" s="20" t="n">
        <x:f>VLOOKUP(C2385,'Governorate Master'!$A$2:$Q$13,6,FALSE)</x:f>
        <x:v>0.8390177353342428</x:v>
      </x:c>
      <x:c r="I2385" s="20" t="n">
        <x:f>VLOOKUP(C2385,'Governorate Master'!$A$2:$Q$13,15,FALSE)</x:f>
        <x:v>0.03614457831325301</x:v>
      </x:c>
      <x:c r="J2385" s="12" t="str">
        <x:v>Location model input - competition/saturation context</x:v>
      </x:c>
      <x:c r="K2385" s="12" t="str">
        <x:v>Business count is from 2018 while population/context indicators are newer; use as a historical proxy, not a current market count.</x:v>
      </x:c>
    </x:row>
    <x:row r="2386">
      <x:c r="A2386" s="12" t="str">
        <x:v>5913</x:v>
      </x:c>
      <x:c r="B2386" s="12" t="str">
        <x:v>Motion picture, video and television programme distribution activities</x:v>
      </x:c>
      <x:c r="C2386" s="12" t="str">
        <x:v>الكرك</x:v>
      </x:c>
      <x:c r="D2386" s="14" t="n">
        <x:v>0</x:v>
      </x:c>
      <x:c r="E2386" s="14" t="n">
        <x:f>VLOOKUP(C2386,'Governorate Master'!$A$2:$Q$13,3,FALSE)</x:f>
        <x:v>395400</x:v>
      </x:c>
      <x:c r="F2386" s="66" t="n">
        <x:f>IF(E2386=0,0,D2386/E2386*10000)</x:f>
        <x:v>0</x:v>
      </x:c>
      <x:c r="G2386" s="67" t="n">
        <x:f>VLOOKUP(C2386,'Governorate Master'!$A$2:$Q$13,7,FALSE)</x:f>
        <x:v>113.1</x:v>
      </x:c>
      <x:c r="H2386" s="20" t="n">
        <x:f>VLOOKUP(C2386,'Governorate Master'!$A$2:$Q$13,6,FALSE)</x:f>
        <x:v>0.5912999494183105</x:v>
      </x:c>
      <x:c r="I2386" s="20" t="n">
        <x:f>VLOOKUP(C2386,'Governorate Master'!$A$2:$Q$13,15,FALSE)</x:f>
        <x:v>0.08710801393728224</x:v>
      </x:c>
      <x:c r="J2386" s="12" t="str">
        <x:v>Location model input - competition/saturation context</x:v>
      </x:c>
      <x:c r="K2386" s="12" t="str">
        <x:v>Business count is from 2018 while population/context indicators are newer; use as a historical proxy, not a current market count.</x:v>
      </x:c>
    </x:row>
    <x:row r="2387">
      <x:c r="A2387" s="12" t="str">
        <x:v>5913</x:v>
      </x:c>
      <x:c r="B2387" s="12" t="str">
        <x:v>Motion picture, video and television programme distribution activities</x:v>
      </x:c>
      <x:c r="C2387" s="12" t="str">
        <x:v>الطفيلة</x:v>
      </x:c>
      <x:c r="D2387" s="14" t="n">
        <x:v>0</x:v>
      </x:c>
      <x:c r="E2387" s="14" t="n">
        <x:f>VLOOKUP(C2387,'Governorate Master'!$A$2:$Q$13,3,FALSE)</x:f>
        <x:v>120300</x:v>
      </x:c>
      <x:c r="F2387" s="66" t="n">
        <x:f>IF(E2387=0,0,D2387/E2387*10000)</x:f>
        <x:v>0</x:v>
      </x:c>
      <x:c r="G2387" s="67" t="n">
        <x:f>VLOOKUP(C2387,'Governorate Master'!$A$2:$Q$13,7,FALSE)</x:f>
        <x:v>54.4</x:v>
      </x:c>
      <x:c r="H2387" s="20" t="n">
        <x:f>VLOOKUP(C2387,'Governorate Master'!$A$2:$Q$13,6,FALSE)</x:f>
        <x:v>0.7797173732335827</x:v>
      </x:c>
      <x:c r="I2387" s="20" t="n">
        <x:f>VLOOKUP(C2387,'Governorate Master'!$A$2:$Q$13,15,FALSE)</x:f>
        <x:v>0.18452380952380953</x:v>
      </x:c>
      <x:c r="J2387" s="12" t="str">
        <x:v>Location model input - competition/saturation context</x:v>
      </x:c>
      <x:c r="K2387" s="12" t="str">
        <x:v>Business count is from 2018 while population/context indicators are newer; use as a historical proxy, not a current market count.</x:v>
      </x:c>
    </x:row>
    <x:row r="2388">
      <x:c r="A2388" s="12" t="str">
        <x:v>5913</x:v>
      </x:c>
      <x:c r="B2388" s="12" t="str">
        <x:v>Motion picture, video and television programme distribution activities</x:v>
      </x:c>
      <x:c r="C2388" s="12" t="str">
        <x:v>معان</x:v>
      </x:c>
      <x:c r="D2388" s="14" t="n">
        <x:v>1</x:v>
      </x:c>
      <x:c r="E2388" s="14" t="n">
        <x:f>VLOOKUP(C2388,'Governorate Master'!$A$2:$Q$13,3,FALSE)</x:f>
        <x:v>197900</x:v>
      </x:c>
      <x:c r="F2388" s="66" t="n">
        <x:f>IF(E2388=0,0,D2388/E2388*10000)</x:f>
        <x:v>0.05053057099545225</x:v>
      </x:c>
      <x:c r="G2388" s="67" t="n">
        <x:f>VLOOKUP(C2388,'Governorate Master'!$A$2:$Q$13,7,FALSE)</x:f>
        <x:v>6</x:v>
      </x:c>
      <x:c r="H2388" s="20" t="n">
        <x:f>VLOOKUP(C2388,'Governorate Master'!$A$2:$Q$13,6,FALSE)</x:f>
        <x:v>0.5406771096513391</x:v>
      </x:c>
      <x:c r="I2388" s="20" t="n">
        <x:f>VLOOKUP(C2388,'Governorate Master'!$A$2:$Q$13,15,FALSE)</x:f>
        <x:v>0.026845637583892617</x:v>
      </x:c>
      <x:c r="J2388" s="12" t="str">
        <x:v>Location model input - competition/saturation context</x:v>
      </x:c>
      <x:c r="K2388" s="12" t="str">
        <x:v>Business count is from 2018 while population/context indicators are newer; use as a historical proxy, not a current market count.</x:v>
      </x:c>
    </x:row>
    <x:row r="2389">
      <x:c r="A2389" s="12" t="str">
        <x:v>5913</x:v>
      </x:c>
      <x:c r="B2389" s="12" t="str">
        <x:v>Motion picture, video and television programme distribution activities</x:v>
      </x:c>
      <x:c r="C2389" s="12" t="str">
        <x:v>العقبة</x:v>
      </x:c>
      <x:c r="D2389" s="14" t="n">
        <x:v>0</x:v>
      </x:c>
      <x:c r="E2389" s="14" t="n">
        <x:f>VLOOKUP(C2389,'Governorate Master'!$A$2:$Q$13,3,FALSE)</x:f>
        <x:v>250900</x:v>
      </x:c>
      <x:c r="F2389" s="66" t="n">
        <x:f>IF(E2389=0,0,D2389/E2389*10000)</x:f>
        <x:v>0</x:v>
      </x:c>
      <x:c r="G2389" s="67" t="n">
        <x:f>VLOOKUP(C2389,'Governorate Master'!$A$2:$Q$13,7,FALSE)</x:f>
        <x:v>36.3</x:v>
      </x:c>
      <x:c r="H2389" s="20" t="n">
        <x:f>VLOOKUP(C2389,'Governorate Master'!$A$2:$Q$13,6,FALSE)</x:f>
        <x:v>0.882024711040255</x:v>
      </x:c>
      <x:c r="I2389" s="20" t="n">
        <x:f>VLOOKUP(C2389,'Governorate Master'!$A$2:$Q$13,15,FALSE)</x:f>
        <x:v>-0.09</x:v>
      </x:c>
      <x:c r="J2389" s="12" t="str">
        <x:v>Location model input - competition/saturation context</x:v>
      </x:c>
      <x:c r="K2389" s="12" t="str">
        <x:v>Business count is from 2018 while population/context indicators are newer; use as a historical proxy, not a current market count.</x:v>
      </x:c>
    </x:row>
    <x:row r="2390">
      <x:c r="A2390" s="12" t="str">
        <x:v>5914</x:v>
      </x:c>
      <x:c r="B2390" s="12" t="str">
        <x:v>Motion picture projection activities</x:v>
      </x:c>
      <x:c r="C2390" s="12" t="str">
        <x:v>عمان</x:v>
      </x:c>
      <x:c r="D2390" s="14" t="n">
        <x:v>5</x:v>
      </x:c>
      <x:c r="E2390" s="14" t="n">
        <x:f>VLOOKUP(C2390,'Governorate Master'!$A$2:$Q$13,3,FALSE)</x:f>
        <x:v>5004600</x:v>
      </x:c>
      <x:c r="F2390" s="66" t="n">
        <x:f>IF(E2390=0,0,D2390/E2390*10000)</x:f>
        <x:v>0.009990808456220277</x:v>
      </x:c>
      <x:c r="G2390" s="67" t="n">
        <x:f>VLOOKUP(C2390,'Governorate Master'!$A$2:$Q$13,7,FALSE)</x:f>
        <x:v>660.3</x:v>
      </x:c>
      <x:c r="H2390" s="20" t="n">
        <x:f>VLOOKUP(C2390,'Governorate Master'!$A$2:$Q$13,6,FALSE)</x:f>
        <x:v>0.9721656076409703</x:v>
      </x:c>
      <x:c r="I2390" s="20" t="n">
        <x:f>VLOOKUP(C2390,'Governorate Master'!$A$2:$Q$13,15,FALSE)</x:f>
        <x:v>0.06367041198501873</x:v>
      </x:c>
      <x:c r="J2390" s="12" t="str">
        <x:v>Location model input - competition/saturation context</x:v>
      </x:c>
      <x:c r="K2390" s="12" t="str">
        <x:v>Business count is from 2018 while population/context indicators are newer; use as a historical proxy, not a current market count.</x:v>
      </x:c>
    </x:row>
    <x:row r="2391">
      <x:c r="A2391" s="12" t="str">
        <x:v>5914</x:v>
      </x:c>
      <x:c r="B2391" s="12" t="str">
        <x:v>Motion picture projection activities</x:v>
      </x:c>
      <x:c r="C2391" s="12" t="str">
        <x:v>البلقاء</x:v>
      </x:c>
      <x:c r="D2391" s="14" t="n">
        <x:v>0</x:v>
      </x:c>
      <x:c r="E2391" s="14" t="n">
        <x:f>VLOOKUP(C2391,'Governorate Master'!$A$2:$Q$13,3,FALSE)</x:f>
        <x:v>614000</x:v>
      </x:c>
      <x:c r="F2391" s="66" t="n">
        <x:f>IF(E2391=0,0,D2391/E2391*10000)</x:f>
        <x:v>0</x:v>
      </x:c>
      <x:c r="G2391" s="67" t="n">
        <x:f>VLOOKUP(C2391,'Governorate Master'!$A$2:$Q$13,7,FALSE)</x:f>
        <x:v>548</x:v>
      </x:c>
      <x:c r="H2391" s="20" t="n">
        <x:f>VLOOKUP(C2391,'Governorate Master'!$A$2:$Q$13,6,FALSE)</x:f>
        <x:v>0.8210097719869707</x:v>
      </x:c>
      <x:c r="I2391" s="20" t="n">
        <x:f>VLOOKUP(C2391,'Governorate Master'!$A$2:$Q$13,15,FALSE)</x:f>
        <x:v>0.10794044665012408</x:v>
      </x:c>
      <x:c r="J2391" s="12" t="str">
        <x:v>Location model input - competition/saturation context</x:v>
      </x:c>
      <x:c r="K2391" s="12" t="str">
        <x:v>Business count is from 2018 while population/context indicators are newer; use as a historical proxy, not a current market count.</x:v>
      </x:c>
    </x:row>
    <x:row r="2392">
      <x:c r="A2392" s="12" t="str">
        <x:v>5914</x:v>
      </x:c>
      <x:c r="B2392" s="12" t="str">
        <x:v>Motion picture projection activities</x:v>
      </x:c>
      <x:c r="C2392" s="12" t="str">
        <x:v>الزرقاء</x:v>
      </x:c>
      <x:c r="D2392" s="14" t="n">
        <x:v>1</x:v>
      </x:c>
      <x:c r="E2392" s="14" t="n">
        <x:f>VLOOKUP(C2392,'Governorate Master'!$A$2:$Q$13,3,FALSE)</x:f>
        <x:v>1704500</x:v>
      </x:c>
      <x:c r="F2392" s="66" t="n">
        <x:f>IF(E2392=0,0,D2392/E2392*10000)</x:f>
        <x:v>0.005866823115283074</x:v>
      </x:c>
      <x:c r="G2392" s="67" t="n">
        <x:f>VLOOKUP(C2392,'Governorate Master'!$A$2:$Q$13,7,FALSE)</x:f>
        <x:v>358</x:v>
      </x:c>
      <x:c r="H2392" s="20" t="n">
        <x:f>VLOOKUP(C2392,'Governorate Master'!$A$2:$Q$13,6,FALSE)</x:f>
        <x:v>0.9636256966852449</x:v>
      </x:c>
      <x:c r="I2392" s="20" t="n">
        <x:f>VLOOKUP(C2392,'Governorate Master'!$A$2:$Q$13,15,FALSE)</x:f>
        <x:v>-0.06808762581409118</x:v>
      </x:c>
      <x:c r="J2392" s="12" t="str">
        <x:v>Location model input - competition/saturation context</x:v>
      </x:c>
      <x:c r="K2392" s="12" t="str">
        <x:v>Business count is from 2018 while population/context indicators are newer; use as a historical proxy, not a current market count.</x:v>
      </x:c>
    </x:row>
    <x:row r="2393">
      <x:c r="A2393" s="12" t="str">
        <x:v>5914</x:v>
      </x:c>
      <x:c r="B2393" s="12" t="str">
        <x:v>Motion picture projection activities</x:v>
      </x:c>
      <x:c r="C2393" s="12" t="str">
        <x:v>مادبا</x:v>
      </x:c>
      <x:c r="D2393" s="14" t="n">
        <x:v>0</x:v>
      </x:c>
      <x:c r="E2393" s="14" t="n">
        <x:f>VLOOKUP(C2393,'Governorate Master'!$A$2:$Q$13,3,FALSE)</x:f>
        <x:v>236200</x:v>
      </x:c>
      <x:c r="F2393" s="66" t="n">
        <x:f>IF(E2393=0,0,D2393/E2393*10000)</x:f>
        <x:v>0</x:v>
      </x:c>
      <x:c r="G2393" s="67" t="n">
        <x:f>VLOOKUP(C2393,'Governorate Master'!$A$2:$Q$13,7,FALSE)</x:f>
        <x:v>251.4</x:v>
      </x:c>
      <x:c r="H2393" s="20" t="n">
        <x:f>VLOOKUP(C2393,'Governorate Master'!$A$2:$Q$13,6,FALSE)</x:f>
        <x:v>0.7823878069432684</x:v>
      </x:c>
      <x:c r="I2393" s="20" t="n">
        <x:f>VLOOKUP(C2393,'Governorate Master'!$A$2:$Q$13,15,FALSE)</x:f>
        <x:v>-0.18823529411764706</x:v>
      </x:c>
      <x:c r="J2393" s="12" t="str">
        <x:v>Location model input - competition/saturation context</x:v>
      </x:c>
      <x:c r="K2393" s="12" t="str">
        <x:v>Business count is from 2018 while population/context indicators are newer; use as a historical proxy, not a current market count.</x:v>
      </x:c>
    </x:row>
    <x:row r="2394">
      <x:c r="A2394" s="12" t="str">
        <x:v>5914</x:v>
      </x:c>
      <x:c r="B2394" s="12" t="str">
        <x:v>Motion picture projection activities</x:v>
      </x:c>
      <x:c r="C2394" s="12" t="str">
        <x:v>إربد</x:v>
      </x:c>
      <x:c r="D2394" s="14" t="n">
        <x:v>0</x:v>
      </x:c>
      <x:c r="E2394" s="14" t="n">
        <x:f>VLOOKUP(C2394,'Governorate Master'!$A$2:$Q$13,3,FALSE)</x:f>
        <x:v>2210500</x:v>
      </x:c>
      <x:c r="F2394" s="66" t="n">
        <x:f>IF(E2394=0,0,D2394/E2394*10000)</x:f>
        <x:v>0</x:v>
      </x:c>
      <x:c r="G2394" s="67" t="n">
        <x:f>VLOOKUP(C2394,'Governorate Master'!$A$2:$Q$13,7,FALSE)</x:f>
        <x:v>1406.4</x:v>
      </x:c>
      <x:c r="H2394" s="20" t="n">
        <x:f>VLOOKUP(C2394,'Governorate Master'!$A$2:$Q$13,6,FALSE)</x:f>
        <x:v>0.9235014702555983</x:v>
      </x:c>
      <x:c r="I2394" s="20" t="n">
        <x:f>VLOOKUP(C2394,'Governorate Master'!$A$2:$Q$13,15,FALSE)</x:f>
        <x:v>0.07086922474549726</x:v>
      </x:c>
      <x:c r="J2394" s="12" t="str">
        <x:v>Location model input - competition/saturation context</x:v>
      </x:c>
      <x:c r="K2394" s="12" t="str">
        <x:v>Business count is from 2018 while population/context indicators are newer; use as a historical proxy, not a current market count.</x:v>
      </x:c>
    </x:row>
    <x:row r="2395">
      <x:c r="A2395" s="12" t="str">
        <x:v>5914</x:v>
      </x:c>
      <x:c r="B2395" s="12" t="str">
        <x:v>Motion picture projection activities</x:v>
      </x:c>
      <x:c r="C2395" s="12" t="str">
        <x:v>المفرق</x:v>
      </x:c>
      <x:c r="D2395" s="14" t="n">
        <x:v>0</x:v>
      </x:c>
      <x:c r="E2395" s="14" t="n">
        <x:f>VLOOKUP(C2395,'Governorate Master'!$A$2:$Q$13,3,FALSE)</x:f>
        <x:v>686800</x:v>
      </x:c>
      <x:c r="F2395" s="66" t="n">
        <x:f>IF(E2395=0,0,D2395/E2395*10000)</x:f>
        <x:v>0</x:v>
      </x:c>
      <x:c r="G2395" s="67" t="n">
        <x:f>VLOOKUP(C2395,'Governorate Master'!$A$2:$Q$13,7,FALSE)</x:f>
        <x:v>25.9</x:v>
      </x:c>
      <x:c r="H2395" s="20" t="n">
        <x:f>VLOOKUP(C2395,'Governorate Master'!$A$2:$Q$13,6,FALSE)</x:f>
        <x:v>0.6965637740244612</x:v>
      </x:c>
      <x:c r="I2395" s="20" t="n">
        <x:f>VLOOKUP(C2395,'Governorate Master'!$A$2:$Q$13,15,FALSE)</x:f>
        <x:v>-0.016638935108153077</x:v>
      </x:c>
      <x:c r="J2395" s="12" t="str">
        <x:v>Location model input - competition/saturation context</x:v>
      </x:c>
      <x:c r="K2395" s="12" t="str">
        <x:v>Business count is from 2018 while population/context indicators are newer; use as a historical proxy, not a current market count.</x:v>
      </x:c>
    </x:row>
    <x:row r="2396">
      <x:c r="A2396" s="12" t="str">
        <x:v>5914</x:v>
      </x:c>
      <x:c r="B2396" s="12" t="str">
        <x:v>Motion picture projection activities</x:v>
      </x:c>
      <x:c r="C2396" s="12" t="str">
        <x:v>جرش</x:v>
      </x:c>
      <x:c r="D2396" s="14" t="n">
        <x:v>0</x:v>
      </x:c>
      <x:c r="E2396" s="14" t="n">
        <x:f>VLOOKUP(C2396,'Governorate Master'!$A$2:$Q$13,3,FALSE)</x:f>
        <x:v>296000</x:v>
      </x:c>
      <x:c r="F2396" s="66" t="n">
        <x:f>IF(E2396=0,0,D2396/E2396*10000)</x:f>
        <x:v>0</x:v>
      </x:c>
      <x:c r="G2396" s="67" t="n">
        <x:f>VLOOKUP(C2396,'Governorate Master'!$A$2:$Q$13,7,FALSE)</x:f>
        <x:v>722.3</x:v>
      </x:c>
      <x:c r="H2396" s="20" t="n">
        <x:f>VLOOKUP(C2396,'Governorate Master'!$A$2:$Q$13,6,FALSE)</x:f>
        <x:v>0.7695945945945946</x:v>
      </x:c>
      <x:c r="I2396" s="20" t="n">
        <x:f>VLOOKUP(C2396,'Governorate Master'!$A$2:$Q$13,15,FALSE)</x:f>
        <x:v>-0.06527415143603134</x:v>
      </x:c>
      <x:c r="J2396" s="12" t="str">
        <x:v>Location model input - competition/saturation context</x:v>
      </x:c>
      <x:c r="K2396" s="12" t="str">
        <x:v>Business count is from 2018 while population/context indicators are newer; use as a historical proxy, not a current market count.</x:v>
      </x:c>
    </x:row>
    <x:row r="2397">
      <x:c r="A2397" s="12" t="str">
        <x:v>5914</x:v>
      </x:c>
      <x:c r="B2397" s="12" t="str">
        <x:v>Motion picture projection activities</x:v>
      </x:c>
      <x:c r="C2397" s="12" t="str">
        <x:v>عجلون</x:v>
      </x:c>
      <x:c r="D2397" s="14" t="n">
        <x:v>0</x:v>
      </x:c>
      <x:c r="E2397" s="14" t="n">
        <x:f>VLOOKUP(C2397,'Governorate Master'!$A$2:$Q$13,3,FALSE)</x:f>
        <x:v>219900</x:v>
      </x:c>
      <x:c r="F2397" s="66" t="n">
        <x:f>IF(E2397=0,0,D2397/E2397*10000)</x:f>
        <x:v>0</x:v>
      </x:c>
      <x:c r="G2397" s="67" t="n">
        <x:f>VLOOKUP(C2397,'Governorate Master'!$A$2:$Q$13,7,FALSE)</x:f>
        <x:v>524</x:v>
      </x:c>
      <x:c r="H2397" s="20" t="n">
        <x:f>VLOOKUP(C2397,'Governorate Master'!$A$2:$Q$13,6,FALSE)</x:f>
        <x:v>0.8390177353342428</x:v>
      </x:c>
      <x:c r="I2397" s="20" t="n">
        <x:f>VLOOKUP(C2397,'Governorate Master'!$A$2:$Q$13,15,FALSE)</x:f>
        <x:v>0.03614457831325301</x:v>
      </x:c>
      <x:c r="J2397" s="12" t="str">
        <x:v>Location model input - competition/saturation context</x:v>
      </x:c>
      <x:c r="K2397" s="12" t="str">
        <x:v>Business count is from 2018 while population/context indicators are newer; use as a historical proxy, not a current market count.</x:v>
      </x:c>
    </x:row>
    <x:row r="2398">
      <x:c r="A2398" s="12" t="str">
        <x:v>5914</x:v>
      </x:c>
      <x:c r="B2398" s="12" t="str">
        <x:v>Motion picture projection activities</x:v>
      </x:c>
      <x:c r="C2398" s="12" t="str">
        <x:v>الكرك</x:v>
      </x:c>
      <x:c r="D2398" s="14" t="n">
        <x:v>0</x:v>
      </x:c>
      <x:c r="E2398" s="14" t="n">
        <x:f>VLOOKUP(C2398,'Governorate Master'!$A$2:$Q$13,3,FALSE)</x:f>
        <x:v>395400</x:v>
      </x:c>
      <x:c r="F2398" s="66" t="n">
        <x:f>IF(E2398=0,0,D2398/E2398*10000)</x:f>
        <x:v>0</x:v>
      </x:c>
      <x:c r="G2398" s="67" t="n">
        <x:f>VLOOKUP(C2398,'Governorate Master'!$A$2:$Q$13,7,FALSE)</x:f>
        <x:v>113.1</x:v>
      </x:c>
      <x:c r="H2398" s="20" t="n">
        <x:f>VLOOKUP(C2398,'Governorate Master'!$A$2:$Q$13,6,FALSE)</x:f>
        <x:v>0.5912999494183105</x:v>
      </x:c>
      <x:c r="I2398" s="20" t="n">
        <x:f>VLOOKUP(C2398,'Governorate Master'!$A$2:$Q$13,15,FALSE)</x:f>
        <x:v>0.08710801393728224</x:v>
      </x:c>
      <x:c r="J2398" s="12" t="str">
        <x:v>Location model input - competition/saturation context</x:v>
      </x:c>
      <x:c r="K2398" s="12" t="str">
        <x:v>Business count is from 2018 while population/context indicators are newer; use as a historical proxy, not a current market count.</x:v>
      </x:c>
    </x:row>
    <x:row r="2399">
      <x:c r="A2399" s="12" t="str">
        <x:v>5914</x:v>
      </x:c>
      <x:c r="B2399" s="12" t="str">
        <x:v>Motion picture projection activities</x:v>
      </x:c>
      <x:c r="C2399" s="12" t="str">
        <x:v>الطفيلة</x:v>
      </x:c>
      <x:c r="D2399" s="14" t="n">
        <x:v>0</x:v>
      </x:c>
      <x:c r="E2399" s="14" t="n">
        <x:f>VLOOKUP(C2399,'Governorate Master'!$A$2:$Q$13,3,FALSE)</x:f>
        <x:v>120300</x:v>
      </x:c>
      <x:c r="F2399" s="66" t="n">
        <x:f>IF(E2399=0,0,D2399/E2399*10000)</x:f>
        <x:v>0</x:v>
      </x:c>
      <x:c r="G2399" s="67" t="n">
        <x:f>VLOOKUP(C2399,'Governorate Master'!$A$2:$Q$13,7,FALSE)</x:f>
        <x:v>54.4</x:v>
      </x:c>
      <x:c r="H2399" s="20" t="n">
        <x:f>VLOOKUP(C2399,'Governorate Master'!$A$2:$Q$13,6,FALSE)</x:f>
        <x:v>0.7797173732335827</x:v>
      </x:c>
      <x:c r="I2399" s="20" t="n">
        <x:f>VLOOKUP(C2399,'Governorate Master'!$A$2:$Q$13,15,FALSE)</x:f>
        <x:v>0.18452380952380953</x:v>
      </x:c>
      <x:c r="J2399" s="12" t="str">
        <x:v>Location model input - competition/saturation context</x:v>
      </x:c>
      <x:c r="K2399" s="12" t="str">
        <x:v>Business count is from 2018 while population/context indicators are newer; use as a historical proxy, not a current market count.</x:v>
      </x:c>
    </x:row>
    <x:row r="2400">
      <x:c r="A2400" s="12" t="str">
        <x:v>5914</x:v>
      </x:c>
      <x:c r="B2400" s="12" t="str">
        <x:v>Motion picture projection activities</x:v>
      </x:c>
      <x:c r="C2400" s="12" t="str">
        <x:v>معان</x:v>
      </x:c>
      <x:c r="D2400" s="14" t="n">
        <x:v>0</x:v>
      </x:c>
      <x:c r="E2400" s="14" t="n">
        <x:f>VLOOKUP(C2400,'Governorate Master'!$A$2:$Q$13,3,FALSE)</x:f>
        <x:v>197900</x:v>
      </x:c>
      <x:c r="F2400" s="66" t="n">
        <x:f>IF(E2400=0,0,D2400/E2400*10000)</x:f>
        <x:v>0</x:v>
      </x:c>
      <x:c r="G2400" s="67" t="n">
        <x:f>VLOOKUP(C2400,'Governorate Master'!$A$2:$Q$13,7,FALSE)</x:f>
        <x:v>6</x:v>
      </x:c>
      <x:c r="H2400" s="20" t="n">
        <x:f>VLOOKUP(C2400,'Governorate Master'!$A$2:$Q$13,6,FALSE)</x:f>
        <x:v>0.5406771096513391</x:v>
      </x:c>
      <x:c r="I2400" s="20" t="n">
        <x:f>VLOOKUP(C2400,'Governorate Master'!$A$2:$Q$13,15,FALSE)</x:f>
        <x:v>0.026845637583892617</x:v>
      </x:c>
      <x:c r="J2400" s="12" t="str">
        <x:v>Location model input - competition/saturation context</x:v>
      </x:c>
      <x:c r="K2400" s="12" t="str">
        <x:v>Business count is from 2018 while population/context indicators are newer; use as a historical proxy, not a current market count.</x:v>
      </x:c>
    </x:row>
    <x:row r="2401">
      <x:c r="A2401" s="12" t="str">
        <x:v>5914</x:v>
      </x:c>
      <x:c r="B2401" s="12" t="str">
        <x:v>Motion picture projection activities</x:v>
      </x:c>
      <x:c r="C2401" s="12" t="str">
        <x:v>العقبة</x:v>
      </x:c>
      <x:c r="D2401" s="14" t="n">
        <x:v>0</x:v>
      </x:c>
      <x:c r="E2401" s="14" t="n">
        <x:f>VLOOKUP(C2401,'Governorate Master'!$A$2:$Q$13,3,FALSE)</x:f>
        <x:v>250900</x:v>
      </x:c>
      <x:c r="F2401" s="66" t="n">
        <x:f>IF(E2401=0,0,D2401/E2401*10000)</x:f>
        <x:v>0</x:v>
      </x:c>
      <x:c r="G2401" s="67" t="n">
        <x:f>VLOOKUP(C2401,'Governorate Master'!$A$2:$Q$13,7,FALSE)</x:f>
        <x:v>36.3</x:v>
      </x:c>
      <x:c r="H2401" s="20" t="n">
        <x:f>VLOOKUP(C2401,'Governorate Master'!$A$2:$Q$13,6,FALSE)</x:f>
        <x:v>0.882024711040255</x:v>
      </x:c>
      <x:c r="I2401" s="20" t="n">
        <x:f>VLOOKUP(C2401,'Governorate Master'!$A$2:$Q$13,15,FALSE)</x:f>
        <x:v>-0.09</x:v>
      </x:c>
      <x:c r="J2401" s="12" t="str">
        <x:v>Location model input - competition/saturation context</x:v>
      </x:c>
      <x:c r="K2401" s="12" t="str">
        <x:v>Business count is from 2018 while population/context indicators are newer; use as a historical proxy, not a current market count.</x:v>
      </x:c>
    </x:row>
    <x:row r="2402">
      <x:c r="A2402" s="12" t="str">
        <x:v>5920</x:v>
      </x:c>
      <x:c r="B2402" s="12" t="str">
        <x:v>Sound recording and music publishing activities</x:v>
      </x:c>
      <x:c r="C2402" s="12" t="str">
        <x:v>عمان</x:v>
      </x:c>
      <x:c r="D2402" s="14" t="n">
        <x:v>5</x:v>
      </x:c>
      <x:c r="E2402" s="14" t="n">
        <x:f>VLOOKUP(C2402,'Governorate Master'!$A$2:$Q$13,3,FALSE)</x:f>
        <x:v>5004600</x:v>
      </x:c>
      <x:c r="F2402" s="66" t="n">
        <x:f>IF(E2402=0,0,D2402/E2402*10000)</x:f>
        <x:v>0.009990808456220277</x:v>
      </x:c>
      <x:c r="G2402" s="67" t="n">
        <x:f>VLOOKUP(C2402,'Governorate Master'!$A$2:$Q$13,7,FALSE)</x:f>
        <x:v>660.3</x:v>
      </x:c>
      <x:c r="H2402" s="20" t="n">
        <x:f>VLOOKUP(C2402,'Governorate Master'!$A$2:$Q$13,6,FALSE)</x:f>
        <x:v>0.9721656076409703</x:v>
      </x:c>
      <x:c r="I2402" s="20" t="n">
        <x:f>VLOOKUP(C2402,'Governorate Master'!$A$2:$Q$13,15,FALSE)</x:f>
        <x:v>0.06367041198501873</x:v>
      </x:c>
      <x:c r="J2402" s="12" t="str">
        <x:v>Location model input - competition/saturation context</x:v>
      </x:c>
      <x:c r="K2402" s="12" t="str">
        <x:v>Business count is from 2018 while population/context indicators are newer; use as a historical proxy, not a current market count.</x:v>
      </x:c>
    </x:row>
    <x:row r="2403">
      <x:c r="A2403" s="12" t="str">
        <x:v>5920</x:v>
      </x:c>
      <x:c r="B2403" s="12" t="str">
        <x:v>Sound recording and music publishing activities</x:v>
      </x:c>
      <x:c r="C2403" s="12" t="str">
        <x:v>البلقاء</x:v>
      </x:c>
      <x:c r="D2403" s="14" t="n">
        <x:v>1</x:v>
      </x:c>
      <x:c r="E2403" s="14" t="n">
        <x:f>VLOOKUP(C2403,'Governorate Master'!$A$2:$Q$13,3,FALSE)</x:f>
        <x:v>614000</x:v>
      </x:c>
      <x:c r="F2403" s="66" t="n">
        <x:f>IF(E2403=0,0,D2403/E2403*10000)</x:f>
        <x:v>0.016286644951140065</x:v>
      </x:c>
      <x:c r="G2403" s="67" t="n">
        <x:f>VLOOKUP(C2403,'Governorate Master'!$A$2:$Q$13,7,FALSE)</x:f>
        <x:v>548</x:v>
      </x:c>
      <x:c r="H2403" s="20" t="n">
        <x:f>VLOOKUP(C2403,'Governorate Master'!$A$2:$Q$13,6,FALSE)</x:f>
        <x:v>0.8210097719869707</x:v>
      </x:c>
      <x:c r="I2403" s="20" t="n">
        <x:f>VLOOKUP(C2403,'Governorate Master'!$A$2:$Q$13,15,FALSE)</x:f>
        <x:v>0.10794044665012408</x:v>
      </x:c>
      <x:c r="J2403" s="12" t="str">
        <x:v>Location model input - competition/saturation context</x:v>
      </x:c>
      <x:c r="K2403" s="12" t="str">
        <x:v>Business count is from 2018 while population/context indicators are newer; use as a historical proxy, not a current market count.</x:v>
      </x:c>
    </x:row>
    <x:row r="2404">
      <x:c r="A2404" s="12" t="str">
        <x:v>5920</x:v>
      </x:c>
      <x:c r="B2404" s="12" t="str">
        <x:v>Sound recording and music publishing activities</x:v>
      </x:c>
      <x:c r="C2404" s="12" t="str">
        <x:v>الزرقاء</x:v>
      </x:c>
      <x:c r="D2404" s="14" t="n">
        <x:v>0</x:v>
      </x:c>
      <x:c r="E2404" s="14" t="n">
        <x:f>VLOOKUP(C2404,'Governorate Master'!$A$2:$Q$13,3,FALSE)</x:f>
        <x:v>1704500</x:v>
      </x:c>
      <x:c r="F2404" s="66" t="n">
        <x:f>IF(E2404=0,0,D2404/E2404*10000)</x:f>
        <x:v>0</x:v>
      </x:c>
      <x:c r="G2404" s="67" t="n">
        <x:f>VLOOKUP(C2404,'Governorate Master'!$A$2:$Q$13,7,FALSE)</x:f>
        <x:v>358</x:v>
      </x:c>
      <x:c r="H2404" s="20" t="n">
        <x:f>VLOOKUP(C2404,'Governorate Master'!$A$2:$Q$13,6,FALSE)</x:f>
        <x:v>0.9636256966852449</x:v>
      </x:c>
      <x:c r="I2404" s="20" t="n">
        <x:f>VLOOKUP(C2404,'Governorate Master'!$A$2:$Q$13,15,FALSE)</x:f>
        <x:v>-0.06808762581409118</x:v>
      </x:c>
      <x:c r="J2404" s="12" t="str">
        <x:v>Location model input - competition/saturation context</x:v>
      </x:c>
      <x:c r="K2404" s="12" t="str">
        <x:v>Business count is from 2018 while population/context indicators are newer; use as a historical proxy, not a current market count.</x:v>
      </x:c>
    </x:row>
    <x:row r="2405">
      <x:c r="A2405" s="12" t="str">
        <x:v>5920</x:v>
      </x:c>
      <x:c r="B2405" s="12" t="str">
        <x:v>Sound recording and music publishing activities</x:v>
      </x:c>
      <x:c r="C2405" s="12" t="str">
        <x:v>مادبا</x:v>
      </x:c>
      <x:c r="D2405" s="14" t="n">
        <x:v>0</x:v>
      </x:c>
      <x:c r="E2405" s="14" t="n">
        <x:f>VLOOKUP(C2405,'Governorate Master'!$A$2:$Q$13,3,FALSE)</x:f>
        <x:v>236200</x:v>
      </x:c>
      <x:c r="F2405" s="66" t="n">
        <x:f>IF(E2405=0,0,D2405/E2405*10000)</x:f>
        <x:v>0</x:v>
      </x:c>
      <x:c r="G2405" s="67" t="n">
        <x:f>VLOOKUP(C2405,'Governorate Master'!$A$2:$Q$13,7,FALSE)</x:f>
        <x:v>251.4</x:v>
      </x:c>
      <x:c r="H2405" s="20" t="n">
        <x:f>VLOOKUP(C2405,'Governorate Master'!$A$2:$Q$13,6,FALSE)</x:f>
        <x:v>0.7823878069432684</x:v>
      </x:c>
      <x:c r="I2405" s="20" t="n">
        <x:f>VLOOKUP(C2405,'Governorate Master'!$A$2:$Q$13,15,FALSE)</x:f>
        <x:v>-0.18823529411764706</x:v>
      </x:c>
      <x:c r="J2405" s="12" t="str">
        <x:v>Location model input - competition/saturation context</x:v>
      </x:c>
      <x:c r="K2405" s="12" t="str">
        <x:v>Business count is from 2018 while population/context indicators are newer; use as a historical proxy, not a current market count.</x:v>
      </x:c>
    </x:row>
    <x:row r="2406">
      <x:c r="A2406" s="12" t="str">
        <x:v>5920</x:v>
      </x:c>
      <x:c r="B2406" s="12" t="str">
        <x:v>Sound recording and music publishing activities</x:v>
      </x:c>
      <x:c r="C2406" s="12" t="str">
        <x:v>إربد</x:v>
      </x:c>
      <x:c r="D2406" s="14" t="n">
        <x:v>0</x:v>
      </x:c>
      <x:c r="E2406" s="14" t="n">
        <x:f>VLOOKUP(C2406,'Governorate Master'!$A$2:$Q$13,3,FALSE)</x:f>
        <x:v>2210500</x:v>
      </x:c>
      <x:c r="F2406" s="66" t="n">
        <x:f>IF(E2406=0,0,D2406/E2406*10000)</x:f>
        <x:v>0</x:v>
      </x:c>
      <x:c r="G2406" s="67" t="n">
        <x:f>VLOOKUP(C2406,'Governorate Master'!$A$2:$Q$13,7,FALSE)</x:f>
        <x:v>1406.4</x:v>
      </x:c>
      <x:c r="H2406" s="20" t="n">
        <x:f>VLOOKUP(C2406,'Governorate Master'!$A$2:$Q$13,6,FALSE)</x:f>
        <x:v>0.9235014702555983</x:v>
      </x:c>
      <x:c r="I2406" s="20" t="n">
        <x:f>VLOOKUP(C2406,'Governorate Master'!$A$2:$Q$13,15,FALSE)</x:f>
        <x:v>0.07086922474549726</x:v>
      </x:c>
      <x:c r="J2406" s="12" t="str">
        <x:v>Location model input - competition/saturation context</x:v>
      </x:c>
      <x:c r="K2406" s="12" t="str">
        <x:v>Business count is from 2018 while population/context indicators are newer; use as a historical proxy, not a current market count.</x:v>
      </x:c>
    </x:row>
    <x:row r="2407">
      <x:c r="A2407" s="12" t="str">
        <x:v>5920</x:v>
      </x:c>
      <x:c r="B2407" s="12" t="str">
        <x:v>Sound recording and music publishing activities</x:v>
      </x:c>
      <x:c r="C2407" s="12" t="str">
        <x:v>المفرق</x:v>
      </x:c>
      <x:c r="D2407" s="14" t="n">
        <x:v>0</x:v>
      </x:c>
      <x:c r="E2407" s="14" t="n">
        <x:f>VLOOKUP(C2407,'Governorate Master'!$A$2:$Q$13,3,FALSE)</x:f>
        <x:v>686800</x:v>
      </x:c>
      <x:c r="F2407" s="66" t="n">
        <x:f>IF(E2407=0,0,D2407/E2407*10000)</x:f>
        <x:v>0</x:v>
      </x:c>
      <x:c r="G2407" s="67" t="n">
        <x:f>VLOOKUP(C2407,'Governorate Master'!$A$2:$Q$13,7,FALSE)</x:f>
        <x:v>25.9</x:v>
      </x:c>
      <x:c r="H2407" s="20" t="n">
        <x:f>VLOOKUP(C2407,'Governorate Master'!$A$2:$Q$13,6,FALSE)</x:f>
        <x:v>0.6965637740244612</x:v>
      </x:c>
      <x:c r="I2407" s="20" t="n">
        <x:f>VLOOKUP(C2407,'Governorate Master'!$A$2:$Q$13,15,FALSE)</x:f>
        <x:v>-0.016638935108153077</x:v>
      </x:c>
      <x:c r="J2407" s="12" t="str">
        <x:v>Location model input - competition/saturation context</x:v>
      </x:c>
      <x:c r="K2407" s="12" t="str">
        <x:v>Business count is from 2018 while population/context indicators are newer; use as a historical proxy, not a current market count.</x:v>
      </x:c>
    </x:row>
    <x:row r="2408">
      <x:c r="A2408" s="12" t="str">
        <x:v>5920</x:v>
      </x:c>
      <x:c r="B2408" s="12" t="str">
        <x:v>Sound recording and music publishing activities</x:v>
      </x:c>
      <x:c r="C2408" s="12" t="str">
        <x:v>جرش</x:v>
      </x:c>
      <x:c r="D2408" s="14" t="n">
        <x:v>0</x:v>
      </x:c>
      <x:c r="E2408" s="14" t="n">
        <x:f>VLOOKUP(C2408,'Governorate Master'!$A$2:$Q$13,3,FALSE)</x:f>
        <x:v>296000</x:v>
      </x:c>
      <x:c r="F2408" s="66" t="n">
        <x:f>IF(E2408=0,0,D2408/E2408*10000)</x:f>
        <x:v>0</x:v>
      </x:c>
      <x:c r="G2408" s="67" t="n">
        <x:f>VLOOKUP(C2408,'Governorate Master'!$A$2:$Q$13,7,FALSE)</x:f>
        <x:v>722.3</x:v>
      </x:c>
      <x:c r="H2408" s="20" t="n">
        <x:f>VLOOKUP(C2408,'Governorate Master'!$A$2:$Q$13,6,FALSE)</x:f>
        <x:v>0.7695945945945946</x:v>
      </x:c>
      <x:c r="I2408" s="20" t="n">
        <x:f>VLOOKUP(C2408,'Governorate Master'!$A$2:$Q$13,15,FALSE)</x:f>
        <x:v>-0.06527415143603134</x:v>
      </x:c>
      <x:c r="J2408" s="12" t="str">
        <x:v>Location model input - competition/saturation context</x:v>
      </x:c>
      <x:c r="K2408" s="12" t="str">
        <x:v>Business count is from 2018 while population/context indicators are newer; use as a historical proxy, not a current market count.</x:v>
      </x:c>
    </x:row>
    <x:row r="2409">
      <x:c r="A2409" s="12" t="str">
        <x:v>5920</x:v>
      </x:c>
      <x:c r="B2409" s="12" t="str">
        <x:v>Sound recording and music publishing activities</x:v>
      </x:c>
      <x:c r="C2409" s="12" t="str">
        <x:v>عجلون</x:v>
      </x:c>
      <x:c r="D2409" s="14" t="n">
        <x:v>0</x:v>
      </x:c>
      <x:c r="E2409" s="14" t="n">
        <x:f>VLOOKUP(C2409,'Governorate Master'!$A$2:$Q$13,3,FALSE)</x:f>
        <x:v>219900</x:v>
      </x:c>
      <x:c r="F2409" s="66" t="n">
        <x:f>IF(E2409=0,0,D2409/E2409*10000)</x:f>
        <x:v>0</x:v>
      </x:c>
      <x:c r="G2409" s="67" t="n">
        <x:f>VLOOKUP(C2409,'Governorate Master'!$A$2:$Q$13,7,FALSE)</x:f>
        <x:v>524</x:v>
      </x:c>
      <x:c r="H2409" s="20" t="n">
        <x:f>VLOOKUP(C2409,'Governorate Master'!$A$2:$Q$13,6,FALSE)</x:f>
        <x:v>0.8390177353342428</x:v>
      </x:c>
      <x:c r="I2409" s="20" t="n">
        <x:f>VLOOKUP(C2409,'Governorate Master'!$A$2:$Q$13,15,FALSE)</x:f>
        <x:v>0.03614457831325301</x:v>
      </x:c>
      <x:c r="J2409" s="12" t="str">
        <x:v>Location model input - competition/saturation context</x:v>
      </x:c>
      <x:c r="K2409" s="12" t="str">
        <x:v>Business count is from 2018 while population/context indicators are newer; use as a historical proxy, not a current market count.</x:v>
      </x:c>
    </x:row>
    <x:row r="2410">
      <x:c r="A2410" s="12" t="str">
        <x:v>5920</x:v>
      </x:c>
      <x:c r="B2410" s="12" t="str">
        <x:v>Sound recording and music publishing activities</x:v>
      </x:c>
      <x:c r="C2410" s="12" t="str">
        <x:v>الكرك</x:v>
      </x:c>
      <x:c r="D2410" s="14" t="n">
        <x:v>0</x:v>
      </x:c>
      <x:c r="E2410" s="14" t="n">
        <x:f>VLOOKUP(C2410,'Governorate Master'!$A$2:$Q$13,3,FALSE)</x:f>
        <x:v>395400</x:v>
      </x:c>
      <x:c r="F2410" s="66" t="n">
        <x:f>IF(E2410=0,0,D2410/E2410*10000)</x:f>
        <x:v>0</x:v>
      </x:c>
      <x:c r="G2410" s="67" t="n">
        <x:f>VLOOKUP(C2410,'Governorate Master'!$A$2:$Q$13,7,FALSE)</x:f>
        <x:v>113.1</x:v>
      </x:c>
      <x:c r="H2410" s="20" t="n">
        <x:f>VLOOKUP(C2410,'Governorate Master'!$A$2:$Q$13,6,FALSE)</x:f>
        <x:v>0.5912999494183105</x:v>
      </x:c>
      <x:c r="I2410" s="20" t="n">
        <x:f>VLOOKUP(C2410,'Governorate Master'!$A$2:$Q$13,15,FALSE)</x:f>
        <x:v>0.08710801393728224</x:v>
      </x:c>
      <x:c r="J2410" s="12" t="str">
        <x:v>Location model input - competition/saturation context</x:v>
      </x:c>
      <x:c r="K2410" s="12" t="str">
        <x:v>Business count is from 2018 while population/context indicators are newer; use as a historical proxy, not a current market count.</x:v>
      </x:c>
    </x:row>
    <x:row r="2411">
      <x:c r="A2411" s="12" t="str">
        <x:v>5920</x:v>
      </x:c>
      <x:c r="B2411" s="12" t="str">
        <x:v>Sound recording and music publishing activities</x:v>
      </x:c>
      <x:c r="C2411" s="12" t="str">
        <x:v>الطفيلة</x:v>
      </x:c>
      <x:c r="D2411" s="14" t="n">
        <x:v>0</x:v>
      </x:c>
      <x:c r="E2411" s="14" t="n">
        <x:f>VLOOKUP(C2411,'Governorate Master'!$A$2:$Q$13,3,FALSE)</x:f>
        <x:v>120300</x:v>
      </x:c>
      <x:c r="F2411" s="66" t="n">
        <x:f>IF(E2411=0,0,D2411/E2411*10000)</x:f>
        <x:v>0</x:v>
      </x:c>
      <x:c r="G2411" s="67" t="n">
        <x:f>VLOOKUP(C2411,'Governorate Master'!$A$2:$Q$13,7,FALSE)</x:f>
        <x:v>54.4</x:v>
      </x:c>
      <x:c r="H2411" s="20" t="n">
        <x:f>VLOOKUP(C2411,'Governorate Master'!$A$2:$Q$13,6,FALSE)</x:f>
        <x:v>0.7797173732335827</x:v>
      </x:c>
      <x:c r="I2411" s="20" t="n">
        <x:f>VLOOKUP(C2411,'Governorate Master'!$A$2:$Q$13,15,FALSE)</x:f>
        <x:v>0.18452380952380953</x:v>
      </x:c>
      <x:c r="J2411" s="12" t="str">
        <x:v>Location model input - competition/saturation context</x:v>
      </x:c>
      <x:c r="K2411" s="12" t="str">
        <x:v>Business count is from 2018 while population/context indicators are newer; use as a historical proxy, not a current market count.</x:v>
      </x:c>
    </x:row>
    <x:row r="2412">
      <x:c r="A2412" s="12" t="str">
        <x:v>5920</x:v>
      </x:c>
      <x:c r="B2412" s="12" t="str">
        <x:v>Sound recording and music publishing activities</x:v>
      </x:c>
      <x:c r="C2412" s="12" t="str">
        <x:v>معان</x:v>
      </x:c>
      <x:c r="D2412" s="14" t="n">
        <x:v>0</x:v>
      </x:c>
      <x:c r="E2412" s="14" t="n">
        <x:f>VLOOKUP(C2412,'Governorate Master'!$A$2:$Q$13,3,FALSE)</x:f>
        <x:v>197900</x:v>
      </x:c>
      <x:c r="F2412" s="66" t="n">
        <x:f>IF(E2412=0,0,D2412/E2412*10000)</x:f>
        <x:v>0</x:v>
      </x:c>
      <x:c r="G2412" s="67" t="n">
        <x:f>VLOOKUP(C2412,'Governorate Master'!$A$2:$Q$13,7,FALSE)</x:f>
        <x:v>6</x:v>
      </x:c>
      <x:c r="H2412" s="20" t="n">
        <x:f>VLOOKUP(C2412,'Governorate Master'!$A$2:$Q$13,6,FALSE)</x:f>
        <x:v>0.5406771096513391</x:v>
      </x:c>
      <x:c r="I2412" s="20" t="n">
        <x:f>VLOOKUP(C2412,'Governorate Master'!$A$2:$Q$13,15,FALSE)</x:f>
        <x:v>0.026845637583892617</x:v>
      </x:c>
      <x:c r="J2412" s="12" t="str">
        <x:v>Location model input - competition/saturation context</x:v>
      </x:c>
      <x:c r="K2412" s="12" t="str">
        <x:v>Business count is from 2018 while population/context indicators are newer; use as a historical proxy, not a current market count.</x:v>
      </x:c>
    </x:row>
    <x:row r="2413">
      <x:c r="A2413" s="12" t="str">
        <x:v>5920</x:v>
      </x:c>
      <x:c r="B2413" s="12" t="str">
        <x:v>Sound recording and music publishing activities</x:v>
      </x:c>
      <x:c r="C2413" s="12" t="str">
        <x:v>العقبة</x:v>
      </x:c>
      <x:c r="D2413" s="14" t="n">
        <x:v>0</x:v>
      </x:c>
      <x:c r="E2413" s="14" t="n">
        <x:f>VLOOKUP(C2413,'Governorate Master'!$A$2:$Q$13,3,FALSE)</x:f>
        <x:v>250900</x:v>
      </x:c>
      <x:c r="F2413" s="66" t="n">
        <x:f>IF(E2413=0,0,D2413/E2413*10000)</x:f>
        <x:v>0</x:v>
      </x:c>
      <x:c r="G2413" s="67" t="n">
        <x:f>VLOOKUP(C2413,'Governorate Master'!$A$2:$Q$13,7,FALSE)</x:f>
        <x:v>36.3</x:v>
      </x:c>
      <x:c r="H2413" s="20" t="n">
        <x:f>VLOOKUP(C2413,'Governorate Master'!$A$2:$Q$13,6,FALSE)</x:f>
        <x:v>0.882024711040255</x:v>
      </x:c>
      <x:c r="I2413" s="20" t="n">
        <x:f>VLOOKUP(C2413,'Governorate Master'!$A$2:$Q$13,15,FALSE)</x:f>
        <x:v>-0.09</x:v>
      </x:c>
      <x:c r="J2413" s="12" t="str">
        <x:v>Location model input - competition/saturation context</x:v>
      </x:c>
      <x:c r="K2413" s="12" t="str">
        <x:v>Business count is from 2018 while population/context indicators are newer; use as a historical proxy, not a current market count.</x:v>
      </x:c>
    </x:row>
    <x:row r="2414">
      <x:c r="A2414" s="12" t="str">
        <x:v>6010</x:v>
      </x:c>
      <x:c r="B2414" s="12" t="str">
        <x:v>Radio broadcasting</x:v>
      </x:c>
      <x:c r="C2414" s="12" t="str">
        <x:v>عمان</x:v>
      </x:c>
      <x:c r="D2414" s="14" t="n">
        <x:v>3</x:v>
      </x:c>
      <x:c r="E2414" s="14" t="n">
        <x:f>VLOOKUP(C2414,'Governorate Master'!$A$2:$Q$13,3,FALSE)</x:f>
        <x:v>5004600</x:v>
      </x:c>
      <x:c r="F2414" s="66" t="n">
        <x:f>IF(E2414=0,0,D2414/E2414*10000)</x:f>
        <x:v>0.005994485073732166</x:v>
      </x:c>
      <x:c r="G2414" s="67" t="n">
        <x:f>VLOOKUP(C2414,'Governorate Master'!$A$2:$Q$13,7,FALSE)</x:f>
        <x:v>660.3</x:v>
      </x:c>
      <x:c r="H2414" s="20" t="n">
        <x:f>VLOOKUP(C2414,'Governorate Master'!$A$2:$Q$13,6,FALSE)</x:f>
        <x:v>0.9721656076409703</x:v>
      </x:c>
      <x:c r="I2414" s="20" t="n">
        <x:f>VLOOKUP(C2414,'Governorate Master'!$A$2:$Q$13,15,FALSE)</x:f>
        <x:v>0.06367041198501873</x:v>
      </x:c>
      <x:c r="J2414" s="12" t="str">
        <x:v>Location model input - competition/saturation context</x:v>
      </x:c>
      <x:c r="K2414" s="12" t="str">
        <x:v>Business count is from 2018 while population/context indicators are newer; use as a historical proxy, not a current market count.</x:v>
      </x:c>
    </x:row>
    <x:row r="2415">
      <x:c r="A2415" s="12" t="str">
        <x:v>6010</x:v>
      </x:c>
      <x:c r="B2415" s="12" t="str">
        <x:v>Radio broadcasting</x:v>
      </x:c>
      <x:c r="C2415" s="12" t="str">
        <x:v>البلقاء</x:v>
      </x:c>
      <x:c r="D2415" s="14" t="n">
        <x:v>0</x:v>
      </x:c>
      <x:c r="E2415" s="14" t="n">
        <x:f>VLOOKUP(C2415,'Governorate Master'!$A$2:$Q$13,3,FALSE)</x:f>
        <x:v>614000</x:v>
      </x:c>
      <x:c r="F2415" s="66" t="n">
        <x:f>IF(E2415=0,0,D2415/E2415*10000)</x:f>
        <x:v>0</x:v>
      </x:c>
      <x:c r="G2415" s="67" t="n">
        <x:f>VLOOKUP(C2415,'Governorate Master'!$A$2:$Q$13,7,FALSE)</x:f>
        <x:v>548</x:v>
      </x:c>
      <x:c r="H2415" s="20" t="n">
        <x:f>VLOOKUP(C2415,'Governorate Master'!$A$2:$Q$13,6,FALSE)</x:f>
        <x:v>0.8210097719869707</x:v>
      </x:c>
      <x:c r="I2415" s="20" t="n">
        <x:f>VLOOKUP(C2415,'Governorate Master'!$A$2:$Q$13,15,FALSE)</x:f>
        <x:v>0.10794044665012408</x:v>
      </x:c>
      <x:c r="J2415" s="12" t="str">
        <x:v>Location model input - competition/saturation context</x:v>
      </x:c>
      <x:c r="K2415" s="12" t="str">
        <x:v>Business count is from 2018 while population/context indicators are newer; use as a historical proxy, not a current market count.</x:v>
      </x:c>
    </x:row>
    <x:row r="2416">
      <x:c r="A2416" s="12" t="str">
        <x:v>6010</x:v>
      </x:c>
      <x:c r="B2416" s="12" t="str">
        <x:v>Radio broadcasting</x:v>
      </x:c>
      <x:c r="C2416" s="12" t="str">
        <x:v>الزرقاء</x:v>
      </x:c>
      <x:c r="D2416" s="14" t="n">
        <x:v>0</x:v>
      </x:c>
      <x:c r="E2416" s="14" t="n">
        <x:f>VLOOKUP(C2416,'Governorate Master'!$A$2:$Q$13,3,FALSE)</x:f>
        <x:v>1704500</x:v>
      </x:c>
      <x:c r="F2416" s="66" t="n">
        <x:f>IF(E2416=0,0,D2416/E2416*10000)</x:f>
        <x:v>0</x:v>
      </x:c>
      <x:c r="G2416" s="67" t="n">
        <x:f>VLOOKUP(C2416,'Governorate Master'!$A$2:$Q$13,7,FALSE)</x:f>
        <x:v>358</x:v>
      </x:c>
      <x:c r="H2416" s="20" t="n">
        <x:f>VLOOKUP(C2416,'Governorate Master'!$A$2:$Q$13,6,FALSE)</x:f>
        <x:v>0.9636256966852449</x:v>
      </x:c>
      <x:c r="I2416" s="20" t="n">
        <x:f>VLOOKUP(C2416,'Governorate Master'!$A$2:$Q$13,15,FALSE)</x:f>
        <x:v>-0.06808762581409118</x:v>
      </x:c>
      <x:c r="J2416" s="12" t="str">
        <x:v>Location model input - competition/saturation context</x:v>
      </x:c>
      <x:c r="K2416" s="12" t="str">
        <x:v>Business count is from 2018 while population/context indicators are newer; use as a historical proxy, not a current market count.</x:v>
      </x:c>
    </x:row>
    <x:row r="2417">
      <x:c r="A2417" s="12" t="str">
        <x:v>6010</x:v>
      </x:c>
      <x:c r="B2417" s="12" t="str">
        <x:v>Radio broadcasting</x:v>
      </x:c>
      <x:c r="C2417" s="12" t="str">
        <x:v>مادبا</x:v>
      </x:c>
      <x:c r="D2417" s="14" t="n">
        <x:v>0</x:v>
      </x:c>
      <x:c r="E2417" s="14" t="n">
        <x:f>VLOOKUP(C2417,'Governorate Master'!$A$2:$Q$13,3,FALSE)</x:f>
        <x:v>236200</x:v>
      </x:c>
      <x:c r="F2417" s="66" t="n">
        <x:f>IF(E2417=0,0,D2417/E2417*10000)</x:f>
        <x:v>0</x:v>
      </x:c>
      <x:c r="G2417" s="67" t="n">
        <x:f>VLOOKUP(C2417,'Governorate Master'!$A$2:$Q$13,7,FALSE)</x:f>
        <x:v>251.4</x:v>
      </x:c>
      <x:c r="H2417" s="20" t="n">
        <x:f>VLOOKUP(C2417,'Governorate Master'!$A$2:$Q$13,6,FALSE)</x:f>
        <x:v>0.7823878069432684</x:v>
      </x:c>
      <x:c r="I2417" s="20" t="n">
        <x:f>VLOOKUP(C2417,'Governorate Master'!$A$2:$Q$13,15,FALSE)</x:f>
        <x:v>-0.18823529411764706</x:v>
      </x:c>
      <x:c r="J2417" s="12" t="str">
        <x:v>Location model input - competition/saturation context</x:v>
      </x:c>
      <x:c r="K2417" s="12" t="str">
        <x:v>Business count is from 2018 while population/context indicators are newer; use as a historical proxy, not a current market count.</x:v>
      </x:c>
    </x:row>
    <x:row r="2418">
      <x:c r="A2418" s="12" t="str">
        <x:v>6010</x:v>
      </x:c>
      <x:c r="B2418" s="12" t="str">
        <x:v>Radio broadcasting</x:v>
      </x:c>
      <x:c r="C2418" s="12" t="str">
        <x:v>إربد</x:v>
      </x:c>
      <x:c r="D2418" s="14" t="n">
        <x:v>0</x:v>
      </x:c>
      <x:c r="E2418" s="14" t="n">
        <x:f>VLOOKUP(C2418,'Governorate Master'!$A$2:$Q$13,3,FALSE)</x:f>
        <x:v>2210500</x:v>
      </x:c>
      <x:c r="F2418" s="66" t="n">
        <x:f>IF(E2418=0,0,D2418/E2418*10000)</x:f>
        <x:v>0</x:v>
      </x:c>
      <x:c r="G2418" s="67" t="n">
        <x:f>VLOOKUP(C2418,'Governorate Master'!$A$2:$Q$13,7,FALSE)</x:f>
        <x:v>1406.4</x:v>
      </x:c>
      <x:c r="H2418" s="20" t="n">
        <x:f>VLOOKUP(C2418,'Governorate Master'!$A$2:$Q$13,6,FALSE)</x:f>
        <x:v>0.9235014702555983</x:v>
      </x:c>
      <x:c r="I2418" s="20" t="n">
        <x:f>VLOOKUP(C2418,'Governorate Master'!$A$2:$Q$13,15,FALSE)</x:f>
        <x:v>0.07086922474549726</x:v>
      </x:c>
      <x:c r="J2418" s="12" t="str">
        <x:v>Location model input - competition/saturation context</x:v>
      </x:c>
      <x:c r="K2418" s="12" t="str">
        <x:v>Business count is from 2018 while population/context indicators are newer; use as a historical proxy, not a current market count.</x:v>
      </x:c>
    </x:row>
    <x:row r="2419">
      <x:c r="A2419" s="12" t="str">
        <x:v>6010</x:v>
      </x:c>
      <x:c r="B2419" s="12" t="str">
        <x:v>Radio broadcasting</x:v>
      </x:c>
      <x:c r="C2419" s="12" t="str">
        <x:v>المفرق</x:v>
      </x:c>
      <x:c r="D2419" s="14" t="n">
        <x:v>0</x:v>
      </x:c>
      <x:c r="E2419" s="14" t="n">
        <x:f>VLOOKUP(C2419,'Governorate Master'!$A$2:$Q$13,3,FALSE)</x:f>
        <x:v>686800</x:v>
      </x:c>
      <x:c r="F2419" s="66" t="n">
        <x:f>IF(E2419=0,0,D2419/E2419*10000)</x:f>
        <x:v>0</x:v>
      </x:c>
      <x:c r="G2419" s="67" t="n">
        <x:f>VLOOKUP(C2419,'Governorate Master'!$A$2:$Q$13,7,FALSE)</x:f>
        <x:v>25.9</x:v>
      </x:c>
      <x:c r="H2419" s="20" t="n">
        <x:f>VLOOKUP(C2419,'Governorate Master'!$A$2:$Q$13,6,FALSE)</x:f>
        <x:v>0.6965637740244612</x:v>
      </x:c>
      <x:c r="I2419" s="20" t="n">
        <x:f>VLOOKUP(C2419,'Governorate Master'!$A$2:$Q$13,15,FALSE)</x:f>
        <x:v>-0.016638935108153077</x:v>
      </x:c>
      <x:c r="J2419" s="12" t="str">
        <x:v>Location model input - competition/saturation context</x:v>
      </x:c>
      <x:c r="K2419" s="12" t="str">
        <x:v>Business count is from 2018 while population/context indicators are newer; use as a historical proxy, not a current market count.</x:v>
      </x:c>
    </x:row>
    <x:row r="2420">
      <x:c r="A2420" s="12" t="str">
        <x:v>6010</x:v>
      </x:c>
      <x:c r="B2420" s="12" t="str">
        <x:v>Radio broadcasting</x:v>
      </x:c>
      <x:c r="C2420" s="12" t="str">
        <x:v>جرش</x:v>
      </x:c>
      <x:c r="D2420" s="14" t="n">
        <x:v>0</x:v>
      </x:c>
      <x:c r="E2420" s="14" t="n">
        <x:f>VLOOKUP(C2420,'Governorate Master'!$A$2:$Q$13,3,FALSE)</x:f>
        <x:v>296000</x:v>
      </x:c>
      <x:c r="F2420" s="66" t="n">
        <x:f>IF(E2420=0,0,D2420/E2420*10000)</x:f>
        <x:v>0</x:v>
      </x:c>
      <x:c r="G2420" s="67" t="n">
        <x:f>VLOOKUP(C2420,'Governorate Master'!$A$2:$Q$13,7,FALSE)</x:f>
        <x:v>722.3</x:v>
      </x:c>
      <x:c r="H2420" s="20" t="n">
        <x:f>VLOOKUP(C2420,'Governorate Master'!$A$2:$Q$13,6,FALSE)</x:f>
        <x:v>0.7695945945945946</x:v>
      </x:c>
      <x:c r="I2420" s="20" t="n">
        <x:f>VLOOKUP(C2420,'Governorate Master'!$A$2:$Q$13,15,FALSE)</x:f>
        <x:v>-0.06527415143603134</x:v>
      </x:c>
      <x:c r="J2420" s="12" t="str">
        <x:v>Location model input - competition/saturation context</x:v>
      </x:c>
      <x:c r="K2420" s="12" t="str">
        <x:v>Business count is from 2018 while population/context indicators are newer; use as a historical proxy, not a current market count.</x:v>
      </x:c>
    </x:row>
    <x:row r="2421">
      <x:c r="A2421" s="12" t="str">
        <x:v>6010</x:v>
      </x:c>
      <x:c r="B2421" s="12" t="str">
        <x:v>Radio broadcasting</x:v>
      </x:c>
      <x:c r="C2421" s="12" t="str">
        <x:v>عجلون</x:v>
      </x:c>
      <x:c r="D2421" s="14" t="n">
        <x:v>0</x:v>
      </x:c>
      <x:c r="E2421" s="14" t="n">
        <x:f>VLOOKUP(C2421,'Governorate Master'!$A$2:$Q$13,3,FALSE)</x:f>
        <x:v>219900</x:v>
      </x:c>
      <x:c r="F2421" s="66" t="n">
        <x:f>IF(E2421=0,0,D2421/E2421*10000)</x:f>
        <x:v>0</x:v>
      </x:c>
      <x:c r="G2421" s="67" t="n">
        <x:f>VLOOKUP(C2421,'Governorate Master'!$A$2:$Q$13,7,FALSE)</x:f>
        <x:v>524</x:v>
      </x:c>
      <x:c r="H2421" s="20" t="n">
        <x:f>VLOOKUP(C2421,'Governorate Master'!$A$2:$Q$13,6,FALSE)</x:f>
        <x:v>0.8390177353342428</x:v>
      </x:c>
      <x:c r="I2421" s="20" t="n">
        <x:f>VLOOKUP(C2421,'Governorate Master'!$A$2:$Q$13,15,FALSE)</x:f>
        <x:v>0.03614457831325301</x:v>
      </x:c>
      <x:c r="J2421" s="12" t="str">
        <x:v>Location model input - competition/saturation context</x:v>
      </x:c>
      <x:c r="K2421" s="12" t="str">
        <x:v>Business count is from 2018 while population/context indicators are newer; use as a historical proxy, not a current market count.</x:v>
      </x:c>
    </x:row>
    <x:row r="2422">
      <x:c r="A2422" s="12" t="str">
        <x:v>6010</x:v>
      </x:c>
      <x:c r="B2422" s="12" t="str">
        <x:v>Radio broadcasting</x:v>
      </x:c>
      <x:c r="C2422" s="12" t="str">
        <x:v>الكرك</x:v>
      </x:c>
      <x:c r="D2422" s="14" t="n">
        <x:v>0</x:v>
      </x:c>
      <x:c r="E2422" s="14" t="n">
        <x:f>VLOOKUP(C2422,'Governorate Master'!$A$2:$Q$13,3,FALSE)</x:f>
        <x:v>395400</x:v>
      </x:c>
      <x:c r="F2422" s="66" t="n">
        <x:f>IF(E2422=0,0,D2422/E2422*10000)</x:f>
        <x:v>0</x:v>
      </x:c>
      <x:c r="G2422" s="67" t="n">
        <x:f>VLOOKUP(C2422,'Governorate Master'!$A$2:$Q$13,7,FALSE)</x:f>
        <x:v>113.1</x:v>
      </x:c>
      <x:c r="H2422" s="20" t="n">
        <x:f>VLOOKUP(C2422,'Governorate Master'!$A$2:$Q$13,6,FALSE)</x:f>
        <x:v>0.5912999494183105</x:v>
      </x:c>
      <x:c r="I2422" s="20" t="n">
        <x:f>VLOOKUP(C2422,'Governorate Master'!$A$2:$Q$13,15,FALSE)</x:f>
        <x:v>0.08710801393728224</x:v>
      </x:c>
      <x:c r="J2422" s="12" t="str">
        <x:v>Location model input - competition/saturation context</x:v>
      </x:c>
      <x:c r="K2422" s="12" t="str">
        <x:v>Business count is from 2018 while population/context indicators are newer; use as a historical proxy, not a current market count.</x:v>
      </x:c>
    </x:row>
    <x:row r="2423">
      <x:c r="A2423" s="12" t="str">
        <x:v>6010</x:v>
      </x:c>
      <x:c r="B2423" s="12" t="str">
        <x:v>Radio broadcasting</x:v>
      </x:c>
      <x:c r="C2423" s="12" t="str">
        <x:v>الطفيلة</x:v>
      </x:c>
      <x:c r="D2423" s="14" t="n">
        <x:v>0</x:v>
      </x:c>
      <x:c r="E2423" s="14" t="n">
        <x:f>VLOOKUP(C2423,'Governorate Master'!$A$2:$Q$13,3,FALSE)</x:f>
        <x:v>120300</x:v>
      </x:c>
      <x:c r="F2423" s="66" t="n">
        <x:f>IF(E2423=0,0,D2423/E2423*10000)</x:f>
        <x:v>0</x:v>
      </x:c>
      <x:c r="G2423" s="67" t="n">
        <x:f>VLOOKUP(C2423,'Governorate Master'!$A$2:$Q$13,7,FALSE)</x:f>
        <x:v>54.4</x:v>
      </x:c>
      <x:c r="H2423" s="20" t="n">
        <x:f>VLOOKUP(C2423,'Governorate Master'!$A$2:$Q$13,6,FALSE)</x:f>
        <x:v>0.7797173732335827</x:v>
      </x:c>
      <x:c r="I2423" s="20" t="n">
        <x:f>VLOOKUP(C2423,'Governorate Master'!$A$2:$Q$13,15,FALSE)</x:f>
        <x:v>0.18452380952380953</x:v>
      </x:c>
      <x:c r="J2423" s="12" t="str">
        <x:v>Location model input - competition/saturation context</x:v>
      </x:c>
      <x:c r="K2423" s="12" t="str">
        <x:v>Business count is from 2018 while population/context indicators are newer; use as a historical proxy, not a current market count.</x:v>
      </x:c>
    </x:row>
    <x:row r="2424">
      <x:c r="A2424" s="12" t="str">
        <x:v>6010</x:v>
      </x:c>
      <x:c r="B2424" s="12" t="str">
        <x:v>Radio broadcasting</x:v>
      </x:c>
      <x:c r="C2424" s="12" t="str">
        <x:v>معان</x:v>
      </x:c>
      <x:c r="D2424" s="14" t="n">
        <x:v>0</x:v>
      </x:c>
      <x:c r="E2424" s="14" t="n">
        <x:f>VLOOKUP(C2424,'Governorate Master'!$A$2:$Q$13,3,FALSE)</x:f>
        <x:v>197900</x:v>
      </x:c>
      <x:c r="F2424" s="66" t="n">
        <x:f>IF(E2424=0,0,D2424/E2424*10000)</x:f>
        <x:v>0</x:v>
      </x:c>
      <x:c r="G2424" s="67" t="n">
        <x:f>VLOOKUP(C2424,'Governorate Master'!$A$2:$Q$13,7,FALSE)</x:f>
        <x:v>6</x:v>
      </x:c>
      <x:c r="H2424" s="20" t="n">
        <x:f>VLOOKUP(C2424,'Governorate Master'!$A$2:$Q$13,6,FALSE)</x:f>
        <x:v>0.5406771096513391</x:v>
      </x:c>
      <x:c r="I2424" s="20" t="n">
        <x:f>VLOOKUP(C2424,'Governorate Master'!$A$2:$Q$13,15,FALSE)</x:f>
        <x:v>0.026845637583892617</x:v>
      </x:c>
      <x:c r="J2424" s="12" t="str">
        <x:v>Location model input - competition/saturation context</x:v>
      </x:c>
      <x:c r="K2424" s="12" t="str">
        <x:v>Business count is from 2018 while population/context indicators are newer; use as a historical proxy, not a current market count.</x:v>
      </x:c>
    </x:row>
    <x:row r="2425">
      <x:c r="A2425" s="12" t="str">
        <x:v>6010</x:v>
      </x:c>
      <x:c r="B2425" s="12" t="str">
        <x:v>Radio broadcasting</x:v>
      </x:c>
      <x:c r="C2425" s="12" t="str">
        <x:v>العقبة</x:v>
      </x:c>
      <x:c r="D2425" s="14" t="n">
        <x:v>0</x:v>
      </x:c>
      <x:c r="E2425" s="14" t="n">
        <x:f>VLOOKUP(C2425,'Governorate Master'!$A$2:$Q$13,3,FALSE)</x:f>
        <x:v>250900</x:v>
      </x:c>
      <x:c r="F2425" s="66" t="n">
        <x:f>IF(E2425=0,0,D2425/E2425*10000)</x:f>
        <x:v>0</x:v>
      </x:c>
      <x:c r="G2425" s="67" t="n">
        <x:f>VLOOKUP(C2425,'Governorate Master'!$A$2:$Q$13,7,FALSE)</x:f>
        <x:v>36.3</x:v>
      </x:c>
      <x:c r="H2425" s="20" t="n">
        <x:f>VLOOKUP(C2425,'Governorate Master'!$A$2:$Q$13,6,FALSE)</x:f>
        <x:v>0.882024711040255</x:v>
      </x:c>
      <x:c r="I2425" s="20" t="n">
        <x:f>VLOOKUP(C2425,'Governorate Master'!$A$2:$Q$13,15,FALSE)</x:f>
        <x:v>-0.09</x:v>
      </x:c>
      <x:c r="J2425" s="12" t="str">
        <x:v>Location model input - competition/saturation context</x:v>
      </x:c>
      <x:c r="K2425" s="12" t="str">
        <x:v>Business count is from 2018 while population/context indicators are newer; use as a historical proxy, not a current market count.</x:v>
      </x:c>
    </x:row>
    <x:row r="2426">
      <x:c r="A2426" s="12" t="str">
        <x:v>6020</x:v>
      </x:c>
      <x:c r="B2426" s="12" t="str">
        <x:v>Television programming and broadcasting activities</x:v>
      </x:c>
      <x:c r="C2426" s="12" t="str">
        <x:v>عمان</x:v>
      </x:c>
      <x:c r="D2426" s="14" t="n">
        <x:v>19</x:v>
      </x:c>
      <x:c r="E2426" s="14" t="n">
        <x:f>VLOOKUP(C2426,'Governorate Master'!$A$2:$Q$13,3,FALSE)</x:f>
        <x:v>5004600</x:v>
      </x:c>
      <x:c r="F2426" s="66" t="n">
        <x:f>IF(E2426=0,0,D2426/E2426*10000)</x:f>
        <x:v>0.037965072133637055</x:v>
      </x:c>
      <x:c r="G2426" s="67" t="n">
        <x:f>VLOOKUP(C2426,'Governorate Master'!$A$2:$Q$13,7,FALSE)</x:f>
        <x:v>660.3</x:v>
      </x:c>
      <x:c r="H2426" s="20" t="n">
        <x:f>VLOOKUP(C2426,'Governorate Master'!$A$2:$Q$13,6,FALSE)</x:f>
        <x:v>0.9721656076409703</x:v>
      </x:c>
      <x:c r="I2426" s="20" t="n">
        <x:f>VLOOKUP(C2426,'Governorate Master'!$A$2:$Q$13,15,FALSE)</x:f>
        <x:v>0.06367041198501873</x:v>
      </x:c>
      <x:c r="J2426" s="12" t="str">
        <x:v>Location model input - competition/saturation context</x:v>
      </x:c>
      <x:c r="K2426" s="12" t="str">
        <x:v>Business count is from 2018 while population/context indicators are newer; use as a historical proxy, not a current market count.</x:v>
      </x:c>
    </x:row>
    <x:row r="2427">
      <x:c r="A2427" s="12" t="str">
        <x:v>6020</x:v>
      </x:c>
      <x:c r="B2427" s="12" t="str">
        <x:v>Television programming and broadcasting activities</x:v>
      </x:c>
      <x:c r="C2427" s="12" t="str">
        <x:v>البلقاء</x:v>
      </x:c>
      <x:c r="D2427" s="14" t="n">
        <x:v>0</x:v>
      </x:c>
      <x:c r="E2427" s="14" t="n">
        <x:f>VLOOKUP(C2427,'Governorate Master'!$A$2:$Q$13,3,FALSE)</x:f>
        <x:v>614000</x:v>
      </x:c>
      <x:c r="F2427" s="66" t="n">
        <x:f>IF(E2427=0,0,D2427/E2427*10000)</x:f>
        <x:v>0</x:v>
      </x:c>
      <x:c r="G2427" s="67" t="n">
        <x:f>VLOOKUP(C2427,'Governorate Master'!$A$2:$Q$13,7,FALSE)</x:f>
        <x:v>548</x:v>
      </x:c>
      <x:c r="H2427" s="20" t="n">
        <x:f>VLOOKUP(C2427,'Governorate Master'!$A$2:$Q$13,6,FALSE)</x:f>
        <x:v>0.8210097719869707</x:v>
      </x:c>
      <x:c r="I2427" s="20" t="n">
        <x:f>VLOOKUP(C2427,'Governorate Master'!$A$2:$Q$13,15,FALSE)</x:f>
        <x:v>0.10794044665012408</x:v>
      </x:c>
      <x:c r="J2427" s="12" t="str">
        <x:v>Location model input - competition/saturation context</x:v>
      </x:c>
      <x:c r="K2427" s="12" t="str">
        <x:v>Business count is from 2018 while population/context indicators are newer; use as a historical proxy, not a current market count.</x:v>
      </x:c>
    </x:row>
    <x:row r="2428">
      <x:c r="A2428" s="12" t="str">
        <x:v>6020</x:v>
      </x:c>
      <x:c r="B2428" s="12" t="str">
        <x:v>Television programming and broadcasting activities</x:v>
      </x:c>
      <x:c r="C2428" s="12" t="str">
        <x:v>الزرقاء</x:v>
      </x:c>
      <x:c r="D2428" s="14" t="n">
        <x:v>0</x:v>
      </x:c>
      <x:c r="E2428" s="14" t="n">
        <x:f>VLOOKUP(C2428,'Governorate Master'!$A$2:$Q$13,3,FALSE)</x:f>
        <x:v>1704500</x:v>
      </x:c>
      <x:c r="F2428" s="66" t="n">
        <x:f>IF(E2428=0,0,D2428/E2428*10000)</x:f>
        <x:v>0</x:v>
      </x:c>
      <x:c r="G2428" s="67" t="n">
        <x:f>VLOOKUP(C2428,'Governorate Master'!$A$2:$Q$13,7,FALSE)</x:f>
        <x:v>358</x:v>
      </x:c>
      <x:c r="H2428" s="20" t="n">
        <x:f>VLOOKUP(C2428,'Governorate Master'!$A$2:$Q$13,6,FALSE)</x:f>
        <x:v>0.9636256966852449</x:v>
      </x:c>
      <x:c r="I2428" s="20" t="n">
        <x:f>VLOOKUP(C2428,'Governorate Master'!$A$2:$Q$13,15,FALSE)</x:f>
        <x:v>-0.06808762581409118</x:v>
      </x:c>
      <x:c r="J2428" s="12" t="str">
        <x:v>Location model input - competition/saturation context</x:v>
      </x:c>
      <x:c r="K2428" s="12" t="str">
        <x:v>Business count is from 2018 while population/context indicators are newer; use as a historical proxy, not a current market count.</x:v>
      </x:c>
    </x:row>
    <x:row r="2429">
      <x:c r="A2429" s="12" t="str">
        <x:v>6020</x:v>
      </x:c>
      <x:c r="B2429" s="12" t="str">
        <x:v>Television programming and broadcasting activities</x:v>
      </x:c>
      <x:c r="C2429" s="12" t="str">
        <x:v>مادبا</x:v>
      </x:c>
      <x:c r="D2429" s="14" t="n">
        <x:v>0</x:v>
      </x:c>
      <x:c r="E2429" s="14" t="n">
        <x:f>VLOOKUP(C2429,'Governorate Master'!$A$2:$Q$13,3,FALSE)</x:f>
        <x:v>236200</x:v>
      </x:c>
      <x:c r="F2429" s="66" t="n">
        <x:f>IF(E2429=0,0,D2429/E2429*10000)</x:f>
        <x:v>0</x:v>
      </x:c>
      <x:c r="G2429" s="67" t="n">
        <x:f>VLOOKUP(C2429,'Governorate Master'!$A$2:$Q$13,7,FALSE)</x:f>
        <x:v>251.4</x:v>
      </x:c>
      <x:c r="H2429" s="20" t="n">
        <x:f>VLOOKUP(C2429,'Governorate Master'!$A$2:$Q$13,6,FALSE)</x:f>
        <x:v>0.7823878069432684</x:v>
      </x:c>
      <x:c r="I2429" s="20" t="n">
        <x:f>VLOOKUP(C2429,'Governorate Master'!$A$2:$Q$13,15,FALSE)</x:f>
        <x:v>-0.18823529411764706</x:v>
      </x:c>
      <x:c r="J2429" s="12" t="str">
        <x:v>Location model input - competition/saturation context</x:v>
      </x:c>
      <x:c r="K2429" s="12" t="str">
        <x:v>Business count is from 2018 while population/context indicators are newer; use as a historical proxy, not a current market count.</x:v>
      </x:c>
    </x:row>
    <x:row r="2430">
      <x:c r="A2430" s="12" t="str">
        <x:v>6020</x:v>
      </x:c>
      <x:c r="B2430" s="12" t="str">
        <x:v>Television programming and broadcasting activities</x:v>
      </x:c>
      <x:c r="C2430" s="12" t="str">
        <x:v>إربد</x:v>
      </x:c>
      <x:c r="D2430" s="14" t="n">
        <x:v>0</x:v>
      </x:c>
      <x:c r="E2430" s="14" t="n">
        <x:f>VLOOKUP(C2430,'Governorate Master'!$A$2:$Q$13,3,FALSE)</x:f>
        <x:v>2210500</x:v>
      </x:c>
      <x:c r="F2430" s="66" t="n">
        <x:f>IF(E2430=0,0,D2430/E2430*10000)</x:f>
        <x:v>0</x:v>
      </x:c>
      <x:c r="G2430" s="67" t="n">
        <x:f>VLOOKUP(C2430,'Governorate Master'!$A$2:$Q$13,7,FALSE)</x:f>
        <x:v>1406.4</x:v>
      </x:c>
      <x:c r="H2430" s="20" t="n">
        <x:f>VLOOKUP(C2430,'Governorate Master'!$A$2:$Q$13,6,FALSE)</x:f>
        <x:v>0.9235014702555983</x:v>
      </x:c>
      <x:c r="I2430" s="20" t="n">
        <x:f>VLOOKUP(C2430,'Governorate Master'!$A$2:$Q$13,15,FALSE)</x:f>
        <x:v>0.07086922474549726</x:v>
      </x:c>
      <x:c r="J2430" s="12" t="str">
        <x:v>Location model input - competition/saturation context</x:v>
      </x:c>
      <x:c r="K2430" s="12" t="str">
        <x:v>Business count is from 2018 while population/context indicators are newer; use as a historical proxy, not a current market count.</x:v>
      </x:c>
    </x:row>
    <x:row r="2431">
      <x:c r="A2431" s="12" t="str">
        <x:v>6020</x:v>
      </x:c>
      <x:c r="B2431" s="12" t="str">
        <x:v>Television programming and broadcasting activities</x:v>
      </x:c>
      <x:c r="C2431" s="12" t="str">
        <x:v>المفرق</x:v>
      </x:c>
      <x:c r="D2431" s="14" t="n">
        <x:v>0</x:v>
      </x:c>
      <x:c r="E2431" s="14" t="n">
        <x:f>VLOOKUP(C2431,'Governorate Master'!$A$2:$Q$13,3,FALSE)</x:f>
        <x:v>686800</x:v>
      </x:c>
      <x:c r="F2431" s="66" t="n">
        <x:f>IF(E2431=0,0,D2431/E2431*10000)</x:f>
        <x:v>0</x:v>
      </x:c>
      <x:c r="G2431" s="67" t="n">
        <x:f>VLOOKUP(C2431,'Governorate Master'!$A$2:$Q$13,7,FALSE)</x:f>
        <x:v>25.9</x:v>
      </x:c>
      <x:c r="H2431" s="20" t="n">
        <x:f>VLOOKUP(C2431,'Governorate Master'!$A$2:$Q$13,6,FALSE)</x:f>
        <x:v>0.6965637740244612</x:v>
      </x:c>
      <x:c r="I2431" s="20" t="n">
        <x:f>VLOOKUP(C2431,'Governorate Master'!$A$2:$Q$13,15,FALSE)</x:f>
        <x:v>-0.016638935108153077</x:v>
      </x:c>
      <x:c r="J2431" s="12" t="str">
        <x:v>Location model input - competition/saturation context</x:v>
      </x:c>
      <x:c r="K2431" s="12" t="str">
        <x:v>Business count is from 2018 while population/context indicators are newer; use as a historical proxy, not a current market count.</x:v>
      </x:c>
    </x:row>
    <x:row r="2432">
      <x:c r="A2432" s="12" t="str">
        <x:v>6020</x:v>
      </x:c>
      <x:c r="B2432" s="12" t="str">
        <x:v>Television programming and broadcasting activities</x:v>
      </x:c>
      <x:c r="C2432" s="12" t="str">
        <x:v>جرش</x:v>
      </x:c>
      <x:c r="D2432" s="14" t="n">
        <x:v>0</x:v>
      </x:c>
      <x:c r="E2432" s="14" t="n">
        <x:f>VLOOKUP(C2432,'Governorate Master'!$A$2:$Q$13,3,FALSE)</x:f>
        <x:v>296000</x:v>
      </x:c>
      <x:c r="F2432" s="66" t="n">
        <x:f>IF(E2432=0,0,D2432/E2432*10000)</x:f>
        <x:v>0</x:v>
      </x:c>
      <x:c r="G2432" s="67" t="n">
        <x:f>VLOOKUP(C2432,'Governorate Master'!$A$2:$Q$13,7,FALSE)</x:f>
        <x:v>722.3</x:v>
      </x:c>
      <x:c r="H2432" s="20" t="n">
        <x:f>VLOOKUP(C2432,'Governorate Master'!$A$2:$Q$13,6,FALSE)</x:f>
        <x:v>0.7695945945945946</x:v>
      </x:c>
      <x:c r="I2432" s="20" t="n">
        <x:f>VLOOKUP(C2432,'Governorate Master'!$A$2:$Q$13,15,FALSE)</x:f>
        <x:v>-0.06527415143603134</x:v>
      </x:c>
      <x:c r="J2432" s="12" t="str">
        <x:v>Location model input - competition/saturation context</x:v>
      </x:c>
      <x:c r="K2432" s="12" t="str">
        <x:v>Business count is from 2018 while population/context indicators are newer; use as a historical proxy, not a current market count.</x:v>
      </x:c>
    </x:row>
    <x:row r="2433">
      <x:c r="A2433" s="12" t="str">
        <x:v>6020</x:v>
      </x:c>
      <x:c r="B2433" s="12" t="str">
        <x:v>Television programming and broadcasting activities</x:v>
      </x:c>
      <x:c r="C2433" s="12" t="str">
        <x:v>عجلون</x:v>
      </x:c>
      <x:c r="D2433" s="14" t="n">
        <x:v>0</x:v>
      </x:c>
      <x:c r="E2433" s="14" t="n">
        <x:f>VLOOKUP(C2433,'Governorate Master'!$A$2:$Q$13,3,FALSE)</x:f>
        <x:v>219900</x:v>
      </x:c>
      <x:c r="F2433" s="66" t="n">
        <x:f>IF(E2433=0,0,D2433/E2433*10000)</x:f>
        <x:v>0</x:v>
      </x:c>
      <x:c r="G2433" s="67" t="n">
        <x:f>VLOOKUP(C2433,'Governorate Master'!$A$2:$Q$13,7,FALSE)</x:f>
        <x:v>524</x:v>
      </x:c>
      <x:c r="H2433" s="20" t="n">
        <x:f>VLOOKUP(C2433,'Governorate Master'!$A$2:$Q$13,6,FALSE)</x:f>
        <x:v>0.8390177353342428</x:v>
      </x:c>
      <x:c r="I2433" s="20" t="n">
        <x:f>VLOOKUP(C2433,'Governorate Master'!$A$2:$Q$13,15,FALSE)</x:f>
        <x:v>0.03614457831325301</x:v>
      </x:c>
      <x:c r="J2433" s="12" t="str">
        <x:v>Location model input - competition/saturation context</x:v>
      </x:c>
      <x:c r="K2433" s="12" t="str">
        <x:v>Business count is from 2018 while population/context indicators are newer; use as a historical proxy, not a current market count.</x:v>
      </x:c>
    </x:row>
    <x:row r="2434">
      <x:c r="A2434" s="12" t="str">
        <x:v>6020</x:v>
      </x:c>
      <x:c r="B2434" s="12" t="str">
        <x:v>Television programming and broadcasting activities</x:v>
      </x:c>
      <x:c r="C2434" s="12" t="str">
        <x:v>الكرك</x:v>
      </x:c>
      <x:c r="D2434" s="14" t="n">
        <x:v>0</x:v>
      </x:c>
      <x:c r="E2434" s="14" t="n">
        <x:f>VLOOKUP(C2434,'Governorate Master'!$A$2:$Q$13,3,FALSE)</x:f>
        <x:v>395400</x:v>
      </x:c>
      <x:c r="F2434" s="66" t="n">
        <x:f>IF(E2434=0,0,D2434/E2434*10000)</x:f>
        <x:v>0</x:v>
      </x:c>
      <x:c r="G2434" s="67" t="n">
        <x:f>VLOOKUP(C2434,'Governorate Master'!$A$2:$Q$13,7,FALSE)</x:f>
        <x:v>113.1</x:v>
      </x:c>
      <x:c r="H2434" s="20" t="n">
        <x:f>VLOOKUP(C2434,'Governorate Master'!$A$2:$Q$13,6,FALSE)</x:f>
        <x:v>0.5912999494183105</x:v>
      </x:c>
      <x:c r="I2434" s="20" t="n">
        <x:f>VLOOKUP(C2434,'Governorate Master'!$A$2:$Q$13,15,FALSE)</x:f>
        <x:v>0.08710801393728224</x:v>
      </x:c>
      <x:c r="J2434" s="12" t="str">
        <x:v>Location model input - competition/saturation context</x:v>
      </x:c>
      <x:c r="K2434" s="12" t="str">
        <x:v>Business count is from 2018 while population/context indicators are newer; use as a historical proxy, not a current market count.</x:v>
      </x:c>
    </x:row>
    <x:row r="2435">
      <x:c r="A2435" s="12" t="str">
        <x:v>6020</x:v>
      </x:c>
      <x:c r="B2435" s="12" t="str">
        <x:v>Television programming and broadcasting activities</x:v>
      </x:c>
      <x:c r="C2435" s="12" t="str">
        <x:v>الطفيلة</x:v>
      </x:c>
      <x:c r="D2435" s="14" t="n">
        <x:v>0</x:v>
      </x:c>
      <x:c r="E2435" s="14" t="n">
        <x:f>VLOOKUP(C2435,'Governorate Master'!$A$2:$Q$13,3,FALSE)</x:f>
        <x:v>120300</x:v>
      </x:c>
      <x:c r="F2435" s="66" t="n">
        <x:f>IF(E2435=0,0,D2435/E2435*10000)</x:f>
        <x:v>0</x:v>
      </x:c>
      <x:c r="G2435" s="67" t="n">
        <x:f>VLOOKUP(C2435,'Governorate Master'!$A$2:$Q$13,7,FALSE)</x:f>
        <x:v>54.4</x:v>
      </x:c>
      <x:c r="H2435" s="20" t="n">
        <x:f>VLOOKUP(C2435,'Governorate Master'!$A$2:$Q$13,6,FALSE)</x:f>
        <x:v>0.7797173732335827</x:v>
      </x:c>
      <x:c r="I2435" s="20" t="n">
        <x:f>VLOOKUP(C2435,'Governorate Master'!$A$2:$Q$13,15,FALSE)</x:f>
        <x:v>0.18452380952380953</x:v>
      </x:c>
      <x:c r="J2435" s="12" t="str">
        <x:v>Location model input - competition/saturation context</x:v>
      </x:c>
      <x:c r="K2435" s="12" t="str">
        <x:v>Business count is from 2018 while population/context indicators are newer; use as a historical proxy, not a current market count.</x:v>
      </x:c>
    </x:row>
    <x:row r="2436">
      <x:c r="A2436" s="12" t="str">
        <x:v>6020</x:v>
      </x:c>
      <x:c r="B2436" s="12" t="str">
        <x:v>Television programming and broadcasting activities</x:v>
      </x:c>
      <x:c r="C2436" s="12" t="str">
        <x:v>معان</x:v>
      </x:c>
      <x:c r="D2436" s="14" t="n">
        <x:v>0</x:v>
      </x:c>
      <x:c r="E2436" s="14" t="n">
        <x:f>VLOOKUP(C2436,'Governorate Master'!$A$2:$Q$13,3,FALSE)</x:f>
        <x:v>197900</x:v>
      </x:c>
      <x:c r="F2436" s="66" t="n">
        <x:f>IF(E2436=0,0,D2436/E2436*10000)</x:f>
        <x:v>0</x:v>
      </x:c>
      <x:c r="G2436" s="67" t="n">
        <x:f>VLOOKUP(C2436,'Governorate Master'!$A$2:$Q$13,7,FALSE)</x:f>
        <x:v>6</x:v>
      </x:c>
      <x:c r="H2436" s="20" t="n">
        <x:f>VLOOKUP(C2436,'Governorate Master'!$A$2:$Q$13,6,FALSE)</x:f>
        <x:v>0.5406771096513391</x:v>
      </x:c>
      <x:c r="I2436" s="20" t="n">
        <x:f>VLOOKUP(C2436,'Governorate Master'!$A$2:$Q$13,15,FALSE)</x:f>
        <x:v>0.026845637583892617</x:v>
      </x:c>
      <x:c r="J2436" s="12" t="str">
        <x:v>Location model input - competition/saturation context</x:v>
      </x:c>
      <x:c r="K2436" s="12" t="str">
        <x:v>Business count is from 2018 while population/context indicators are newer; use as a historical proxy, not a current market count.</x:v>
      </x:c>
    </x:row>
    <x:row r="2437">
      <x:c r="A2437" s="12" t="str">
        <x:v>6020</x:v>
      </x:c>
      <x:c r="B2437" s="12" t="str">
        <x:v>Television programming and broadcasting activities</x:v>
      </x:c>
      <x:c r="C2437" s="12" t="str">
        <x:v>العقبة</x:v>
      </x:c>
      <x:c r="D2437" s="14" t="n">
        <x:v>0</x:v>
      </x:c>
      <x:c r="E2437" s="14" t="n">
        <x:f>VLOOKUP(C2437,'Governorate Master'!$A$2:$Q$13,3,FALSE)</x:f>
        <x:v>250900</x:v>
      </x:c>
      <x:c r="F2437" s="66" t="n">
        <x:f>IF(E2437=0,0,D2437/E2437*10000)</x:f>
        <x:v>0</x:v>
      </x:c>
      <x:c r="G2437" s="67" t="n">
        <x:f>VLOOKUP(C2437,'Governorate Master'!$A$2:$Q$13,7,FALSE)</x:f>
        <x:v>36.3</x:v>
      </x:c>
      <x:c r="H2437" s="20" t="n">
        <x:f>VLOOKUP(C2437,'Governorate Master'!$A$2:$Q$13,6,FALSE)</x:f>
        <x:v>0.882024711040255</x:v>
      </x:c>
      <x:c r="I2437" s="20" t="n">
        <x:f>VLOOKUP(C2437,'Governorate Master'!$A$2:$Q$13,15,FALSE)</x:f>
        <x:v>-0.09</x:v>
      </x:c>
      <x:c r="J2437" s="12" t="str">
        <x:v>Location model input - competition/saturation context</x:v>
      </x:c>
      <x:c r="K2437" s="12" t="str">
        <x:v>Business count is from 2018 while population/context indicators are newer; use as a historical proxy, not a current market count.</x:v>
      </x:c>
    </x:row>
    <x:row r="2438">
      <x:c r="A2438" s="12" t="str">
        <x:v>6110</x:v>
      </x:c>
      <x:c r="B2438" s="12" t="str">
        <x:v>Wired telecommunications activities</x:v>
      </x:c>
      <x:c r="C2438" s="12" t="str">
        <x:v>عمان</x:v>
      </x:c>
      <x:c r="D2438" s="14" t="n">
        <x:v>7</x:v>
      </x:c>
      <x:c r="E2438" s="14" t="n">
        <x:f>VLOOKUP(C2438,'Governorate Master'!$A$2:$Q$13,3,FALSE)</x:f>
        <x:v>5004600</x:v>
      </x:c>
      <x:c r="F2438" s="66" t="n">
        <x:f>IF(E2438=0,0,D2438/E2438*10000)</x:f>
        <x:v>0.013987131838708389</x:v>
      </x:c>
      <x:c r="G2438" s="67" t="n">
        <x:f>VLOOKUP(C2438,'Governorate Master'!$A$2:$Q$13,7,FALSE)</x:f>
        <x:v>660.3</x:v>
      </x:c>
      <x:c r="H2438" s="20" t="n">
        <x:f>VLOOKUP(C2438,'Governorate Master'!$A$2:$Q$13,6,FALSE)</x:f>
        <x:v>0.9721656076409703</x:v>
      </x:c>
      <x:c r="I2438" s="20" t="n">
        <x:f>VLOOKUP(C2438,'Governorate Master'!$A$2:$Q$13,15,FALSE)</x:f>
        <x:v>0.06367041198501873</x:v>
      </x:c>
      <x:c r="J2438" s="12" t="str">
        <x:v>Location model input - competition/saturation context</x:v>
      </x:c>
      <x:c r="K2438" s="12" t="str">
        <x:v>Business count is from 2018 while population/context indicators are newer; use as a historical proxy, not a current market count.</x:v>
      </x:c>
    </x:row>
    <x:row r="2439">
      <x:c r="A2439" s="12" t="str">
        <x:v>6110</x:v>
      </x:c>
      <x:c r="B2439" s="12" t="str">
        <x:v>Wired telecommunications activities</x:v>
      </x:c>
      <x:c r="C2439" s="12" t="str">
        <x:v>البلقاء</x:v>
      </x:c>
      <x:c r="D2439" s="14" t="n">
        <x:v>0</x:v>
      </x:c>
      <x:c r="E2439" s="14" t="n">
        <x:f>VLOOKUP(C2439,'Governorate Master'!$A$2:$Q$13,3,FALSE)</x:f>
        <x:v>614000</x:v>
      </x:c>
      <x:c r="F2439" s="66" t="n">
        <x:f>IF(E2439=0,0,D2439/E2439*10000)</x:f>
        <x:v>0</x:v>
      </x:c>
      <x:c r="G2439" s="67" t="n">
        <x:f>VLOOKUP(C2439,'Governorate Master'!$A$2:$Q$13,7,FALSE)</x:f>
        <x:v>548</x:v>
      </x:c>
      <x:c r="H2439" s="20" t="n">
        <x:f>VLOOKUP(C2439,'Governorate Master'!$A$2:$Q$13,6,FALSE)</x:f>
        <x:v>0.8210097719869707</x:v>
      </x:c>
      <x:c r="I2439" s="20" t="n">
        <x:f>VLOOKUP(C2439,'Governorate Master'!$A$2:$Q$13,15,FALSE)</x:f>
        <x:v>0.10794044665012408</x:v>
      </x:c>
      <x:c r="J2439" s="12" t="str">
        <x:v>Location model input - competition/saturation context</x:v>
      </x:c>
      <x:c r="K2439" s="12" t="str">
        <x:v>Business count is from 2018 while population/context indicators are newer; use as a historical proxy, not a current market count.</x:v>
      </x:c>
    </x:row>
    <x:row r="2440">
      <x:c r="A2440" s="12" t="str">
        <x:v>6110</x:v>
      </x:c>
      <x:c r="B2440" s="12" t="str">
        <x:v>Wired telecommunications activities</x:v>
      </x:c>
      <x:c r="C2440" s="12" t="str">
        <x:v>الزرقاء</x:v>
      </x:c>
      <x:c r="D2440" s="14" t="n">
        <x:v>0</x:v>
      </x:c>
      <x:c r="E2440" s="14" t="n">
        <x:f>VLOOKUP(C2440,'Governorate Master'!$A$2:$Q$13,3,FALSE)</x:f>
        <x:v>1704500</x:v>
      </x:c>
      <x:c r="F2440" s="66" t="n">
        <x:f>IF(E2440=0,0,D2440/E2440*10000)</x:f>
        <x:v>0</x:v>
      </x:c>
      <x:c r="G2440" s="67" t="n">
        <x:f>VLOOKUP(C2440,'Governorate Master'!$A$2:$Q$13,7,FALSE)</x:f>
        <x:v>358</x:v>
      </x:c>
      <x:c r="H2440" s="20" t="n">
        <x:f>VLOOKUP(C2440,'Governorate Master'!$A$2:$Q$13,6,FALSE)</x:f>
        <x:v>0.9636256966852449</x:v>
      </x:c>
      <x:c r="I2440" s="20" t="n">
        <x:f>VLOOKUP(C2440,'Governorate Master'!$A$2:$Q$13,15,FALSE)</x:f>
        <x:v>-0.06808762581409118</x:v>
      </x:c>
      <x:c r="J2440" s="12" t="str">
        <x:v>Location model input - competition/saturation context</x:v>
      </x:c>
      <x:c r="K2440" s="12" t="str">
        <x:v>Business count is from 2018 while population/context indicators are newer; use as a historical proxy, not a current market count.</x:v>
      </x:c>
    </x:row>
    <x:row r="2441">
      <x:c r="A2441" s="12" t="str">
        <x:v>6110</x:v>
      </x:c>
      <x:c r="B2441" s="12" t="str">
        <x:v>Wired telecommunications activities</x:v>
      </x:c>
      <x:c r="C2441" s="12" t="str">
        <x:v>مادبا</x:v>
      </x:c>
      <x:c r="D2441" s="14" t="n">
        <x:v>0</x:v>
      </x:c>
      <x:c r="E2441" s="14" t="n">
        <x:f>VLOOKUP(C2441,'Governorate Master'!$A$2:$Q$13,3,FALSE)</x:f>
        <x:v>236200</x:v>
      </x:c>
      <x:c r="F2441" s="66" t="n">
        <x:f>IF(E2441=0,0,D2441/E2441*10000)</x:f>
        <x:v>0</x:v>
      </x:c>
      <x:c r="G2441" s="67" t="n">
        <x:f>VLOOKUP(C2441,'Governorate Master'!$A$2:$Q$13,7,FALSE)</x:f>
        <x:v>251.4</x:v>
      </x:c>
      <x:c r="H2441" s="20" t="n">
        <x:f>VLOOKUP(C2441,'Governorate Master'!$A$2:$Q$13,6,FALSE)</x:f>
        <x:v>0.7823878069432684</x:v>
      </x:c>
      <x:c r="I2441" s="20" t="n">
        <x:f>VLOOKUP(C2441,'Governorate Master'!$A$2:$Q$13,15,FALSE)</x:f>
        <x:v>-0.18823529411764706</x:v>
      </x:c>
      <x:c r="J2441" s="12" t="str">
        <x:v>Location model input - competition/saturation context</x:v>
      </x:c>
      <x:c r="K2441" s="12" t="str">
        <x:v>Business count is from 2018 while population/context indicators are newer; use as a historical proxy, not a current market count.</x:v>
      </x:c>
    </x:row>
    <x:row r="2442">
      <x:c r="A2442" s="12" t="str">
        <x:v>6110</x:v>
      </x:c>
      <x:c r="B2442" s="12" t="str">
        <x:v>Wired telecommunications activities</x:v>
      </x:c>
      <x:c r="C2442" s="12" t="str">
        <x:v>إربد</x:v>
      </x:c>
      <x:c r="D2442" s="14" t="n">
        <x:v>0</x:v>
      </x:c>
      <x:c r="E2442" s="14" t="n">
        <x:f>VLOOKUP(C2442,'Governorate Master'!$A$2:$Q$13,3,FALSE)</x:f>
        <x:v>2210500</x:v>
      </x:c>
      <x:c r="F2442" s="66" t="n">
        <x:f>IF(E2442=0,0,D2442/E2442*10000)</x:f>
        <x:v>0</x:v>
      </x:c>
      <x:c r="G2442" s="67" t="n">
        <x:f>VLOOKUP(C2442,'Governorate Master'!$A$2:$Q$13,7,FALSE)</x:f>
        <x:v>1406.4</x:v>
      </x:c>
      <x:c r="H2442" s="20" t="n">
        <x:f>VLOOKUP(C2442,'Governorate Master'!$A$2:$Q$13,6,FALSE)</x:f>
        <x:v>0.9235014702555983</x:v>
      </x:c>
      <x:c r="I2442" s="20" t="n">
        <x:f>VLOOKUP(C2442,'Governorate Master'!$A$2:$Q$13,15,FALSE)</x:f>
        <x:v>0.07086922474549726</x:v>
      </x:c>
      <x:c r="J2442" s="12" t="str">
        <x:v>Location model input - competition/saturation context</x:v>
      </x:c>
      <x:c r="K2442" s="12" t="str">
        <x:v>Business count is from 2018 while population/context indicators are newer; use as a historical proxy, not a current market count.</x:v>
      </x:c>
    </x:row>
    <x:row r="2443">
      <x:c r="A2443" s="12" t="str">
        <x:v>6110</x:v>
      </x:c>
      <x:c r="B2443" s="12" t="str">
        <x:v>Wired telecommunications activities</x:v>
      </x:c>
      <x:c r="C2443" s="12" t="str">
        <x:v>المفرق</x:v>
      </x:c>
      <x:c r="D2443" s="14" t="n">
        <x:v>0</x:v>
      </x:c>
      <x:c r="E2443" s="14" t="n">
        <x:f>VLOOKUP(C2443,'Governorate Master'!$A$2:$Q$13,3,FALSE)</x:f>
        <x:v>686800</x:v>
      </x:c>
      <x:c r="F2443" s="66" t="n">
        <x:f>IF(E2443=0,0,D2443/E2443*10000)</x:f>
        <x:v>0</x:v>
      </x:c>
      <x:c r="G2443" s="67" t="n">
        <x:f>VLOOKUP(C2443,'Governorate Master'!$A$2:$Q$13,7,FALSE)</x:f>
        <x:v>25.9</x:v>
      </x:c>
      <x:c r="H2443" s="20" t="n">
        <x:f>VLOOKUP(C2443,'Governorate Master'!$A$2:$Q$13,6,FALSE)</x:f>
        <x:v>0.6965637740244612</x:v>
      </x:c>
      <x:c r="I2443" s="20" t="n">
        <x:f>VLOOKUP(C2443,'Governorate Master'!$A$2:$Q$13,15,FALSE)</x:f>
        <x:v>-0.016638935108153077</x:v>
      </x:c>
      <x:c r="J2443" s="12" t="str">
        <x:v>Location model input - competition/saturation context</x:v>
      </x:c>
      <x:c r="K2443" s="12" t="str">
        <x:v>Business count is from 2018 while population/context indicators are newer; use as a historical proxy, not a current market count.</x:v>
      </x:c>
    </x:row>
    <x:row r="2444">
      <x:c r="A2444" s="12" t="str">
        <x:v>6110</x:v>
      </x:c>
      <x:c r="B2444" s="12" t="str">
        <x:v>Wired telecommunications activities</x:v>
      </x:c>
      <x:c r="C2444" s="12" t="str">
        <x:v>جرش</x:v>
      </x:c>
      <x:c r="D2444" s="14" t="n">
        <x:v>0</x:v>
      </x:c>
      <x:c r="E2444" s="14" t="n">
        <x:f>VLOOKUP(C2444,'Governorate Master'!$A$2:$Q$13,3,FALSE)</x:f>
        <x:v>296000</x:v>
      </x:c>
      <x:c r="F2444" s="66" t="n">
        <x:f>IF(E2444=0,0,D2444/E2444*10000)</x:f>
        <x:v>0</x:v>
      </x:c>
      <x:c r="G2444" s="67" t="n">
        <x:f>VLOOKUP(C2444,'Governorate Master'!$A$2:$Q$13,7,FALSE)</x:f>
        <x:v>722.3</x:v>
      </x:c>
      <x:c r="H2444" s="20" t="n">
        <x:f>VLOOKUP(C2444,'Governorate Master'!$A$2:$Q$13,6,FALSE)</x:f>
        <x:v>0.7695945945945946</x:v>
      </x:c>
      <x:c r="I2444" s="20" t="n">
        <x:f>VLOOKUP(C2444,'Governorate Master'!$A$2:$Q$13,15,FALSE)</x:f>
        <x:v>-0.06527415143603134</x:v>
      </x:c>
      <x:c r="J2444" s="12" t="str">
        <x:v>Location model input - competition/saturation context</x:v>
      </x:c>
      <x:c r="K2444" s="12" t="str">
        <x:v>Business count is from 2018 while population/context indicators are newer; use as a historical proxy, not a current market count.</x:v>
      </x:c>
    </x:row>
    <x:row r="2445">
      <x:c r="A2445" s="12" t="str">
        <x:v>6110</x:v>
      </x:c>
      <x:c r="B2445" s="12" t="str">
        <x:v>Wired telecommunications activities</x:v>
      </x:c>
      <x:c r="C2445" s="12" t="str">
        <x:v>عجلون</x:v>
      </x:c>
      <x:c r="D2445" s="14" t="n">
        <x:v>0</x:v>
      </x:c>
      <x:c r="E2445" s="14" t="n">
        <x:f>VLOOKUP(C2445,'Governorate Master'!$A$2:$Q$13,3,FALSE)</x:f>
        <x:v>219900</x:v>
      </x:c>
      <x:c r="F2445" s="66" t="n">
        <x:f>IF(E2445=0,0,D2445/E2445*10000)</x:f>
        <x:v>0</x:v>
      </x:c>
      <x:c r="G2445" s="67" t="n">
        <x:f>VLOOKUP(C2445,'Governorate Master'!$A$2:$Q$13,7,FALSE)</x:f>
        <x:v>524</x:v>
      </x:c>
      <x:c r="H2445" s="20" t="n">
        <x:f>VLOOKUP(C2445,'Governorate Master'!$A$2:$Q$13,6,FALSE)</x:f>
        <x:v>0.8390177353342428</x:v>
      </x:c>
      <x:c r="I2445" s="20" t="n">
        <x:f>VLOOKUP(C2445,'Governorate Master'!$A$2:$Q$13,15,FALSE)</x:f>
        <x:v>0.03614457831325301</x:v>
      </x:c>
      <x:c r="J2445" s="12" t="str">
        <x:v>Location model input - competition/saturation context</x:v>
      </x:c>
      <x:c r="K2445" s="12" t="str">
        <x:v>Business count is from 2018 while population/context indicators are newer; use as a historical proxy, not a current market count.</x:v>
      </x:c>
    </x:row>
    <x:row r="2446">
      <x:c r="A2446" s="12" t="str">
        <x:v>6110</x:v>
      </x:c>
      <x:c r="B2446" s="12" t="str">
        <x:v>Wired telecommunications activities</x:v>
      </x:c>
      <x:c r="C2446" s="12" t="str">
        <x:v>الكرك</x:v>
      </x:c>
      <x:c r="D2446" s="14" t="n">
        <x:v>0</x:v>
      </x:c>
      <x:c r="E2446" s="14" t="n">
        <x:f>VLOOKUP(C2446,'Governorate Master'!$A$2:$Q$13,3,FALSE)</x:f>
        <x:v>395400</x:v>
      </x:c>
      <x:c r="F2446" s="66" t="n">
        <x:f>IF(E2446=0,0,D2446/E2446*10000)</x:f>
        <x:v>0</x:v>
      </x:c>
      <x:c r="G2446" s="67" t="n">
        <x:f>VLOOKUP(C2446,'Governorate Master'!$A$2:$Q$13,7,FALSE)</x:f>
        <x:v>113.1</x:v>
      </x:c>
      <x:c r="H2446" s="20" t="n">
        <x:f>VLOOKUP(C2446,'Governorate Master'!$A$2:$Q$13,6,FALSE)</x:f>
        <x:v>0.5912999494183105</x:v>
      </x:c>
      <x:c r="I2446" s="20" t="n">
        <x:f>VLOOKUP(C2446,'Governorate Master'!$A$2:$Q$13,15,FALSE)</x:f>
        <x:v>0.08710801393728224</x:v>
      </x:c>
      <x:c r="J2446" s="12" t="str">
        <x:v>Location model input - competition/saturation context</x:v>
      </x:c>
      <x:c r="K2446" s="12" t="str">
        <x:v>Business count is from 2018 while population/context indicators are newer; use as a historical proxy, not a current market count.</x:v>
      </x:c>
    </x:row>
    <x:row r="2447">
      <x:c r="A2447" s="12" t="str">
        <x:v>6110</x:v>
      </x:c>
      <x:c r="B2447" s="12" t="str">
        <x:v>Wired telecommunications activities</x:v>
      </x:c>
      <x:c r="C2447" s="12" t="str">
        <x:v>الطفيلة</x:v>
      </x:c>
      <x:c r="D2447" s="14" t="n">
        <x:v>0</x:v>
      </x:c>
      <x:c r="E2447" s="14" t="n">
        <x:f>VLOOKUP(C2447,'Governorate Master'!$A$2:$Q$13,3,FALSE)</x:f>
        <x:v>120300</x:v>
      </x:c>
      <x:c r="F2447" s="66" t="n">
        <x:f>IF(E2447=0,0,D2447/E2447*10000)</x:f>
        <x:v>0</x:v>
      </x:c>
      <x:c r="G2447" s="67" t="n">
        <x:f>VLOOKUP(C2447,'Governorate Master'!$A$2:$Q$13,7,FALSE)</x:f>
        <x:v>54.4</x:v>
      </x:c>
      <x:c r="H2447" s="20" t="n">
        <x:f>VLOOKUP(C2447,'Governorate Master'!$A$2:$Q$13,6,FALSE)</x:f>
        <x:v>0.7797173732335827</x:v>
      </x:c>
      <x:c r="I2447" s="20" t="n">
        <x:f>VLOOKUP(C2447,'Governorate Master'!$A$2:$Q$13,15,FALSE)</x:f>
        <x:v>0.18452380952380953</x:v>
      </x:c>
      <x:c r="J2447" s="12" t="str">
        <x:v>Location model input - competition/saturation context</x:v>
      </x:c>
      <x:c r="K2447" s="12" t="str">
        <x:v>Business count is from 2018 while population/context indicators are newer; use as a historical proxy, not a current market count.</x:v>
      </x:c>
    </x:row>
    <x:row r="2448">
      <x:c r="A2448" s="12" t="str">
        <x:v>6110</x:v>
      </x:c>
      <x:c r="B2448" s="12" t="str">
        <x:v>Wired telecommunications activities</x:v>
      </x:c>
      <x:c r="C2448" s="12" t="str">
        <x:v>معان</x:v>
      </x:c>
      <x:c r="D2448" s="14" t="n">
        <x:v>1</x:v>
      </x:c>
      <x:c r="E2448" s="14" t="n">
        <x:f>VLOOKUP(C2448,'Governorate Master'!$A$2:$Q$13,3,FALSE)</x:f>
        <x:v>197900</x:v>
      </x:c>
      <x:c r="F2448" s="66" t="n">
        <x:f>IF(E2448=0,0,D2448/E2448*10000)</x:f>
        <x:v>0.05053057099545225</x:v>
      </x:c>
      <x:c r="G2448" s="67" t="n">
        <x:f>VLOOKUP(C2448,'Governorate Master'!$A$2:$Q$13,7,FALSE)</x:f>
        <x:v>6</x:v>
      </x:c>
      <x:c r="H2448" s="20" t="n">
        <x:f>VLOOKUP(C2448,'Governorate Master'!$A$2:$Q$13,6,FALSE)</x:f>
        <x:v>0.5406771096513391</x:v>
      </x:c>
      <x:c r="I2448" s="20" t="n">
        <x:f>VLOOKUP(C2448,'Governorate Master'!$A$2:$Q$13,15,FALSE)</x:f>
        <x:v>0.026845637583892617</x:v>
      </x:c>
      <x:c r="J2448" s="12" t="str">
        <x:v>Location model input - competition/saturation context</x:v>
      </x:c>
      <x:c r="K2448" s="12" t="str">
        <x:v>Business count is from 2018 while population/context indicators are newer; use as a historical proxy, not a current market count.</x:v>
      </x:c>
    </x:row>
    <x:row r="2449">
      <x:c r="A2449" s="12" t="str">
        <x:v>6110</x:v>
      </x:c>
      <x:c r="B2449" s="12" t="str">
        <x:v>Wired telecommunications activities</x:v>
      </x:c>
      <x:c r="C2449" s="12" t="str">
        <x:v>العقبة</x:v>
      </x:c>
      <x:c r="D2449" s="14" t="n">
        <x:v>1</x:v>
      </x:c>
      <x:c r="E2449" s="14" t="n">
        <x:f>VLOOKUP(C2449,'Governorate Master'!$A$2:$Q$13,3,FALSE)</x:f>
        <x:v>250900</x:v>
      </x:c>
      <x:c r="F2449" s="66" t="n">
        <x:f>IF(E2449=0,0,D2449/E2449*10000)</x:f>
        <x:v>0.03985651654045436</x:v>
      </x:c>
      <x:c r="G2449" s="67" t="n">
        <x:f>VLOOKUP(C2449,'Governorate Master'!$A$2:$Q$13,7,FALSE)</x:f>
        <x:v>36.3</x:v>
      </x:c>
      <x:c r="H2449" s="20" t="n">
        <x:f>VLOOKUP(C2449,'Governorate Master'!$A$2:$Q$13,6,FALSE)</x:f>
        <x:v>0.882024711040255</x:v>
      </x:c>
      <x:c r="I2449" s="20" t="n">
        <x:f>VLOOKUP(C2449,'Governorate Master'!$A$2:$Q$13,15,FALSE)</x:f>
        <x:v>-0.09</x:v>
      </x:c>
      <x:c r="J2449" s="12" t="str">
        <x:v>Location model input - competition/saturation context</x:v>
      </x:c>
      <x:c r="K2449" s="12" t="str">
        <x:v>Business count is from 2018 while population/context indicators are newer; use as a historical proxy, not a current market count.</x:v>
      </x:c>
    </x:row>
    <x:row r="2450">
      <x:c r="A2450" s="12" t="str">
        <x:v>6120</x:v>
      </x:c>
      <x:c r="B2450" s="12" t="str">
        <x:v>Wireless telecommunications activities</x:v>
      </x:c>
      <x:c r="C2450" s="12" t="str">
        <x:v>عمان</x:v>
      </x:c>
      <x:c r="D2450" s="14" t="n">
        <x:v>20</x:v>
      </x:c>
      <x:c r="E2450" s="14" t="n">
        <x:f>VLOOKUP(C2450,'Governorate Master'!$A$2:$Q$13,3,FALSE)</x:f>
        <x:v>5004600</x:v>
      </x:c>
      <x:c r="F2450" s="66" t="n">
        <x:f>IF(E2450=0,0,D2450/E2450*10000)</x:f>
        <x:v>0.03996323382488111</x:v>
      </x:c>
      <x:c r="G2450" s="67" t="n">
        <x:f>VLOOKUP(C2450,'Governorate Master'!$A$2:$Q$13,7,FALSE)</x:f>
        <x:v>660.3</x:v>
      </x:c>
      <x:c r="H2450" s="20" t="n">
        <x:f>VLOOKUP(C2450,'Governorate Master'!$A$2:$Q$13,6,FALSE)</x:f>
        <x:v>0.9721656076409703</x:v>
      </x:c>
      <x:c r="I2450" s="20" t="n">
        <x:f>VLOOKUP(C2450,'Governorate Master'!$A$2:$Q$13,15,FALSE)</x:f>
        <x:v>0.06367041198501873</x:v>
      </x:c>
      <x:c r="J2450" s="12" t="str">
        <x:v>Location model input - competition/saturation context</x:v>
      </x:c>
      <x:c r="K2450" s="12" t="str">
        <x:v>Business count is from 2018 while population/context indicators are newer; use as a historical proxy, not a current market count.</x:v>
      </x:c>
    </x:row>
    <x:row r="2451">
      <x:c r="A2451" s="12" t="str">
        <x:v>6120</x:v>
      </x:c>
      <x:c r="B2451" s="12" t="str">
        <x:v>Wireless telecommunications activities</x:v>
      </x:c>
      <x:c r="C2451" s="12" t="str">
        <x:v>البلقاء</x:v>
      </x:c>
      <x:c r="D2451" s="14" t="n">
        <x:v>0</x:v>
      </x:c>
      <x:c r="E2451" s="14" t="n">
        <x:f>VLOOKUP(C2451,'Governorate Master'!$A$2:$Q$13,3,FALSE)</x:f>
        <x:v>614000</x:v>
      </x:c>
      <x:c r="F2451" s="66" t="n">
        <x:f>IF(E2451=0,0,D2451/E2451*10000)</x:f>
        <x:v>0</x:v>
      </x:c>
      <x:c r="G2451" s="67" t="n">
        <x:f>VLOOKUP(C2451,'Governorate Master'!$A$2:$Q$13,7,FALSE)</x:f>
        <x:v>548</x:v>
      </x:c>
      <x:c r="H2451" s="20" t="n">
        <x:f>VLOOKUP(C2451,'Governorate Master'!$A$2:$Q$13,6,FALSE)</x:f>
        <x:v>0.8210097719869707</x:v>
      </x:c>
      <x:c r="I2451" s="20" t="n">
        <x:f>VLOOKUP(C2451,'Governorate Master'!$A$2:$Q$13,15,FALSE)</x:f>
        <x:v>0.10794044665012408</x:v>
      </x:c>
      <x:c r="J2451" s="12" t="str">
        <x:v>Location model input - competition/saturation context</x:v>
      </x:c>
      <x:c r="K2451" s="12" t="str">
        <x:v>Business count is from 2018 while population/context indicators are newer; use as a historical proxy, not a current market count.</x:v>
      </x:c>
    </x:row>
    <x:row r="2452">
      <x:c r="A2452" s="12" t="str">
        <x:v>6120</x:v>
      </x:c>
      <x:c r="B2452" s="12" t="str">
        <x:v>Wireless telecommunications activities</x:v>
      </x:c>
      <x:c r="C2452" s="12" t="str">
        <x:v>الزرقاء</x:v>
      </x:c>
      <x:c r="D2452" s="14" t="n">
        <x:v>0</x:v>
      </x:c>
      <x:c r="E2452" s="14" t="n">
        <x:f>VLOOKUP(C2452,'Governorate Master'!$A$2:$Q$13,3,FALSE)</x:f>
        <x:v>1704500</x:v>
      </x:c>
      <x:c r="F2452" s="66" t="n">
        <x:f>IF(E2452=0,0,D2452/E2452*10000)</x:f>
        <x:v>0</x:v>
      </x:c>
      <x:c r="G2452" s="67" t="n">
        <x:f>VLOOKUP(C2452,'Governorate Master'!$A$2:$Q$13,7,FALSE)</x:f>
        <x:v>358</x:v>
      </x:c>
      <x:c r="H2452" s="20" t="n">
        <x:f>VLOOKUP(C2452,'Governorate Master'!$A$2:$Q$13,6,FALSE)</x:f>
        <x:v>0.9636256966852449</x:v>
      </x:c>
      <x:c r="I2452" s="20" t="n">
        <x:f>VLOOKUP(C2452,'Governorate Master'!$A$2:$Q$13,15,FALSE)</x:f>
        <x:v>-0.06808762581409118</x:v>
      </x:c>
      <x:c r="J2452" s="12" t="str">
        <x:v>Location model input - competition/saturation context</x:v>
      </x:c>
      <x:c r="K2452" s="12" t="str">
        <x:v>Business count is from 2018 while population/context indicators are newer; use as a historical proxy, not a current market count.</x:v>
      </x:c>
    </x:row>
    <x:row r="2453">
      <x:c r="A2453" s="12" t="str">
        <x:v>6120</x:v>
      </x:c>
      <x:c r="B2453" s="12" t="str">
        <x:v>Wireless telecommunications activities</x:v>
      </x:c>
      <x:c r="C2453" s="12" t="str">
        <x:v>مادبا</x:v>
      </x:c>
      <x:c r="D2453" s="14" t="n">
        <x:v>0</x:v>
      </x:c>
      <x:c r="E2453" s="14" t="n">
        <x:f>VLOOKUP(C2453,'Governorate Master'!$A$2:$Q$13,3,FALSE)</x:f>
        <x:v>236200</x:v>
      </x:c>
      <x:c r="F2453" s="66" t="n">
        <x:f>IF(E2453=0,0,D2453/E2453*10000)</x:f>
        <x:v>0</x:v>
      </x:c>
      <x:c r="G2453" s="67" t="n">
        <x:f>VLOOKUP(C2453,'Governorate Master'!$A$2:$Q$13,7,FALSE)</x:f>
        <x:v>251.4</x:v>
      </x:c>
      <x:c r="H2453" s="20" t="n">
        <x:f>VLOOKUP(C2453,'Governorate Master'!$A$2:$Q$13,6,FALSE)</x:f>
        <x:v>0.7823878069432684</x:v>
      </x:c>
      <x:c r="I2453" s="20" t="n">
        <x:f>VLOOKUP(C2453,'Governorate Master'!$A$2:$Q$13,15,FALSE)</x:f>
        <x:v>-0.18823529411764706</x:v>
      </x:c>
      <x:c r="J2453" s="12" t="str">
        <x:v>Location model input - competition/saturation context</x:v>
      </x:c>
      <x:c r="K2453" s="12" t="str">
        <x:v>Business count is from 2018 while population/context indicators are newer; use as a historical proxy, not a current market count.</x:v>
      </x:c>
    </x:row>
    <x:row r="2454">
      <x:c r="A2454" s="12" t="str">
        <x:v>6120</x:v>
      </x:c>
      <x:c r="B2454" s="12" t="str">
        <x:v>Wireless telecommunications activities</x:v>
      </x:c>
      <x:c r="C2454" s="12" t="str">
        <x:v>إربد</x:v>
      </x:c>
      <x:c r="D2454" s="14" t="n">
        <x:v>4</x:v>
      </x:c>
      <x:c r="E2454" s="14" t="n">
        <x:f>VLOOKUP(C2454,'Governorate Master'!$A$2:$Q$13,3,FALSE)</x:f>
        <x:v>2210500</x:v>
      </x:c>
      <x:c r="F2454" s="66" t="n">
        <x:f>IF(E2454=0,0,D2454/E2454*10000)</x:f>
        <x:v>0.018095453517303777</x:v>
      </x:c>
      <x:c r="G2454" s="67" t="n">
        <x:f>VLOOKUP(C2454,'Governorate Master'!$A$2:$Q$13,7,FALSE)</x:f>
        <x:v>1406.4</x:v>
      </x:c>
      <x:c r="H2454" s="20" t="n">
        <x:f>VLOOKUP(C2454,'Governorate Master'!$A$2:$Q$13,6,FALSE)</x:f>
        <x:v>0.9235014702555983</x:v>
      </x:c>
      <x:c r="I2454" s="20" t="n">
        <x:f>VLOOKUP(C2454,'Governorate Master'!$A$2:$Q$13,15,FALSE)</x:f>
        <x:v>0.07086922474549726</x:v>
      </x:c>
      <x:c r="J2454" s="12" t="str">
        <x:v>Location model input - competition/saturation context</x:v>
      </x:c>
      <x:c r="K2454" s="12" t="str">
        <x:v>Business count is from 2018 while population/context indicators are newer; use as a historical proxy, not a current market count.</x:v>
      </x:c>
    </x:row>
    <x:row r="2455">
      <x:c r="A2455" s="12" t="str">
        <x:v>6120</x:v>
      </x:c>
      <x:c r="B2455" s="12" t="str">
        <x:v>Wireless telecommunications activities</x:v>
      </x:c>
      <x:c r="C2455" s="12" t="str">
        <x:v>المفرق</x:v>
      </x:c>
      <x:c r="D2455" s="14" t="n">
        <x:v>0</x:v>
      </x:c>
      <x:c r="E2455" s="14" t="n">
        <x:f>VLOOKUP(C2455,'Governorate Master'!$A$2:$Q$13,3,FALSE)</x:f>
        <x:v>686800</x:v>
      </x:c>
      <x:c r="F2455" s="66" t="n">
        <x:f>IF(E2455=0,0,D2455/E2455*10000)</x:f>
        <x:v>0</x:v>
      </x:c>
      <x:c r="G2455" s="67" t="n">
        <x:f>VLOOKUP(C2455,'Governorate Master'!$A$2:$Q$13,7,FALSE)</x:f>
        <x:v>25.9</x:v>
      </x:c>
      <x:c r="H2455" s="20" t="n">
        <x:f>VLOOKUP(C2455,'Governorate Master'!$A$2:$Q$13,6,FALSE)</x:f>
        <x:v>0.6965637740244612</x:v>
      </x:c>
      <x:c r="I2455" s="20" t="n">
        <x:f>VLOOKUP(C2455,'Governorate Master'!$A$2:$Q$13,15,FALSE)</x:f>
        <x:v>-0.016638935108153077</x:v>
      </x:c>
      <x:c r="J2455" s="12" t="str">
        <x:v>Location model input - competition/saturation context</x:v>
      </x:c>
      <x:c r="K2455" s="12" t="str">
        <x:v>Business count is from 2018 while population/context indicators are newer; use as a historical proxy, not a current market count.</x:v>
      </x:c>
    </x:row>
    <x:row r="2456">
      <x:c r="A2456" s="12" t="str">
        <x:v>6120</x:v>
      </x:c>
      <x:c r="B2456" s="12" t="str">
        <x:v>Wireless telecommunications activities</x:v>
      </x:c>
      <x:c r="C2456" s="12" t="str">
        <x:v>جرش</x:v>
      </x:c>
      <x:c r="D2456" s="14" t="n">
        <x:v>0</x:v>
      </x:c>
      <x:c r="E2456" s="14" t="n">
        <x:f>VLOOKUP(C2456,'Governorate Master'!$A$2:$Q$13,3,FALSE)</x:f>
        <x:v>296000</x:v>
      </x:c>
      <x:c r="F2456" s="66" t="n">
        <x:f>IF(E2456=0,0,D2456/E2456*10000)</x:f>
        <x:v>0</x:v>
      </x:c>
      <x:c r="G2456" s="67" t="n">
        <x:f>VLOOKUP(C2456,'Governorate Master'!$A$2:$Q$13,7,FALSE)</x:f>
        <x:v>722.3</x:v>
      </x:c>
      <x:c r="H2456" s="20" t="n">
        <x:f>VLOOKUP(C2456,'Governorate Master'!$A$2:$Q$13,6,FALSE)</x:f>
        <x:v>0.7695945945945946</x:v>
      </x:c>
      <x:c r="I2456" s="20" t="n">
        <x:f>VLOOKUP(C2456,'Governorate Master'!$A$2:$Q$13,15,FALSE)</x:f>
        <x:v>-0.06527415143603134</x:v>
      </x:c>
      <x:c r="J2456" s="12" t="str">
        <x:v>Location model input - competition/saturation context</x:v>
      </x:c>
      <x:c r="K2456" s="12" t="str">
        <x:v>Business count is from 2018 while population/context indicators are newer; use as a historical proxy, not a current market count.</x:v>
      </x:c>
    </x:row>
    <x:row r="2457">
      <x:c r="A2457" s="12" t="str">
        <x:v>6120</x:v>
      </x:c>
      <x:c r="B2457" s="12" t="str">
        <x:v>Wireless telecommunications activities</x:v>
      </x:c>
      <x:c r="C2457" s="12" t="str">
        <x:v>عجلون</x:v>
      </x:c>
      <x:c r="D2457" s="14" t="n">
        <x:v>0</x:v>
      </x:c>
      <x:c r="E2457" s="14" t="n">
        <x:f>VLOOKUP(C2457,'Governorate Master'!$A$2:$Q$13,3,FALSE)</x:f>
        <x:v>219900</x:v>
      </x:c>
      <x:c r="F2457" s="66" t="n">
        <x:f>IF(E2457=0,0,D2457/E2457*10000)</x:f>
        <x:v>0</x:v>
      </x:c>
      <x:c r="G2457" s="67" t="n">
        <x:f>VLOOKUP(C2457,'Governorate Master'!$A$2:$Q$13,7,FALSE)</x:f>
        <x:v>524</x:v>
      </x:c>
      <x:c r="H2457" s="20" t="n">
        <x:f>VLOOKUP(C2457,'Governorate Master'!$A$2:$Q$13,6,FALSE)</x:f>
        <x:v>0.8390177353342428</x:v>
      </x:c>
      <x:c r="I2457" s="20" t="n">
        <x:f>VLOOKUP(C2457,'Governorate Master'!$A$2:$Q$13,15,FALSE)</x:f>
        <x:v>0.03614457831325301</x:v>
      </x:c>
      <x:c r="J2457" s="12" t="str">
        <x:v>Location model input - competition/saturation context</x:v>
      </x:c>
      <x:c r="K2457" s="12" t="str">
        <x:v>Business count is from 2018 while population/context indicators are newer; use as a historical proxy, not a current market count.</x:v>
      </x:c>
    </x:row>
    <x:row r="2458">
      <x:c r="A2458" s="12" t="str">
        <x:v>6120</x:v>
      </x:c>
      <x:c r="B2458" s="12" t="str">
        <x:v>Wireless telecommunications activities</x:v>
      </x:c>
      <x:c r="C2458" s="12" t="str">
        <x:v>الكرك</x:v>
      </x:c>
      <x:c r="D2458" s="14" t="n">
        <x:v>0</x:v>
      </x:c>
      <x:c r="E2458" s="14" t="n">
        <x:f>VLOOKUP(C2458,'Governorate Master'!$A$2:$Q$13,3,FALSE)</x:f>
        <x:v>395400</x:v>
      </x:c>
      <x:c r="F2458" s="66" t="n">
        <x:f>IF(E2458=0,0,D2458/E2458*10000)</x:f>
        <x:v>0</x:v>
      </x:c>
      <x:c r="G2458" s="67" t="n">
        <x:f>VLOOKUP(C2458,'Governorate Master'!$A$2:$Q$13,7,FALSE)</x:f>
        <x:v>113.1</x:v>
      </x:c>
      <x:c r="H2458" s="20" t="n">
        <x:f>VLOOKUP(C2458,'Governorate Master'!$A$2:$Q$13,6,FALSE)</x:f>
        <x:v>0.5912999494183105</x:v>
      </x:c>
      <x:c r="I2458" s="20" t="n">
        <x:f>VLOOKUP(C2458,'Governorate Master'!$A$2:$Q$13,15,FALSE)</x:f>
        <x:v>0.08710801393728224</x:v>
      </x:c>
      <x:c r="J2458" s="12" t="str">
        <x:v>Location model input - competition/saturation context</x:v>
      </x:c>
      <x:c r="K2458" s="12" t="str">
        <x:v>Business count is from 2018 while population/context indicators are newer; use as a historical proxy, not a current market count.</x:v>
      </x:c>
    </x:row>
    <x:row r="2459">
      <x:c r="A2459" s="12" t="str">
        <x:v>6120</x:v>
      </x:c>
      <x:c r="B2459" s="12" t="str">
        <x:v>Wireless telecommunications activities</x:v>
      </x:c>
      <x:c r="C2459" s="12" t="str">
        <x:v>الطفيلة</x:v>
      </x:c>
      <x:c r="D2459" s="14" t="n">
        <x:v>0</x:v>
      </x:c>
      <x:c r="E2459" s="14" t="n">
        <x:f>VLOOKUP(C2459,'Governorate Master'!$A$2:$Q$13,3,FALSE)</x:f>
        <x:v>120300</x:v>
      </x:c>
      <x:c r="F2459" s="66" t="n">
        <x:f>IF(E2459=0,0,D2459/E2459*10000)</x:f>
        <x:v>0</x:v>
      </x:c>
      <x:c r="G2459" s="67" t="n">
        <x:f>VLOOKUP(C2459,'Governorate Master'!$A$2:$Q$13,7,FALSE)</x:f>
        <x:v>54.4</x:v>
      </x:c>
      <x:c r="H2459" s="20" t="n">
        <x:f>VLOOKUP(C2459,'Governorate Master'!$A$2:$Q$13,6,FALSE)</x:f>
        <x:v>0.7797173732335827</x:v>
      </x:c>
      <x:c r="I2459" s="20" t="n">
        <x:f>VLOOKUP(C2459,'Governorate Master'!$A$2:$Q$13,15,FALSE)</x:f>
        <x:v>0.18452380952380953</x:v>
      </x:c>
      <x:c r="J2459" s="12" t="str">
        <x:v>Location model input - competition/saturation context</x:v>
      </x:c>
      <x:c r="K2459" s="12" t="str">
        <x:v>Business count is from 2018 while population/context indicators are newer; use as a historical proxy, not a current market count.</x:v>
      </x:c>
    </x:row>
    <x:row r="2460">
      <x:c r="A2460" s="12" t="str">
        <x:v>6120</x:v>
      </x:c>
      <x:c r="B2460" s="12" t="str">
        <x:v>Wireless telecommunications activities</x:v>
      </x:c>
      <x:c r="C2460" s="12" t="str">
        <x:v>معان</x:v>
      </x:c>
      <x:c r="D2460" s="14" t="n">
        <x:v>1</x:v>
      </x:c>
      <x:c r="E2460" s="14" t="n">
        <x:f>VLOOKUP(C2460,'Governorate Master'!$A$2:$Q$13,3,FALSE)</x:f>
        <x:v>197900</x:v>
      </x:c>
      <x:c r="F2460" s="66" t="n">
        <x:f>IF(E2460=0,0,D2460/E2460*10000)</x:f>
        <x:v>0.05053057099545225</x:v>
      </x:c>
      <x:c r="G2460" s="67" t="n">
        <x:f>VLOOKUP(C2460,'Governorate Master'!$A$2:$Q$13,7,FALSE)</x:f>
        <x:v>6</x:v>
      </x:c>
      <x:c r="H2460" s="20" t="n">
        <x:f>VLOOKUP(C2460,'Governorate Master'!$A$2:$Q$13,6,FALSE)</x:f>
        <x:v>0.5406771096513391</x:v>
      </x:c>
      <x:c r="I2460" s="20" t="n">
        <x:f>VLOOKUP(C2460,'Governorate Master'!$A$2:$Q$13,15,FALSE)</x:f>
        <x:v>0.026845637583892617</x:v>
      </x:c>
      <x:c r="J2460" s="12" t="str">
        <x:v>Location model input - competition/saturation context</x:v>
      </x:c>
      <x:c r="K2460" s="12" t="str">
        <x:v>Business count is from 2018 while population/context indicators are newer; use as a historical proxy, not a current market count.</x:v>
      </x:c>
    </x:row>
    <x:row r="2461">
      <x:c r="A2461" s="12" t="str">
        <x:v>6120</x:v>
      </x:c>
      <x:c r="B2461" s="12" t="str">
        <x:v>Wireless telecommunications activities</x:v>
      </x:c>
      <x:c r="C2461" s="12" t="str">
        <x:v>العقبة</x:v>
      </x:c>
      <x:c r="D2461" s="14" t="n">
        <x:v>0</x:v>
      </x:c>
      <x:c r="E2461" s="14" t="n">
        <x:f>VLOOKUP(C2461,'Governorate Master'!$A$2:$Q$13,3,FALSE)</x:f>
        <x:v>250900</x:v>
      </x:c>
      <x:c r="F2461" s="66" t="n">
        <x:f>IF(E2461=0,0,D2461/E2461*10000)</x:f>
        <x:v>0</x:v>
      </x:c>
      <x:c r="G2461" s="67" t="n">
        <x:f>VLOOKUP(C2461,'Governorate Master'!$A$2:$Q$13,7,FALSE)</x:f>
        <x:v>36.3</x:v>
      </x:c>
      <x:c r="H2461" s="20" t="n">
        <x:f>VLOOKUP(C2461,'Governorate Master'!$A$2:$Q$13,6,FALSE)</x:f>
        <x:v>0.882024711040255</x:v>
      </x:c>
      <x:c r="I2461" s="20" t="n">
        <x:f>VLOOKUP(C2461,'Governorate Master'!$A$2:$Q$13,15,FALSE)</x:f>
        <x:v>-0.09</x:v>
      </x:c>
      <x:c r="J2461" s="12" t="str">
        <x:v>Location model input - competition/saturation context</x:v>
      </x:c>
      <x:c r="K2461" s="12" t="str">
        <x:v>Business count is from 2018 while population/context indicators are newer; use as a historical proxy, not a current market count.</x:v>
      </x:c>
    </x:row>
    <x:row r="2462">
      <x:c r="A2462" s="12" t="str">
        <x:v>6130</x:v>
      </x:c>
      <x:c r="B2462" s="12" t="str">
        <x:v>Satellite telecommunications activities</x:v>
      </x:c>
      <x:c r="C2462" s="12" t="str">
        <x:v>عمان</x:v>
      </x:c>
      <x:c r="D2462" s="14" t="n">
        <x:v>2</x:v>
      </x:c>
      <x:c r="E2462" s="14" t="n">
        <x:f>VLOOKUP(C2462,'Governorate Master'!$A$2:$Q$13,3,FALSE)</x:f>
        <x:v>5004600</x:v>
      </x:c>
      <x:c r="F2462" s="66" t="n">
        <x:f>IF(E2462=0,0,D2462/E2462*10000)</x:f>
        <x:v>0.003996323382488111</x:v>
      </x:c>
      <x:c r="G2462" s="67" t="n">
        <x:f>VLOOKUP(C2462,'Governorate Master'!$A$2:$Q$13,7,FALSE)</x:f>
        <x:v>660.3</x:v>
      </x:c>
      <x:c r="H2462" s="20" t="n">
        <x:f>VLOOKUP(C2462,'Governorate Master'!$A$2:$Q$13,6,FALSE)</x:f>
        <x:v>0.9721656076409703</x:v>
      </x:c>
      <x:c r="I2462" s="20" t="n">
        <x:f>VLOOKUP(C2462,'Governorate Master'!$A$2:$Q$13,15,FALSE)</x:f>
        <x:v>0.06367041198501873</x:v>
      </x:c>
      <x:c r="J2462" s="12" t="str">
        <x:v>Location model input - competition/saturation context</x:v>
      </x:c>
      <x:c r="K2462" s="12" t="str">
        <x:v>Business count is from 2018 while population/context indicators are newer; use as a historical proxy, not a current market count.</x:v>
      </x:c>
    </x:row>
    <x:row r="2463">
      <x:c r="A2463" s="12" t="str">
        <x:v>6130</x:v>
      </x:c>
      <x:c r="B2463" s="12" t="str">
        <x:v>Satellite telecommunications activities</x:v>
      </x:c>
      <x:c r="C2463" s="12" t="str">
        <x:v>البلقاء</x:v>
      </x:c>
      <x:c r="D2463" s="14" t="n">
        <x:v>0</x:v>
      </x:c>
      <x:c r="E2463" s="14" t="n">
        <x:f>VLOOKUP(C2463,'Governorate Master'!$A$2:$Q$13,3,FALSE)</x:f>
        <x:v>614000</x:v>
      </x:c>
      <x:c r="F2463" s="66" t="n">
        <x:f>IF(E2463=0,0,D2463/E2463*10000)</x:f>
        <x:v>0</x:v>
      </x:c>
      <x:c r="G2463" s="67" t="n">
        <x:f>VLOOKUP(C2463,'Governorate Master'!$A$2:$Q$13,7,FALSE)</x:f>
        <x:v>548</x:v>
      </x:c>
      <x:c r="H2463" s="20" t="n">
        <x:f>VLOOKUP(C2463,'Governorate Master'!$A$2:$Q$13,6,FALSE)</x:f>
        <x:v>0.8210097719869707</x:v>
      </x:c>
      <x:c r="I2463" s="20" t="n">
        <x:f>VLOOKUP(C2463,'Governorate Master'!$A$2:$Q$13,15,FALSE)</x:f>
        <x:v>0.10794044665012408</x:v>
      </x:c>
      <x:c r="J2463" s="12" t="str">
        <x:v>Location model input - competition/saturation context</x:v>
      </x:c>
      <x:c r="K2463" s="12" t="str">
        <x:v>Business count is from 2018 while population/context indicators are newer; use as a historical proxy, not a current market count.</x:v>
      </x:c>
    </x:row>
    <x:row r="2464">
      <x:c r="A2464" s="12" t="str">
        <x:v>6130</x:v>
      </x:c>
      <x:c r="B2464" s="12" t="str">
        <x:v>Satellite telecommunications activities</x:v>
      </x:c>
      <x:c r="C2464" s="12" t="str">
        <x:v>الزرقاء</x:v>
      </x:c>
      <x:c r="D2464" s="14" t="n">
        <x:v>0</x:v>
      </x:c>
      <x:c r="E2464" s="14" t="n">
        <x:f>VLOOKUP(C2464,'Governorate Master'!$A$2:$Q$13,3,FALSE)</x:f>
        <x:v>1704500</x:v>
      </x:c>
      <x:c r="F2464" s="66" t="n">
        <x:f>IF(E2464=0,0,D2464/E2464*10000)</x:f>
        <x:v>0</x:v>
      </x:c>
      <x:c r="G2464" s="67" t="n">
        <x:f>VLOOKUP(C2464,'Governorate Master'!$A$2:$Q$13,7,FALSE)</x:f>
        <x:v>358</x:v>
      </x:c>
      <x:c r="H2464" s="20" t="n">
        <x:f>VLOOKUP(C2464,'Governorate Master'!$A$2:$Q$13,6,FALSE)</x:f>
        <x:v>0.9636256966852449</x:v>
      </x:c>
      <x:c r="I2464" s="20" t="n">
        <x:f>VLOOKUP(C2464,'Governorate Master'!$A$2:$Q$13,15,FALSE)</x:f>
        <x:v>-0.06808762581409118</x:v>
      </x:c>
      <x:c r="J2464" s="12" t="str">
        <x:v>Location model input - competition/saturation context</x:v>
      </x:c>
      <x:c r="K2464" s="12" t="str">
        <x:v>Business count is from 2018 while population/context indicators are newer; use as a historical proxy, not a current market count.</x:v>
      </x:c>
    </x:row>
    <x:row r="2465">
      <x:c r="A2465" s="12" t="str">
        <x:v>6130</x:v>
      </x:c>
      <x:c r="B2465" s="12" t="str">
        <x:v>Satellite telecommunications activities</x:v>
      </x:c>
      <x:c r="C2465" s="12" t="str">
        <x:v>مادبا</x:v>
      </x:c>
      <x:c r="D2465" s="14" t="n">
        <x:v>0</x:v>
      </x:c>
      <x:c r="E2465" s="14" t="n">
        <x:f>VLOOKUP(C2465,'Governorate Master'!$A$2:$Q$13,3,FALSE)</x:f>
        <x:v>236200</x:v>
      </x:c>
      <x:c r="F2465" s="66" t="n">
        <x:f>IF(E2465=0,0,D2465/E2465*10000)</x:f>
        <x:v>0</x:v>
      </x:c>
      <x:c r="G2465" s="67" t="n">
        <x:f>VLOOKUP(C2465,'Governorate Master'!$A$2:$Q$13,7,FALSE)</x:f>
        <x:v>251.4</x:v>
      </x:c>
      <x:c r="H2465" s="20" t="n">
        <x:f>VLOOKUP(C2465,'Governorate Master'!$A$2:$Q$13,6,FALSE)</x:f>
        <x:v>0.7823878069432684</x:v>
      </x:c>
      <x:c r="I2465" s="20" t="n">
        <x:f>VLOOKUP(C2465,'Governorate Master'!$A$2:$Q$13,15,FALSE)</x:f>
        <x:v>-0.18823529411764706</x:v>
      </x:c>
      <x:c r="J2465" s="12" t="str">
        <x:v>Location model input - competition/saturation context</x:v>
      </x:c>
      <x:c r="K2465" s="12" t="str">
        <x:v>Business count is from 2018 while population/context indicators are newer; use as a historical proxy, not a current market count.</x:v>
      </x:c>
    </x:row>
    <x:row r="2466">
      <x:c r="A2466" s="12" t="str">
        <x:v>6130</x:v>
      </x:c>
      <x:c r="B2466" s="12" t="str">
        <x:v>Satellite telecommunications activities</x:v>
      </x:c>
      <x:c r="C2466" s="12" t="str">
        <x:v>إربد</x:v>
      </x:c>
      <x:c r="D2466" s="14" t="n">
        <x:v>0</x:v>
      </x:c>
      <x:c r="E2466" s="14" t="n">
        <x:f>VLOOKUP(C2466,'Governorate Master'!$A$2:$Q$13,3,FALSE)</x:f>
        <x:v>2210500</x:v>
      </x:c>
      <x:c r="F2466" s="66" t="n">
        <x:f>IF(E2466=0,0,D2466/E2466*10000)</x:f>
        <x:v>0</x:v>
      </x:c>
      <x:c r="G2466" s="67" t="n">
        <x:f>VLOOKUP(C2466,'Governorate Master'!$A$2:$Q$13,7,FALSE)</x:f>
        <x:v>1406.4</x:v>
      </x:c>
      <x:c r="H2466" s="20" t="n">
        <x:f>VLOOKUP(C2466,'Governorate Master'!$A$2:$Q$13,6,FALSE)</x:f>
        <x:v>0.9235014702555983</x:v>
      </x:c>
      <x:c r="I2466" s="20" t="n">
        <x:f>VLOOKUP(C2466,'Governorate Master'!$A$2:$Q$13,15,FALSE)</x:f>
        <x:v>0.07086922474549726</x:v>
      </x:c>
      <x:c r="J2466" s="12" t="str">
        <x:v>Location model input - competition/saturation context</x:v>
      </x:c>
      <x:c r="K2466" s="12" t="str">
        <x:v>Business count is from 2018 while population/context indicators are newer; use as a historical proxy, not a current market count.</x:v>
      </x:c>
    </x:row>
    <x:row r="2467">
      <x:c r="A2467" s="12" t="str">
        <x:v>6130</x:v>
      </x:c>
      <x:c r="B2467" s="12" t="str">
        <x:v>Satellite telecommunications activities</x:v>
      </x:c>
      <x:c r="C2467" s="12" t="str">
        <x:v>المفرق</x:v>
      </x:c>
      <x:c r="D2467" s="14" t="n">
        <x:v>0</x:v>
      </x:c>
      <x:c r="E2467" s="14" t="n">
        <x:f>VLOOKUP(C2467,'Governorate Master'!$A$2:$Q$13,3,FALSE)</x:f>
        <x:v>686800</x:v>
      </x:c>
      <x:c r="F2467" s="66" t="n">
        <x:f>IF(E2467=0,0,D2467/E2467*10000)</x:f>
        <x:v>0</x:v>
      </x:c>
      <x:c r="G2467" s="67" t="n">
        <x:f>VLOOKUP(C2467,'Governorate Master'!$A$2:$Q$13,7,FALSE)</x:f>
        <x:v>25.9</x:v>
      </x:c>
      <x:c r="H2467" s="20" t="n">
        <x:f>VLOOKUP(C2467,'Governorate Master'!$A$2:$Q$13,6,FALSE)</x:f>
        <x:v>0.6965637740244612</x:v>
      </x:c>
      <x:c r="I2467" s="20" t="n">
        <x:f>VLOOKUP(C2467,'Governorate Master'!$A$2:$Q$13,15,FALSE)</x:f>
        <x:v>-0.016638935108153077</x:v>
      </x:c>
      <x:c r="J2467" s="12" t="str">
        <x:v>Location model input - competition/saturation context</x:v>
      </x:c>
      <x:c r="K2467" s="12" t="str">
        <x:v>Business count is from 2018 while population/context indicators are newer; use as a historical proxy, not a current market count.</x:v>
      </x:c>
    </x:row>
    <x:row r="2468">
      <x:c r="A2468" s="12" t="str">
        <x:v>6130</x:v>
      </x:c>
      <x:c r="B2468" s="12" t="str">
        <x:v>Satellite telecommunications activities</x:v>
      </x:c>
      <x:c r="C2468" s="12" t="str">
        <x:v>جرش</x:v>
      </x:c>
      <x:c r="D2468" s="14" t="n">
        <x:v>0</x:v>
      </x:c>
      <x:c r="E2468" s="14" t="n">
        <x:f>VLOOKUP(C2468,'Governorate Master'!$A$2:$Q$13,3,FALSE)</x:f>
        <x:v>296000</x:v>
      </x:c>
      <x:c r="F2468" s="66" t="n">
        <x:f>IF(E2468=0,0,D2468/E2468*10000)</x:f>
        <x:v>0</x:v>
      </x:c>
      <x:c r="G2468" s="67" t="n">
        <x:f>VLOOKUP(C2468,'Governorate Master'!$A$2:$Q$13,7,FALSE)</x:f>
        <x:v>722.3</x:v>
      </x:c>
      <x:c r="H2468" s="20" t="n">
        <x:f>VLOOKUP(C2468,'Governorate Master'!$A$2:$Q$13,6,FALSE)</x:f>
        <x:v>0.7695945945945946</x:v>
      </x:c>
      <x:c r="I2468" s="20" t="n">
        <x:f>VLOOKUP(C2468,'Governorate Master'!$A$2:$Q$13,15,FALSE)</x:f>
        <x:v>-0.06527415143603134</x:v>
      </x:c>
      <x:c r="J2468" s="12" t="str">
        <x:v>Location model input - competition/saturation context</x:v>
      </x:c>
      <x:c r="K2468" s="12" t="str">
        <x:v>Business count is from 2018 while population/context indicators are newer; use as a historical proxy, not a current market count.</x:v>
      </x:c>
    </x:row>
    <x:row r="2469">
      <x:c r="A2469" s="12" t="str">
        <x:v>6130</x:v>
      </x:c>
      <x:c r="B2469" s="12" t="str">
        <x:v>Satellite telecommunications activities</x:v>
      </x:c>
      <x:c r="C2469" s="12" t="str">
        <x:v>عجلون</x:v>
      </x:c>
      <x:c r="D2469" s="14" t="n">
        <x:v>0</x:v>
      </x:c>
      <x:c r="E2469" s="14" t="n">
        <x:f>VLOOKUP(C2469,'Governorate Master'!$A$2:$Q$13,3,FALSE)</x:f>
        <x:v>219900</x:v>
      </x:c>
      <x:c r="F2469" s="66" t="n">
        <x:f>IF(E2469=0,0,D2469/E2469*10000)</x:f>
        <x:v>0</x:v>
      </x:c>
      <x:c r="G2469" s="67" t="n">
        <x:f>VLOOKUP(C2469,'Governorate Master'!$A$2:$Q$13,7,FALSE)</x:f>
        <x:v>524</x:v>
      </x:c>
      <x:c r="H2469" s="20" t="n">
        <x:f>VLOOKUP(C2469,'Governorate Master'!$A$2:$Q$13,6,FALSE)</x:f>
        <x:v>0.8390177353342428</x:v>
      </x:c>
      <x:c r="I2469" s="20" t="n">
        <x:f>VLOOKUP(C2469,'Governorate Master'!$A$2:$Q$13,15,FALSE)</x:f>
        <x:v>0.03614457831325301</x:v>
      </x:c>
      <x:c r="J2469" s="12" t="str">
        <x:v>Location model input - competition/saturation context</x:v>
      </x:c>
      <x:c r="K2469" s="12" t="str">
        <x:v>Business count is from 2018 while population/context indicators are newer; use as a historical proxy, not a current market count.</x:v>
      </x:c>
    </x:row>
    <x:row r="2470">
      <x:c r="A2470" s="12" t="str">
        <x:v>6130</x:v>
      </x:c>
      <x:c r="B2470" s="12" t="str">
        <x:v>Satellite telecommunications activities</x:v>
      </x:c>
      <x:c r="C2470" s="12" t="str">
        <x:v>الكرك</x:v>
      </x:c>
      <x:c r="D2470" s="14" t="n">
        <x:v>0</x:v>
      </x:c>
      <x:c r="E2470" s="14" t="n">
        <x:f>VLOOKUP(C2470,'Governorate Master'!$A$2:$Q$13,3,FALSE)</x:f>
        <x:v>395400</x:v>
      </x:c>
      <x:c r="F2470" s="66" t="n">
        <x:f>IF(E2470=0,0,D2470/E2470*10000)</x:f>
        <x:v>0</x:v>
      </x:c>
      <x:c r="G2470" s="67" t="n">
        <x:f>VLOOKUP(C2470,'Governorate Master'!$A$2:$Q$13,7,FALSE)</x:f>
        <x:v>113.1</x:v>
      </x:c>
      <x:c r="H2470" s="20" t="n">
        <x:f>VLOOKUP(C2470,'Governorate Master'!$A$2:$Q$13,6,FALSE)</x:f>
        <x:v>0.5912999494183105</x:v>
      </x:c>
      <x:c r="I2470" s="20" t="n">
        <x:f>VLOOKUP(C2470,'Governorate Master'!$A$2:$Q$13,15,FALSE)</x:f>
        <x:v>0.08710801393728224</x:v>
      </x:c>
      <x:c r="J2470" s="12" t="str">
        <x:v>Location model input - competition/saturation context</x:v>
      </x:c>
      <x:c r="K2470" s="12" t="str">
        <x:v>Business count is from 2018 while population/context indicators are newer; use as a historical proxy, not a current market count.</x:v>
      </x:c>
    </x:row>
    <x:row r="2471">
      <x:c r="A2471" s="12" t="str">
        <x:v>6130</x:v>
      </x:c>
      <x:c r="B2471" s="12" t="str">
        <x:v>Satellite telecommunications activities</x:v>
      </x:c>
      <x:c r="C2471" s="12" t="str">
        <x:v>الطفيلة</x:v>
      </x:c>
      <x:c r="D2471" s="14" t="n">
        <x:v>0</x:v>
      </x:c>
      <x:c r="E2471" s="14" t="n">
        <x:f>VLOOKUP(C2471,'Governorate Master'!$A$2:$Q$13,3,FALSE)</x:f>
        <x:v>120300</x:v>
      </x:c>
      <x:c r="F2471" s="66" t="n">
        <x:f>IF(E2471=0,0,D2471/E2471*10000)</x:f>
        <x:v>0</x:v>
      </x:c>
      <x:c r="G2471" s="67" t="n">
        <x:f>VLOOKUP(C2471,'Governorate Master'!$A$2:$Q$13,7,FALSE)</x:f>
        <x:v>54.4</x:v>
      </x:c>
      <x:c r="H2471" s="20" t="n">
        <x:f>VLOOKUP(C2471,'Governorate Master'!$A$2:$Q$13,6,FALSE)</x:f>
        <x:v>0.7797173732335827</x:v>
      </x:c>
      <x:c r="I2471" s="20" t="n">
        <x:f>VLOOKUP(C2471,'Governorate Master'!$A$2:$Q$13,15,FALSE)</x:f>
        <x:v>0.18452380952380953</x:v>
      </x:c>
      <x:c r="J2471" s="12" t="str">
        <x:v>Location model input - competition/saturation context</x:v>
      </x:c>
      <x:c r="K2471" s="12" t="str">
        <x:v>Business count is from 2018 while population/context indicators are newer; use as a historical proxy, not a current market count.</x:v>
      </x:c>
    </x:row>
    <x:row r="2472">
      <x:c r="A2472" s="12" t="str">
        <x:v>6130</x:v>
      </x:c>
      <x:c r="B2472" s="12" t="str">
        <x:v>Satellite telecommunications activities</x:v>
      </x:c>
      <x:c r="C2472" s="12" t="str">
        <x:v>معان</x:v>
      </x:c>
      <x:c r="D2472" s="14" t="n">
        <x:v>0</x:v>
      </x:c>
      <x:c r="E2472" s="14" t="n">
        <x:f>VLOOKUP(C2472,'Governorate Master'!$A$2:$Q$13,3,FALSE)</x:f>
        <x:v>197900</x:v>
      </x:c>
      <x:c r="F2472" s="66" t="n">
        <x:f>IF(E2472=0,0,D2472/E2472*10000)</x:f>
        <x:v>0</x:v>
      </x:c>
      <x:c r="G2472" s="67" t="n">
        <x:f>VLOOKUP(C2472,'Governorate Master'!$A$2:$Q$13,7,FALSE)</x:f>
        <x:v>6</x:v>
      </x:c>
      <x:c r="H2472" s="20" t="n">
        <x:f>VLOOKUP(C2472,'Governorate Master'!$A$2:$Q$13,6,FALSE)</x:f>
        <x:v>0.5406771096513391</x:v>
      </x:c>
      <x:c r="I2472" s="20" t="n">
        <x:f>VLOOKUP(C2472,'Governorate Master'!$A$2:$Q$13,15,FALSE)</x:f>
        <x:v>0.026845637583892617</x:v>
      </x:c>
      <x:c r="J2472" s="12" t="str">
        <x:v>Location model input - competition/saturation context</x:v>
      </x:c>
      <x:c r="K2472" s="12" t="str">
        <x:v>Business count is from 2018 while population/context indicators are newer; use as a historical proxy, not a current market count.</x:v>
      </x:c>
    </x:row>
    <x:row r="2473">
      <x:c r="A2473" s="12" t="str">
        <x:v>6130</x:v>
      </x:c>
      <x:c r="B2473" s="12" t="str">
        <x:v>Satellite telecommunications activities</x:v>
      </x:c>
      <x:c r="C2473" s="12" t="str">
        <x:v>العقبة</x:v>
      </x:c>
      <x:c r="D2473" s="14" t="n">
        <x:v>0</x:v>
      </x:c>
      <x:c r="E2473" s="14" t="n">
        <x:f>VLOOKUP(C2473,'Governorate Master'!$A$2:$Q$13,3,FALSE)</x:f>
        <x:v>250900</x:v>
      </x:c>
      <x:c r="F2473" s="66" t="n">
        <x:f>IF(E2473=0,0,D2473/E2473*10000)</x:f>
        <x:v>0</x:v>
      </x:c>
      <x:c r="G2473" s="67" t="n">
        <x:f>VLOOKUP(C2473,'Governorate Master'!$A$2:$Q$13,7,FALSE)</x:f>
        <x:v>36.3</x:v>
      </x:c>
      <x:c r="H2473" s="20" t="n">
        <x:f>VLOOKUP(C2473,'Governorate Master'!$A$2:$Q$13,6,FALSE)</x:f>
        <x:v>0.882024711040255</x:v>
      </x:c>
      <x:c r="I2473" s="20" t="n">
        <x:f>VLOOKUP(C2473,'Governorate Master'!$A$2:$Q$13,15,FALSE)</x:f>
        <x:v>-0.09</x:v>
      </x:c>
      <x:c r="J2473" s="12" t="str">
        <x:v>Location model input - competition/saturation context</x:v>
      </x:c>
      <x:c r="K2473" s="12" t="str">
        <x:v>Business count is from 2018 while population/context indicators are newer; use as a historical proxy, not a current market count.</x:v>
      </x:c>
    </x:row>
    <x:row r="2474">
      <x:c r="A2474" s="12" t="str">
        <x:v>6190</x:v>
      </x:c>
      <x:c r="B2474" s="12" t="str">
        <x:v>Other telecommunications activities</x:v>
      </x:c>
      <x:c r="C2474" s="12" t="str">
        <x:v>عمان</x:v>
      </x:c>
      <x:c r="D2474" s="14" t="n">
        <x:v>10</x:v>
      </x:c>
      <x:c r="E2474" s="14" t="n">
        <x:f>VLOOKUP(C2474,'Governorate Master'!$A$2:$Q$13,3,FALSE)</x:f>
        <x:v>5004600</x:v>
      </x:c>
      <x:c r="F2474" s="66" t="n">
        <x:f>IF(E2474=0,0,D2474/E2474*10000)</x:f>
        <x:v>0.019981616912440554</x:v>
      </x:c>
      <x:c r="G2474" s="67" t="n">
        <x:f>VLOOKUP(C2474,'Governorate Master'!$A$2:$Q$13,7,FALSE)</x:f>
        <x:v>660.3</x:v>
      </x:c>
      <x:c r="H2474" s="20" t="n">
        <x:f>VLOOKUP(C2474,'Governorate Master'!$A$2:$Q$13,6,FALSE)</x:f>
        <x:v>0.9721656076409703</x:v>
      </x:c>
      <x:c r="I2474" s="20" t="n">
        <x:f>VLOOKUP(C2474,'Governorate Master'!$A$2:$Q$13,15,FALSE)</x:f>
        <x:v>0.06367041198501873</x:v>
      </x:c>
      <x:c r="J2474" s="12" t="str">
        <x:v>Location model input - competition/saturation context</x:v>
      </x:c>
      <x:c r="K2474" s="12" t="str">
        <x:v>Business count is from 2018 while population/context indicators are newer; use as a historical proxy, not a current market count.</x:v>
      </x:c>
    </x:row>
    <x:row r="2475">
      <x:c r="A2475" s="12" t="str">
        <x:v>6190</x:v>
      </x:c>
      <x:c r="B2475" s="12" t="str">
        <x:v>Other telecommunications activities</x:v>
      </x:c>
      <x:c r="C2475" s="12" t="str">
        <x:v>البلقاء</x:v>
      </x:c>
      <x:c r="D2475" s="14" t="n">
        <x:v>0</x:v>
      </x:c>
      <x:c r="E2475" s="14" t="n">
        <x:f>VLOOKUP(C2475,'Governorate Master'!$A$2:$Q$13,3,FALSE)</x:f>
        <x:v>614000</x:v>
      </x:c>
      <x:c r="F2475" s="66" t="n">
        <x:f>IF(E2475=0,0,D2475/E2475*10000)</x:f>
        <x:v>0</x:v>
      </x:c>
      <x:c r="G2475" s="67" t="n">
        <x:f>VLOOKUP(C2475,'Governorate Master'!$A$2:$Q$13,7,FALSE)</x:f>
        <x:v>548</x:v>
      </x:c>
      <x:c r="H2475" s="20" t="n">
        <x:f>VLOOKUP(C2475,'Governorate Master'!$A$2:$Q$13,6,FALSE)</x:f>
        <x:v>0.8210097719869707</x:v>
      </x:c>
      <x:c r="I2475" s="20" t="n">
        <x:f>VLOOKUP(C2475,'Governorate Master'!$A$2:$Q$13,15,FALSE)</x:f>
        <x:v>0.10794044665012408</x:v>
      </x:c>
      <x:c r="J2475" s="12" t="str">
        <x:v>Location model input - competition/saturation context</x:v>
      </x:c>
      <x:c r="K2475" s="12" t="str">
        <x:v>Business count is from 2018 while population/context indicators are newer; use as a historical proxy, not a current market count.</x:v>
      </x:c>
    </x:row>
    <x:row r="2476">
      <x:c r="A2476" s="12" t="str">
        <x:v>6190</x:v>
      </x:c>
      <x:c r="B2476" s="12" t="str">
        <x:v>Other telecommunications activities</x:v>
      </x:c>
      <x:c r="C2476" s="12" t="str">
        <x:v>الزرقاء</x:v>
      </x:c>
      <x:c r="D2476" s="14" t="n">
        <x:v>0</x:v>
      </x:c>
      <x:c r="E2476" s="14" t="n">
        <x:f>VLOOKUP(C2476,'Governorate Master'!$A$2:$Q$13,3,FALSE)</x:f>
        <x:v>1704500</x:v>
      </x:c>
      <x:c r="F2476" s="66" t="n">
        <x:f>IF(E2476=0,0,D2476/E2476*10000)</x:f>
        <x:v>0</x:v>
      </x:c>
      <x:c r="G2476" s="67" t="n">
        <x:f>VLOOKUP(C2476,'Governorate Master'!$A$2:$Q$13,7,FALSE)</x:f>
        <x:v>358</x:v>
      </x:c>
      <x:c r="H2476" s="20" t="n">
        <x:f>VLOOKUP(C2476,'Governorate Master'!$A$2:$Q$13,6,FALSE)</x:f>
        <x:v>0.9636256966852449</x:v>
      </x:c>
      <x:c r="I2476" s="20" t="n">
        <x:f>VLOOKUP(C2476,'Governorate Master'!$A$2:$Q$13,15,FALSE)</x:f>
        <x:v>-0.06808762581409118</x:v>
      </x:c>
      <x:c r="J2476" s="12" t="str">
        <x:v>Location model input - competition/saturation context</x:v>
      </x:c>
      <x:c r="K2476" s="12" t="str">
        <x:v>Business count is from 2018 while population/context indicators are newer; use as a historical proxy, not a current market count.</x:v>
      </x:c>
    </x:row>
    <x:row r="2477">
      <x:c r="A2477" s="12" t="str">
        <x:v>6190</x:v>
      </x:c>
      <x:c r="B2477" s="12" t="str">
        <x:v>Other telecommunications activities</x:v>
      </x:c>
      <x:c r="C2477" s="12" t="str">
        <x:v>مادبا</x:v>
      </x:c>
      <x:c r="D2477" s="14" t="n">
        <x:v>0</x:v>
      </x:c>
      <x:c r="E2477" s="14" t="n">
        <x:f>VLOOKUP(C2477,'Governorate Master'!$A$2:$Q$13,3,FALSE)</x:f>
        <x:v>236200</x:v>
      </x:c>
      <x:c r="F2477" s="66" t="n">
        <x:f>IF(E2477=0,0,D2477/E2477*10000)</x:f>
        <x:v>0</x:v>
      </x:c>
      <x:c r="G2477" s="67" t="n">
        <x:f>VLOOKUP(C2477,'Governorate Master'!$A$2:$Q$13,7,FALSE)</x:f>
        <x:v>251.4</x:v>
      </x:c>
      <x:c r="H2477" s="20" t="n">
        <x:f>VLOOKUP(C2477,'Governorate Master'!$A$2:$Q$13,6,FALSE)</x:f>
        <x:v>0.7823878069432684</x:v>
      </x:c>
      <x:c r="I2477" s="20" t="n">
        <x:f>VLOOKUP(C2477,'Governorate Master'!$A$2:$Q$13,15,FALSE)</x:f>
        <x:v>-0.18823529411764706</x:v>
      </x:c>
      <x:c r="J2477" s="12" t="str">
        <x:v>Location model input - competition/saturation context</x:v>
      </x:c>
      <x:c r="K2477" s="12" t="str">
        <x:v>Business count is from 2018 while population/context indicators are newer; use as a historical proxy, not a current market count.</x:v>
      </x:c>
    </x:row>
    <x:row r="2478">
      <x:c r="A2478" s="12" t="str">
        <x:v>6190</x:v>
      </x:c>
      <x:c r="B2478" s="12" t="str">
        <x:v>Other telecommunications activities</x:v>
      </x:c>
      <x:c r="C2478" s="12" t="str">
        <x:v>إربد</x:v>
      </x:c>
      <x:c r="D2478" s="14" t="n">
        <x:v>4</x:v>
      </x:c>
      <x:c r="E2478" s="14" t="n">
        <x:f>VLOOKUP(C2478,'Governorate Master'!$A$2:$Q$13,3,FALSE)</x:f>
        <x:v>2210500</x:v>
      </x:c>
      <x:c r="F2478" s="66" t="n">
        <x:f>IF(E2478=0,0,D2478/E2478*10000)</x:f>
        <x:v>0.018095453517303777</x:v>
      </x:c>
      <x:c r="G2478" s="67" t="n">
        <x:f>VLOOKUP(C2478,'Governorate Master'!$A$2:$Q$13,7,FALSE)</x:f>
        <x:v>1406.4</x:v>
      </x:c>
      <x:c r="H2478" s="20" t="n">
        <x:f>VLOOKUP(C2478,'Governorate Master'!$A$2:$Q$13,6,FALSE)</x:f>
        <x:v>0.9235014702555983</x:v>
      </x:c>
      <x:c r="I2478" s="20" t="n">
        <x:f>VLOOKUP(C2478,'Governorate Master'!$A$2:$Q$13,15,FALSE)</x:f>
        <x:v>0.07086922474549726</x:v>
      </x:c>
      <x:c r="J2478" s="12" t="str">
        <x:v>Location model input - competition/saturation context</x:v>
      </x:c>
      <x:c r="K2478" s="12" t="str">
        <x:v>Business count is from 2018 while population/context indicators are newer; use as a historical proxy, not a current market count.</x:v>
      </x:c>
    </x:row>
    <x:row r="2479">
      <x:c r="A2479" s="12" t="str">
        <x:v>6190</x:v>
      </x:c>
      <x:c r="B2479" s="12" t="str">
        <x:v>Other telecommunications activities</x:v>
      </x:c>
      <x:c r="C2479" s="12" t="str">
        <x:v>المفرق</x:v>
      </x:c>
      <x:c r="D2479" s="14" t="n">
        <x:v>0</x:v>
      </x:c>
      <x:c r="E2479" s="14" t="n">
        <x:f>VLOOKUP(C2479,'Governorate Master'!$A$2:$Q$13,3,FALSE)</x:f>
        <x:v>686800</x:v>
      </x:c>
      <x:c r="F2479" s="66" t="n">
        <x:f>IF(E2479=0,0,D2479/E2479*10000)</x:f>
        <x:v>0</x:v>
      </x:c>
      <x:c r="G2479" s="67" t="n">
        <x:f>VLOOKUP(C2479,'Governorate Master'!$A$2:$Q$13,7,FALSE)</x:f>
        <x:v>25.9</x:v>
      </x:c>
      <x:c r="H2479" s="20" t="n">
        <x:f>VLOOKUP(C2479,'Governorate Master'!$A$2:$Q$13,6,FALSE)</x:f>
        <x:v>0.6965637740244612</x:v>
      </x:c>
      <x:c r="I2479" s="20" t="n">
        <x:f>VLOOKUP(C2479,'Governorate Master'!$A$2:$Q$13,15,FALSE)</x:f>
        <x:v>-0.016638935108153077</x:v>
      </x:c>
      <x:c r="J2479" s="12" t="str">
        <x:v>Location model input - competition/saturation context</x:v>
      </x:c>
      <x:c r="K2479" s="12" t="str">
        <x:v>Business count is from 2018 while population/context indicators are newer; use as a historical proxy, not a current market count.</x:v>
      </x:c>
    </x:row>
    <x:row r="2480">
      <x:c r="A2480" s="12" t="str">
        <x:v>6190</x:v>
      </x:c>
      <x:c r="B2480" s="12" t="str">
        <x:v>Other telecommunications activities</x:v>
      </x:c>
      <x:c r="C2480" s="12" t="str">
        <x:v>جرش</x:v>
      </x:c>
      <x:c r="D2480" s="14" t="n">
        <x:v>0</x:v>
      </x:c>
      <x:c r="E2480" s="14" t="n">
        <x:f>VLOOKUP(C2480,'Governorate Master'!$A$2:$Q$13,3,FALSE)</x:f>
        <x:v>296000</x:v>
      </x:c>
      <x:c r="F2480" s="66" t="n">
        <x:f>IF(E2480=0,0,D2480/E2480*10000)</x:f>
        <x:v>0</x:v>
      </x:c>
      <x:c r="G2480" s="67" t="n">
        <x:f>VLOOKUP(C2480,'Governorate Master'!$A$2:$Q$13,7,FALSE)</x:f>
        <x:v>722.3</x:v>
      </x:c>
      <x:c r="H2480" s="20" t="n">
        <x:f>VLOOKUP(C2480,'Governorate Master'!$A$2:$Q$13,6,FALSE)</x:f>
        <x:v>0.7695945945945946</x:v>
      </x:c>
      <x:c r="I2480" s="20" t="n">
        <x:f>VLOOKUP(C2480,'Governorate Master'!$A$2:$Q$13,15,FALSE)</x:f>
        <x:v>-0.06527415143603134</x:v>
      </x:c>
      <x:c r="J2480" s="12" t="str">
        <x:v>Location model input - competition/saturation context</x:v>
      </x:c>
      <x:c r="K2480" s="12" t="str">
        <x:v>Business count is from 2018 while population/context indicators are newer; use as a historical proxy, not a current market count.</x:v>
      </x:c>
    </x:row>
    <x:row r="2481">
      <x:c r="A2481" s="12" t="str">
        <x:v>6190</x:v>
      </x:c>
      <x:c r="B2481" s="12" t="str">
        <x:v>Other telecommunications activities</x:v>
      </x:c>
      <x:c r="C2481" s="12" t="str">
        <x:v>عجلون</x:v>
      </x:c>
      <x:c r="D2481" s="14" t="n">
        <x:v>0</x:v>
      </x:c>
      <x:c r="E2481" s="14" t="n">
        <x:f>VLOOKUP(C2481,'Governorate Master'!$A$2:$Q$13,3,FALSE)</x:f>
        <x:v>219900</x:v>
      </x:c>
      <x:c r="F2481" s="66" t="n">
        <x:f>IF(E2481=0,0,D2481/E2481*10000)</x:f>
        <x:v>0</x:v>
      </x:c>
      <x:c r="G2481" s="67" t="n">
        <x:f>VLOOKUP(C2481,'Governorate Master'!$A$2:$Q$13,7,FALSE)</x:f>
        <x:v>524</x:v>
      </x:c>
      <x:c r="H2481" s="20" t="n">
        <x:f>VLOOKUP(C2481,'Governorate Master'!$A$2:$Q$13,6,FALSE)</x:f>
        <x:v>0.8390177353342428</x:v>
      </x:c>
      <x:c r="I2481" s="20" t="n">
        <x:f>VLOOKUP(C2481,'Governorate Master'!$A$2:$Q$13,15,FALSE)</x:f>
        <x:v>0.03614457831325301</x:v>
      </x:c>
      <x:c r="J2481" s="12" t="str">
        <x:v>Location model input - competition/saturation context</x:v>
      </x:c>
      <x:c r="K2481" s="12" t="str">
        <x:v>Business count is from 2018 while population/context indicators are newer; use as a historical proxy, not a current market count.</x:v>
      </x:c>
    </x:row>
    <x:row r="2482">
      <x:c r="A2482" s="12" t="str">
        <x:v>6190</x:v>
      </x:c>
      <x:c r="B2482" s="12" t="str">
        <x:v>Other telecommunications activities</x:v>
      </x:c>
      <x:c r="C2482" s="12" t="str">
        <x:v>الكرك</x:v>
      </x:c>
      <x:c r="D2482" s="14" t="n">
        <x:v>0</x:v>
      </x:c>
      <x:c r="E2482" s="14" t="n">
        <x:f>VLOOKUP(C2482,'Governorate Master'!$A$2:$Q$13,3,FALSE)</x:f>
        <x:v>395400</x:v>
      </x:c>
      <x:c r="F2482" s="66" t="n">
        <x:f>IF(E2482=0,0,D2482/E2482*10000)</x:f>
        <x:v>0</x:v>
      </x:c>
      <x:c r="G2482" s="67" t="n">
        <x:f>VLOOKUP(C2482,'Governorate Master'!$A$2:$Q$13,7,FALSE)</x:f>
        <x:v>113.1</x:v>
      </x:c>
      <x:c r="H2482" s="20" t="n">
        <x:f>VLOOKUP(C2482,'Governorate Master'!$A$2:$Q$13,6,FALSE)</x:f>
        <x:v>0.5912999494183105</x:v>
      </x:c>
      <x:c r="I2482" s="20" t="n">
        <x:f>VLOOKUP(C2482,'Governorate Master'!$A$2:$Q$13,15,FALSE)</x:f>
        <x:v>0.08710801393728224</x:v>
      </x:c>
      <x:c r="J2482" s="12" t="str">
        <x:v>Location model input - competition/saturation context</x:v>
      </x:c>
      <x:c r="K2482" s="12" t="str">
        <x:v>Business count is from 2018 while population/context indicators are newer; use as a historical proxy, not a current market count.</x:v>
      </x:c>
    </x:row>
    <x:row r="2483">
      <x:c r="A2483" s="12" t="str">
        <x:v>6190</x:v>
      </x:c>
      <x:c r="B2483" s="12" t="str">
        <x:v>Other telecommunications activities</x:v>
      </x:c>
      <x:c r="C2483" s="12" t="str">
        <x:v>الطفيلة</x:v>
      </x:c>
      <x:c r="D2483" s="14" t="n">
        <x:v>0</x:v>
      </x:c>
      <x:c r="E2483" s="14" t="n">
        <x:f>VLOOKUP(C2483,'Governorate Master'!$A$2:$Q$13,3,FALSE)</x:f>
        <x:v>120300</x:v>
      </x:c>
      <x:c r="F2483" s="66" t="n">
        <x:f>IF(E2483=0,0,D2483/E2483*10000)</x:f>
        <x:v>0</x:v>
      </x:c>
      <x:c r="G2483" s="67" t="n">
        <x:f>VLOOKUP(C2483,'Governorate Master'!$A$2:$Q$13,7,FALSE)</x:f>
        <x:v>54.4</x:v>
      </x:c>
      <x:c r="H2483" s="20" t="n">
        <x:f>VLOOKUP(C2483,'Governorate Master'!$A$2:$Q$13,6,FALSE)</x:f>
        <x:v>0.7797173732335827</x:v>
      </x:c>
      <x:c r="I2483" s="20" t="n">
        <x:f>VLOOKUP(C2483,'Governorate Master'!$A$2:$Q$13,15,FALSE)</x:f>
        <x:v>0.18452380952380953</x:v>
      </x:c>
      <x:c r="J2483" s="12" t="str">
        <x:v>Location model input - competition/saturation context</x:v>
      </x:c>
      <x:c r="K2483" s="12" t="str">
        <x:v>Business count is from 2018 while population/context indicators are newer; use as a historical proxy, not a current market count.</x:v>
      </x:c>
    </x:row>
    <x:row r="2484">
      <x:c r="A2484" s="12" t="str">
        <x:v>6190</x:v>
      </x:c>
      <x:c r="B2484" s="12" t="str">
        <x:v>Other telecommunications activities</x:v>
      </x:c>
      <x:c r="C2484" s="12" t="str">
        <x:v>معان</x:v>
      </x:c>
      <x:c r="D2484" s="14" t="n">
        <x:v>0</x:v>
      </x:c>
      <x:c r="E2484" s="14" t="n">
        <x:f>VLOOKUP(C2484,'Governorate Master'!$A$2:$Q$13,3,FALSE)</x:f>
        <x:v>197900</x:v>
      </x:c>
      <x:c r="F2484" s="66" t="n">
        <x:f>IF(E2484=0,0,D2484/E2484*10000)</x:f>
        <x:v>0</x:v>
      </x:c>
      <x:c r="G2484" s="67" t="n">
        <x:f>VLOOKUP(C2484,'Governorate Master'!$A$2:$Q$13,7,FALSE)</x:f>
        <x:v>6</x:v>
      </x:c>
      <x:c r="H2484" s="20" t="n">
        <x:f>VLOOKUP(C2484,'Governorate Master'!$A$2:$Q$13,6,FALSE)</x:f>
        <x:v>0.5406771096513391</x:v>
      </x:c>
      <x:c r="I2484" s="20" t="n">
        <x:f>VLOOKUP(C2484,'Governorate Master'!$A$2:$Q$13,15,FALSE)</x:f>
        <x:v>0.026845637583892617</x:v>
      </x:c>
      <x:c r="J2484" s="12" t="str">
        <x:v>Location model input - competition/saturation context</x:v>
      </x:c>
      <x:c r="K2484" s="12" t="str">
        <x:v>Business count is from 2018 while population/context indicators are newer; use as a historical proxy, not a current market count.</x:v>
      </x:c>
    </x:row>
    <x:row r="2485">
      <x:c r="A2485" s="12" t="str">
        <x:v>6190</x:v>
      </x:c>
      <x:c r="B2485" s="12" t="str">
        <x:v>Other telecommunications activities</x:v>
      </x:c>
      <x:c r="C2485" s="12" t="str">
        <x:v>العقبة</x:v>
      </x:c>
      <x:c r="D2485" s="14" t="n">
        <x:v>0</x:v>
      </x:c>
      <x:c r="E2485" s="14" t="n">
        <x:f>VLOOKUP(C2485,'Governorate Master'!$A$2:$Q$13,3,FALSE)</x:f>
        <x:v>250900</x:v>
      </x:c>
      <x:c r="F2485" s="66" t="n">
        <x:f>IF(E2485=0,0,D2485/E2485*10000)</x:f>
        <x:v>0</x:v>
      </x:c>
      <x:c r="G2485" s="67" t="n">
        <x:f>VLOOKUP(C2485,'Governorate Master'!$A$2:$Q$13,7,FALSE)</x:f>
        <x:v>36.3</x:v>
      </x:c>
      <x:c r="H2485" s="20" t="n">
        <x:f>VLOOKUP(C2485,'Governorate Master'!$A$2:$Q$13,6,FALSE)</x:f>
        <x:v>0.882024711040255</x:v>
      </x:c>
      <x:c r="I2485" s="20" t="n">
        <x:f>VLOOKUP(C2485,'Governorate Master'!$A$2:$Q$13,15,FALSE)</x:f>
        <x:v>-0.09</x:v>
      </x:c>
      <x:c r="J2485" s="12" t="str">
        <x:v>Location model input - competition/saturation context</x:v>
      </x:c>
      <x:c r="K2485" s="12" t="str">
        <x:v>Business count is from 2018 while population/context indicators are newer; use as a historical proxy, not a current market count.</x:v>
      </x:c>
    </x:row>
    <x:row r="2486">
      <x:c r="A2486" s="12" t="str">
        <x:v>6201</x:v>
      </x:c>
      <x:c r="B2486" s="12" t="str">
        <x:v>Computer programming activities</x:v>
      </x:c>
      <x:c r="C2486" s="12" t="str">
        <x:v>عمان</x:v>
      </x:c>
      <x:c r="D2486" s="14" t="n">
        <x:v>257</x:v>
      </x:c>
      <x:c r="E2486" s="14" t="n">
        <x:f>VLOOKUP(C2486,'Governorate Master'!$A$2:$Q$13,3,FALSE)</x:f>
        <x:v>5004600</x:v>
      </x:c>
      <x:c r="F2486" s="66" t="n">
        <x:f>IF(E2486=0,0,D2486/E2486*10000)</x:f>
        <x:v>0.5135275546497223</x:v>
      </x:c>
      <x:c r="G2486" s="67" t="n">
        <x:f>VLOOKUP(C2486,'Governorate Master'!$A$2:$Q$13,7,FALSE)</x:f>
        <x:v>660.3</x:v>
      </x:c>
      <x:c r="H2486" s="20" t="n">
        <x:f>VLOOKUP(C2486,'Governorate Master'!$A$2:$Q$13,6,FALSE)</x:f>
        <x:v>0.9721656076409703</x:v>
      </x:c>
      <x:c r="I2486" s="20" t="n">
        <x:f>VLOOKUP(C2486,'Governorate Master'!$A$2:$Q$13,15,FALSE)</x:f>
        <x:v>0.06367041198501873</x:v>
      </x:c>
      <x:c r="J2486" s="12" t="str">
        <x:v>Location model input - competition/saturation context</x:v>
      </x:c>
      <x:c r="K2486" s="12" t="str">
        <x:v>Business count is from 2018 while population/context indicators are newer; use as a historical proxy, not a current market count.</x:v>
      </x:c>
    </x:row>
    <x:row r="2487">
      <x:c r="A2487" s="12" t="str">
        <x:v>6201</x:v>
      </x:c>
      <x:c r="B2487" s="12" t="str">
        <x:v>Computer programming activities</x:v>
      </x:c>
      <x:c r="C2487" s="12" t="str">
        <x:v>البلقاء</x:v>
      </x:c>
      <x:c r="D2487" s="14" t="n">
        <x:v>0</x:v>
      </x:c>
      <x:c r="E2487" s="14" t="n">
        <x:f>VLOOKUP(C2487,'Governorate Master'!$A$2:$Q$13,3,FALSE)</x:f>
        <x:v>614000</x:v>
      </x:c>
      <x:c r="F2487" s="66" t="n">
        <x:f>IF(E2487=0,0,D2487/E2487*10000)</x:f>
        <x:v>0</x:v>
      </x:c>
      <x:c r="G2487" s="67" t="n">
        <x:f>VLOOKUP(C2487,'Governorate Master'!$A$2:$Q$13,7,FALSE)</x:f>
        <x:v>548</x:v>
      </x:c>
      <x:c r="H2487" s="20" t="n">
        <x:f>VLOOKUP(C2487,'Governorate Master'!$A$2:$Q$13,6,FALSE)</x:f>
        <x:v>0.8210097719869707</x:v>
      </x:c>
      <x:c r="I2487" s="20" t="n">
        <x:f>VLOOKUP(C2487,'Governorate Master'!$A$2:$Q$13,15,FALSE)</x:f>
        <x:v>0.10794044665012408</x:v>
      </x:c>
      <x:c r="J2487" s="12" t="str">
        <x:v>Location model input - competition/saturation context</x:v>
      </x:c>
      <x:c r="K2487" s="12" t="str">
        <x:v>Business count is from 2018 while population/context indicators are newer; use as a historical proxy, not a current market count.</x:v>
      </x:c>
    </x:row>
    <x:row r="2488">
      <x:c r="A2488" s="12" t="str">
        <x:v>6201</x:v>
      </x:c>
      <x:c r="B2488" s="12" t="str">
        <x:v>Computer programming activities</x:v>
      </x:c>
      <x:c r="C2488" s="12" t="str">
        <x:v>الزرقاء</x:v>
      </x:c>
      <x:c r="D2488" s="14" t="n">
        <x:v>0</x:v>
      </x:c>
      <x:c r="E2488" s="14" t="n">
        <x:f>VLOOKUP(C2488,'Governorate Master'!$A$2:$Q$13,3,FALSE)</x:f>
        <x:v>1704500</x:v>
      </x:c>
      <x:c r="F2488" s="66" t="n">
        <x:f>IF(E2488=0,0,D2488/E2488*10000)</x:f>
        <x:v>0</x:v>
      </x:c>
      <x:c r="G2488" s="67" t="n">
        <x:f>VLOOKUP(C2488,'Governorate Master'!$A$2:$Q$13,7,FALSE)</x:f>
        <x:v>358</x:v>
      </x:c>
      <x:c r="H2488" s="20" t="n">
        <x:f>VLOOKUP(C2488,'Governorate Master'!$A$2:$Q$13,6,FALSE)</x:f>
        <x:v>0.9636256966852449</x:v>
      </x:c>
      <x:c r="I2488" s="20" t="n">
        <x:f>VLOOKUP(C2488,'Governorate Master'!$A$2:$Q$13,15,FALSE)</x:f>
        <x:v>-0.06808762581409118</x:v>
      </x:c>
      <x:c r="J2488" s="12" t="str">
        <x:v>Location model input - competition/saturation context</x:v>
      </x:c>
      <x:c r="K2488" s="12" t="str">
        <x:v>Business count is from 2018 while population/context indicators are newer; use as a historical proxy, not a current market count.</x:v>
      </x:c>
    </x:row>
    <x:row r="2489">
      <x:c r="A2489" s="12" t="str">
        <x:v>6201</x:v>
      </x:c>
      <x:c r="B2489" s="12" t="str">
        <x:v>Computer programming activities</x:v>
      </x:c>
      <x:c r="C2489" s="12" t="str">
        <x:v>مادبا</x:v>
      </x:c>
      <x:c r="D2489" s="14" t="n">
        <x:v>2</x:v>
      </x:c>
      <x:c r="E2489" s="14" t="n">
        <x:f>VLOOKUP(C2489,'Governorate Master'!$A$2:$Q$13,3,FALSE)</x:f>
        <x:v>236200</x:v>
      </x:c>
      <x:c r="F2489" s="66" t="n">
        <x:f>IF(E2489=0,0,D2489/E2489*10000)</x:f>
        <x:v>0.0846740050804403</x:v>
      </x:c>
      <x:c r="G2489" s="67" t="n">
        <x:f>VLOOKUP(C2489,'Governorate Master'!$A$2:$Q$13,7,FALSE)</x:f>
        <x:v>251.4</x:v>
      </x:c>
      <x:c r="H2489" s="20" t="n">
        <x:f>VLOOKUP(C2489,'Governorate Master'!$A$2:$Q$13,6,FALSE)</x:f>
        <x:v>0.7823878069432684</x:v>
      </x:c>
      <x:c r="I2489" s="20" t="n">
        <x:f>VLOOKUP(C2489,'Governorate Master'!$A$2:$Q$13,15,FALSE)</x:f>
        <x:v>-0.18823529411764706</x:v>
      </x:c>
      <x:c r="J2489" s="12" t="str">
        <x:v>Location model input - competition/saturation context</x:v>
      </x:c>
      <x:c r="K2489" s="12" t="str">
        <x:v>Business count is from 2018 while population/context indicators are newer; use as a historical proxy, not a current market count.</x:v>
      </x:c>
    </x:row>
    <x:row r="2490">
      <x:c r="A2490" s="12" t="str">
        <x:v>6201</x:v>
      </x:c>
      <x:c r="B2490" s="12" t="str">
        <x:v>Computer programming activities</x:v>
      </x:c>
      <x:c r="C2490" s="12" t="str">
        <x:v>إربد</x:v>
      </x:c>
      <x:c r="D2490" s="14" t="n">
        <x:v>7</x:v>
      </x:c>
      <x:c r="E2490" s="14" t="n">
        <x:f>VLOOKUP(C2490,'Governorate Master'!$A$2:$Q$13,3,FALSE)</x:f>
        <x:v>2210500</x:v>
      </x:c>
      <x:c r="F2490" s="66" t="n">
        <x:f>IF(E2490=0,0,D2490/E2490*10000)</x:f>
        <x:v>0.03166704365528161</x:v>
      </x:c>
      <x:c r="G2490" s="67" t="n">
        <x:f>VLOOKUP(C2490,'Governorate Master'!$A$2:$Q$13,7,FALSE)</x:f>
        <x:v>1406.4</x:v>
      </x:c>
      <x:c r="H2490" s="20" t="n">
        <x:f>VLOOKUP(C2490,'Governorate Master'!$A$2:$Q$13,6,FALSE)</x:f>
        <x:v>0.9235014702555983</x:v>
      </x:c>
      <x:c r="I2490" s="20" t="n">
        <x:f>VLOOKUP(C2490,'Governorate Master'!$A$2:$Q$13,15,FALSE)</x:f>
        <x:v>0.07086922474549726</x:v>
      </x:c>
      <x:c r="J2490" s="12" t="str">
        <x:v>Location model input - competition/saturation context</x:v>
      </x:c>
      <x:c r="K2490" s="12" t="str">
        <x:v>Business count is from 2018 while population/context indicators are newer; use as a historical proxy, not a current market count.</x:v>
      </x:c>
    </x:row>
    <x:row r="2491">
      <x:c r="A2491" s="12" t="str">
        <x:v>6201</x:v>
      </x:c>
      <x:c r="B2491" s="12" t="str">
        <x:v>Computer programming activities</x:v>
      </x:c>
      <x:c r="C2491" s="12" t="str">
        <x:v>المفرق</x:v>
      </x:c>
      <x:c r="D2491" s="14" t="n">
        <x:v>0</x:v>
      </x:c>
      <x:c r="E2491" s="14" t="n">
        <x:f>VLOOKUP(C2491,'Governorate Master'!$A$2:$Q$13,3,FALSE)</x:f>
        <x:v>686800</x:v>
      </x:c>
      <x:c r="F2491" s="66" t="n">
        <x:f>IF(E2491=0,0,D2491/E2491*10000)</x:f>
        <x:v>0</x:v>
      </x:c>
      <x:c r="G2491" s="67" t="n">
        <x:f>VLOOKUP(C2491,'Governorate Master'!$A$2:$Q$13,7,FALSE)</x:f>
        <x:v>25.9</x:v>
      </x:c>
      <x:c r="H2491" s="20" t="n">
        <x:f>VLOOKUP(C2491,'Governorate Master'!$A$2:$Q$13,6,FALSE)</x:f>
        <x:v>0.6965637740244612</x:v>
      </x:c>
      <x:c r="I2491" s="20" t="n">
        <x:f>VLOOKUP(C2491,'Governorate Master'!$A$2:$Q$13,15,FALSE)</x:f>
        <x:v>-0.016638935108153077</x:v>
      </x:c>
      <x:c r="J2491" s="12" t="str">
        <x:v>Location model input - competition/saturation context</x:v>
      </x:c>
      <x:c r="K2491" s="12" t="str">
        <x:v>Business count is from 2018 while population/context indicators are newer; use as a historical proxy, not a current market count.</x:v>
      </x:c>
    </x:row>
    <x:row r="2492">
      <x:c r="A2492" s="12" t="str">
        <x:v>6201</x:v>
      </x:c>
      <x:c r="B2492" s="12" t="str">
        <x:v>Computer programming activities</x:v>
      </x:c>
      <x:c r="C2492" s="12" t="str">
        <x:v>جرش</x:v>
      </x:c>
      <x:c r="D2492" s="14" t="n">
        <x:v>0</x:v>
      </x:c>
      <x:c r="E2492" s="14" t="n">
        <x:f>VLOOKUP(C2492,'Governorate Master'!$A$2:$Q$13,3,FALSE)</x:f>
        <x:v>296000</x:v>
      </x:c>
      <x:c r="F2492" s="66" t="n">
        <x:f>IF(E2492=0,0,D2492/E2492*10000)</x:f>
        <x:v>0</x:v>
      </x:c>
      <x:c r="G2492" s="67" t="n">
        <x:f>VLOOKUP(C2492,'Governorate Master'!$A$2:$Q$13,7,FALSE)</x:f>
        <x:v>722.3</x:v>
      </x:c>
      <x:c r="H2492" s="20" t="n">
        <x:f>VLOOKUP(C2492,'Governorate Master'!$A$2:$Q$13,6,FALSE)</x:f>
        <x:v>0.7695945945945946</x:v>
      </x:c>
      <x:c r="I2492" s="20" t="n">
        <x:f>VLOOKUP(C2492,'Governorate Master'!$A$2:$Q$13,15,FALSE)</x:f>
        <x:v>-0.06527415143603134</x:v>
      </x:c>
      <x:c r="J2492" s="12" t="str">
        <x:v>Location model input - competition/saturation context</x:v>
      </x:c>
      <x:c r="K2492" s="12" t="str">
        <x:v>Business count is from 2018 while population/context indicators are newer; use as a historical proxy, not a current market count.</x:v>
      </x:c>
    </x:row>
    <x:row r="2493">
      <x:c r="A2493" s="12" t="str">
        <x:v>6201</x:v>
      </x:c>
      <x:c r="B2493" s="12" t="str">
        <x:v>Computer programming activities</x:v>
      </x:c>
      <x:c r="C2493" s="12" t="str">
        <x:v>عجلون</x:v>
      </x:c>
      <x:c r="D2493" s="14" t="n">
        <x:v>0</x:v>
      </x:c>
      <x:c r="E2493" s="14" t="n">
        <x:f>VLOOKUP(C2493,'Governorate Master'!$A$2:$Q$13,3,FALSE)</x:f>
        <x:v>219900</x:v>
      </x:c>
      <x:c r="F2493" s="66" t="n">
        <x:f>IF(E2493=0,0,D2493/E2493*10000)</x:f>
        <x:v>0</x:v>
      </x:c>
      <x:c r="G2493" s="67" t="n">
        <x:f>VLOOKUP(C2493,'Governorate Master'!$A$2:$Q$13,7,FALSE)</x:f>
        <x:v>524</x:v>
      </x:c>
      <x:c r="H2493" s="20" t="n">
        <x:f>VLOOKUP(C2493,'Governorate Master'!$A$2:$Q$13,6,FALSE)</x:f>
        <x:v>0.8390177353342428</x:v>
      </x:c>
      <x:c r="I2493" s="20" t="n">
        <x:f>VLOOKUP(C2493,'Governorate Master'!$A$2:$Q$13,15,FALSE)</x:f>
        <x:v>0.03614457831325301</x:v>
      </x:c>
      <x:c r="J2493" s="12" t="str">
        <x:v>Location model input - competition/saturation context</x:v>
      </x:c>
      <x:c r="K2493" s="12" t="str">
        <x:v>Business count is from 2018 while population/context indicators are newer; use as a historical proxy, not a current market count.</x:v>
      </x:c>
    </x:row>
    <x:row r="2494">
      <x:c r="A2494" s="12" t="str">
        <x:v>6201</x:v>
      </x:c>
      <x:c r="B2494" s="12" t="str">
        <x:v>Computer programming activities</x:v>
      </x:c>
      <x:c r="C2494" s="12" t="str">
        <x:v>الكرك</x:v>
      </x:c>
      <x:c r="D2494" s="14" t="n">
        <x:v>0</x:v>
      </x:c>
      <x:c r="E2494" s="14" t="n">
        <x:f>VLOOKUP(C2494,'Governorate Master'!$A$2:$Q$13,3,FALSE)</x:f>
        <x:v>395400</x:v>
      </x:c>
      <x:c r="F2494" s="66" t="n">
        <x:f>IF(E2494=0,0,D2494/E2494*10000)</x:f>
        <x:v>0</x:v>
      </x:c>
      <x:c r="G2494" s="67" t="n">
        <x:f>VLOOKUP(C2494,'Governorate Master'!$A$2:$Q$13,7,FALSE)</x:f>
        <x:v>113.1</x:v>
      </x:c>
      <x:c r="H2494" s="20" t="n">
        <x:f>VLOOKUP(C2494,'Governorate Master'!$A$2:$Q$13,6,FALSE)</x:f>
        <x:v>0.5912999494183105</x:v>
      </x:c>
      <x:c r="I2494" s="20" t="n">
        <x:f>VLOOKUP(C2494,'Governorate Master'!$A$2:$Q$13,15,FALSE)</x:f>
        <x:v>0.08710801393728224</x:v>
      </x:c>
      <x:c r="J2494" s="12" t="str">
        <x:v>Location model input - competition/saturation context</x:v>
      </x:c>
      <x:c r="K2494" s="12" t="str">
        <x:v>Business count is from 2018 while population/context indicators are newer; use as a historical proxy, not a current market count.</x:v>
      </x:c>
    </x:row>
    <x:row r="2495">
      <x:c r="A2495" s="12" t="str">
        <x:v>6201</x:v>
      </x:c>
      <x:c r="B2495" s="12" t="str">
        <x:v>Computer programming activities</x:v>
      </x:c>
      <x:c r="C2495" s="12" t="str">
        <x:v>الطفيلة</x:v>
      </x:c>
      <x:c r="D2495" s="14" t="n">
        <x:v>0</x:v>
      </x:c>
      <x:c r="E2495" s="14" t="n">
        <x:f>VLOOKUP(C2495,'Governorate Master'!$A$2:$Q$13,3,FALSE)</x:f>
        <x:v>120300</x:v>
      </x:c>
      <x:c r="F2495" s="66" t="n">
        <x:f>IF(E2495=0,0,D2495/E2495*10000)</x:f>
        <x:v>0</x:v>
      </x:c>
      <x:c r="G2495" s="67" t="n">
        <x:f>VLOOKUP(C2495,'Governorate Master'!$A$2:$Q$13,7,FALSE)</x:f>
        <x:v>54.4</x:v>
      </x:c>
      <x:c r="H2495" s="20" t="n">
        <x:f>VLOOKUP(C2495,'Governorate Master'!$A$2:$Q$13,6,FALSE)</x:f>
        <x:v>0.7797173732335827</x:v>
      </x:c>
      <x:c r="I2495" s="20" t="n">
        <x:f>VLOOKUP(C2495,'Governorate Master'!$A$2:$Q$13,15,FALSE)</x:f>
        <x:v>0.18452380952380953</x:v>
      </x:c>
      <x:c r="J2495" s="12" t="str">
        <x:v>Location model input - competition/saturation context</x:v>
      </x:c>
      <x:c r="K2495" s="12" t="str">
        <x:v>Business count is from 2018 while population/context indicators are newer; use as a historical proxy, not a current market count.</x:v>
      </x:c>
    </x:row>
    <x:row r="2496">
      <x:c r="A2496" s="12" t="str">
        <x:v>6201</x:v>
      </x:c>
      <x:c r="B2496" s="12" t="str">
        <x:v>Computer programming activities</x:v>
      </x:c>
      <x:c r="C2496" s="12" t="str">
        <x:v>معان</x:v>
      </x:c>
      <x:c r="D2496" s="14" t="n">
        <x:v>0</x:v>
      </x:c>
      <x:c r="E2496" s="14" t="n">
        <x:f>VLOOKUP(C2496,'Governorate Master'!$A$2:$Q$13,3,FALSE)</x:f>
        <x:v>197900</x:v>
      </x:c>
      <x:c r="F2496" s="66" t="n">
        <x:f>IF(E2496=0,0,D2496/E2496*10000)</x:f>
        <x:v>0</x:v>
      </x:c>
      <x:c r="G2496" s="67" t="n">
        <x:f>VLOOKUP(C2496,'Governorate Master'!$A$2:$Q$13,7,FALSE)</x:f>
        <x:v>6</x:v>
      </x:c>
      <x:c r="H2496" s="20" t="n">
        <x:f>VLOOKUP(C2496,'Governorate Master'!$A$2:$Q$13,6,FALSE)</x:f>
        <x:v>0.5406771096513391</x:v>
      </x:c>
      <x:c r="I2496" s="20" t="n">
        <x:f>VLOOKUP(C2496,'Governorate Master'!$A$2:$Q$13,15,FALSE)</x:f>
        <x:v>0.026845637583892617</x:v>
      </x:c>
      <x:c r="J2496" s="12" t="str">
        <x:v>Location model input - competition/saturation context</x:v>
      </x:c>
      <x:c r="K2496" s="12" t="str">
        <x:v>Business count is from 2018 while population/context indicators are newer; use as a historical proxy, not a current market count.</x:v>
      </x:c>
    </x:row>
    <x:row r="2497">
      <x:c r="A2497" s="12" t="str">
        <x:v>6201</x:v>
      </x:c>
      <x:c r="B2497" s="12" t="str">
        <x:v>Computer programming activities</x:v>
      </x:c>
      <x:c r="C2497" s="12" t="str">
        <x:v>العقبة</x:v>
      </x:c>
      <x:c r="D2497" s="14" t="n">
        <x:v>1</x:v>
      </x:c>
      <x:c r="E2497" s="14" t="n">
        <x:f>VLOOKUP(C2497,'Governorate Master'!$A$2:$Q$13,3,FALSE)</x:f>
        <x:v>250900</x:v>
      </x:c>
      <x:c r="F2497" s="66" t="n">
        <x:f>IF(E2497=0,0,D2497/E2497*10000)</x:f>
        <x:v>0.03985651654045436</x:v>
      </x:c>
      <x:c r="G2497" s="67" t="n">
        <x:f>VLOOKUP(C2497,'Governorate Master'!$A$2:$Q$13,7,FALSE)</x:f>
        <x:v>36.3</x:v>
      </x:c>
      <x:c r="H2497" s="20" t="n">
        <x:f>VLOOKUP(C2497,'Governorate Master'!$A$2:$Q$13,6,FALSE)</x:f>
        <x:v>0.882024711040255</x:v>
      </x:c>
      <x:c r="I2497" s="20" t="n">
        <x:f>VLOOKUP(C2497,'Governorate Master'!$A$2:$Q$13,15,FALSE)</x:f>
        <x:v>-0.09</x:v>
      </x:c>
      <x:c r="J2497" s="12" t="str">
        <x:v>Location model input - competition/saturation context</x:v>
      </x:c>
      <x:c r="K2497" s="12" t="str">
        <x:v>Business count is from 2018 while population/context indicators are newer; use as a historical proxy, not a current market count.</x:v>
      </x:c>
    </x:row>
    <x:row r="2498">
      <x:c r="A2498" s="12" t="str">
        <x:v>6202</x:v>
      </x:c>
      <x:c r="B2498" s="12" t="str">
        <x:v>Computer consultancy and computer facilities management activities</x:v>
      </x:c>
      <x:c r="C2498" s="12" t="str">
        <x:v>عمان</x:v>
      </x:c>
      <x:c r="D2498" s="14" t="n">
        <x:v>27</x:v>
      </x:c>
      <x:c r="E2498" s="14" t="n">
        <x:f>VLOOKUP(C2498,'Governorate Master'!$A$2:$Q$13,3,FALSE)</x:f>
        <x:v>5004600</x:v>
      </x:c>
      <x:c r="F2498" s="66" t="n">
        <x:f>IF(E2498=0,0,D2498/E2498*10000)</x:f>
        <x:v>0.053950365663589496</x:v>
      </x:c>
      <x:c r="G2498" s="67" t="n">
        <x:f>VLOOKUP(C2498,'Governorate Master'!$A$2:$Q$13,7,FALSE)</x:f>
        <x:v>660.3</x:v>
      </x:c>
      <x:c r="H2498" s="20" t="n">
        <x:f>VLOOKUP(C2498,'Governorate Master'!$A$2:$Q$13,6,FALSE)</x:f>
        <x:v>0.9721656076409703</x:v>
      </x:c>
      <x:c r="I2498" s="20" t="n">
        <x:f>VLOOKUP(C2498,'Governorate Master'!$A$2:$Q$13,15,FALSE)</x:f>
        <x:v>0.06367041198501873</x:v>
      </x:c>
      <x:c r="J2498" s="12" t="str">
        <x:v>Location model input - competition/saturation context</x:v>
      </x:c>
      <x:c r="K2498" s="12" t="str">
        <x:v>Business count is from 2018 while population/context indicators are newer; use as a historical proxy, not a current market count.</x:v>
      </x:c>
    </x:row>
    <x:row r="2499">
      <x:c r="A2499" s="12" t="str">
        <x:v>6202</x:v>
      </x:c>
      <x:c r="B2499" s="12" t="str">
        <x:v>Computer consultancy and computer facilities management activities</x:v>
      </x:c>
      <x:c r="C2499" s="12" t="str">
        <x:v>البلقاء</x:v>
      </x:c>
      <x:c r="D2499" s="14" t="n">
        <x:v>1</x:v>
      </x:c>
      <x:c r="E2499" s="14" t="n">
        <x:f>VLOOKUP(C2499,'Governorate Master'!$A$2:$Q$13,3,FALSE)</x:f>
        <x:v>614000</x:v>
      </x:c>
      <x:c r="F2499" s="66" t="n">
        <x:f>IF(E2499=0,0,D2499/E2499*10000)</x:f>
        <x:v>0.016286644951140065</x:v>
      </x:c>
      <x:c r="G2499" s="67" t="n">
        <x:f>VLOOKUP(C2499,'Governorate Master'!$A$2:$Q$13,7,FALSE)</x:f>
        <x:v>548</x:v>
      </x:c>
      <x:c r="H2499" s="20" t="n">
        <x:f>VLOOKUP(C2499,'Governorate Master'!$A$2:$Q$13,6,FALSE)</x:f>
        <x:v>0.8210097719869707</x:v>
      </x:c>
      <x:c r="I2499" s="20" t="n">
        <x:f>VLOOKUP(C2499,'Governorate Master'!$A$2:$Q$13,15,FALSE)</x:f>
        <x:v>0.10794044665012408</x:v>
      </x:c>
      <x:c r="J2499" s="12" t="str">
        <x:v>Location model input - competition/saturation context</x:v>
      </x:c>
      <x:c r="K2499" s="12" t="str">
        <x:v>Business count is from 2018 while population/context indicators are newer; use as a historical proxy, not a current market count.</x:v>
      </x:c>
    </x:row>
    <x:row r="2500">
      <x:c r="A2500" s="12" t="str">
        <x:v>6202</x:v>
      </x:c>
      <x:c r="B2500" s="12" t="str">
        <x:v>Computer consultancy and computer facilities management activities</x:v>
      </x:c>
      <x:c r="C2500" s="12" t="str">
        <x:v>الزرقاء</x:v>
      </x:c>
      <x:c r="D2500" s="14" t="n">
        <x:v>0</x:v>
      </x:c>
      <x:c r="E2500" s="14" t="n">
        <x:f>VLOOKUP(C2500,'Governorate Master'!$A$2:$Q$13,3,FALSE)</x:f>
        <x:v>1704500</x:v>
      </x:c>
      <x:c r="F2500" s="66" t="n">
        <x:f>IF(E2500=0,0,D2500/E2500*10000)</x:f>
        <x:v>0</x:v>
      </x:c>
      <x:c r="G2500" s="67" t="n">
        <x:f>VLOOKUP(C2500,'Governorate Master'!$A$2:$Q$13,7,FALSE)</x:f>
        <x:v>358</x:v>
      </x:c>
      <x:c r="H2500" s="20" t="n">
        <x:f>VLOOKUP(C2500,'Governorate Master'!$A$2:$Q$13,6,FALSE)</x:f>
        <x:v>0.9636256966852449</x:v>
      </x:c>
      <x:c r="I2500" s="20" t="n">
        <x:f>VLOOKUP(C2500,'Governorate Master'!$A$2:$Q$13,15,FALSE)</x:f>
        <x:v>-0.06808762581409118</x:v>
      </x:c>
      <x:c r="J2500" s="12" t="str">
        <x:v>Location model input - competition/saturation context</x:v>
      </x:c>
      <x:c r="K2500" s="12" t="str">
        <x:v>Business count is from 2018 while population/context indicators are newer; use as a historical proxy, not a current market count.</x:v>
      </x:c>
    </x:row>
    <x:row r="2501">
      <x:c r="A2501" s="12" t="str">
        <x:v>6202</x:v>
      </x:c>
      <x:c r="B2501" s="12" t="str">
        <x:v>Computer consultancy and computer facilities management activities</x:v>
      </x:c>
      <x:c r="C2501" s="12" t="str">
        <x:v>مادبا</x:v>
      </x:c>
      <x:c r="D2501" s="14" t="n">
        <x:v>0</x:v>
      </x:c>
      <x:c r="E2501" s="14" t="n">
        <x:f>VLOOKUP(C2501,'Governorate Master'!$A$2:$Q$13,3,FALSE)</x:f>
        <x:v>236200</x:v>
      </x:c>
      <x:c r="F2501" s="66" t="n">
        <x:f>IF(E2501=0,0,D2501/E2501*10000)</x:f>
        <x:v>0</x:v>
      </x:c>
      <x:c r="G2501" s="67" t="n">
        <x:f>VLOOKUP(C2501,'Governorate Master'!$A$2:$Q$13,7,FALSE)</x:f>
        <x:v>251.4</x:v>
      </x:c>
      <x:c r="H2501" s="20" t="n">
        <x:f>VLOOKUP(C2501,'Governorate Master'!$A$2:$Q$13,6,FALSE)</x:f>
        <x:v>0.7823878069432684</x:v>
      </x:c>
      <x:c r="I2501" s="20" t="n">
        <x:f>VLOOKUP(C2501,'Governorate Master'!$A$2:$Q$13,15,FALSE)</x:f>
        <x:v>-0.18823529411764706</x:v>
      </x:c>
      <x:c r="J2501" s="12" t="str">
        <x:v>Location model input - competition/saturation context</x:v>
      </x:c>
      <x:c r="K2501" s="12" t="str">
        <x:v>Business count is from 2018 while population/context indicators are newer; use as a historical proxy, not a current market count.</x:v>
      </x:c>
    </x:row>
    <x:row r="2502">
      <x:c r="A2502" s="12" t="str">
        <x:v>6202</x:v>
      </x:c>
      <x:c r="B2502" s="12" t="str">
        <x:v>Computer consultancy and computer facilities management activities</x:v>
      </x:c>
      <x:c r="C2502" s="12" t="str">
        <x:v>إربد</x:v>
      </x:c>
      <x:c r="D2502" s="14" t="n">
        <x:v>2</x:v>
      </x:c>
      <x:c r="E2502" s="14" t="n">
        <x:f>VLOOKUP(C2502,'Governorate Master'!$A$2:$Q$13,3,FALSE)</x:f>
        <x:v>2210500</x:v>
      </x:c>
      <x:c r="F2502" s="66" t="n">
        <x:f>IF(E2502=0,0,D2502/E2502*10000)</x:f>
        <x:v>0.009047726758651889</x:v>
      </x:c>
      <x:c r="G2502" s="67" t="n">
        <x:f>VLOOKUP(C2502,'Governorate Master'!$A$2:$Q$13,7,FALSE)</x:f>
        <x:v>1406.4</x:v>
      </x:c>
      <x:c r="H2502" s="20" t="n">
        <x:f>VLOOKUP(C2502,'Governorate Master'!$A$2:$Q$13,6,FALSE)</x:f>
        <x:v>0.9235014702555983</x:v>
      </x:c>
      <x:c r="I2502" s="20" t="n">
        <x:f>VLOOKUP(C2502,'Governorate Master'!$A$2:$Q$13,15,FALSE)</x:f>
        <x:v>0.07086922474549726</x:v>
      </x:c>
      <x:c r="J2502" s="12" t="str">
        <x:v>Location model input - competition/saturation context</x:v>
      </x:c>
      <x:c r="K2502" s="12" t="str">
        <x:v>Business count is from 2018 while population/context indicators are newer; use as a historical proxy, not a current market count.</x:v>
      </x:c>
    </x:row>
    <x:row r="2503">
      <x:c r="A2503" s="12" t="str">
        <x:v>6202</x:v>
      </x:c>
      <x:c r="B2503" s="12" t="str">
        <x:v>Computer consultancy and computer facilities management activities</x:v>
      </x:c>
      <x:c r="C2503" s="12" t="str">
        <x:v>المفرق</x:v>
      </x:c>
      <x:c r="D2503" s="14" t="n">
        <x:v>1</x:v>
      </x:c>
      <x:c r="E2503" s="14" t="n">
        <x:f>VLOOKUP(C2503,'Governorate Master'!$A$2:$Q$13,3,FALSE)</x:f>
        <x:v>686800</x:v>
      </x:c>
      <x:c r="F2503" s="66" t="n">
        <x:f>IF(E2503=0,0,D2503/E2503*10000)</x:f>
        <x:v>0.014560279557367502</x:v>
      </x:c>
      <x:c r="G2503" s="67" t="n">
        <x:f>VLOOKUP(C2503,'Governorate Master'!$A$2:$Q$13,7,FALSE)</x:f>
        <x:v>25.9</x:v>
      </x:c>
      <x:c r="H2503" s="20" t="n">
        <x:f>VLOOKUP(C2503,'Governorate Master'!$A$2:$Q$13,6,FALSE)</x:f>
        <x:v>0.6965637740244612</x:v>
      </x:c>
      <x:c r="I2503" s="20" t="n">
        <x:f>VLOOKUP(C2503,'Governorate Master'!$A$2:$Q$13,15,FALSE)</x:f>
        <x:v>-0.016638935108153077</x:v>
      </x:c>
      <x:c r="J2503" s="12" t="str">
        <x:v>Location model input - competition/saturation context</x:v>
      </x:c>
      <x:c r="K2503" s="12" t="str">
        <x:v>Business count is from 2018 while population/context indicators are newer; use as a historical proxy, not a current market count.</x:v>
      </x:c>
    </x:row>
    <x:row r="2504">
      <x:c r="A2504" s="12" t="str">
        <x:v>6202</x:v>
      </x:c>
      <x:c r="B2504" s="12" t="str">
        <x:v>Computer consultancy and computer facilities management activities</x:v>
      </x:c>
      <x:c r="C2504" s="12" t="str">
        <x:v>جرش</x:v>
      </x:c>
      <x:c r="D2504" s="14" t="n">
        <x:v>1</x:v>
      </x:c>
      <x:c r="E2504" s="14" t="n">
        <x:f>VLOOKUP(C2504,'Governorate Master'!$A$2:$Q$13,3,FALSE)</x:f>
        <x:v>296000</x:v>
      </x:c>
      <x:c r="F2504" s="66" t="n">
        <x:f>IF(E2504=0,0,D2504/E2504*10000)</x:f>
        <x:v>0.033783783783783786</x:v>
      </x:c>
      <x:c r="G2504" s="67" t="n">
        <x:f>VLOOKUP(C2504,'Governorate Master'!$A$2:$Q$13,7,FALSE)</x:f>
        <x:v>722.3</x:v>
      </x:c>
      <x:c r="H2504" s="20" t="n">
        <x:f>VLOOKUP(C2504,'Governorate Master'!$A$2:$Q$13,6,FALSE)</x:f>
        <x:v>0.7695945945945946</x:v>
      </x:c>
      <x:c r="I2504" s="20" t="n">
        <x:f>VLOOKUP(C2504,'Governorate Master'!$A$2:$Q$13,15,FALSE)</x:f>
        <x:v>-0.06527415143603134</x:v>
      </x:c>
      <x:c r="J2504" s="12" t="str">
        <x:v>Location model input - competition/saturation context</x:v>
      </x:c>
      <x:c r="K2504" s="12" t="str">
        <x:v>Business count is from 2018 while population/context indicators are newer; use as a historical proxy, not a current market count.</x:v>
      </x:c>
    </x:row>
    <x:row r="2505">
      <x:c r="A2505" s="12" t="str">
        <x:v>6202</x:v>
      </x:c>
      <x:c r="B2505" s="12" t="str">
        <x:v>Computer consultancy and computer facilities management activities</x:v>
      </x:c>
      <x:c r="C2505" s="12" t="str">
        <x:v>عجلون</x:v>
      </x:c>
      <x:c r="D2505" s="14" t="n">
        <x:v>0</x:v>
      </x:c>
      <x:c r="E2505" s="14" t="n">
        <x:f>VLOOKUP(C2505,'Governorate Master'!$A$2:$Q$13,3,FALSE)</x:f>
        <x:v>219900</x:v>
      </x:c>
      <x:c r="F2505" s="66" t="n">
        <x:f>IF(E2505=0,0,D2505/E2505*10000)</x:f>
        <x:v>0</x:v>
      </x:c>
      <x:c r="G2505" s="67" t="n">
        <x:f>VLOOKUP(C2505,'Governorate Master'!$A$2:$Q$13,7,FALSE)</x:f>
        <x:v>524</x:v>
      </x:c>
      <x:c r="H2505" s="20" t="n">
        <x:f>VLOOKUP(C2505,'Governorate Master'!$A$2:$Q$13,6,FALSE)</x:f>
        <x:v>0.8390177353342428</x:v>
      </x:c>
      <x:c r="I2505" s="20" t="n">
        <x:f>VLOOKUP(C2505,'Governorate Master'!$A$2:$Q$13,15,FALSE)</x:f>
        <x:v>0.03614457831325301</x:v>
      </x:c>
      <x:c r="J2505" s="12" t="str">
        <x:v>Location model input - competition/saturation context</x:v>
      </x:c>
      <x:c r="K2505" s="12" t="str">
        <x:v>Business count is from 2018 while population/context indicators are newer; use as a historical proxy, not a current market count.</x:v>
      </x:c>
    </x:row>
    <x:row r="2506">
      <x:c r="A2506" s="12" t="str">
        <x:v>6202</x:v>
      </x:c>
      <x:c r="B2506" s="12" t="str">
        <x:v>Computer consultancy and computer facilities management activities</x:v>
      </x:c>
      <x:c r="C2506" s="12" t="str">
        <x:v>الكرك</x:v>
      </x:c>
      <x:c r="D2506" s="14" t="n">
        <x:v>0</x:v>
      </x:c>
      <x:c r="E2506" s="14" t="n">
        <x:f>VLOOKUP(C2506,'Governorate Master'!$A$2:$Q$13,3,FALSE)</x:f>
        <x:v>395400</x:v>
      </x:c>
      <x:c r="F2506" s="66" t="n">
        <x:f>IF(E2506=0,0,D2506/E2506*10000)</x:f>
        <x:v>0</x:v>
      </x:c>
      <x:c r="G2506" s="67" t="n">
        <x:f>VLOOKUP(C2506,'Governorate Master'!$A$2:$Q$13,7,FALSE)</x:f>
        <x:v>113.1</x:v>
      </x:c>
      <x:c r="H2506" s="20" t="n">
        <x:f>VLOOKUP(C2506,'Governorate Master'!$A$2:$Q$13,6,FALSE)</x:f>
        <x:v>0.5912999494183105</x:v>
      </x:c>
      <x:c r="I2506" s="20" t="n">
        <x:f>VLOOKUP(C2506,'Governorate Master'!$A$2:$Q$13,15,FALSE)</x:f>
        <x:v>0.08710801393728224</x:v>
      </x:c>
      <x:c r="J2506" s="12" t="str">
        <x:v>Location model input - competition/saturation context</x:v>
      </x:c>
      <x:c r="K2506" s="12" t="str">
        <x:v>Business count is from 2018 while population/context indicators are newer; use as a historical proxy, not a current market count.</x:v>
      </x:c>
    </x:row>
    <x:row r="2507">
      <x:c r="A2507" s="12" t="str">
        <x:v>6202</x:v>
      </x:c>
      <x:c r="B2507" s="12" t="str">
        <x:v>Computer consultancy and computer facilities management activities</x:v>
      </x:c>
      <x:c r="C2507" s="12" t="str">
        <x:v>الطفيلة</x:v>
      </x:c>
      <x:c r="D2507" s="14" t="n">
        <x:v>0</x:v>
      </x:c>
      <x:c r="E2507" s="14" t="n">
        <x:f>VLOOKUP(C2507,'Governorate Master'!$A$2:$Q$13,3,FALSE)</x:f>
        <x:v>120300</x:v>
      </x:c>
      <x:c r="F2507" s="66" t="n">
        <x:f>IF(E2507=0,0,D2507/E2507*10000)</x:f>
        <x:v>0</x:v>
      </x:c>
      <x:c r="G2507" s="67" t="n">
        <x:f>VLOOKUP(C2507,'Governorate Master'!$A$2:$Q$13,7,FALSE)</x:f>
        <x:v>54.4</x:v>
      </x:c>
      <x:c r="H2507" s="20" t="n">
        <x:f>VLOOKUP(C2507,'Governorate Master'!$A$2:$Q$13,6,FALSE)</x:f>
        <x:v>0.7797173732335827</x:v>
      </x:c>
      <x:c r="I2507" s="20" t="n">
        <x:f>VLOOKUP(C2507,'Governorate Master'!$A$2:$Q$13,15,FALSE)</x:f>
        <x:v>0.18452380952380953</x:v>
      </x:c>
      <x:c r="J2507" s="12" t="str">
        <x:v>Location model input - competition/saturation context</x:v>
      </x:c>
      <x:c r="K2507" s="12" t="str">
        <x:v>Business count is from 2018 while population/context indicators are newer; use as a historical proxy, not a current market count.</x:v>
      </x:c>
    </x:row>
    <x:row r="2508">
      <x:c r="A2508" s="12" t="str">
        <x:v>6202</x:v>
      </x:c>
      <x:c r="B2508" s="12" t="str">
        <x:v>Computer consultancy and computer facilities management activities</x:v>
      </x:c>
      <x:c r="C2508" s="12" t="str">
        <x:v>معان</x:v>
      </x:c>
      <x:c r="D2508" s="14" t="n">
        <x:v>0</x:v>
      </x:c>
      <x:c r="E2508" s="14" t="n">
        <x:f>VLOOKUP(C2508,'Governorate Master'!$A$2:$Q$13,3,FALSE)</x:f>
        <x:v>197900</x:v>
      </x:c>
      <x:c r="F2508" s="66" t="n">
        <x:f>IF(E2508=0,0,D2508/E2508*10000)</x:f>
        <x:v>0</x:v>
      </x:c>
      <x:c r="G2508" s="67" t="n">
        <x:f>VLOOKUP(C2508,'Governorate Master'!$A$2:$Q$13,7,FALSE)</x:f>
        <x:v>6</x:v>
      </x:c>
      <x:c r="H2508" s="20" t="n">
        <x:f>VLOOKUP(C2508,'Governorate Master'!$A$2:$Q$13,6,FALSE)</x:f>
        <x:v>0.5406771096513391</x:v>
      </x:c>
      <x:c r="I2508" s="20" t="n">
        <x:f>VLOOKUP(C2508,'Governorate Master'!$A$2:$Q$13,15,FALSE)</x:f>
        <x:v>0.026845637583892617</x:v>
      </x:c>
      <x:c r="J2508" s="12" t="str">
        <x:v>Location model input - competition/saturation context</x:v>
      </x:c>
      <x:c r="K2508" s="12" t="str">
        <x:v>Business count is from 2018 while population/context indicators are newer; use as a historical proxy, not a current market count.</x:v>
      </x:c>
    </x:row>
    <x:row r="2509">
      <x:c r="A2509" s="12" t="str">
        <x:v>6202</x:v>
      </x:c>
      <x:c r="B2509" s="12" t="str">
        <x:v>Computer consultancy and computer facilities management activities</x:v>
      </x:c>
      <x:c r="C2509" s="12" t="str">
        <x:v>العقبة</x:v>
      </x:c>
      <x:c r="D2509" s="14" t="n">
        <x:v>0</x:v>
      </x:c>
      <x:c r="E2509" s="14" t="n">
        <x:f>VLOOKUP(C2509,'Governorate Master'!$A$2:$Q$13,3,FALSE)</x:f>
        <x:v>250900</x:v>
      </x:c>
      <x:c r="F2509" s="66" t="n">
        <x:f>IF(E2509=0,0,D2509/E2509*10000)</x:f>
        <x:v>0</x:v>
      </x:c>
      <x:c r="G2509" s="67" t="n">
        <x:f>VLOOKUP(C2509,'Governorate Master'!$A$2:$Q$13,7,FALSE)</x:f>
        <x:v>36.3</x:v>
      </x:c>
      <x:c r="H2509" s="20" t="n">
        <x:f>VLOOKUP(C2509,'Governorate Master'!$A$2:$Q$13,6,FALSE)</x:f>
        <x:v>0.882024711040255</x:v>
      </x:c>
      <x:c r="I2509" s="20" t="n">
        <x:f>VLOOKUP(C2509,'Governorate Master'!$A$2:$Q$13,15,FALSE)</x:f>
        <x:v>-0.09</x:v>
      </x:c>
      <x:c r="J2509" s="12" t="str">
        <x:v>Location model input - competition/saturation context</x:v>
      </x:c>
      <x:c r="K2509" s="12" t="str">
        <x:v>Business count is from 2018 while population/context indicators are newer; use as a historical proxy, not a current market count.</x:v>
      </x:c>
    </x:row>
    <x:row r="2510">
      <x:c r="A2510" s="12" t="str">
        <x:v>6209</x:v>
      </x:c>
      <x:c r="B2510" s="12" t="str">
        <x:v>Other information technology and computer service activities</x:v>
      </x:c>
      <x:c r="C2510" s="12" t="str">
        <x:v>عمان</x:v>
      </x:c>
      <x:c r="D2510" s="14" t="n">
        <x:v>53</x:v>
      </x:c>
      <x:c r="E2510" s="14" t="n">
        <x:f>VLOOKUP(C2510,'Governorate Master'!$A$2:$Q$13,3,FALSE)</x:f>
        <x:v>5004600</x:v>
      </x:c>
      <x:c r="F2510" s="66" t="n">
        <x:f>IF(E2510=0,0,D2510/E2510*10000)</x:f>
        <x:v>0.10590256963593495</x:v>
      </x:c>
      <x:c r="G2510" s="67" t="n">
        <x:f>VLOOKUP(C2510,'Governorate Master'!$A$2:$Q$13,7,FALSE)</x:f>
        <x:v>660.3</x:v>
      </x:c>
      <x:c r="H2510" s="20" t="n">
        <x:f>VLOOKUP(C2510,'Governorate Master'!$A$2:$Q$13,6,FALSE)</x:f>
        <x:v>0.9721656076409703</x:v>
      </x:c>
      <x:c r="I2510" s="20" t="n">
        <x:f>VLOOKUP(C2510,'Governorate Master'!$A$2:$Q$13,15,FALSE)</x:f>
        <x:v>0.06367041198501873</x:v>
      </x:c>
      <x:c r="J2510" s="12" t="str">
        <x:v>Location model input - competition/saturation context</x:v>
      </x:c>
      <x:c r="K2510" s="12" t="str">
        <x:v>Business count is from 2018 while population/context indicators are newer; use as a historical proxy, not a current market count.</x:v>
      </x:c>
    </x:row>
    <x:row r="2511">
      <x:c r="A2511" s="12" t="str">
        <x:v>6209</x:v>
      </x:c>
      <x:c r="B2511" s="12" t="str">
        <x:v>Other information technology and computer service activities</x:v>
      </x:c>
      <x:c r="C2511" s="12" t="str">
        <x:v>البلقاء</x:v>
      </x:c>
      <x:c r="D2511" s="14" t="n">
        <x:v>0</x:v>
      </x:c>
      <x:c r="E2511" s="14" t="n">
        <x:f>VLOOKUP(C2511,'Governorate Master'!$A$2:$Q$13,3,FALSE)</x:f>
        <x:v>614000</x:v>
      </x:c>
      <x:c r="F2511" s="66" t="n">
        <x:f>IF(E2511=0,0,D2511/E2511*10000)</x:f>
        <x:v>0</x:v>
      </x:c>
      <x:c r="G2511" s="67" t="n">
        <x:f>VLOOKUP(C2511,'Governorate Master'!$A$2:$Q$13,7,FALSE)</x:f>
        <x:v>548</x:v>
      </x:c>
      <x:c r="H2511" s="20" t="n">
        <x:f>VLOOKUP(C2511,'Governorate Master'!$A$2:$Q$13,6,FALSE)</x:f>
        <x:v>0.8210097719869707</x:v>
      </x:c>
      <x:c r="I2511" s="20" t="n">
        <x:f>VLOOKUP(C2511,'Governorate Master'!$A$2:$Q$13,15,FALSE)</x:f>
        <x:v>0.10794044665012408</x:v>
      </x:c>
      <x:c r="J2511" s="12" t="str">
        <x:v>Location model input - competition/saturation context</x:v>
      </x:c>
      <x:c r="K2511" s="12" t="str">
        <x:v>Business count is from 2018 while population/context indicators are newer; use as a historical proxy, not a current market count.</x:v>
      </x:c>
    </x:row>
    <x:row r="2512">
      <x:c r="A2512" s="12" t="str">
        <x:v>6209</x:v>
      </x:c>
      <x:c r="B2512" s="12" t="str">
        <x:v>Other information technology and computer service activities</x:v>
      </x:c>
      <x:c r="C2512" s="12" t="str">
        <x:v>الزرقاء</x:v>
      </x:c>
      <x:c r="D2512" s="14" t="n">
        <x:v>0</x:v>
      </x:c>
      <x:c r="E2512" s="14" t="n">
        <x:f>VLOOKUP(C2512,'Governorate Master'!$A$2:$Q$13,3,FALSE)</x:f>
        <x:v>1704500</x:v>
      </x:c>
      <x:c r="F2512" s="66" t="n">
        <x:f>IF(E2512=0,0,D2512/E2512*10000)</x:f>
        <x:v>0</x:v>
      </x:c>
      <x:c r="G2512" s="67" t="n">
        <x:f>VLOOKUP(C2512,'Governorate Master'!$A$2:$Q$13,7,FALSE)</x:f>
        <x:v>358</x:v>
      </x:c>
      <x:c r="H2512" s="20" t="n">
        <x:f>VLOOKUP(C2512,'Governorate Master'!$A$2:$Q$13,6,FALSE)</x:f>
        <x:v>0.9636256966852449</x:v>
      </x:c>
      <x:c r="I2512" s="20" t="n">
        <x:f>VLOOKUP(C2512,'Governorate Master'!$A$2:$Q$13,15,FALSE)</x:f>
        <x:v>-0.06808762581409118</x:v>
      </x:c>
      <x:c r="J2512" s="12" t="str">
        <x:v>Location model input - competition/saturation context</x:v>
      </x:c>
      <x:c r="K2512" s="12" t="str">
        <x:v>Business count is from 2018 while population/context indicators are newer; use as a historical proxy, not a current market count.</x:v>
      </x:c>
    </x:row>
    <x:row r="2513">
      <x:c r="A2513" s="12" t="str">
        <x:v>6209</x:v>
      </x:c>
      <x:c r="B2513" s="12" t="str">
        <x:v>Other information technology and computer service activities</x:v>
      </x:c>
      <x:c r="C2513" s="12" t="str">
        <x:v>مادبا</x:v>
      </x:c>
      <x:c r="D2513" s="14" t="n">
        <x:v>0</x:v>
      </x:c>
      <x:c r="E2513" s="14" t="n">
        <x:f>VLOOKUP(C2513,'Governorate Master'!$A$2:$Q$13,3,FALSE)</x:f>
        <x:v>236200</x:v>
      </x:c>
      <x:c r="F2513" s="66" t="n">
        <x:f>IF(E2513=0,0,D2513/E2513*10000)</x:f>
        <x:v>0</x:v>
      </x:c>
      <x:c r="G2513" s="67" t="n">
        <x:f>VLOOKUP(C2513,'Governorate Master'!$A$2:$Q$13,7,FALSE)</x:f>
        <x:v>251.4</x:v>
      </x:c>
      <x:c r="H2513" s="20" t="n">
        <x:f>VLOOKUP(C2513,'Governorate Master'!$A$2:$Q$13,6,FALSE)</x:f>
        <x:v>0.7823878069432684</x:v>
      </x:c>
      <x:c r="I2513" s="20" t="n">
        <x:f>VLOOKUP(C2513,'Governorate Master'!$A$2:$Q$13,15,FALSE)</x:f>
        <x:v>-0.18823529411764706</x:v>
      </x:c>
      <x:c r="J2513" s="12" t="str">
        <x:v>Location model input - competition/saturation context</x:v>
      </x:c>
      <x:c r="K2513" s="12" t="str">
        <x:v>Business count is from 2018 while population/context indicators are newer; use as a historical proxy, not a current market count.</x:v>
      </x:c>
    </x:row>
    <x:row r="2514">
      <x:c r="A2514" s="12" t="str">
        <x:v>6209</x:v>
      </x:c>
      <x:c r="B2514" s="12" t="str">
        <x:v>Other information technology and computer service activities</x:v>
      </x:c>
      <x:c r="C2514" s="12" t="str">
        <x:v>إربد</x:v>
      </x:c>
      <x:c r="D2514" s="14" t="n">
        <x:v>2</x:v>
      </x:c>
      <x:c r="E2514" s="14" t="n">
        <x:f>VLOOKUP(C2514,'Governorate Master'!$A$2:$Q$13,3,FALSE)</x:f>
        <x:v>2210500</x:v>
      </x:c>
      <x:c r="F2514" s="66" t="n">
        <x:f>IF(E2514=0,0,D2514/E2514*10000)</x:f>
        <x:v>0.009047726758651889</x:v>
      </x:c>
      <x:c r="G2514" s="67" t="n">
        <x:f>VLOOKUP(C2514,'Governorate Master'!$A$2:$Q$13,7,FALSE)</x:f>
        <x:v>1406.4</x:v>
      </x:c>
      <x:c r="H2514" s="20" t="n">
        <x:f>VLOOKUP(C2514,'Governorate Master'!$A$2:$Q$13,6,FALSE)</x:f>
        <x:v>0.9235014702555983</x:v>
      </x:c>
      <x:c r="I2514" s="20" t="n">
        <x:f>VLOOKUP(C2514,'Governorate Master'!$A$2:$Q$13,15,FALSE)</x:f>
        <x:v>0.07086922474549726</x:v>
      </x:c>
      <x:c r="J2514" s="12" t="str">
        <x:v>Location model input - competition/saturation context</x:v>
      </x:c>
      <x:c r="K2514" s="12" t="str">
        <x:v>Business count is from 2018 while population/context indicators are newer; use as a historical proxy, not a current market count.</x:v>
      </x:c>
    </x:row>
    <x:row r="2515">
      <x:c r="A2515" s="12" t="str">
        <x:v>6209</x:v>
      </x:c>
      <x:c r="B2515" s="12" t="str">
        <x:v>Other information technology and computer service activities</x:v>
      </x:c>
      <x:c r="C2515" s="12" t="str">
        <x:v>المفرق</x:v>
      </x:c>
      <x:c r="D2515" s="14" t="n">
        <x:v>0</x:v>
      </x:c>
      <x:c r="E2515" s="14" t="n">
        <x:f>VLOOKUP(C2515,'Governorate Master'!$A$2:$Q$13,3,FALSE)</x:f>
        <x:v>686800</x:v>
      </x:c>
      <x:c r="F2515" s="66" t="n">
        <x:f>IF(E2515=0,0,D2515/E2515*10000)</x:f>
        <x:v>0</x:v>
      </x:c>
      <x:c r="G2515" s="67" t="n">
        <x:f>VLOOKUP(C2515,'Governorate Master'!$A$2:$Q$13,7,FALSE)</x:f>
        <x:v>25.9</x:v>
      </x:c>
      <x:c r="H2515" s="20" t="n">
        <x:f>VLOOKUP(C2515,'Governorate Master'!$A$2:$Q$13,6,FALSE)</x:f>
        <x:v>0.6965637740244612</x:v>
      </x:c>
      <x:c r="I2515" s="20" t="n">
        <x:f>VLOOKUP(C2515,'Governorate Master'!$A$2:$Q$13,15,FALSE)</x:f>
        <x:v>-0.016638935108153077</x:v>
      </x:c>
      <x:c r="J2515" s="12" t="str">
        <x:v>Location model input - competition/saturation context</x:v>
      </x:c>
      <x:c r="K2515" s="12" t="str">
        <x:v>Business count is from 2018 while population/context indicators are newer; use as a historical proxy, not a current market count.</x:v>
      </x:c>
    </x:row>
    <x:row r="2516">
      <x:c r="A2516" s="12" t="str">
        <x:v>6209</x:v>
      </x:c>
      <x:c r="B2516" s="12" t="str">
        <x:v>Other information technology and computer service activities</x:v>
      </x:c>
      <x:c r="C2516" s="12" t="str">
        <x:v>جرش</x:v>
      </x:c>
      <x:c r="D2516" s="14" t="n">
        <x:v>0</x:v>
      </x:c>
      <x:c r="E2516" s="14" t="n">
        <x:f>VLOOKUP(C2516,'Governorate Master'!$A$2:$Q$13,3,FALSE)</x:f>
        <x:v>296000</x:v>
      </x:c>
      <x:c r="F2516" s="66" t="n">
        <x:f>IF(E2516=0,0,D2516/E2516*10000)</x:f>
        <x:v>0</x:v>
      </x:c>
      <x:c r="G2516" s="67" t="n">
        <x:f>VLOOKUP(C2516,'Governorate Master'!$A$2:$Q$13,7,FALSE)</x:f>
        <x:v>722.3</x:v>
      </x:c>
      <x:c r="H2516" s="20" t="n">
        <x:f>VLOOKUP(C2516,'Governorate Master'!$A$2:$Q$13,6,FALSE)</x:f>
        <x:v>0.7695945945945946</x:v>
      </x:c>
      <x:c r="I2516" s="20" t="n">
        <x:f>VLOOKUP(C2516,'Governorate Master'!$A$2:$Q$13,15,FALSE)</x:f>
        <x:v>-0.06527415143603134</x:v>
      </x:c>
      <x:c r="J2516" s="12" t="str">
        <x:v>Location model input - competition/saturation context</x:v>
      </x:c>
      <x:c r="K2516" s="12" t="str">
        <x:v>Business count is from 2018 while population/context indicators are newer; use as a historical proxy, not a current market count.</x:v>
      </x:c>
    </x:row>
    <x:row r="2517">
      <x:c r="A2517" s="12" t="str">
        <x:v>6209</x:v>
      </x:c>
      <x:c r="B2517" s="12" t="str">
        <x:v>Other information technology and computer service activities</x:v>
      </x:c>
      <x:c r="C2517" s="12" t="str">
        <x:v>عجلون</x:v>
      </x:c>
      <x:c r="D2517" s="14" t="n">
        <x:v>0</x:v>
      </x:c>
      <x:c r="E2517" s="14" t="n">
        <x:f>VLOOKUP(C2517,'Governorate Master'!$A$2:$Q$13,3,FALSE)</x:f>
        <x:v>219900</x:v>
      </x:c>
      <x:c r="F2517" s="66" t="n">
        <x:f>IF(E2517=0,0,D2517/E2517*10000)</x:f>
        <x:v>0</x:v>
      </x:c>
      <x:c r="G2517" s="67" t="n">
        <x:f>VLOOKUP(C2517,'Governorate Master'!$A$2:$Q$13,7,FALSE)</x:f>
        <x:v>524</x:v>
      </x:c>
      <x:c r="H2517" s="20" t="n">
        <x:f>VLOOKUP(C2517,'Governorate Master'!$A$2:$Q$13,6,FALSE)</x:f>
        <x:v>0.8390177353342428</x:v>
      </x:c>
      <x:c r="I2517" s="20" t="n">
        <x:f>VLOOKUP(C2517,'Governorate Master'!$A$2:$Q$13,15,FALSE)</x:f>
        <x:v>0.03614457831325301</x:v>
      </x:c>
      <x:c r="J2517" s="12" t="str">
        <x:v>Location model input - competition/saturation context</x:v>
      </x:c>
      <x:c r="K2517" s="12" t="str">
        <x:v>Business count is from 2018 while population/context indicators are newer; use as a historical proxy, not a current market count.</x:v>
      </x:c>
    </x:row>
    <x:row r="2518">
      <x:c r="A2518" s="12" t="str">
        <x:v>6209</x:v>
      </x:c>
      <x:c r="B2518" s="12" t="str">
        <x:v>Other information technology and computer service activities</x:v>
      </x:c>
      <x:c r="C2518" s="12" t="str">
        <x:v>الكرك</x:v>
      </x:c>
      <x:c r="D2518" s="14" t="n">
        <x:v>0</x:v>
      </x:c>
      <x:c r="E2518" s="14" t="n">
        <x:f>VLOOKUP(C2518,'Governorate Master'!$A$2:$Q$13,3,FALSE)</x:f>
        <x:v>395400</x:v>
      </x:c>
      <x:c r="F2518" s="66" t="n">
        <x:f>IF(E2518=0,0,D2518/E2518*10000)</x:f>
        <x:v>0</x:v>
      </x:c>
      <x:c r="G2518" s="67" t="n">
        <x:f>VLOOKUP(C2518,'Governorate Master'!$A$2:$Q$13,7,FALSE)</x:f>
        <x:v>113.1</x:v>
      </x:c>
      <x:c r="H2518" s="20" t="n">
        <x:f>VLOOKUP(C2518,'Governorate Master'!$A$2:$Q$13,6,FALSE)</x:f>
        <x:v>0.5912999494183105</x:v>
      </x:c>
      <x:c r="I2518" s="20" t="n">
        <x:f>VLOOKUP(C2518,'Governorate Master'!$A$2:$Q$13,15,FALSE)</x:f>
        <x:v>0.08710801393728224</x:v>
      </x:c>
      <x:c r="J2518" s="12" t="str">
        <x:v>Location model input - competition/saturation context</x:v>
      </x:c>
      <x:c r="K2518" s="12" t="str">
        <x:v>Business count is from 2018 while population/context indicators are newer; use as a historical proxy, not a current market count.</x:v>
      </x:c>
    </x:row>
    <x:row r="2519">
      <x:c r="A2519" s="12" t="str">
        <x:v>6209</x:v>
      </x:c>
      <x:c r="B2519" s="12" t="str">
        <x:v>Other information technology and computer service activities</x:v>
      </x:c>
      <x:c r="C2519" s="12" t="str">
        <x:v>الطفيلة</x:v>
      </x:c>
      <x:c r="D2519" s="14" t="n">
        <x:v>0</x:v>
      </x:c>
      <x:c r="E2519" s="14" t="n">
        <x:f>VLOOKUP(C2519,'Governorate Master'!$A$2:$Q$13,3,FALSE)</x:f>
        <x:v>120300</x:v>
      </x:c>
      <x:c r="F2519" s="66" t="n">
        <x:f>IF(E2519=0,0,D2519/E2519*10000)</x:f>
        <x:v>0</x:v>
      </x:c>
      <x:c r="G2519" s="67" t="n">
        <x:f>VLOOKUP(C2519,'Governorate Master'!$A$2:$Q$13,7,FALSE)</x:f>
        <x:v>54.4</x:v>
      </x:c>
      <x:c r="H2519" s="20" t="n">
        <x:f>VLOOKUP(C2519,'Governorate Master'!$A$2:$Q$13,6,FALSE)</x:f>
        <x:v>0.7797173732335827</x:v>
      </x:c>
      <x:c r="I2519" s="20" t="n">
        <x:f>VLOOKUP(C2519,'Governorate Master'!$A$2:$Q$13,15,FALSE)</x:f>
        <x:v>0.18452380952380953</x:v>
      </x:c>
      <x:c r="J2519" s="12" t="str">
        <x:v>Location model input - competition/saturation context</x:v>
      </x:c>
      <x:c r="K2519" s="12" t="str">
        <x:v>Business count is from 2018 while population/context indicators are newer; use as a historical proxy, not a current market count.</x:v>
      </x:c>
    </x:row>
    <x:row r="2520">
      <x:c r="A2520" s="12" t="str">
        <x:v>6209</x:v>
      </x:c>
      <x:c r="B2520" s="12" t="str">
        <x:v>Other information technology and computer service activities</x:v>
      </x:c>
      <x:c r="C2520" s="12" t="str">
        <x:v>معان</x:v>
      </x:c>
      <x:c r="D2520" s="14" t="n">
        <x:v>0</x:v>
      </x:c>
      <x:c r="E2520" s="14" t="n">
        <x:f>VLOOKUP(C2520,'Governorate Master'!$A$2:$Q$13,3,FALSE)</x:f>
        <x:v>197900</x:v>
      </x:c>
      <x:c r="F2520" s="66" t="n">
        <x:f>IF(E2520=0,0,D2520/E2520*10000)</x:f>
        <x:v>0</x:v>
      </x:c>
      <x:c r="G2520" s="67" t="n">
        <x:f>VLOOKUP(C2520,'Governorate Master'!$A$2:$Q$13,7,FALSE)</x:f>
        <x:v>6</x:v>
      </x:c>
      <x:c r="H2520" s="20" t="n">
        <x:f>VLOOKUP(C2520,'Governorate Master'!$A$2:$Q$13,6,FALSE)</x:f>
        <x:v>0.5406771096513391</x:v>
      </x:c>
      <x:c r="I2520" s="20" t="n">
        <x:f>VLOOKUP(C2520,'Governorate Master'!$A$2:$Q$13,15,FALSE)</x:f>
        <x:v>0.026845637583892617</x:v>
      </x:c>
      <x:c r="J2520" s="12" t="str">
        <x:v>Location model input - competition/saturation context</x:v>
      </x:c>
      <x:c r="K2520" s="12" t="str">
        <x:v>Business count is from 2018 while population/context indicators are newer; use as a historical proxy, not a current market count.</x:v>
      </x:c>
    </x:row>
    <x:row r="2521">
      <x:c r="A2521" s="12" t="str">
        <x:v>6209</x:v>
      </x:c>
      <x:c r="B2521" s="12" t="str">
        <x:v>Other information technology and computer service activities</x:v>
      </x:c>
      <x:c r="C2521" s="12" t="str">
        <x:v>العقبة</x:v>
      </x:c>
      <x:c r="D2521" s="14" t="n">
        <x:v>0</x:v>
      </x:c>
      <x:c r="E2521" s="14" t="n">
        <x:f>VLOOKUP(C2521,'Governorate Master'!$A$2:$Q$13,3,FALSE)</x:f>
        <x:v>250900</x:v>
      </x:c>
      <x:c r="F2521" s="66" t="n">
        <x:f>IF(E2521=0,0,D2521/E2521*10000)</x:f>
        <x:v>0</x:v>
      </x:c>
      <x:c r="G2521" s="67" t="n">
        <x:f>VLOOKUP(C2521,'Governorate Master'!$A$2:$Q$13,7,FALSE)</x:f>
        <x:v>36.3</x:v>
      </x:c>
      <x:c r="H2521" s="20" t="n">
        <x:f>VLOOKUP(C2521,'Governorate Master'!$A$2:$Q$13,6,FALSE)</x:f>
        <x:v>0.882024711040255</x:v>
      </x:c>
      <x:c r="I2521" s="20" t="n">
        <x:f>VLOOKUP(C2521,'Governorate Master'!$A$2:$Q$13,15,FALSE)</x:f>
        <x:v>-0.09</x:v>
      </x:c>
      <x:c r="J2521" s="12" t="str">
        <x:v>Location model input - competition/saturation context</x:v>
      </x:c>
      <x:c r="K2521" s="12" t="str">
        <x:v>Business count is from 2018 while population/context indicators are newer; use as a historical proxy, not a current market count.</x:v>
      </x:c>
    </x:row>
    <x:row r="2522">
      <x:c r="A2522" s="12" t="str">
        <x:v>6311</x:v>
      </x:c>
      <x:c r="B2522" s="12" t="str">
        <x:v>Data processing, hosting and related activities</x:v>
      </x:c>
      <x:c r="C2522" s="12" t="str">
        <x:v>عمان</x:v>
      </x:c>
      <x:c r="D2522" s="14" t="n">
        <x:v>13</x:v>
      </x:c>
      <x:c r="E2522" s="14" t="n">
        <x:f>VLOOKUP(C2522,'Governorate Master'!$A$2:$Q$13,3,FALSE)</x:f>
        <x:v>5004600</x:v>
      </x:c>
      <x:c r="F2522" s="66" t="n">
        <x:f>IF(E2522=0,0,D2522/E2522*10000)</x:f>
        <x:v>0.02597610198617272</x:v>
      </x:c>
      <x:c r="G2522" s="67" t="n">
        <x:f>VLOOKUP(C2522,'Governorate Master'!$A$2:$Q$13,7,FALSE)</x:f>
        <x:v>660.3</x:v>
      </x:c>
      <x:c r="H2522" s="20" t="n">
        <x:f>VLOOKUP(C2522,'Governorate Master'!$A$2:$Q$13,6,FALSE)</x:f>
        <x:v>0.9721656076409703</x:v>
      </x:c>
      <x:c r="I2522" s="20" t="n">
        <x:f>VLOOKUP(C2522,'Governorate Master'!$A$2:$Q$13,15,FALSE)</x:f>
        <x:v>0.06367041198501873</x:v>
      </x:c>
      <x:c r="J2522" s="12" t="str">
        <x:v>Location model input - competition/saturation context</x:v>
      </x:c>
      <x:c r="K2522" s="12" t="str">
        <x:v>Business count is from 2018 while population/context indicators are newer; use as a historical proxy, not a current market count.</x:v>
      </x:c>
    </x:row>
    <x:row r="2523">
      <x:c r="A2523" s="12" t="str">
        <x:v>6311</x:v>
      </x:c>
      <x:c r="B2523" s="12" t="str">
        <x:v>Data processing, hosting and related activities</x:v>
      </x:c>
      <x:c r="C2523" s="12" t="str">
        <x:v>البلقاء</x:v>
      </x:c>
      <x:c r="D2523" s="14" t="n">
        <x:v>0</x:v>
      </x:c>
      <x:c r="E2523" s="14" t="n">
        <x:f>VLOOKUP(C2523,'Governorate Master'!$A$2:$Q$13,3,FALSE)</x:f>
        <x:v>614000</x:v>
      </x:c>
      <x:c r="F2523" s="66" t="n">
        <x:f>IF(E2523=0,0,D2523/E2523*10000)</x:f>
        <x:v>0</x:v>
      </x:c>
      <x:c r="G2523" s="67" t="n">
        <x:f>VLOOKUP(C2523,'Governorate Master'!$A$2:$Q$13,7,FALSE)</x:f>
        <x:v>548</x:v>
      </x:c>
      <x:c r="H2523" s="20" t="n">
        <x:f>VLOOKUP(C2523,'Governorate Master'!$A$2:$Q$13,6,FALSE)</x:f>
        <x:v>0.8210097719869707</x:v>
      </x:c>
      <x:c r="I2523" s="20" t="n">
        <x:f>VLOOKUP(C2523,'Governorate Master'!$A$2:$Q$13,15,FALSE)</x:f>
        <x:v>0.10794044665012408</x:v>
      </x:c>
      <x:c r="J2523" s="12" t="str">
        <x:v>Location model input - competition/saturation context</x:v>
      </x:c>
      <x:c r="K2523" s="12" t="str">
        <x:v>Business count is from 2018 while population/context indicators are newer; use as a historical proxy, not a current market count.</x:v>
      </x:c>
    </x:row>
    <x:row r="2524">
      <x:c r="A2524" s="12" t="str">
        <x:v>6311</x:v>
      </x:c>
      <x:c r="B2524" s="12" t="str">
        <x:v>Data processing, hosting and related activities</x:v>
      </x:c>
      <x:c r="C2524" s="12" t="str">
        <x:v>الزرقاء</x:v>
      </x:c>
      <x:c r="D2524" s="14" t="n">
        <x:v>1</x:v>
      </x:c>
      <x:c r="E2524" s="14" t="n">
        <x:f>VLOOKUP(C2524,'Governorate Master'!$A$2:$Q$13,3,FALSE)</x:f>
        <x:v>1704500</x:v>
      </x:c>
      <x:c r="F2524" s="66" t="n">
        <x:f>IF(E2524=0,0,D2524/E2524*10000)</x:f>
        <x:v>0.005866823115283074</x:v>
      </x:c>
      <x:c r="G2524" s="67" t="n">
        <x:f>VLOOKUP(C2524,'Governorate Master'!$A$2:$Q$13,7,FALSE)</x:f>
        <x:v>358</x:v>
      </x:c>
      <x:c r="H2524" s="20" t="n">
        <x:f>VLOOKUP(C2524,'Governorate Master'!$A$2:$Q$13,6,FALSE)</x:f>
        <x:v>0.9636256966852449</x:v>
      </x:c>
      <x:c r="I2524" s="20" t="n">
        <x:f>VLOOKUP(C2524,'Governorate Master'!$A$2:$Q$13,15,FALSE)</x:f>
        <x:v>-0.06808762581409118</x:v>
      </x:c>
      <x:c r="J2524" s="12" t="str">
        <x:v>Location model input - competition/saturation context</x:v>
      </x:c>
      <x:c r="K2524" s="12" t="str">
        <x:v>Business count is from 2018 while population/context indicators are newer; use as a historical proxy, not a current market count.</x:v>
      </x:c>
    </x:row>
    <x:row r="2525">
      <x:c r="A2525" s="12" t="str">
        <x:v>6311</x:v>
      </x:c>
      <x:c r="B2525" s="12" t="str">
        <x:v>Data processing, hosting and related activities</x:v>
      </x:c>
      <x:c r="C2525" s="12" t="str">
        <x:v>مادبا</x:v>
      </x:c>
      <x:c r="D2525" s="14" t="n">
        <x:v>0</x:v>
      </x:c>
      <x:c r="E2525" s="14" t="n">
        <x:f>VLOOKUP(C2525,'Governorate Master'!$A$2:$Q$13,3,FALSE)</x:f>
        <x:v>236200</x:v>
      </x:c>
      <x:c r="F2525" s="66" t="n">
        <x:f>IF(E2525=0,0,D2525/E2525*10000)</x:f>
        <x:v>0</x:v>
      </x:c>
      <x:c r="G2525" s="67" t="n">
        <x:f>VLOOKUP(C2525,'Governorate Master'!$A$2:$Q$13,7,FALSE)</x:f>
        <x:v>251.4</x:v>
      </x:c>
      <x:c r="H2525" s="20" t="n">
        <x:f>VLOOKUP(C2525,'Governorate Master'!$A$2:$Q$13,6,FALSE)</x:f>
        <x:v>0.7823878069432684</x:v>
      </x:c>
      <x:c r="I2525" s="20" t="n">
        <x:f>VLOOKUP(C2525,'Governorate Master'!$A$2:$Q$13,15,FALSE)</x:f>
        <x:v>-0.18823529411764706</x:v>
      </x:c>
      <x:c r="J2525" s="12" t="str">
        <x:v>Location model input - competition/saturation context</x:v>
      </x:c>
      <x:c r="K2525" s="12" t="str">
        <x:v>Business count is from 2018 while population/context indicators are newer; use as a historical proxy, not a current market count.</x:v>
      </x:c>
    </x:row>
    <x:row r="2526">
      <x:c r="A2526" s="12" t="str">
        <x:v>6311</x:v>
      </x:c>
      <x:c r="B2526" s="12" t="str">
        <x:v>Data processing, hosting and related activities</x:v>
      </x:c>
      <x:c r="C2526" s="12" t="str">
        <x:v>إربد</x:v>
      </x:c>
      <x:c r="D2526" s="14" t="n">
        <x:v>1</x:v>
      </x:c>
      <x:c r="E2526" s="14" t="n">
        <x:f>VLOOKUP(C2526,'Governorate Master'!$A$2:$Q$13,3,FALSE)</x:f>
        <x:v>2210500</x:v>
      </x:c>
      <x:c r="F2526" s="66" t="n">
        <x:f>IF(E2526=0,0,D2526/E2526*10000)</x:f>
        <x:v>0.004523863379325944</x:v>
      </x:c>
      <x:c r="G2526" s="67" t="n">
        <x:f>VLOOKUP(C2526,'Governorate Master'!$A$2:$Q$13,7,FALSE)</x:f>
        <x:v>1406.4</x:v>
      </x:c>
      <x:c r="H2526" s="20" t="n">
        <x:f>VLOOKUP(C2526,'Governorate Master'!$A$2:$Q$13,6,FALSE)</x:f>
        <x:v>0.9235014702555983</x:v>
      </x:c>
      <x:c r="I2526" s="20" t="n">
        <x:f>VLOOKUP(C2526,'Governorate Master'!$A$2:$Q$13,15,FALSE)</x:f>
        <x:v>0.07086922474549726</x:v>
      </x:c>
      <x:c r="J2526" s="12" t="str">
        <x:v>Location model input - competition/saturation context</x:v>
      </x:c>
      <x:c r="K2526" s="12" t="str">
        <x:v>Business count is from 2018 while population/context indicators are newer; use as a historical proxy, not a current market count.</x:v>
      </x:c>
    </x:row>
    <x:row r="2527">
      <x:c r="A2527" s="12" t="str">
        <x:v>6311</x:v>
      </x:c>
      <x:c r="B2527" s="12" t="str">
        <x:v>Data processing, hosting and related activities</x:v>
      </x:c>
      <x:c r="C2527" s="12" t="str">
        <x:v>المفرق</x:v>
      </x:c>
      <x:c r="D2527" s="14" t="n">
        <x:v>0</x:v>
      </x:c>
      <x:c r="E2527" s="14" t="n">
        <x:f>VLOOKUP(C2527,'Governorate Master'!$A$2:$Q$13,3,FALSE)</x:f>
        <x:v>686800</x:v>
      </x:c>
      <x:c r="F2527" s="66" t="n">
        <x:f>IF(E2527=0,0,D2527/E2527*10000)</x:f>
        <x:v>0</x:v>
      </x:c>
      <x:c r="G2527" s="67" t="n">
        <x:f>VLOOKUP(C2527,'Governorate Master'!$A$2:$Q$13,7,FALSE)</x:f>
        <x:v>25.9</x:v>
      </x:c>
      <x:c r="H2527" s="20" t="n">
        <x:f>VLOOKUP(C2527,'Governorate Master'!$A$2:$Q$13,6,FALSE)</x:f>
        <x:v>0.6965637740244612</x:v>
      </x:c>
      <x:c r="I2527" s="20" t="n">
        <x:f>VLOOKUP(C2527,'Governorate Master'!$A$2:$Q$13,15,FALSE)</x:f>
        <x:v>-0.016638935108153077</x:v>
      </x:c>
      <x:c r="J2527" s="12" t="str">
        <x:v>Location model input - competition/saturation context</x:v>
      </x:c>
      <x:c r="K2527" s="12" t="str">
        <x:v>Business count is from 2018 while population/context indicators are newer; use as a historical proxy, not a current market count.</x:v>
      </x:c>
    </x:row>
    <x:row r="2528">
      <x:c r="A2528" s="12" t="str">
        <x:v>6311</x:v>
      </x:c>
      <x:c r="B2528" s="12" t="str">
        <x:v>Data processing, hosting and related activities</x:v>
      </x:c>
      <x:c r="C2528" s="12" t="str">
        <x:v>جرش</x:v>
      </x:c>
      <x:c r="D2528" s="14" t="n">
        <x:v>0</x:v>
      </x:c>
      <x:c r="E2528" s="14" t="n">
        <x:f>VLOOKUP(C2528,'Governorate Master'!$A$2:$Q$13,3,FALSE)</x:f>
        <x:v>296000</x:v>
      </x:c>
      <x:c r="F2528" s="66" t="n">
        <x:f>IF(E2528=0,0,D2528/E2528*10000)</x:f>
        <x:v>0</x:v>
      </x:c>
      <x:c r="G2528" s="67" t="n">
        <x:f>VLOOKUP(C2528,'Governorate Master'!$A$2:$Q$13,7,FALSE)</x:f>
        <x:v>722.3</x:v>
      </x:c>
      <x:c r="H2528" s="20" t="n">
        <x:f>VLOOKUP(C2528,'Governorate Master'!$A$2:$Q$13,6,FALSE)</x:f>
        <x:v>0.7695945945945946</x:v>
      </x:c>
      <x:c r="I2528" s="20" t="n">
        <x:f>VLOOKUP(C2528,'Governorate Master'!$A$2:$Q$13,15,FALSE)</x:f>
        <x:v>-0.06527415143603134</x:v>
      </x:c>
      <x:c r="J2528" s="12" t="str">
        <x:v>Location model input - competition/saturation context</x:v>
      </x:c>
      <x:c r="K2528" s="12" t="str">
        <x:v>Business count is from 2018 while population/context indicators are newer; use as a historical proxy, not a current market count.</x:v>
      </x:c>
    </x:row>
    <x:row r="2529">
      <x:c r="A2529" s="12" t="str">
        <x:v>6311</x:v>
      </x:c>
      <x:c r="B2529" s="12" t="str">
        <x:v>Data processing, hosting and related activities</x:v>
      </x:c>
      <x:c r="C2529" s="12" t="str">
        <x:v>عجلون</x:v>
      </x:c>
      <x:c r="D2529" s="14" t="n">
        <x:v>0</x:v>
      </x:c>
      <x:c r="E2529" s="14" t="n">
        <x:f>VLOOKUP(C2529,'Governorate Master'!$A$2:$Q$13,3,FALSE)</x:f>
        <x:v>219900</x:v>
      </x:c>
      <x:c r="F2529" s="66" t="n">
        <x:f>IF(E2529=0,0,D2529/E2529*10000)</x:f>
        <x:v>0</x:v>
      </x:c>
      <x:c r="G2529" s="67" t="n">
        <x:f>VLOOKUP(C2529,'Governorate Master'!$A$2:$Q$13,7,FALSE)</x:f>
        <x:v>524</x:v>
      </x:c>
      <x:c r="H2529" s="20" t="n">
        <x:f>VLOOKUP(C2529,'Governorate Master'!$A$2:$Q$13,6,FALSE)</x:f>
        <x:v>0.8390177353342428</x:v>
      </x:c>
      <x:c r="I2529" s="20" t="n">
        <x:f>VLOOKUP(C2529,'Governorate Master'!$A$2:$Q$13,15,FALSE)</x:f>
        <x:v>0.03614457831325301</x:v>
      </x:c>
      <x:c r="J2529" s="12" t="str">
        <x:v>Location model input - competition/saturation context</x:v>
      </x:c>
      <x:c r="K2529" s="12" t="str">
        <x:v>Business count is from 2018 while population/context indicators are newer; use as a historical proxy, not a current market count.</x:v>
      </x:c>
    </x:row>
    <x:row r="2530">
      <x:c r="A2530" s="12" t="str">
        <x:v>6311</x:v>
      </x:c>
      <x:c r="B2530" s="12" t="str">
        <x:v>Data processing, hosting and related activities</x:v>
      </x:c>
      <x:c r="C2530" s="12" t="str">
        <x:v>الكرك</x:v>
      </x:c>
      <x:c r="D2530" s="14" t="n">
        <x:v>0</x:v>
      </x:c>
      <x:c r="E2530" s="14" t="n">
        <x:f>VLOOKUP(C2530,'Governorate Master'!$A$2:$Q$13,3,FALSE)</x:f>
        <x:v>395400</x:v>
      </x:c>
      <x:c r="F2530" s="66" t="n">
        <x:f>IF(E2530=0,0,D2530/E2530*10000)</x:f>
        <x:v>0</x:v>
      </x:c>
      <x:c r="G2530" s="67" t="n">
        <x:f>VLOOKUP(C2530,'Governorate Master'!$A$2:$Q$13,7,FALSE)</x:f>
        <x:v>113.1</x:v>
      </x:c>
      <x:c r="H2530" s="20" t="n">
        <x:f>VLOOKUP(C2530,'Governorate Master'!$A$2:$Q$13,6,FALSE)</x:f>
        <x:v>0.5912999494183105</x:v>
      </x:c>
      <x:c r="I2530" s="20" t="n">
        <x:f>VLOOKUP(C2530,'Governorate Master'!$A$2:$Q$13,15,FALSE)</x:f>
        <x:v>0.08710801393728224</x:v>
      </x:c>
      <x:c r="J2530" s="12" t="str">
        <x:v>Location model input - competition/saturation context</x:v>
      </x:c>
      <x:c r="K2530" s="12" t="str">
        <x:v>Business count is from 2018 while population/context indicators are newer; use as a historical proxy, not a current market count.</x:v>
      </x:c>
    </x:row>
    <x:row r="2531">
      <x:c r="A2531" s="12" t="str">
        <x:v>6311</x:v>
      </x:c>
      <x:c r="B2531" s="12" t="str">
        <x:v>Data processing, hosting and related activities</x:v>
      </x:c>
      <x:c r="C2531" s="12" t="str">
        <x:v>الطفيلة</x:v>
      </x:c>
      <x:c r="D2531" s="14" t="n">
        <x:v>0</x:v>
      </x:c>
      <x:c r="E2531" s="14" t="n">
        <x:f>VLOOKUP(C2531,'Governorate Master'!$A$2:$Q$13,3,FALSE)</x:f>
        <x:v>120300</x:v>
      </x:c>
      <x:c r="F2531" s="66" t="n">
        <x:f>IF(E2531=0,0,D2531/E2531*10000)</x:f>
        <x:v>0</x:v>
      </x:c>
      <x:c r="G2531" s="67" t="n">
        <x:f>VLOOKUP(C2531,'Governorate Master'!$A$2:$Q$13,7,FALSE)</x:f>
        <x:v>54.4</x:v>
      </x:c>
      <x:c r="H2531" s="20" t="n">
        <x:f>VLOOKUP(C2531,'Governorate Master'!$A$2:$Q$13,6,FALSE)</x:f>
        <x:v>0.7797173732335827</x:v>
      </x:c>
      <x:c r="I2531" s="20" t="n">
        <x:f>VLOOKUP(C2531,'Governorate Master'!$A$2:$Q$13,15,FALSE)</x:f>
        <x:v>0.18452380952380953</x:v>
      </x:c>
      <x:c r="J2531" s="12" t="str">
        <x:v>Location model input - competition/saturation context</x:v>
      </x:c>
      <x:c r="K2531" s="12" t="str">
        <x:v>Business count is from 2018 while population/context indicators are newer; use as a historical proxy, not a current market count.</x:v>
      </x:c>
    </x:row>
    <x:row r="2532">
      <x:c r="A2532" s="12" t="str">
        <x:v>6311</x:v>
      </x:c>
      <x:c r="B2532" s="12" t="str">
        <x:v>Data processing, hosting and related activities</x:v>
      </x:c>
      <x:c r="C2532" s="12" t="str">
        <x:v>معان</x:v>
      </x:c>
      <x:c r="D2532" s="14" t="n">
        <x:v>0</x:v>
      </x:c>
      <x:c r="E2532" s="14" t="n">
        <x:f>VLOOKUP(C2532,'Governorate Master'!$A$2:$Q$13,3,FALSE)</x:f>
        <x:v>197900</x:v>
      </x:c>
      <x:c r="F2532" s="66" t="n">
        <x:f>IF(E2532=0,0,D2532/E2532*10000)</x:f>
        <x:v>0</x:v>
      </x:c>
      <x:c r="G2532" s="67" t="n">
        <x:f>VLOOKUP(C2532,'Governorate Master'!$A$2:$Q$13,7,FALSE)</x:f>
        <x:v>6</x:v>
      </x:c>
      <x:c r="H2532" s="20" t="n">
        <x:f>VLOOKUP(C2532,'Governorate Master'!$A$2:$Q$13,6,FALSE)</x:f>
        <x:v>0.5406771096513391</x:v>
      </x:c>
      <x:c r="I2532" s="20" t="n">
        <x:f>VLOOKUP(C2532,'Governorate Master'!$A$2:$Q$13,15,FALSE)</x:f>
        <x:v>0.026845637583892617</x:v>
      </x:c>
      <x:c r="J2532" s="12" t="str">
        <x:v>Location model input - competition/saturation context</x:v>
      </x:c>
      <x:c r="K2532" s="12" t="str">
        <x:v>Business count is from 2018 while population/context indicators are newer; use as a historical proxy, not a current market count.</x:v>
      </x:c>
    </x:row>
    <x:row r="2533">
      <x:c r="A2533" s="12" t="str">
        <x:v>6311</x:v>
      </x:c>
      <x:c r="B2533" s="12" t="str">
        <x:v>Data processing, hosting and related activities</x:v>
      </x:c>
      <x:c r="C2533" s="12" t="str">
        <x:v>العقبة</x:v>
      </x:c>
      <x:c r="D2533" s="14" t="n">
        <x:v>0</x:v>
      </x:c>
      <x:c r="E2533" s="14" t="n">
        <x:f>VLOOKUP(C2533,'Governorate Master'!$A$2:$Q$13,3,FALSE)</x:f>
        <x:v>250900</x:v>
      </x:c>
      <x:c r="F2533" s="66" t="n">
        <x:f>IF(E2533=0,0,D2533/E2533*10000)</x:f>
        <x:v>0</x:v>
      </x:c>
      <x:c r="G2533" s="67" t="n">
        <x:f>VLOOKUP(C2533,'Governorate Master'!$A$2:$Q$13,7,FALSE)</x:f>
        <x:v>36.3</x:v>
      </x:c>
      <x:c r="H2533" s="20" t="n">
        <x:f>VLOOKUP(C2533,'Governorate Master'!$A$2:$Q$13,6,FALSE)</x:f>
        <x:v>0.882024711040255</x:v>
      </x:c>
      <x:c r="I2533" s="20" t="n">
        <x:f>VLOOKUP(C2533,'Governorate Master'!$A$2:$Q$13,15,FALSE)</x:f>
        <x:v>-0.09</x:v>
      </x:c>
      <x:c r="J2533" s="12" t="str">
        <x:v>Location model input - competition/saturation context</x:v>
      </x:c>
      <x:c r="K2533" s="12" t="str">
        <x:v>Business count is from 2018 while population/context indicators are newer; use as a historical proxy, not a current market count.</x:v>
      </x:c>
    </x:row>
    <x:row r="2534">
      <x:c r="A2534" s="12" t="str">
        <x:v>6312</x:v>
      </x:c>
      <x:c r="B2534" s="12" t="str">
        <x:v>Web portals</x:v>
      </x:c>
      <x:c r="C2534" s="12" t="str">
        <x:v>عمان</x:v>
      </x:c>
      <x:c r="D2534" s="14" t="n">
        <x:v>0</x:v>
      </x:c>
      <x:c r="E2534" s="14" t="n">
        <x:f>VLOOKUP(C2534,'Governorate Master'!$A$2:$Q$13,3,FALSE)</x:f>
        <x:v>5004600</x:v>
      </x:c>
      <x:c r="F2534" s="66" t="n">
        <x:f>IF(E2534=0,0,D2534/E2534*10000)</x:f>
        <x:v>0</x:v>
      </x:c>
      <x:c r="G2534" s="67" t="n">
        <x:f>VLOOKUP(C2534,'Governorate Master'!$A$2:$Q$13,7,FALSE)</x:f>
        <x:v>660.3</x:v>
      </x:c>
      <x:c r="H2534" s="20" t="n">
        <x:f>VLOOKUP(C2534,'Governorate Master'!$A$2:$Q$13,6,FALSE)</x:f>
        <x:v>0.9721656076409703</x:v>
      </x:c>
      <x:c r="I2534" s="20" t="n">
        <x:f>VLOOKUP(C2534,'Governorate Master'!$A$2:$Q$13,15,FALSE)</x:f>
        <x:v>0.06367041198501873</x:v>
      </x:c>
      <x:c r="J2534" s="12" t="str">
        <x:v>Location model input - competition/saturation context</x:v>
      </x:c>
      <x:c r="K2534" s="12" t="str">
        <x:v>Business count is from 2018 while population/context indicators are newer; use as a historical proxy, not a current market count.</x:v>
      </x:c>
    </x:row>
    <x:row r="2535">
      <x:c r="A2535" s="12" t="str">
        <x:v>6312</x:v>
      </x:c>
      <x:c r="B2535" s="12" t="str">
        <x:v>Web portals</x:v>
      </x:c>
      <x:c r="C2535" s="12" t="str">
        <x:v>البلقاء</x:v>
      </x:c>
      <x:c r="D2535" s="14" t="n">
        <x:v>0</x:v>
      </x:c>
      <x:c r="E2535" s="14" t="n">
        <x:f>VLOOKUP(C2535,'Governorate Master'!$A$2:$Q$13,3,FALSE)</x:f>
        <x:v>614000</x:v>
      </x:c>
      <x:c r="F2535" s="66" t="n">
        <x:f>IF(E2535=0,0,D2535/E2535*10000)</x:f>
        <x:v>0</x:v>
      </x:c>
      <x:c r="G2535" s="67" t="n">
        <x:f>VLOOKUP(C2535,'Governorate Master'!$A$2:$Q$13,7,FALSE)</x:f>
        <x:v>548</x:v>
      </x:c>
      <x:c r="H2535" s="20" t="n">
        <x:f>VLOOKUP(C2535,'Governorate Master'!$A$2:$Q$13,6,FALSE)</x:f>
        <x:v>0.8210097719869707</x:v>
      </x:c>
      <x:c r="I2535" s="20" t="n">
        <x:f>VLOOKUP(C2535,'Governorate Master'!$A$2:$Q$13,15,FALSE)</x:f>
        <x:v>0.10794044665012408</x:v>
      </x:c>
      <x:c r="J2535" s="12" t="str">
        <x:v>Location model input - competition/saturation context</x:v>
      </x:c>
      <x:c r="K2535" s="12" t="str">
        <x:v>Business count is from 2018 while population/context indicators are newer; use as a historical proxy, not a current market count.</x:v>
      </x:c>
    </x:row>
    <x:row r="2536">
      <x:c r="A2536" s="12" t="str">
        <x:v>6312</x:v>
      </x:c>
      <x:c r="B2536" s="12" t="str">
        <x:v>Web portals</x:v>
      </x:c>
      <x:c r="C2536" s="12" t="str">
        <x:v>الزرقاء</x:v>
      </x:c>
      <x:c r="D2536" s="14" t="n">
        <x:v>0</x:v>
      </x:c>
      <x:c r="E2536" s="14" t="n">
        <x:f>VLOOKUP(C2536,'Governorate Master'!$A$2:$Q$13,3,FALSE)</x:f>
        <x:v>1704500</x:v>
      </x:c>
      <x:c r="F2536" s="66" t="n">
        <x:f>IF(E2536=0,0,D2536/E2536*10000)</x:f>
        <x:v>0</x:v>
      </x:c>
      <x:c r="G2536" s="67" t="n">
        <x:f>VLOOKUP(C2536,'Governorate Master'!$A$2:$Q$13,7,FALSE)</x:f>
        <x:v>358</x:v>
      </x:c>
      <x:c r="H2536" s="20" t="n">
        <x:f>VLOOKUP(C2536,'Governorate Master'!$A$2:$Q$13,6,FALSE)</x:f>
        <x:v>0.9636256966852449</x:v>
      </x:c>
      <x:c r="I2536" s="20" t="n">
        <x:f>VLOOKUP(C2536,'Governorate Master'!$A$2:$Q$13,15,FALSE)</x:f>
        <x:v>-0.06808762581409118</x:v>
      </x:c>
      <x:c r="J2536" s="12" t="str">
        <x:v>Location model input - competition/saturation context</x:v>
      </x:c>
      <x:c r="K2536" s="12" t="str">
        <x:v>Business count is from 2018 while population/context indicators are newer; use as a historical proxy, not a current market count.</x:v>
      </x:c>
    </x:row>
    <x:row r="2537">
      <x:c r="A2537" s="12" t="str">
        <x:v>6312</x:v>
      </x:c>
      <x:c r="B2537" s="12" t="str">
        <x:v>Web portals</x:v>
      </x:c>
      <x:c r="C2537" s="12" t="str">
        <x:v>مادبا</x:v>
      </x:c>
      <x:c r="D2537" s="14" t="n">
        <x:v>0</x:v>
      </x:c>
      <x:c r="E2537" s="14" t="n">
        <x:f>VLOOKUP(C2537,'Governorate Master'!$A$2:$Q$13,3,FALSE)</x:f>
        <x:v>236200</x:v>
      </x:c>
      <x:c r="F2537" s="66" t="n">
        <x:f>IF(E2537=0,0,D2537/E2537*10000)</x:f>
        <x:v>0</x:v>
      </x:c>
      <x:c r="G2537" s="67" t="n">
        <x:f>VLOOKUP(C2537,'Governorate Master'!$A$2:$Q$13,7,FALSE)</x:f>
        <x:v>251.4</x:v>
      </x:c>
      <x:c r="H2537" s="20" t="n">
        <x:f>VLOOKUP(C2537,'Governorate Master'!$A$2:$Q$13,6,FALSE)</x:f>
        <x:v>0.7823878069432684</x:v>
      </x:c>
      <x:c r="I2537" s="20" t="n">
        <x:f>VLOOKUP(C2537,'Governorate Master'!$A$2:$Q$13,15,FALSE)</x:f>
        <x:v>-0.18823529411764706</x:v>
      </x:c>
      <x:c r="J2537" s="12" t="str">
        <x:v>Location model input - competition/saturation context</x:v>
      </x:c>
      <x:c r="K2537" s="12" t="str">
        <x:v>Business count is from 2018 while population/context indicators are newer; use as a historical proxy, not a current market count.</x:v>
      </x:c>
    </x:row>
    <x:row r="2538">
      <x:c r="A2538" s="12" t="str">
        <x:v>6312</x:v>
      </x:c>
      <x:c r="B2538" s="12" t="str">
        <x:v>Web portals</x:v>
      </x:c>
      <x:c r="C2538" s="12" t="str">
        <x:v>إربد</x:v>
      </x:c>
      <x:c r="D2538" s="14" t="n">
        <x:v>1</x:v>
      </x:c>
      <x:c r="E2538" s="14" t="n">
        <x:f>VLOOKUP(C2538,'Governorate Master'!$A$2:$Q$13,3,FALSE)</x:f>
        <x:v>2210500</x:v>
      </x:c>
      <x:c r="F2538" s="66" t="n">
        <x:f>IF(E2538=0,0,D2538/E2538*10000)</x:f>
        <x:v>0.004523863379325944</x:v>
      </x:c>
      <x:c r="G2538" s="67" t="n">
        <x:f>VLOOKUP(C2538,'Governorate Master'!$A$2:$Q$13,7,FALSE)</x:f>
        <x:v>1406.4</x:v>
      </x:c>
      <x:c r="H2538" s="20" t="n">
        <x:f>VLOOKUP(C2538,'Governorate Master'!$A$2:$Q$13,6,FALSE)</x:f>
        <x:v>0.9235014702555983</x:v>
      </x:c>
      <x:c r="I2538" s="20" t="n">
        <x:f>VLOOKUP(C2538,'Governorate Master'!$A$2:$Q$13,15,FALSE)</x:f>
        <x:v>0.07086922474549726</x:v>
      </x:c>
      <x:c r="J2538" s="12" t="str">
        <x:v>Location model input - competition/saturation context</x:v>
      </x:c>
      <x:c r="K2538" s="12" t="str">
        <x:v>Business count is from 2018 while population/context indicators are newer; use as a historical proxy, not a current market count.</x:v>
      </x:c>
    </x:row>
    <x:row r="2539">
      <x:c r="A2539" s="12" t="str">
        <x:v>6312</x:v>
      </x:c>
      <x:c r="B2539" s="12" t="str">
        <x:v>Web portals</x:v>
      </x:c>
      <x:c r="C2539" s="12" t="str">
        <x:v>المفرق</x:v>
      </x:c>
      <x:c r="D2539" s="14" t="n">
        <x:v>0</x:v>
      </x:c>
      <x:c r="E2539" s="14" t="n">
        <x:f>VLOOKUP(C2539,'Governorate Master'!$A$2:$Q$13,3,FALSE)</x:f>
        <x:v>686800</x:v>
      </x:c>
      <x:c r="F2539" s="66" t="n">
        <x:f>IF(E2539=0,0,D2539/E2539*10000)</x:f>
        <x:v>0</x:v>
      </x:c>
      <x:c r="G2539" s="67" t="n">
        <x:f>VLOOKUP(C2539,'Governorate Master'!$A$2:$Q$13,7,FALSE)</x:f>
        <x:v>25.9</x:v>
      </x:c>
      <x:c r="H2539" s="20" t="n">
        <x:f>VLOOKUP(C2539,'Governorate Master'!$A$2:$Q$13,6,FALSE)</x:f>
        <x:v>0.6965637740244612</x:v>
      </x:c>
      <x:c r="I2539" s="20" t="n">
        <x:f>VLOOKUP(C2539,'Governorate Master'!$A$2:$Q$13,15,FALSE)</x:f>
        <x:v>-0.016638935108153077</x:v>
      </x:c>
      <x:c r="J2539" s="12" t="str">
        <x:v>Location model input - competition/saturation context</x:v>
      </x:c>
      <x:c r="K2539" s="12" t="str">
        <x:v>Business count is from 2018 while population/context indicators are newer; use as a historical proxy, not a current market count.</x:v>
      </x:c>
    </x:row>
    <x:row r="2540">
      <x:c r="A2540" s="12" t="str">
        <x:v>6312</x:v>
      </x:c>
      <x:c r="B2540" s="12" t="str">
        <x:v>Web portals</x:v>
      </x:c>
      <x:c r="C2540" s="12" t="str">
        <x:v>جرش</x:v>
      </x:c>
      <x:c r="D2540" s="14" t="n">
        <x:v>0</x:v>
      </x:c>
      <x:c r="E2540" s="14" t="n">
        <x:f>VLOOKUP(C2540,'Governorate Master'!$A$2:$Q$13,3,FALSE)</x:f>
        <x:v>296000</x:v>
      </x:c>
      <x:c r="F2540" s="66" t="n">
        <x:f>IF(E2540=0,0,D2540/E2540*10000)</x:f>
        <x:v>0</x:v>
      </x:c>
      <x:c r="G2540" s="67" t="n">
        <x:f>VLOOKUP(C2540,'Governorate Master'!$A$2:$Q$13,7,FALSE)</x:f>
        <x:v>722.3</x:v>
      </x:c>
      <x:c r="H2540" s="20" t="n">
        <x:f>VLOOKUP(C2540,'Governorate Master'!$A$2:$Q$13,6,FALSE)</x:f>
        <x:v>0.7695945945945946</x:v>
      </x:c>
      <x:c r="I2540" s="20" t="n">
        <x:f>VLOOKUP(C2540,'Governorate Master'!$A$2:$Q$13,15,FALSE)</x:f>
        <x:v>-0.06527415143603134</x:v>
      </x:c>
      <x:c r="J2540" s="12" t="str">
        <x:v>Location model input - competition/saturation context</x:v>
      </x:c>
      <x:c r="K2540" s="12" t="str">
        <x:v>Business count is from 2018 while population/context indicators are newer; use as a historical proxy, not a current market count.</x:v>
      </x:c>
    </x:row>
    <x:row r="2541">
      <x:c r="A2541" s="12" t="str">
        <x:v>6312</x:v>
      </x:c>
      <x:c r="B2541" s="12" t="str">
        <x:v>Web portals</x:v>
      </x:c>
      <x:c r="C2541" s="12" t="str">
        <x:v>عجلون</x:v>
      </x:c>
      <x:c r="D2541" s="14" t="n">
        <x:v>0</x:v>
      </x:c>
      <x:c r="E2541" s="14" t="n">
        <x:f>VLOOKUP(C2541,'Governorate Master'!$A$2:$Q$13,3,FALSE)</x:f>
        <x:v>219900</x:v>
      </x:c>
      <x:c r="F2541" s="66" t="n">
        <x:f>IF(E2541=0,0,D2541/E2541*10000)</x:f>
        <x:v>0</x:v>
      </x:c>
      <x:c r="G2541" s="67" t="n">
        <x:f>VLOOKUP(C2541,'Governorate Master'!$A$2:$Q$13,7,FALSE)</x:f>
        <x:v>524</x:v>
      </x:c>
      <x:c r="H2541" s="20" t="n">
        <x:f>VLOOKUP(C2541,'Governorate Master'!$A$2:$Q$13,6,FALSE)</x:f>
        <x:v>0.8390177353342428</x:v>
      </x:c>
      <x:c r="I2541" s="20" t="n">
        <x:f>VLOOKUP(C2541,'Governorate Master'!$A$2:$Q$13,15,FALSE)</x:f>
        <x:v>0.03614457831325301</x:v>
      </x:c>
      <x:c r="J2541" s="12" t="str">
        <x:v>Location model input - competition/saturation context</x:v>
      </x:c>
      <x:c r="K2541" s="12" t="str">
        <x:v>Business count is from 2018 while population/context indicators are newer; use as a historical proxy, not a current market count.</x:v>
      </x:c>
    </x:row>
    <x:row r="2542">
      <x:c r="A2542" s="12" t="str">
        <x:v>6312</x:v>
      </x:c>
      <x:c r="B2542" s="12" t="str">
        <x:v>Web portals</x:v>
      </x:c>
      <x:c r="C2542" s="12" t="str">
        <x:v>الكرك</x:v>
      </x:c>
      <x:c r="D2542" s="14" t="n">
        <x:v>0</x:v>
      </x:c>
      <x:c r="E2542" s="14" t="n">
        <x:f>VLOOKUP(C2542,'Governorate Master'!$A$2:$Q$13,3,FALSE)</x:f>
        <x:v>395400</x:v>
      </x:c>
      <x:c r="F2542" s="66" t="n">
        <x:f>IF(E2542=0,0,D2542/E2542*10000)</x:f>
        <x:v>0</x:v>
      </x:c>
      <x:c r="G2542" s="67" t="n">
        <x:f>VLOOKUP(C2542,'Governorate Master'!$A$2:$Q$13,7,FALSE)</x:f>
        <x:v>113.1</x:v>
      </x:c>
      <x:c r="H2542" s="20" t="n">
        <x:f>VLOOKUP(C2542,'Governorate Master'!$A$2:$Q$13,6,FALSE)</x:f>
        <x:v>0.5912999494183105</x:v>
      </x:c>
      <x:c r="I2542" s="20" t="n">
        <x:f>VLOOKUP(C2542,'Governorate Master'!$A$2:$Q$13,15,FALSE)</x:f>
        <x:v>0.08710801393728224</x:v>
      </x:c>
      <x:c r="J2542" s="12" t="str">
        <x:v>Location model input - competition/saturation context</x:v>
      </x:c>
      <x:c r="K2542" s="12" t="str">
        <x:v>Business count is from 2018 while population/context indicators are newer; use as a historical proxy, not a current market count.</x:v>
      </x:c>
    </x:row>
    <x:row r="2543">
      <x:c r="A2543" s="12" t="str">
        <x:v>6312</x:v>
      </x:c>
      <x:c r="B2543" s="12" t="str">
        <x:v>Web portals</x:v>
      </x:c>
      <x:c r="C2543" s="12" t="str">
        <x:v>الطفيلة</x:v>
      </x:c>
      <x:c r="D2543" s="14" t="n">
        <x:v>0</x:v>
      </x:c>
      <x:c r="E2543" s="14" t="n">
        <x:f>VLOOKUP(C2543,'Governorate Master'!$A$2:$Q$13,3,FALSE)</x:f>
        <x:v>120300</x:v>
      </x:c>
      <x:c r="F2543" s="66" t="n">
        <x:f>IF(E2543=0,0,D2543/E2543*10000)</x:f>
        <x:v>0</x:v>
      </x:c>
      <x:c r="G2543" s="67" t="n">
        <x:f>VLOOKUP(C2543,'Governorate Master'!$A$2:$Q$13,7,FALSE)</x:f>
        <x:v>54.4</x:v>
      </x:c>
      <x:c r="H2543" s="20" t="n">
        <x:f>VLOOKUP(C2543,'Governorate Master'!$A$2:$Q$13,6,FALSE)</x:f>
        <x:v>0.7797173732335827</x:v>
      </x:c>
      <x:c r="I2543" s="20" t="n">
        <x:f>VLOOKUP(C2543,'Governorate Master'!$A$2:$Q$13,15,FALSE)</x:f>
        <x:v>0.18452380952380953</x:v>
      </x:c>
      <x:c r="J2543" s="12" t="str">
        <x:v>Location model input - competition/saturation context</x:v>
      </x:c>
      <x:c r="K2543" s="12" t="str">
        <x:v>Business count is from 2018 while population/context indicators are newer; use as a historical proxy, not a current market count.</x:v>
      </x:c>
    </x:row>
    <x:row r="2544">
      <x:c r="A2544" s="12" t="str">
        <x:v>6312</x:v>
      </x:c>
      <x:c r="B2544" s="12" t="str">
        <x:v>Web portals</x:v>
      </x:c>
      <x:c r="C2544" s="12" t="str">
        <x:v>معان</x:v>
      </x:c>
      <x:c r="D2544" s="14" t="n">
        <x:v>0</x:v>
      </x:c>
      <x:c r="E2544" s="14" t="n">
        <x:f>VLOOKUP(C2544,'Governorate Master'!$A$2:$Q$13,3,FALSE)</x:f>
        <x:v>197900</x:v>
      </x:c>
      <x:c r="F2544" s="66" t="n">
        <x:f>IF(E2544=0,0,D2544/E2544*10000)</x:f>
        <x:v>0</x:v>
      </x:c>
      <x:c r="G2544" s="67" t="n">
        <x:f>VLOOKUP(C2544,'Governorate Master'!$A$2:$Q$13,7,FALSE)</x:f>
        <x:v>6</x:v>
      </x:c>
      <x:c r="H2544" s="20" t="n">
        <x:f>VLOOKUP(C2544,'Governorate Master'!$A$2:$Q$13,6,FALSE)</x:f>
        <x:v>0.5406771096513391</x:v>
      </x:c>
      <x:c r="I2544" s="20" t="n">
        <x:f>VLOOKUP(C2544,'Governorate Master'!$A$2:$Q$13,15,FALSE)</x:f>
        <x:v>0.026845637583892617</x:v>
      </x:c>
      <x:c r="J2544" s="12" t="str">
        <x:v>Location model input - competition/saturation context</x:v>
      </x:c>
      <x:c r="K2544" s="12" t="str">
        <x:v>Business count is from 2018 while population/context indicators are newer; use as a historical proxy, not a current market count.</x:v>
      </x:c>
    </x:row>
    <x:row r="2545">
      <x:c r="A2545" s="12" t="str">
        <x:v>6312</x:v>
      </x:c>
      <x:c r="B2545" s="12" t="str">
        <x:v>Web portals</x:v>
      </x:c>
      <x:c r="C2545" s="12" t="str">
        <x:v>العقبة</x:v>
      </x:c>
      <x:c r="D2545" s="14" t="n">
        <x:v>0</x:v>
      </x:c>
      <x:c r="E2545" s="14" t="n">
        <x:f>VLOOKUP(C2545,'Governorate Master'!$A$2:$Q$13,3,FALSE)</x:f>
        <x:v>250900</x:v>
      </x:c>
      <x:c r="F2545" s="66" t="n">
        <x:f>IF(E2545=0,0,D2545/E2545*10000)</x:f>
        <x:v>0</x:v>
      </x:c>
      <x:c r="G2545" s="67" t="n">
        <x:f>VLOOKUP(C2545,'Governorate Master'!$A$2:$Q$13,7,FALSE)</x:f>
        <x:v>36.3</x:v>
      </x:c>
      <x:c r="H2545" s="20" t="n">
        <x:f>VLOOKUP(C2545,'Governorate Master'!$A$2:$Q$13,6,FALSE)</x:f>
        <x:v>0.882024711040255</x:v>
      </x:c>
      <x:c r="I2545" s="20" t="n">
        <x:f>VLOOKUP(C2545,'Governorate Master'!$A$2:$Q$13,15,FALSE)</x:f>
        <x:v>-0.09</x:v>
      </x:c>
      <x:c r="J2545" s="12" t="str">
        <x:v>Location model input - competition/saturation context</x:v>
      </x:c>
      <x:c r="K2545" s="12" t="str">
        <x:v>Business count is from 2018 while population/context indicators are newer; use as a historical proxy, not a current market count.</x:v>
      </x:c>
    </x:row>
    <x:row r="2546">
      <x:c r="A2546" s="12" t="str">
        <x:v>6391</x:v>
      </x:c>
      <x:c r="B2546" s="12" t="str">
        <x:v>News agency activities</x:v>
      </x:c>
      <x:c r="C2546" s="12" t="str">
        <x:v>عمان</x:v>
      </x:c>
      <x:c r="D2546" s="14" t="n">
        <x:v>1</x:v>
      </x:c>
      <x:c r="E2546" s="14" t="n">
        <x:f>VLOOKUP(C2546,'Governorate Master'!$A$2:$Q$13,3,FALSE)</x:f>
        <x:v>5004600</x:v>
      </x:c>
      <x:c r="F2546" s="66" t="n">
        <x:f>IF(E2546=0,0,D2546/E2546*10000)</x:f>
        <x:v>0.0019981616912440555</x:v>
      </x:c>
      <x:c r="G2546" s="67" t="n">
        <x:f>VLOOKUP(C2546,'Governorate Master'!$A$2:$Q$13,7,FALSE)</x:f>
        <x:v>660.3</x:v>
      </x:c>
      <x:c r="H2546" s="20" t="n">
        <x:f>VLOOKUP(C2546,'Governorate Master'!$A$2:$Q$13,6,FALSE)</x:f>
        <x:v>0.9721656076409703</x:v>
      </x:c>
      <x:c r="I2546" s="20" t="n">
        <x:f>VLOOKUP(C2546,'Governorate Master'!$A$2:$Q$13,15,FALSE)</x:f>
        <x:v>0.06367041198501873</x:v>
      </x:c>
      <x:c r="J2546" s="12" t="str">
        <x:v>Location model input - competition/saturation context</x:v>
      </x:c>
      <x:c r="K2546" s="12" t="str">
        <x:v>Business count is from 2018 while population/context indicators are newer; use as a historical proxy, not a current market count.</x:v>
      </x:c>
    </x:row>
    <x:row r="2547">
      <x:c r="A2547" s="12" t="str">
        <x:v>6391</x:v>
      </x:c>
      <x:c r="B2547" s="12" t="str">
        <x:v>News agency activities</x:v>
      </x:c>
      <x:c r="C2547" s="12" t="str">
        <x:v>البلقاء</x:v>
      </x:c>
      <x:c r="D2547" s="14" t="n">
        <x:v>0</x:v>
      </x:c>
      <x:c r="E2547" s="14" t="n">
        <x:f>VLOOKUP(C2547,'Governorate Master'!$A$2:$Q$13,3,FALSE)</x:f>
        <x:v>614000</x:v>
      </x:c>
      <x:c r="F2547" s="66" t="n">
        <x:f>IF(E2547=0,0,D2547/E2547*10000)</x:f>
        <x:v>0</x:v>
      </x:c>
      <x:c r="G2547" s="67" t="n">
        <x:f>VLOOKUP(C2547,'Governorate Master'!$A$2:$Q$13,7,FALSE)</x:f>
        <x:v>548</x:v>
      </x:c>
      <x:c r="H2547" s="20" t="n">
        <x:f>VLOOKUP(C2547,'Governorate Master'!$A$2:$Q$13,6,FALSE)</x:f>
        <x:v>0.8210097719869707</x:v>
      </x:c>
      <x:c r="I2547" s="20" t="n">
        <x:f>VLOOKUP(C2547,'Governorate Master'!$A$2:$Q$13,15,FALSE)</x:f>
        <x:v>0.10794044665012408</x:v>
      </x:c>
      <x:c r="J2547" s="12" t="str">
        <x:v>Location model input - competition/saturation context</x:v>
      </x:c>
      <x:c r="K2547" s="12" t="str">
        <x:v>Business count is from 2018 while population/context indicators are newer; use as a historical proxy, not a current market count.</x:v>
      </x:c>
    </x:row>
    <x:row r="2548">
      <x:c r="A2548" s="12" t="str">
        <x:v>6391</x:v>
      </x:c>
      <x:c r="B2548" s="12" t="str">
        <x:v>News agency activities</x:v>
      </x:c>
      <x:c r="C2548" s="12" t="str">
        <x:v>الزرقاء</x:v>
      </x:c>
      <x:c r="D2548" s="14" t="n">
        <x:v>0</x:v>
      </x:c>
      <x:c r="E2548" s="14" t="n">
        <x:f>VLOOKUP(C2548,'Governorate Master'!$A$2:$Q$13,3,FALSE)</x:f>
        <x:v>1704500</x:v>
      </x:c>
      <x:c r="F2548" s="66" t="n">
        <x:f>IF(E2548=0,0,D2548/E2548*10000)</x:f>
        <x:v>0</x:v>
      </x:c>
      <x:c r="G2548" s="67" t="n">
        <x:f>VLOOKUP(C2548,'Governorate Master'!$A$2:$Q$13,7,FALSE)</x:f>
        <x:v>358</x:v>
      </x:c>
      <x:c r="H2548" s="20" t="n">
        <x:f>VLOOKUP(C2548,'Governorate Master'!$A$2:$Q$13,6,FALSE)</x:f>
        <x:v>0.9636256966852449</x:v>
      </x:c>
      <x:c r="I2548" s="20" t="n">
        <x:f>VLOOKUP(C2548,'Governorate Master'!$A$2:$Q$13,15,FALSE)</x:f>
        <x:v>-0.06808762581409118</x:v>
      </x:c>
      <x:c r="J2548" s="12" t="str">
        <x:v>Location model input - competition/saturation context</x:v>
      </x:c>
      <x:c r="K2548" s="12" t="str">
        <x:v>Business count is from 2018 while population/context indicators are newer; use as a historical proxy, not a current market count.</x:v>
      </x:c>
    </x:row>
    <x:row r="2549">
      <x:c r="A2549" s="12" t="str">
        <x:v>6391</x:v>
      </x:c>
      <x:c r="B2549" s="12" t="str">
        <x:v>News agency activities</x:v>
      </x:c>
      <x:c r="C2549" s="12" t="str">
        <x:v>مادبا</x:v>
      </x:c>
      <x:c r="D2549" s="14" t="n">
        <x:v>0</x:v>
      </x:c>
      <x:c r="E2549" s="14" t="n">
        <x:f>VLOOKUP(C2549,'Governorate Master'!$A$2:$Q$13,3,FALSE)</x:f>
        <x:v>236200</x:v>
      </x:c>
      <x:c r="F2549" s="66" t="n">
        <x:f>IF(E2549=0,0,D2549/E2549*10000)</x:f>
        <x:v>0</x:v>
      </x:c>
      <x:c r="G2549" s="67" t="n">
        <x:f>VLOOKUP(C2549,'Governorate Master'!$A$2:$Q$13,7,FALSE)</x:f>
        <x:v>251.4</x:v>
      </x:c>
      <x:c r="H2549" s="20" t="n">
        <x:f>VLOOKUP(C2549,'Governorate Master'!$A$2:$Q$13,6,FALSE)</x:f>
        <x:v>0.7823878069432684</x:v>
      </x:c>
      <x:c r="I2549" s="20" t="n">
        <x:f>VLOOKUP(C2549,'Governorate Master'!$A$2:$Q$13,15,FALSE)</x:f>
        <x:v>-0.18823529411764706</x:v>
      </x:c>
      <x:c r="J2549" s="12" t="str">
        <x:v>Location model input - competition/saturation context</x:v>
      </x:c>
      <x:c r="K2549" s="12" t="str">
        <x:v>Business count is from 2018 while population/context indicators are newer; use as a historical proxy, not a current market count.</x:v>
      </x:c>
    </x:row>
    <x:row r="2550">
      <x:c r="A2550" s="12" t="str">
        <x:v>6391</x:v>
      </x:c>
      <x:c r="B2550" s="12" t="str">
        <x:v>News agency activities</x:v>
      </x:c>
      <x:c r="C2550" s="12" t="str">
        <x:v>إربد</x:v>
      </x:c>
      <x:c r="D2550" s="14" t="n">
        <x:v>0</x:v>
      </x:c>
      <x:c r="E2550" s="14" t="n">
        <x:f>VLOOKUP(C2550,'Governorate Master'!$A$2:$Q$13,3,FALSE)</x:f>
        <x:v>2210500</x:v>
      </x:c>
      <x:c r="F2550" s="66" t="n">
        <x:f>IF(E2550=0,0,D2550/E2550*10000)</x:f>
        <x:v>0</x:v>
      </x:c>
      <x:c r="G2550" s="67" t="n">
        <x:f>VLOOKUP(C2550,'Governorate Master'!$A$2:$Q$13,7,FALSE)</x:f>
        <x:v>1406.4</x:v>
      </x:c>
      <x:c r="H2550" s="20" t="n">
        <x:f>VLOOKUP(C2550,'Governorate Master'!$A$2:$Q$13,6,FALSE)</x:f>
        <x:v>0.9235014702555983</x:v>
      </x:c>
      <x:c r="I2550" s="20" t="n">
        <x:f>VLOOKUP(C2550,'Governorate Master'!$A$2:$Q$13,15,FALSE)</x:f>
        <x:v>0.07086922474549726</x:v>
      </x:c>
      <x:c r="J2550" s="12" t="str">
        <x:v>Location model input - competition/saturation context</x:v>
      </x:c>
      <x:c r="K2550" s="12" t="str">
        <x:v>Business count is from 2018 while population/context indicators are newer; use as a historical proxy, not a current market count.</x:v>
      </x:c>
    </x:row>
    <x:row r="2551">
      <x:c r="A2551" s="12" t="str">
        <x:v>6391</x:v>
      </x:c>
      <x:c r="B2551" s="12" t="str">
        <x:v>News agency activities</x:v>
      </x:c>
      <x:c r="C2551" s="12" t="str">
        <x:v>المفرق</x:v>
      </x:c>
      <x:c r="D2551" s="14" t="n">
        <x:v>0</x:v>
      </x:c>
      <x:c r="E2551" s="14" t="n">
        <x:f>VLOOKUP(C2551,'Governorate Master'!$A$2:$Q$13,3,FALSE)</x:f>
        <x:v>686800</x:v>
      </x:c>
      <x:c r="F2551" s="66" t="n">
        <x:f>IF(E2551=0,0,D2551/E2551*10000)</x:f>
        <x:v>0</x:v>
      </x:c>
      <x:c r="G2551" s="67" t="n">
        <x:f>VLOOKUP(C2551,'Governorate Master'!$A$2:$Q$13,7,FALSE)</x:f>
        <x:v>25.9</x:v>
      </x:c>
      <x:c r="H2551" s="20" t="n">
        <x:f>VLOOKUP(C2551,'Governorate Master'!$A$2:$Q$13,6,FALSE)</x:f>
        <x:v>0.6965637740244612</x:v>
      </x:c>
      <x:c r="I2551" s="20" t="n">
        <x:f>VLOOKUP(C2551,'Governorate Master'!$A$2:$Q$13,15,FALSE)</x:f>
        <x:v>-0.016638935108153077</x:v>
      </x:c>
      <x:c r="J2551" s="12" t="str">
        <x:v>Location model input - competition/saturation context</x:v>
      </x:c>
      <x:c r="K2551" s="12" t="str">
        <x:v>Business count is from 2018 while population/context indicators are newer; use as a historical proxy, not a current market count.</x:v>
      </x:c>
    </x:row>
    <x:row r="2552">
      <x:c r="A2552" s="12" t="str">
        <x:v>6391</x:v>
      </x:c>
      <x:c r="B2552" s="12" t="str">
        <x:v>News agency activities</x:v>
      </x:c>
      <x:c r="C2552" s="12" t="str">
        <x:v>جرش</x:v>
      </x:c>
      <x:c r="D2552" s="14" t="n">
        <x:v>0</x:v>
      </x:c>
      <x:c r="E2552" s="14" t="n">
        <x:f>VLOOKUP(C2552,'Governorate Master'!$A$2:$Q$13,3,FALSE)</x:f>
        <x:v>296000</x:v>
      </x:c>
      <x:c r="F2552" s="66" t="n">
        <x:f>IF(E2552=0,0,D2552/E2552*10000)</x:f>
        <x:v>0</x:v>
      </x:c>
      <x:c r="G2552" s="67" t="n">
        <x:f>VLOOKUP(C2552,'Governorate Master'!$A$2:$Q$13,7,FALSE)</x:f>
        <x:v>722.3</x:v>
      </x:c>
      <x:c r="H2552" s="20" t="n">
        <x:f>VLOOKUP(C2552,'Governorate Master'!$A$2:$Q$13,6,FALSE)</x:f>
        <x:v>0.7695945945945946</x:v>
      </x:c>
      <x:c r="I2552" s="20" t="n">
        <x:f>VLOOKUP(C2552,'Governorate Master'!$A$2:$Q$13,15,FALSE)</x:f>
        <x:v>-0.06527415143603134</x:v>
      </x:c>
      <x:c r="J2552" s="12" t="str">
        <x:v>Location model input - competition/saturation context</x:v>
      </x:c>
      <x:c r="K2552" s="12" t="str">
        <x:v>Business count is from 2018 while population/context indicators are newer; use as a historical proxy, not a current market count.</x:v>
      </x:c>
    </x:row>
    <x:row r="2553">
      <x:c r="A2553" s="12" t="str">
        <x:v>6391</x:v>
      </x:c>
      <x:c r="B2553" s="12" t="str">
        <x:v>News agency activities</x:v>
      </x:c>
      <x:c r="C2553" s="12" t="str">
        <x:v>عجلون</x:v>
      </x:c>
      <x:c r="D2553" s="14" t="n">
        <x:v>0</x:v>
      </x:c>
      <x:c r="E2553" s="14" t="n">
        <x:f>VLOOKUP(C2553,'Governorate Master'!$A$2:$Q$13,3,FALSE)</x:f>
        <x:v>219900</x:v>
      </x:c>
      <x:c r="F2553" s="66" t="n">
        <x:f>IF(E2553=0,0,D2553/E2553*10000)</x:f>
        <x:v>0</x:v>
      </x:c>
      <x:c r="G2553" s="67" t="n">
        <x:f>VLOOKUP(C2553,'Governorate Master'!$A$2:$Q$13,7,FALSE)</x:f>
        <x:v>524</x:v>
      </x:c>
      <x:c r="H2553" s="20" t="n">
        <x:f>VLOOKUP(C2553,'Governorate Master'!$A$2:$Q$13,6,FALSE)</x:f>
        <x:v>0.8390177353342428</x:v>
      </x:c>
      <x:c r="I2553" s="20" t="n">
        <x:f>VLOOKUP(C2553,'Governorate Master'!$A$2:$Q$13,15,FALSE)</x:f>
        <x:v>0.03614457831325301</x:v>
      </x:c>
      <x:c r="J2553" s="12" t="str">
        <x:v>Location model input - competition/saturation context</x:v>
      </x:c>
      <x:c r="K2553" s="12" t="str">
        <x:v>Business count is from 2018 while population/context indicators are newer; use as a historical proxy, not a current market count.</x:v>
      </x:c>
    </x:row>
    <x:row r="2554">
      <x:c r="A2554" s="12" t="str">
        <x:v>6391</x:v>
      </x:c>
      <x:c r="B2554" s="12" t="str">
        <x:v>News agency activities</x:v>
      </x:c>
      <x:c r="C2554" s="12" t="str">
        <x:v>الكرك</x:v>
      </x:c>
      <x:c r="D2554" s="14" t="n">
        <x:v>0</x:v>
      </x:c>
      <x:c r="E2554" s="14" t="n">
        <x:f>VLOOKUP(C2554,'Governorate Master'!$A$2:$Q$13,3,FALSE)</x:f>
        <x:v>395400</x:v>
      </x:c>
      <x:c r="F2554" s="66" t="n">
        <x:f>IF(E2554=0,0,D2554/E2554*10000)</x:f>
        <x:v>0</x:v>
      </x:c>
      <x:c r="G2554" s="67" t="n">
        <x:f>VLOOKUP(C2554,'Governorate Master'!$A$2:$Q$13,7,FALSE)</x:f>
        <x:v>113.1</x:v>
      </x:c>
      <x:c r="H2554" s="20" t="n">
        <x:f>VLOOKUP(C2554,'Governorate Master'!$A$2:$Q$13,6,FALSE)</x:f>
        <x:v>0.5912999494183105</x:v>
      </x:c>
      <x:c r="I2554" s="20" t="n">
        <x:f>VLOOKUP(C2554,'Governorate Master'!$A$2:$Q$13,15,FALSE)</x:f>
        <x:v>0.08710801393728224</x:v>
      </x:c>
      <x:c r="J2554" s="12" t="str">
        <x:v>Location model input - competition/saturation context</x:v>
      </x:c>
      <x:c r="K2554" s="12" t="str">
        <x:v>Business count is from 2018 while population/context indicators are newer; use as a historical proxy, not a current market count.</x:v>
      </x:c>
    </x:row>
    <x:row r="2555">
      <x:c r="A2555" s="12" t="str">
        <x:v>6391</x:v>
      </x:c>
      <x:c r="B2555" s="12" t="str">
        <x:v>News agency activities</x:v>
      </x:c>
      <x:c r="C2555" s="12" t="str">
        <x:v>الطفيلة</x:v>
      </x:c>
      <x:c r="D2555" s="14" t="n">
        <x:v>0</x:v>
      </x:c>
      <x:c r="E2555" s="14" t="n">
        <x:f>VLOOKUP(C2555,'Governorate Master'!$A$2:$Q$13,3,FALSE)</x:f>
        <x:v>120300</x:v>
      </x:c>
      <x:c r="F2555" s="66" t="n">
        <x:f>IF(E2555=0,0,D2555/E2555*10000)</x:f>
        <x:v>0</x:v>
      </x:c>
      <x:c r="G2555" s="67" t="n">
        <x:f>VLOOKUP(C2555,'Governorate Master'!$A$2:$Q$13,7,FALSE)</x:f>
        <x:v>54.4</x:v>
      </x:c>
      <x:c r="H2555" s="20" t="n">
        <x:f>VLOOKUP(C2555,'Governorate Master'!$A$2:$Q$13,6,FALSE)</x:f>
        <x:v>0.7797173732335827</x:v>
      </x:c>
      <x:c r="I2555" s="20" t="n">
        <x:f>VLOOKUP(C2555,'Governorate Master'!$A$2:$Q$13,15,FALSE)</x:f>
        <x:v>0.18452380952380953</x:v>
      </x:c>
      <x:c r="J2555" s="12" t="str">
        <x:v>Location model input - competition/saturation context</x:v>
      </x:c>
      <x:c r="K2555" s="12" t="str">
        <x:v>Business count is from 2018 while population/context indicators are newer; use as a historical proxy, not a current market count.</x:v>
      </x:c>
    </x:row>
    <x:row r="2556">
      <x:c r="A2556" s="12" t="str">
        <x:v>6391</x:v>
      </x:c>
      <x:c r="B2556" s="12" t="str">
        <x:v>News agency activities</x:v>
      </x:c>
      <x:c r="C2556" s="12" t="str">
        <x:v>معان</x:v>
      </x:c>
      <x:c r="D2556" s="14" t="n">
        <x:v>0</x:v>
      </x:c>
      <x:c r="E2556" s="14" t="n">
        <x:f>VLOOKUP(C2556,'Governorate Master'!$A$2:$Q$13,3,FALSE)</x:f>
        <x:v>197900</x:v>
      </x:c>
      <x:c r="F2556" s="66" t="n">
        <x:f>IF(E2556=0,0,D2556/E2556*10000)</x:f>
        <x:v>0</x:v>
      </x:c>
      <x:c r="G2556" s="67" t="n">
        <x:f>VLOOKUP(C2556,'Governorate Master'!$A$2:$Q$13,7,FALSE)</x:f>
        <x:v>6</x:v>
      </x:c>
      <x:c r="H2556" s="20" t="n">
        <x:f>VLOOKUP(C2556,'Governorate Master'!$A$2:$Q$13,6,FALSE)</x:f>
        <x:v>0.5406771096513391</x:v>
      </x:c>
      <x:c r="I2556" s="20" t="n">
        <x:f>VLOOKUP(C2556,'Governorate Master'!$A$2:$Q$13,15,FALSE)</x:f>
        <x:v>0.026845637583892617</x:v>
      </x:c>
      <x:c r="J2556" s="12" t="str">
        <x:v>Location model input - competition/saturation context</x:v>
      </x:c>
      <x:c r="K2556" s="12" t="str">
        <x:v>Business count is from 2018 while population/context indicators are newer; use as a historical proxy, not a current market count.</x:v>
      </x:c>
    </x:row>
    <x:row r="2557">
      <x:c r="A2557" s="12" t="str">
        <x:v>6391</x:v>
      </x:c>
      <x:c r="B2557" s="12" t="str">
        <x:v>News agency activities</x:v>
      </x:c>
      <x:c r="C2557" s="12" t="str">
        <x:v>العقبة</x:v>
      </x:c>
      <x:c r="D2557" s="14" t="n">
        <x:v>0</x:v>
      </x:c>
      <x:c r="E2557" s="14" t="n">
        <x:f>VLOOKUP(C2557,'Governorate Master'!$A$2:$Q$13,3,FALSE)</x:f>
        <x:v>250900</x:v>
      </x:c>
      <x:c r="F2557" s="66" t="n">
        <x:f>IF(E2557=0,0,D2557/E2557*10000)</x:f>
        <x:v>0</x:v>
      </x:c>
      <x:c r="G2557" s="67" t="n">
        <x:f>VLOOKUP(C2557,'Governorate Master'!$A$2:$Q$13,7,FALSE)</x:f>
        <x:v>36.3</x:v>
      </x:c>
      <x:c r="H2557" s="20" t="n">
        <x:f>VLOOKUP(C2557,'Governorate Master'!$A$2:$Q$13,6,FALSE)</x:f>
        <x:v>0.882024711040255</x:v>
      </x:c>
      <x:c r="I2557" s="20" t="n">
        <x:f>VLOOKUP(C2557,'Governorate Master'!$A$2:$Q$13,15,FALSE)</x:f>
        <x:v>-0.09</x:v>
      </x:c>
      <x:c r="J2557" s="12" t="str">
        <x:v>Location model input - competition/saturation context</x:v>
      </x:c>
      <x:c r="K2557" s="12" t="str">
        <x:v>Business count is from 2018 while population/context indicators are newer; use as a historical proxy, not a current market count.</x:v>
      </x:c>
    </x:row>
    <x:row r="2558">
      <x:c r="A2558" s="12" t="str">
        <x:v>6419</x:v>
      </x:c>
      <x:c r="B2558" s="12" t="str">
        <x:v>Other monetary intermediation</x:v>
      </x:c>
      <x:c r="C2558" s="12" t="str">
        <x:v>عمان</x:v>
      </x:c>
      <x:c r="D2558" s="14" t="n">
        <x:v>31</x:v>
      </x:c>
      <x:c r="E2558" s="14" t="n">
        <x:f>VLOOKUP(C2558,'Governorate Master'!$A$2:$Q$13,3,FALSE)</x:f>
        <x:v>5004600</x:v>
      </x:c>
      <x:c r="F2558" s="66" t="n">
        <x:f>IF(E2558=0,0,D2558/E2558*10000)</x:f>
        <x:v>0.061943012428565716</x:v>
      </x:c>
      <x:c r="G2558" s="67" t="n">
        <x:f>VLOOKUP(C2558,'Governorate Master'!$A$2:$Q$13,7,FALSE)</x:f>
        <x:v>660.3</x:v>
      </x:c>
      <x:c r="H2558" s="20" t="n">
        <x:f>VLOOKUP(C2558,'Governorate Master'!$A$2:$Q$13,6,FALSE)</x:f>
        <x:v>0.9721656076409703</x:v>
      </x:c>
      <x:c r="I2558" s="20" t="n">
        <x:f>VLOOKUP(C2558,'Governorate Master'!$A$2:$Q$13,15,FALSE)</x:f>
        <x:v>0.06367041198501873</x:v>
      </x:c>
      <x:c r="J2558" s="12" t="str">
        <x:v>Location model input - competition/saturation context</x:v>
      </x:c>
      <x:c r="K2558" s="12" t="str">
        <x:v>Business count is from 2018 while population/context indicators are newer; use as a historical proxy, not a current market count.</x:v>
      </x:c>
    </x:row>
    <x:row r="2559">
      <x:c r="A2559" s="12" t="str">
        <x:v>6419</x:v>
      </x:c>
      <x:c r="B2559" s="12" t="str">
        <x:v>Other monetary intermediation</x:v>
      </x:c>
      <x:c r="C2559" s="12" t="str">
        <x:v>البلقاء</x:v>
      </x:c>
      <x:c r="D2559" s="14" t="n">
        <x:v>0</x:v>
      </x:c>
      <x:c r="E2559" s="14" t="n">
        <x:f>VLOOKUP(C2559,'Governorate Master'!$A$2:$Q$13,3,FALSE)</x:f>
        <x:v>614000</x:v>
      </x:c>
      <x:c r="F2559" s="66" t="n">
        <x:f>IF(E2559=0,0,D2559/E2559*10000)</x:f>
        <x:v>0</x:v>
      </x:c>
      <x:c r="G2559" s="67" t="n">
        <x:f>VLOOKUP(C2559,'Governorate Master'!$A$2:$Q$13,7,FALSE)</x:f>
        <x:v>548</x:v>
      </x:c>
      <x:c r="H2559" s="20" t="n">
        <x:f>VLOOKUP(C2559,'Governorate Master'!$A$2:$Q$13,6,FALSE)</x:f>
        <x:v>0.8210097719869707</x:v>
      </x:c>
      <x:c r="I2559" s="20" t="n">
        <x:f>VLOOKUP(C2559,'Governorate Master'!$A$2:$Q$13,15,FALSE)</x:f>
        <x:v>0.10794044665012408</x:v>
      </x:c>
      <x:c r="J2559" s="12" t="str">
        <x:v>Location model input - competition/saturation context</x:v>
      </x:c>
      <x:c r="K2559" s="12" t="str">
        <x:v>Business count is from 2018 while population/context indicators are newer; use as a historical proxy, not a current market count.</x:v>
      </x:c>
    </x:row>
    <x:row r="2560">
      <x:c r="A2560" s="12" t="str">
        <x:v>6419</x:v>
      </x:c>
      <x:c r="B2560" s="12" t="str">
        <x:v>Other monetary intermediation</x:v>
      </x:c>
      <x:c r="C2560" s="12" t="str">
        <x:v>الزرقاء</x:v>
      </x:c>
      <x:c r="D2560" s="14" t="n">
        <x:v>0</x:v>
      </x:c>
      <x:c r="E2560" s="14" t="n">
        <x:f>VLOOKUP(C2560,'Governorate Master'!$A$2:$Q$13,3,FALSE)</x:f>
        <x:v>1704500</x:v>
      </x:c>
      <x:c r="F2560" s="66" t="n">
        <x:f>IF(E2560=0,0,D2560/E2560*10000)</x:f>
        <x:v>0</x:v>
      </x:c>
      <x:c r="G2560" s="67" t="n">
        <x:f>VLOOKUP(C2560,'Governorate Master'!$A$2:$Q$13,7,FALSE)</x:f>
        <x:v>358</x:v>
      </x:c>
      <x:c r="H2560" s="20" t="n">
        <x:f>VLOOKUP(C2560,'Governorate Master'!$A$2:$Q$13,6,FALSE)</x:f>
        <x:v>0.9636256966852449</x:v>
      </x:c>
      <x:c r="I2560" s="20" t="n">
        <x:f>VLOOKUP(C2560,'Governorate Master'!$A$2:$Q$13,15,FALSE)</x:f>
        <x:v>-0.06808762581409118</x:v>
      </x:c>
      <x:c r="J2560" s="12" t="str">
        <x:v>Location model input - competition/saturation context</x:v>
      </x:c>
      <x:c r="K2560" s="12" t="str">
        <x:v>Business count is from 2018 while population/context indicators are newer; use as a historical proxy, not a current market count.</x:v>
      </x:c>
    </x:row>
    <x:row r="2561">
      <x:c r="A2561" s="12" t="str">
        <x:v>6419</x:v>
      </x:c>
      <x:c r="B2561" s="12" t="str">
        <x:v>Other monetary intermediation</x:v>
      </x:c>
      <x:c r="C2561" s="12" t="str">
        <x:v>مادبا</x:v>
      </x:c>
      <x:c r="D2561" s="14" t="n">
        <x:v>0</x:v>
      </x:c>
      <x:c r="E2561" s="14" t="n">
        <x:f>VLOOKUP(C2561,'Governorate Master'!$A$2:$Q$13,3,FALSE)</x:f>
        <x:v>236200</x:v>
      </x:c>
      <x:c r="F2561" s="66" t="n">
        <x:f>IF(E2561=0,0,D2561/E2561*10000)</x:f>
        <x:v>0</x:v>
      </x:c>
      <x:c r="G2561" s="67" t="n">
        <x:f>VLOOKUP(C2561,'Governorate Master'!$A$2:$Q$13,7,FALSE)</x:f>
        <x:v>251.4</x:v>
      </x:c>
      <x:c r="H2561" s="20" t="n">
        <x:f>VLOOKUP(C2561,'Governorate Master'!$A$2:$Q$13,6,FALSE)</x:f>
        <x:v>0.7823878069432684</x:v>
      </x:c>
      <x:c r="I2561" s="20" t="n">
        <x:f>VLOOKUP(C2561,'Governorate Master'!$A$2:$Q$13,15,FALSE)</x:f>
        <x:v>-0.18823529411764706</x:v>
      </x:c>
      <x:c r="J2561" s="12" t="str">
        <x:v>Location model input - competition/saturation context</x:v>
      </x:c>
      <x:c r="K2561" s="12" t="str">
        <x:v>Business count is from 2018 while population/context indicators are newer; use as a historical proxy, not a current market count.</x:v>
      </x:c>
    </x:row>
    <x:row r="2562">
      <x:c r="A2562" s="12" t="str">
        <x:v>6419</x:v>
      </x:c>
      <x:c r="B2562" s="12" t="str">
        <x:v>Other monetary intermediation</x:v>
      </x:c>
      <x:c r="C2562" s="12" t="str">
        <x:v>إربد</x:v>
      </x:c>
      <x:c r="D2562" s="14" t="n">
        <x:v>0</x:v>
      </x:c>
      <x:c r="E2562" s="14" t="n">
        <x:f>VLOOKUP(C2562,'Governorate Master'!$A$2:$Q$13,3,FALSE)</x:f>
        <x:v>2210500</x:v>
      </x:c>
      <x:c r="F2562" s="66" t="n">
        <x:f>IF(E2562=0,0,D2562/E2562*10000)</x:f>
        <x:v>0</x:v>
      </x:c>
      <x:c r="G2562" s="67" t="n">
        <x:f>VLOOKUP(C2562,'Governorate Master'!$A$2:$Q$13,7,FALSE)</x:f>
        <x:v>1406.4</x:v>
      </x:c>
      <x:c r="H2562" s="20" t="n">
        <x:f>VLOOKUP(C2562,'Governorate Master'!$A$2:$Q$13,6,FALSE)</x:f>
        <x:v>0.9235014702555983</x:v>
      </x:c>
      <x:c r="I2562" s="20" t="n">
        <x:f>VLOOKUP(C2562,'Governorate Master'!$A$2:$Q$13,15,FALSE)</x:f>
        <x:v>0.07086922474549726</x:v>
      </x:c>
      <x:c r="J2562" s="12" t="str">
        <x:v>Location model input - competition/saturation context</x:v>
      </x:c>
      <x:c r="K2562" s="12" t="str">
        <x:v>Business count is from 2018 while population/context indicators are newer; use as a historical proxy, not a current market count.</x:v>
      </x:c>
    </x:row>
    <x:row r="2563">
      <x:c r="A2563" s="12" t="str">
        <x:v>6419</x:v>
      </x:c>
      <x:c r="B2563" s="12" t="str">
        <x:v>Other monetary intermediation</x:v>
      </x:c>
      <x:c r="C2563" s="12" t="str">
        <x:v>المفرق</x:v>
      </x:c>
      <x:c r="D2563" s="14" t="n">
        <x:v>0</x:v>
      </x:c>
      <x:c r="E2563" s="14" t="n">
        <x:f>VLOOKUP(C2563,'Governorate Master'!$A$2:$Q$13,3,FALSE)</x:f>
        <x:v>686800</x:v>
      </x:c>
      <x:c r="F2563" s="66" t="n">
        <x:f>IF(E2563=0,0,D2563/E2563*10000)</x:f>
        <x:v>0</x:v>
      </x:c>
      <x:c r="G2563" s="67" t="n">
        <x:f>VLOOKUP(C2563,'Governorate Master'!$A$2:$Q$13,7,FALSE)</x:f>
        <x:v>25.9</x:v>
      </x:c>
      <x:c r="H2563" s="20" t="n">
        <x:f>VLOOKUP(C2563,'Governorate Master'!$A$2:$Q$13,6,FALSE)</x:f>
        <x:v>0.6965637740244612</x:v>
      </x:c>
      <x:c r="I2563" s="20" t="n">
        <x:f>VLOOKUP(C2563,'Governorate Master'!$A$2:$Q$13,15,FALSE)</x:f>
        <x:v>-0.016638935108153077</x:v>
      </x:c>
      <x:c r="J2563" s="12" t="str">
        <x:v>Location model input - competition/saturation context</x:v>
      </x:c>
      <x:c r="K2563" s="12" t="str">
        <x:v>Business count is from 2018 while population/context indicators are newer; use as a historical proxy, not a current market count.</x:v>
      </x:c>
    </x:row>
    <x:row r="2564">
      <x:c r="A2564" s="12" t="str">
        <x:v>6419</x:v>
      </x:c>
      <x:c r="B2564" s="12" t="str">
        <x:v>Other monetary intermediation</x:v>
      </x:c>
      <x:c r="C2564" s="12" t="str">
        <x:v>جرش</x:v>
      </x:c>
      <x:c r="D2564" s="14" t="n">
        <x:v>0</x:v>
      </x:c>
      <x:c r="E2564" s="14" t="n">
        <x:f>VLOOKUP(C2564,'Governorate Master'!$A$2:$Q$13,3,FALSE)</x:f>
        <x:v>296000</x:v>
      </x:c>
      <x:c r="F2564" s="66" t="n">
        <x:f>IF(E2564=0,0,D2564/E2564*10000)</x:f>
        <x:v>0</x:v>
      </x:c>
      <x:c r="G2564" s="67" t="n">
        <x:f>VLOOKUP(C2564,'Governorate Master'!$A$2:$Q$13,7,FALSE)</x:f>
        <x:v>722.3</x:v>
      </x:c>
      <x:c r="H2564" s="20" t="n">
        <x:f>VLOOKUP(C2564,'Governorate Master'!$A$2:$Q$13,6,FALSE)</x:f>
        <x:v>0.7695945945945946</x:v>
      </x:c>
      <x:c r="I2564" s="20" t="n">
        <x:f>VLOOKUP(C2564,'Governorate Master'!$A$2:$Q$13,15,FALSE)</x:f>
        <x:v>-0.06527415143603134</x:v>
      </x:c>
      <x:c r="J2564" s="12" t="str">
        <x:v>Location model input - competition/saturation context</x:v>
      </x:c>
      <x:c r="K2564" s="12" t="str">
        <x:v>Business count is from 2018 while population/context indicators are newer; use as a historical proxy, not a current market count.</x:v>
      </x:c>
    </x:row>
    <x:row r="2565">
      <x:c r="A2565" s="12" t="str">
        <x:v>6419</x:v>
      </x:c>
      <x:c r="B2565" s="12" t="str">
        <x:v>Other monetary intermediation</x:v>
      </x:c>
      <x:c r="C2565" s="12" t="str">
        <x:v>عجلون</x:v>
      </x:c>
      <x:c r="D2565" s="14" t="n">
        <x:v>0</x:v>
      </x:c>
      <x:c r="E2565" s="14" t="n">
        <x:f>VLOOKUP(C2565,'Governorate Master'!$A$2:$Q$13,3,FALSE)</x:f>
        <x:v>219900</x:v>
      </x:c>
      <x:c r="F2565" s="66" t="n">
        <x:f>IF(E2565=0,0,D2565/E2565*10000)</x:f>
        <x:v>0</x:v>
      </x:c>
      <x:c r="G2565" s="67" t="n">
        <x:f>VLOOKUP(C2565,'Governorate Master'!$A$2:$Q$13,7,FALSE)</x:f>
        <x:v>524</x:v>
      </x:c>
      <x:c r="H2565" s="20" t="n">
        <x:f>VLOOKUP(C2565,'Governorate Master'!$A$2:$Q$13,6,FALSE)</x:f>
        <x:v>0.8390177353342428</x:v>
      </x:c>
      <x:c r="I2565" s="20" t="n">
        <x:f>VLOOKUP(C2565,'Governorate Master'!$A$2:$Q$13,15,FALSE)</x:f>
        <x:v>0.03614457831325301</x:v>
      </x:c>
      <x:c r="J2565" s="12" t="str">
        <x:v>Location model input - competition/saturation context</x:v>
      </x:c>
      <x:c r="K2565" s="12" t="str">
        <x:v>Business count is from 2018 while population/context indicators are newer; use as a historical proxy, not a current market count.</x:v>
      </x:c>
    </x:row>
    <x:row r="2566">
      <x:c r="A2566" s="12" t="str">
        <x:v>6419</x:v>
      </x:c>
      <x:c r="B2566" s="12" t="str">
        <x:v>Other monetary intermediation</x:v>
      </x:c>
      <x:c r="C2566" s="12" t="str">
        <x:v>الكرك</x:v>
      </x:c>
      <x:c r="D2566" s="14" t="n">
        <x:v>0</x:v>
      </x:c>
      <x:c r="E2566" s="14" t="n">
        <x:f>VLOOKUP(C2566,'Governorate Master'!$A$2:$Q$13,3,FALSE)</x:f>
        <x:v>395400</x:v>
      </x:c>
      <x:c r="F2566" s="66" t="n">
        <x:f>IF(E2566=0,0,D2566/E2566*10000)</x:f>
        <x:v>0</x:v>
      </x:c>
      <x:c r="G2566" s="67" t="n">
        <x:f>VLOOKUP(C2566,'Governorate Master'!$A$2:$Q$13,7,FALSE)</x:f>
        <x:v>113.1</x:v>
      </x:c>
      <x:c r="H2566" s="20" t="n">
        <x:f>VLOOKUP(C2566,'Governorate Master'!$A$2:$Q$13,6,FALSE)</x:f>
        <x:v>0.5912999494183105</x:v>
      </x:c>
      <x:c r="I2566" s="20" t="n">
        <x:f>VLOOKUP(C2566,'Governorate Master'!$A$2:$Q$13,15,FALSE)</x:f>
        <x:v>0.08710801393728224</x:v>
      </x:c>
      <x:c r="J2566" s="12" t="str">
        <x:v>Location model input - competition/saturation context</x:v>
      </x:c>
      <x:c r="K2566" s="12" t="str">
        <x:v>Business count is from 2018 while population/context indicators are newer; use as a historical proxy, not a current market count.</x:v>
      </x:c>
    </x:row>
    <x:row r="2567">
      <x:c r="A2567" s="12" t="str">
        <x:v>6419</x:v>
      </x:c>
      <x:c r="B2567" s="12" t="str">
        <x:v>Other monetary intermediation</x:v>
      </x:c>
      <x:c r="C2567" s="12" t="str">
        <x:v>الطفيلة</x:v>
      </x:c>
      <x:c r="D2567" s="14" t="n">
        <x:v>0</x:v>
      </x:c>
      <x:c r="E2567" s="14" t="n">
        <x:f>VLOOKUP(C2567,'Governorate Master'!$A$2:$Q$13,3,FALSE)</x:f>
        <x:v>120300</x:v>
      </x:c>
      <x:c r="F2567" s="66" t="n">
        <x:f>IF(E2567=0,0,D2567/E2567*10000)</x:f>
        <x:v>0</x:v>
      </x:c>
      <x:c r="G2567" s="67" t="n">
        <x:f>VLOOKUP(C2567,'Governorate Master'!$A$2:$Q$13,7,FALSE)</x:f>
        <x:v>54.4</x:v>
      </x:c>
      <x:c r="H2567" s="20" t="n">
        <x:f>VLOOKUP(C2567,'Governorate Master'!$A$2:$Q$13,6,FALSE)</x:f>
        <x:v>0.7797173732335827</x:v>
      </x:c>
      <x:c r="I2567" s="20" t="n">
        <x:f>VLOOKUP(C2567,'Governorate Master'!$A$2:$Q$13,15,FALSE)</x:f>
        <x:v>0.18452380952380953</x:v>
      </x:c>
      <x:c r="J2567" s="12" t="str">
        <x:v>Location model input - competition/saturation context</x:v>
      </x:c>
      <x:c r="K2567" s="12" t="str">
        <x:v>Business count is from 2018 while population/context indicators are newer; use as a historical proxy, not a current market count.</x:v>
      </x:c>
    </x:row>
    <x:row r="2568">
      <x:c r="A2568" s="12" t="str">
        <x:v>6419</x:v>
      </x:c>
      <x:c r="B2568" s="12" t="str">
        <x:v>Other monetary intermediation</x:v>
      </x:c>
      <x:c r="C2568" s="12" t="str">
        <x:v>معان</x:v>
      </x:c>
      <x:c r="D2568" s="14" t="n">
        <x:v>0</x:v>
      </x:c>
      <x:c r="E2568" s="14" t="n">
        <x:f>VLOOKUP(C2568,'Governorate Master'!$A$2:$Q$13,3,FALSE)</x:f>
        <x:v>197900</x:v>
      </x:c>
      <x:c r="F2568" s="66" t="n">
        <x:f>IF(E2568=0,0,D2568/E2568*10000)</x:f>
        <x:v>0</x:v>
      </x:c>
      <x:c r="G2568" s="67" t="n">
        <x:f>VLOOKUP(C2568,'Governorate Master'!$A$2:$Q$13,7,FALSE)</x:f>
        <x:v>6</x:v>
      </x:c>
      <x:c r="H2568" s="20" t="n">
        <x:f>VLOOKUP(C2568,'Governorate Master'!$A$2:$Q$13,6,FALSE)</x:f>
        <x:v>0.5406771096513391</x:v>
      </x:c>
      <x:c r="I2568" s="20" t="n">
        <x:f>VLOOKUP(C2568,'Governorate Master'!$A$2:$Q$13,15,FALSE)</x:f>
        <x:v>0.026845637583892617</x:v>
      </x:c>
      <x:c r="J2568" s="12" t="str">
        <x:v>Location model input - competition/saturation context</x:v>
      </x:c>
      <x:c r="K2568" s="12" t="str">
        <x:v>Business count is from 2018 while population/context indicators are newer; use as a historical proxy, not a current market count.</x:v>
      </x:c>
    </x:row>
    <x:row r="2569">
      <x:c r="A2569" s="12" t="str">
        <x:v>6419</x:v>
      </x:c>
      <x:c r="B2569" s="12" t="str">
        <x:v>Other monetary intermediation</x:v>
      </x:c>
      <x:c r="C2569" s="12" t="str">
        <x:v>العقبة</x:v>
      </x:c>
      <x:c r="D2569" s="14" t="n">
        <x:v>0</x:v>
      </x:c>
      <x:c r="E2569" s="14" t="n">
        <x:f>VLOOKUP(C2569,'Governorate Master'!$A$2:$Q$13,3,FALSE)</x:f>
        <x:v>250900</x:v>
      </x:c>
      <x:c r="F2569" s="66" t="n">
        <x:f>IF(E2569=0,0,D2569/E2569*10000)</x:f>
        <x:v>0</x:v>
      </x:c>
      <x:c r="G2569" s="67" t="n">
        <x:f>VLOOKUP(C2569,'Governorate Master'!$A$2:$Q$13,7,FALSE)</x:f>
        <x:v>36.3</x:v>
      </x:c>
      <x:c r="H2569" s="20" t="n">
        <x:f>VLOOKUP(C2569,'Governorate Master'!$A$2:$Q$13,6,FALSE)</x:f>
        <x:v>0.882024711040255</x:v>
      </x:c>
      <x:c r="I2569" s="20" t="n">
        <x:f>VLOOKUP(C2569,'Governorate Master'!$A$2:$Q$13,15,FALSE)</x:f>
        <x:v>-0.09</x:v>
      </x:c>
      <x:c r="J2569" s="12" t="str">
        <x:v>Location model input - competition/saturation context</x:v>
      </x:c>
      <x:c r="K2569" s="12" t="str">
        <x:v>Business count is from 2018 while population/context indicators are newer; use as a historical proxy, not a current market count.</x:v>
      </x:c>
    </x:row>
    <x:row r="2570">
      <x:c r="A2570" s="12" t="str">
        <x:v>6420</x:v>
      </x:c>
      <x:c r="B2570" s="12" t="str">
        <x:v>Activities of holding companies</x:v>
      </x:c>
      <x:c r="C2570" s="12" t="str">
        <x:v>عمان</x:v>
      </x:c>
      <x:c r="D2570" s="14" t="n">
        <x:v>8</x:v>
      </x:c>
      <x:c r="E2570" s="14" t="n">
        <x:f>VLOOKUP(C2570,'Governorate Master'!$A$2:$Q$13,3,FALSE)</x:f>
        <x:v>5004600</x:v>
      </x:c>
      <x:c r="F2570" s="66" t="n">
        <x:f>IF(E2570=0,0,D2570/E2570*10000)</x:f>
        <x:v>0.015985293529952444</x:v>
      </x:c>
      <x:c r="G2570" s="67" t="n">
        <x:f>VLOOKUP(C2570,'Governorate Master'!$A$2:$Q$13,7,FALSE)</x:f>
        <x:v>660.3</x:v>
      </x:c>
      <x:c r="H2570" s="20" t="n">
        <x:f>VLOOKUP(C2570,'Governorate Master'!$A$2:$Q$13,6,FALSE)</x:f>
        <x:v>0.9721656076409703</x:v>
      </x:c>
      <x:c r="I2570" s="20" t="n">
        <x:f>VLOOKUP(C2570,'Governorate Master'!$A$2:$Q$13,15,FALSE)</x:f>
        <x:v>0.06367041198501873</x:v>
      </x:c>
      <x:c r="J2570" s="12" t="str">
        <x:v>Location model input - competition/saturation context</x:v>
      </x:c>
      <x:c r="K2570" s="12" t="str">
        <x:v>Business count is from 2018 while population/context indicators are newer; use as a historical proxy, not a current market count.</x:v>
      </x:c>
    </x:row>
    <x:row r="2571">
      <x:c r="A2571" s="12" t="str">
        <x:v>6420</x:v>
      </x:c>
      <x:c r="B2571" s="12" t="str">
        <x:v>Activities of holding companies</x:v>
      </x:c>
      <x:c r="C2571" s="12" t="str">
        <x:v>البلقاء</x:v>
      </x:c>
      <x:c r="D2571" s="14" t="n">
        <x:v>0</x:v>
      </x:c>
      <x:c r="E2571" s="14" t="n">
        <x:f>VLOOKUP(C2571,'Governorate Master'!$A$2:$Q$13,3,FALSE)</x:f>
        <x:v>614000</x:v>
      </x:c>
      <x:c r="F2571" s="66" t="n">
        <x:f>IF(E2571=0,0,D2571/E2571*10000)</x:f>
        <x:v>0</x:v>
      </x:c>
      <x:c r="G2571" s="67" t="n">
        <x:f>VLOOKUP(C2571,'Governorate Master'!$A$2:$Q$13,7,FALSE)</x:f>
        <x:v>548</x:v>
      </x:c>
      <x:c r="H2571" s="20" t="n">
        <x:f>VLOOKUP(C2571,'Governorate Master'!$A$2:$Q$13,6,FALSE)</x:f>
        <x:v>0.8210097719869707</x:v>
      </x:c>
      <x:c r="I2571" s="20" t="n">
        <x:f>VLOOKUP(C2571,'Governorate Master'!$A$2:$Q$13,15,FALSE)</x:f>
        <x:v>0.10794044665012408</x:v>
      </x:c>
      <x:c r="J2571" s="12" t="str">
        <x:v>Location model input - competition/saturation context</x:v>
      </x:c>
      <x:c r="K2571" s="12" t="str">
        <x:v>Business count is from 2018 while population/context indicators are newer; use as a historical proxy, not a current market count.</x:v>
      </x:c>
    </x:row>
    <x:row r="2572">
      <x:c r="A2572" s="12" t="str">
        <x:v>6420</x:v>
      </x:c>
      <x:c r="B2572" s="12" t="str">
        <x:v>Activities of holding companies</x:v>
      </x:c>
      <x:c r="C2572" s="12" t="str">
        <x:v>الزرقاء</x:v>
      </x:c>
      <x:c r="D2572" s="14" t="n">
        <x:v>0</x:v>
      </x:c>
      <x:c r="E2572" s="14" t="n">
        <x:f>VLOOKUP(C2572,'Governorate Master'!$A$2:$Q$13,3,FALSE)</x:f>
        <x:v>1704500</x:v>
      </x:c>
      <x:c r="F2572" s="66" t="n">
        <x:f>IF(E2572=0,0,D2572/E2572*10000)</x:f>
        <x:v>0</x:v>
      </x:c>
      <x:c r="G2572" s="67" t="n">
        <x:f>VLOOKUP(C2572,'Governorate Master'!$A$2:$Q$13,7,FALSE)</x:f>
        <x:v>358</x:v>
      </x:c>
      <x:c r="H2572" s="20" t="n">
        <x:f>VLOOKUP(C2572,'Governorate Master'!$A$2:$Q$13,6,FALSE)</x:f>
        <x:v>0.9636256966852449</x:v>
      </x:c>
      <x:c r="I2572" s="20" t="n">
        <x:f>VLOOKUP(C2572,'Governorate Master'!$A$2:$Q$13,15,FALSE)</x:f>
        <x:v>-0.06808762581409118</x:v>
      </x:c>
      <x:c r="J2572" s="12" t="str">
        <x:v>Location model input - competition/saturation context</x:v>
      </x:c>
      <x:c r="K2572" s="12" t="str">
        <x:v>Business count is from 2018 while population/context indicators are newer; use as a historical proxy, not a current market count.</x:v>
      </x:c>
    </x:row>
    <x:row r="2573">
      <x:c r="A2573" s="12" t="str">
        <x:v>6420</x:v>
      </x:c>
      <x:c r="B2573" s="12" t="str">
        <x:v>Activities of holding companies</x:v>
      </x:c>
      <x:c r="C2573" s="12" t="str">
        <x:v>مادبا</x:v>
      </x:c>
      <x:c r="D2573" s="14" t="n">
        <x:v>0</x:v>
      </x:c>
      <x:c r="E2573" s="14" t="n">
        <x:f>VLOOKUP(C2573,'Governorate Master'!$A$2:$Q$13,3,FALSE)</x:f>
        <x:v>236200</x:v>
      </x:c>
      <x:c r="F2573" s="66" t="n">
        <x:f>IF(E2573=0,0,D2573/E2573*10000)</x:f>
        <x:v>0</x:v>
      </x:c>
      <x:c r="G2573" s="67" t="n">
        <x:f>VLOOKUP(C2573,'Governorate Master'!$A$2:$Q$13,7,FALSE)</x:f>
        <x:v>251.4</x:v>
      </x:c>
      <x:c r="H2573" s="20" t="n">
        <x:f>VLOOKUP(C2573,'Governorate Master'!$A$2:$Q$13,6,FALSE)</x:f>
        <x:v>0.7823878069432684</x:v>
      </x:c>
      <x:c r="I2573" s="20" t="n">
        <x:f>VLOOKUP(C2573,'Governorate Master'!$A$2:$Q$13,15,FALSE)</x:f>
        <x:v>-0.18823529411764706</x:v>
      </x:c>
      <x:c r="J2573" s="12" t="str">
        <x:v>Location model input - competition/saturation context</x:v>
      </x:c>
      <x:c r="K2573" s="12" t="str">
        <x:v>Business count is from 2018 while population/context indicators are newer; use as a historical proxy, not a current market count.</x:v>
      </x:c>
    </x:row>
    <x:row r="2574">
      <x:c r="A2574" s="12" t="str">
        <x:v>6420</x:v>
      </x:c>
      <x:c r="B2574" s="12" t="str">
        <x:v>Activities of holding companies</x:v>
      </x:c>
      <x:c r="C2574" s="12" t="str">
        <x:v>إربد</x:v>
      </x:c>
      <x:c r="D2574" s="14" t="n">
        <x:v>0</x:v>
      </x:c>
      <x:c r="E2574" s="14" t="n">
        <x:f>VLOOKUP(C2574,'Governorate Master'!$A$2:$Q$13,3,FALSE)</x:f>
        <x:v>2210500</x:v>
      </x:c>
      <x:c r="F2574" s="66" t="n">
        <x:f>IF(E2574=0,0,D2574/E2574*10000)</x:f>
        <x:v>0</x:v>
      </x:c>
      <x:c r="G2574" s="67" t="n">
        <x:f>VLOOKUP(C2574,'Governorate Master'!$A$2:$Q$13,7,FALSE)</x:f>
        <x:v>1406.4</x:v>
      </x:c>
      <x:c r="H2574" s="20" t="n">
        <x:f>VLOOKUP(C2574,'Governorate Master'!$A$2:$Q$13,6,FALSE)</x:f>
        <x:v>0.9235014702555983</x:v>
      </x:c>
      <x:c r="I2574" s="20" t="n">
        <x:f>VLOOKUP(C2574,'Governorate Master'!$A$2:$Q$13,15,FALSE)</x:f>
        <x:v>0.07086922474549726</x:v>
      </x:c>
      <x:c r="J2574" s="12" t="str">
        <x:v>Location model input - competition/saturation context</x:v>
      </x:c>
      <x:c r="K2574" s="12" t="str">
        <x:v>Business count is from 2018 while population/context indicators are newer; use as a historical proxy, not a current market count.</x:v>
      </x:c>
    </x:row>
    <x:row r="2575">
      <x:c r="A2575" s="12" t="str">
        <x:v>6420</x:v>
      </x:c>
      <x:c r="B2575" s="12" t="str">
        <x:v>Activities of holding companies</x:v>
      </x:c>
      <x:c r="C2575" s="12" t="str">
        <x:v>المفرق</x:v>
      </x:c>
      <x:c r="D2575" s="14" t="n">
        <x:v>0</x:v>
      </x:c>
      <x:c r="E2575" s="14" t="n">
        <x:f>VLOOKUP(C2575,'Governorate Master'!$A$2:$Q$13,3,FALSE)</x:f>
        <x:v>686800</x:v>
      </x:c>
      <x:c r="F2575" s="66" t="n">
        <x:f>IF(E2575=0,0,D2575/E2575*10000)</x:f>
        <x:v>0</x:v>
      </x:c>
      <x:c r="G2575" s="67" t="n">
        <x:f>VLOOKUP(C2575,'Governorate Master'!$A$2:$Q$13,7,FALSE)</x:f>
        <x:v>25.9</x:v>
      </x:c>
      <x:c r="H2575" s="20" t="n">
        <x:f>VLOOKUP(C2575,'Governorate Master'!$A$2:$Q$13,6,FALSE)</x:f>
        <x:v>0.6965637740244612</x:v>
      </x:c>
      <x:c r="I2575" s="20" t="n">
        <x:f>VLOOKUP(C2575,'Governorate Master'!$A$2:$Q$13,15,FALSE)</x:f>
        <x:v>-0.016638935108153077</x:v>
      </x:c>
      <x:c r="J2575" s="12" t="str">
        <x:v>Location model input - competition/saturation context</x:v>
      </x:c>
      <x:c r="K2575" s="12" t="str">
        <x:v>Business count is from 2018 while population/context indicators are newer; use as a historical proxy, not a current market count.</x:v>
      </x:c>
    </x:row>
    <x:row r="2576">
      <x:c r="A2576" s="12" t="str">
        <x:v>6420</x:v>
      </x:c>
      <x:c r="B2576" s="12" t="str">
        <x:v>Activities of holding companies</x:v>
      </x:c>
      <x:c r="C2576" s="12" t="str">
        <x:v>جرش</x:v>
      </x:c>
      <x:c r="D2576" s="14" t="n">
        <x:v>0</x:v>
      </x:c>
      <x:c r="E2576" s="14" t="n">
        <x:f>VLOOKUP(C2576,'Governorate Master'!$A$2:$Q$13,3,FALSE)</x:f>
        <x:v>296000</x:v>
      </x:c>
      <x:c r="F2576" s="66" t="n">
        <x:f>IF(E2576=0,0,D2576/E2576*10000)</x:f>
        <x:v>0</x:v>
      </x:c>
      <x:c r="G2576" s="67" t="n">
        <x:f>VLOOKUP(C2576,'Governorate Master'!$A$2:$Q$13,7,FALSE)</x:f>
        <x:v>722.3</x:v>
      </x:c>
      <x:c r="H2576" s="20" t="n">
        <x:f>VLOOKUP(C2576,'Governorate Master'!$A$2:$Q$13,6,FALSE)</x:f>
        <x:v>0.7695945945945946</x:v>
      </x:c>
      <x:c r="I2576" s="20" t="n">
        <x:f>VLOOKUP(C2576,'Governorate Master'!$A$2:$Q$13,15,FALSE)</x:f>
        <x:v>-0.06527415143603134</x:v>
      </x:c>
      <x:c r="J2576" s="12" t="str">
        <x:v>Location model input - competition/saturation context</x:v>
      </x:c>
      <x:c r="K2576" s="12" t="str">
        <x:v>Business count is from 2018 while population/context indicators are newer; use as a historical proxy, not a current market count.</x:v>
      </x:c>
    </x:row>
    <x:row r="2577">
      <x:c r="A2577" s="12" t="str">
        <x:v>6420</x:v>
      </x:c>
      <x:c r="B2577" s="12" t="str">
        <x:v>Activities of holding companies</x:v>
      </x:c>
      <x:c r="C2577" s="12" t="str">
        <x:v>عجلون</x:v>
      </x:c>
      <x:c r="D2577" s="14" t="n">
        <x:v>0</x:v>
      </x:c>
      <x:c r="E2577" s="14" t="n">
        <x:f>VLOOKUP(C2577,'Governorate Master'!$A$2:$Q$13,3,FALSE)</x:f>
        <x:v>219900</x:v>
      </x:c>
      <x:c r="F2577" s="66" t="n">
        <x:f>IF(E2577=0,0,D2577/E2577*10000)</x:f>
        <x:v>0</x:v>
      </x:c>
      <x:c r="G2577" s="67" t="n">
        <x:f>VLOOKUP(C2577,'Governorate Master'!$A$2:$Q$13,7,FALSE)</x:f>
        <x:v>524</x:v>
      </x:c>
      <x:c r="H2577" s="20" t="n">
        <x:f>VLOOKUP(C2577,'Governorate Master'!$A$2:$Q$13,6,FALSE)</x:f>
        <x:v>0.8390177353342428</x:v>
      </x:c>
      <x:c r="I2577" s="20" t="n">
        <x:f>VLOOKUP(C2577,'Governorate Master'!$A$2:$Q$13,15,FALSE)</x:f>
        <x:v>0.03614457831325301</x:v>
      </x:c>
      <x:c r="J2577" s="12" t="str">
        <x:v>Location model input - competition/saturation context</x:v>
      </x:c>
      <x:c r="K2577" s="12" t="str">
        <x:v>Business count is from 2018 while population/context indicators are newer; use as a historical proxy, not a current market count.</x:v>
      </x:c>
    </x:row>
    <x:row r="2578">
      <x:c r="A2578" s="12" t="str">
        <x:v>6420</x:v>
      </x:c>
      <x:c r="B2578" s="12" t="str">
        <x:v>Activities of holding companies</x:v>
      </x:c>
      <x:c r="C2578" s="12" t="str">
        <x:v>الكرك</x:v>
      </x:c>
      <x:c r="D2578" s="14" t="n">
        <x:v>0</x:v>
      </x:c>
      <x:c r="E2578" s="14" t="n">
        <x:f>VLOOKUP(C2578,'Governorate Master'!$A$2:$Q$13,3,FALSE)</x:f>
        <x:v>395400</x:v>
      </x:c>
      <x:c r="F2578" s="66" t="n">
        <x:f>IF(E2578=0,0,D2578/E2578*10000)</x:f>
        <x:v>0</x:v>
      </x:c>
      <x:c r="G2578" s="67" t="n">
        <x:f>VLOOKUP(C2578,'Governorate Master'!$A$2:$Q$13,7,FALSE)</x:f>
        <x:v>113.1</x:v>
      </x:c>
      <x:c r="H2578" s="20" t="n">
        <x:f>VLOOKUP(C2578,'Governorate Master'!$A$2:$Q$13,6,FALSE)</x:f>
        <x:v>0.5912999494183105</x:v>
      </x:c>
      <x:c r="I2578" s="20" t="n">
        <x:f>VLOOKUP(C2578,'Governorate Master'!$A$2:$Q$13,15,FALSE)</x:f>
        <x:v>0.08710801393728224</x:v>
      </x:c>
      <x:c r="J2578" s="12" t="str">
        <x:v>Location model input - competition/saturation context</x:v>
      </x:c>
      <x:c r="K2578" s="12" t="str">
        <x:v>Business count is from 2018 while population/context indicators are newer; use as a historical proxy, not a current market count.</x:v>
      </x:c>
    </x:row>
    <x:row r="2579">
      <x:c r="A2579" s="12" t="str">
        <x:v>6420</x:v>
      </x:c>
      <x:c r="B2579" s="12" t="str">
        <x:v>Activities of holding companies</x:v>
      </x:c>
      <x:c r="C2579" s="12" t="str">
        <x:v>الطفيلة</x:v>
      </x:c>
      <x:c r="D2579" s="14" t="n">
        <x:v>0</x:v>
      </x:c>
      <x:c r="E2579" s="14" t="n">
        <x:f>VLOOKUP(C2579,'Governorate Master'!$A$2:$Q$13,3,FALSE)</x:f>
        <x:v>120300</x:v>
      </x:c>
      <x:c r="F2579" s="66" t="n">
        <x:f>IF(E2579=0,0,D2579/E2579*10000)</x:f>
        <x:v>0</x:v>
      </x:c>
      <x:c r="G2579" s="67" t="n">
        <x:f>VLOOKUP(C2579,'Governorate Master'!$A$2:$Q$13,7,FALSE)</x:f>
        <x:v>54.4</x:v>
      </x:c>
      <x:c r="H2579" s="20" t="n">
        <x:f>VLOOKUP(C2579,'Governorate Master'!$A$2:$Q$13,6,FALSE)</x:f>
        <x:v>0.7797173732335827</x:v>
      </x:c>
      <x:c r="I2579" s="20" t="n">
        <x:f>VLOOKUP(C2579,'Governorate Master'!$A$2:$Q$13,15,FALSE)</x:f>
        <x:v>0.18452380952380953</x:v>
      </x:c>
      <x:c r="J2579" s="12" t="str">
        <x:v>Location model input - competition/saturation context</x:v>
      </x:c>
      <x:c r="K2579" s="12" t="str">
        <x:v>Business count is from 2018 while population/context indicators are newer; use as a historical proxy, not a current market count.</x:v>
      </x:c>
    </x:row>
    <x:row r="2580">
      <x:c r="A2580" s="12" t="str">
        <x:v>6420</x:v>
      </x:c>
      <x:c r="B2580" s="12" t="str">
        <x:v>Activities of holding companies</x:v>
      </x:c>
      <x:c r="C2580" s="12" t="str">
        <x:v>معان</x:v>
      </x:c>
      <x:c r="D2580" s="14" t="n">
        <x:v>0</x:v>
      </x:c>
      <x:c r="E2580" s="14" t="n">
        <x:f>VLOOKUP(C2580,'Governorate Master'!$A$2:$Q$13,3,FALSE)</x:f>
        <x:v>197900</x:v>
      </x:c>
      <x:c r="F2580" s="66" t="n">
        <x:f>IF(E2580=0,0,D2580/E2580*10000)</x:f>
        <x:v>0</x:v>
      </x:c>
      <x:c r="G2580" s="67" t="n">
        <x:f>VLOOKUP(C2580,'Governorate Master'!$A$2:$Q$13,7,FALSE)</x:f>
        <x:v>6</x:v>
      </x:c>
      <x:c r="H2580" s="20" t="n">
        <x:f>VLOOKUP(C2580,'Governorate Master'!$A$2:$Q$13,6,FALSE)</x:f>
        <x:v>0.5406771096513391</x:v>
      </x:c>
      <x:c r="I2580" s="20" t="n">
        <x:f>VLOOKUP(C2580,'Governorate Master'!$A$2:$Q$13,15,FALSE)</x:f>
        <x:v>0.026845637583892617</x:v>
      </x:c>
      <x:c r="J2580" s="12" t="str">
        <x:v>Location model input - competition/saturation context</x:v>
      </x:c>
      <x:c r="K2580" s="12" t="str">
        <x:v>Business count is from 2018 while population/context indicators are newer; use as a historical proxy, not a current market count.</x:v>
      </x:c>
    </x:row>
    <x:row r="2581">
      <x:c r="A2581" s="12" t="str">
        <x:v>6420</x:v>
      </x:c>
      <x:c r="B2581" s="12" t="str">
        <x:v>Activities of holding companies</x:v>
      </x:c>
      <x:c r="C2581" s="12" t="str">
        <x:v>العقبة</x:v>
      </x:c>
      <x:c r="D2581" s="14" t="n">
        <x:v>0</x:v>
      </x:c>
      <x:c r="E2581" s="14" t="n">
        <x:f>VLOOKUP(C2581,'Governorate Master'!$A$2:$Q$13,3,FALSE)</x:f>
        <x:v>250900</x:v>
      </x:c>
      <x:c r="F2581" s="66" t="n">
        <x:f>IF(E2581=0,0,D2581/E2581*10000)</x:f>
        <x:v>0</x:v>
      </x:c>
      <x:c r="G2581" s="67" t="n">
        <x:f>VLOOKUP(C2581,'Governorate Master'!$A$2:$Q$13,7,FALSE)</x:f>
        <x:v>36.3</x:v>
      </x:c>
      <x:c r="H2581" s="20" t="n">
        <x:f>VLOOKUP(C2581,'Governorate Master'!$A$2:$Q$13,6,FALSE)</x:f>
        <x:v>0.882024711040255</x:v>
      </x:c>
      <x:c r="I2581" s="20" t="n">
        <x:f>VLOOKUP(C2581,'Governorate Master'!$A$2:$Q$13,15,FALSE)</x:f>
        <x:v>-0.09</x:v>
      </x:c>
      <x:c r="J2581" s="12" t="str">
        <x:v>Location model input - competition/saturation context</x:v>
      </x:c>
      <x:c r="K2581" s="12" t="str">
        <x:v>Business count is from 2018 while population/context indicators are newer; use as a historical proxy, not a current market count.</x:v>
      </x:c>
    </x:row>
    <x:row r="2582">
      <x:c r="A2582" s="12" t="str">
        <x:v>6491</x:v>
      </x:c>
      <x:c r="B2582" s="12" t="str">
        <x:v>Financial leasing</x:v>
      </x:c>
      <x:c r="C2582" s="12" t="str">
        <x:v>عمان</x:v>
      </x:c>
      <x:c r="D2582" s="14" t="n">
        <x:v>12</x:v>
      </x:c>
      <x:c r="E2582" s="14" t="n">
        <x:f>VLOOKUP(C2582,'Governorate Master'!$A$2:$Q$13,3,FALSE)</x:f>
        <x:v>5004600</x:v>
      </x:c>
      <x:c r="F2582" s="66" t="n">
        <x:f>IF(E2582=0,0,D2582/E2582*10000)</x:f>
        <x:v>0.023977940294928664</x:v>
      </x:c>
      <x:c r="G2582" s="67" t="n">
        <x:f>VLOOKUP(C2582,'Governorate Master'!$A$2:$Q$13,7,FALSE)</x:f>
        <x:v>660.3</x:v>
      </x:c>
      <x:c r="H2582" s="20" t="n">
        <x:f>VLOOKUP(C2582,'Governorate Master'!$A$2:$Q$13,6,FALSE)</x:f>
        <x:v>0.9721656076409703</x:v>
      </x:c>
      <x:c r="I2582" s="20" t="n">
        <x:f>VLOOKUP(C2582,'Governorate Master'!$A$2:$Q$13,15,FALSE)</x:f>
        <x:v>0.06367041198501873</x:v>
      </x:c>
      <x:c r="J2582" s="12" t="str">
        <x:v>Location model input - competition/saturation context</x:v>
      </x:c>
      <x:c r="K2582" s="12" t="str">
        <x:v>Business count is from 2018 while population/context indicators are newer; use as a historical proxy, not a current market count.</x:v>
      </x:c>
    </x:row>
    <x:row r="2583">
      <x:c r="A2583" s="12" t="str">
        <x:v>6491</x:v>
      </x:c>
      <x:c r="B2583" s="12" t="str">
        <x:v>Financial leasing</x:v>
      </x:c>
      <x:c r="C2583" s="12" t="str">
        <x:v>البلقاء</x:v>
      </x:c>
      <x:c r="D2583" s="14" t="n">
        <x:v>0</x:v>
      </x:c>
      <x:c r="E2583" s="14" t="n">
        <x:f>VLOOKUP(C2583,'Governorate Master'!$A$2:$Q$13,3,FALSE)</x:f>
        <x:v>614000</x:v>
      </x:c>
      <x:c r="F2583" s="66" t="n">
        <x:f>IF(E2583=0,0,D2583/E2583*10000)</x:f>
        <x:v>0</x:v>
      </x:c>
      <x:c r="G2583" s="67" t="n">
        <x:f>VLOOKUP(C2583,'Governorate Master'!$A$2:$Q$13,7,FALSE)</x:f>
        <x:v>548</x:v>
      </x:c>
      <x:c r="H2583" s="20" t="n">
        <x:f>VLOOKUP(C2583,'Governorate Master'!$A$2:$Q$13,6,FALSE)</x:f>
        <x:v>0.8210097719869707</x:v>
      </x:c>
      <x:c r="I2583" s="20" t="n">
        <x:f>VLOOKUP(C2583,'Governorate Master'!$A$2:$Q$13,15,FALSE)</x:f>
        <x:v>0.10794044665012408</x:v>
      </x:c>
      <x:c r="J2583" s="12" t="str">
        <x:v>Location model input - competition/saturation context</x:v>
      </x:c>
      <x:c r="K2583" s="12" t="str">
        <x:v>Business count is from 2018 while population/context indicators are newer; use as a historical proxy, not a current market count.</x:v>
      </x:c>
    </x:row>
    <x:row r="2584">
      <x:c r="A2584" s="12" t="str">
        <x:v>6491</x:v>
      </x:c>
      <x:c r="B2584" s="12" t="str">
        <x:v>Financial leasing</x:v>
      </x:c>
      <x:c r="C2584" s="12" t="str">
        <x:v>الزرقاء</x:v>
      </x:c>
      <x:c r="D2584" s="14" t="n">
        <x:v>0</x:v>
      </x:c>
      <x:c r="E2584" s="14" t="n">
        <x:f>VLOOKUP(C2584,'Governorate Master'!$A$2:$Q$13,3,FALSE)</x:f>
        <x:v>1704500</x:v>
      </x:c>
      <x:c r="F2584" s="66" t="n">
        <x:f>IF(E2584=0,0,D2584/E2584*10000)</x:f>
        <x:v>0</x:v>
      </x:c>
      <x:c r="G2584" s="67" t="n">
        <x:f>VLOOKUP(C2584,'Governorate Master'!$A$2:$Q$13,7,FALSE)</x:f>
        <x:v>358</x:v>
      </x:c>
      <x:c r="H2584" s="20" t="n">
        <x:f>VLOOKUP(C2584,'Governorate Master'!$A$2:$Q$13,6,FALSE)</x:f>
        <x:v>0.9636256966852449</x:v>
      </x:c>
      <x:c r="I2584" s="20" t="n">
        <x:f>VLOOKUP(C2584,'Governorate Master'!$A$2:$Q$13,15,FALSE)</x:f>
        <x:v>-0.06808762581409118</x:v>
      </x:c>
      <x:c r="J2584" s="12" t="str">
        <x:v>Location model input - competition/saturation context</x:v>
      </x:c>
      <x:c r="K2584" s="12" t="str">
        <x:v>Business count is from 2018 while population/context indicators are newer; use as a historical proxy, not a current market count.</x:v>
      </x:c>
    </x:row>
    <x:row r="2585">
      <x:c r="A2585" s="12" t="str">
        <x:v>6491</x:v>
      </x:c>
      <x:c r="B2585" s="12" t="str">
        <x:v>Financial leasing</x:v>
      </x:c>
      <x:c r="C2585" s="12" t="str">
        <x:v>مادبا</x:v>
      </x:c>
      <x:c r="D2585" s="14" t="n">
        <x:v>0</x:v>
      </x:c>
      <x:c r="E2585" s="14" t="n">
        <x:f>VLOOKUP(C2585,'Governorate Master'!$A$2:$Q$13,3,FALSE)</x:f>
        <x:v>236200</x:v>
      </x:c>
      <x:c r="F2585" s="66" t="n">
        <x:f>IF(E2585=0,0,D2585/E2585*10000)</x:f>
        <x:v>0</x:v>
      </x:c>
      <x:c r="G2585" s="67" t="n">
        <x:f>VLOOKUP(C2585,'Governorate Master'!$A$2:$Q$13,7,FALSE)</x:f>
        <x:v>251.4</x:v>
      </x:c>
      <x:c r="H2585" s="20" t="n">
        <x:f>VLOOKUP(C2585,'Governorate Master'!$A$2:$Q$13,6,FALSE)</x:f>
        <x:v>0.7823878069432684</x:v>
      </x:c>
      <x:c r="I2585" s="20" t="n">
        <x:f>VLOOKUP(C2585,'Governorate Master'!$A$2:$Q$13,15,FALSE)</x:f>
        <x:v>-0.18823529411764706</x:v>
      </x:c>
      <x:c r="J2585" s="12" t="str">
        <x:v>Location model input - competition/saturation context</x:v>
      </x:c>
      <x:c r="K2585" s="12" t="str">
        <x:v>Business count is from 2018 while population/context indicators are newer; use as a historical proxy, not a current market count.</x:v>
      </x:c>
    </x:row>
    <x:row r="2586">
      <x:c r="A2586" s="12" t="str">
        <x:v>6491</x:v>
      </x:c>
      <x:c r="B2586" s="12" t="str">
        <x:v>Financial leasing</x:v>
      </x:c>
      <x:c r="C2586" s="12" t="str">
        <x:v>إربد</x:v>
      </x:c>
      <x:c r="D2586" s="14" t="n">
        <x:v>0</x:v>
      </x:c>
      <x:c r="E2586" s="14" t="n">
        <x:f>VLOOKUP(C2586,'Governorate Master'!$A$2:$Q$13,3,FALSE)</x:f>
        <x:v>2210500</x:v>
      </x:c>
      <x:c r="F2586" s="66" t="n">
        <x:f>IF(E2586=0,0,D2586/E2586*10000)</x:f>
        <x:v>0</x:v>
      </x:c>
      <x:c r="G2586" s="67" t="n">
        <x:f>VLOOKUP(C2586,'Governorate Master'!$A$2:$Q$13,7,FALSE)</x:f>
        <x:v>1406.4</x:v>
      </x:c>
      <x:c r="H2586" s="20" t="n">
        <x:f>VLOOKUP(C2586,'Governorate Master'!$A$2:$Q$13,6,FALSE)</x:f>
        <x:v>0.9235014702555983</x:v>
      </x:c>
      <x:c r="I2586" s="20" t="n">
        <x:f>VLOOKUP(C2586,'Governorate Master'!$A$2:$Q$13,15,FALSE)</x:f>
        <x:v>0.07086922474549726</x:v>
      </x:c>
      <x:c r="J2586" s="12" t="str">
        <x:v>Location model input - competition/saturation context</x:v>
      </x:c>
      <x:c r="K2586" s="12" t="str">
        <x:v>Business count is from 2018 while population/context indicators are newer; use as a historical proxy, not a current market count.</x:v>
      </x:c>
    </x:row>
    <x:row r="2587">
      <x:c r="A2587" s="12" t="str">
        <x:v>6491</x:v>
      </x:c>
      <x:c r="B2587" s="12" t="str">
        <x:v>Financial leasing</x:v>
      </x:c>
      <x:c r="C2587" s="12" t="str">
        <x:v>المفرق</x:v>
      </x:c>
      <x:c r="D2587" s="14" t="n">
        <x:v>0</x:v>
      </x:c>
      <x:c r="E2587" s="14" t="n">
        <x:f>VLOOKUP(C2587,'Governorate Master'!$A$2:$Q$13,3,FALSE)</x:f>
        <x:v>686800</x:v>
      </x:c>
      <x:c r="F2587" s="66" t="n">
        <x:f>IF(E2587=0,0,D2587/E2587*10000)</x:f>
        <x:v>0</x:v>
      </x:c>
      <x:c r="G2587" s="67" t="n">
        <x:f>VLOOKUP(C2587,'Governorate Master'!$A$2:$Q$13,7,FALSE)</x:f>
        <x:v>25.9</x:v>
      </x:c>
      <x:c r="H2587" s="20" t="n">
        <x:f>VLOOKUP(C2587,'Governorate Master'!$A$2:$Q$13,6,FALSE)</x:f>
        <x:v>0.6965637740244612</x:v>
      </x:c>
      <x:c r="I2587" s="20" t="n">
        <x:f>VLOOKUP(C2587,'Governorate Master'!$A$2:$Q$13,15,FALSE)</x:f>
        <x:v>-0.016638935108153077</x:v>
      </x:c>
      <x:c r="J2587" s="12" t="str">
        <x:v>Location model input - competition/saturation context</x:v>
      </x:c>
      <x:c r="K2587" s="12" t="str">
        <x:v>Business count is from 2018 while population/context indicators are newer; use as a historical proxy, not a current market count.</x:v>
      </x:c>
    </x:row>
    <x:row r="2588">
      <x:c r="A2588" s="12" t="str">
        <x:v>6491</x:v>
      </x:c>
      <x:c r="B2588" s="12" t="str">
        <x:v>Financial leasing</x:v>
      </x:c>
      <x:c r="C2588" s="12" t="str">
        <x:v>جرش</x:v>
      </x:c>
      <x:c r="D2588" s="14" t="n">
        <x:v>0</x:v>
      </x:c>
      <x:c r="E2588" s="14" t="n">
        <x:f>VLOOKUP(C2588,'Governorate Master'!$A$2:$Q$13,3,FALSE)</x:f>
        <x:v>296000</x:v>
      </x:c>
      <x:c r="F2588" s="66" t="n">
        <x:f>IF(E2588=0,0,D2588/E2588*10000)</x:f>
        <x:v>0</x:v>
      </x:c>
      <x:c r="G2588" s="67" t="n">
        <x:f>VLOOKUP(C2588,'Governorate Master'!$A$2:$Q$13,7,FALSE)</x:f>
        <x:v>722.3</x:v>
      </x:c>
      <x:c r="H2588" s="20" t="n">
        <x:f>VLOOKUP(C2588,'Governorate Master'!$A$2:$Q$13,6,FALSE)</x:f>
        <x:v>0.7695945945945946</x:v>
      </x:c>
      <x:c r="I2588" s="20" t="n">
        <x:f>VLOOKUP(C2588,'Governorate Master'!$A$2:$Q$13,15,FALSE)</x:f>
        <x:v>-0.06527415143603134</x:v>
      </x:c>
      <x:c r="J2588" s="12" t="str">
        <x:v>Location model input - competition/saturation context</x:v>
      </x:c>
      <x:c r="K2588" s="12" t="str">
        <x:v>Business count is from 2018 while population/context indicators are newer; use as a historical proxy, not a current market count.</x:v>
      </x:c>
    </x:row>
    <x:row r="2589">
      <x:c r="A2589" s="12" t="str">
        <x:v>6491</x:v>
      </x:c>
      <x:c r="B2589" s="12" t="str">
        <x:v>Financial leasing</x:v>
      </x:c>
      <x:c r="C2589" s="12" t="str">
        <x:v>عجلون</x:v>
      </x:c>
      <x:c r="D2589" s="14" t="n">
        <x:v>0</x:v>
      </x:c>
      <x:c r="E2589" s="14" t="n">
        <x:f>VLOOKUP(C2589,'Governorate Master'!$A$2:$Q$13,3,FALSE)</x:f>
        <x:v>219900</x:v>
      </x:c>
      <x:c r="F2589" s="66" t="n">
        <x:f>IF(E2589=0,0,D2589/E2589*10000)</x:f>
        <x:v>0</x:v>
      </x:c>
      <x:c r="G2589" s="67" t="n">
        <x:f>VLOOKUP(C2589,'Governorate Master'!$A$2:$Q$13,7,FALSE)</x:f>
        <x:v>524</x:v>
      </x:c>
      <x:c r="H2589" s="20" t="n">
        <x:f>VLOOKUP(C2589,'Governorate Master'!$A$2:$Q$13,6,FALSE)</x:f>
        <x:v>0.8390177353342428</x:v>
      </x:c>
      <x:c r="I2589" s="20" t="n">
        <x:f>VLOOKUP(C2589,'Governorate Master'!$A$2:$Q$13,15,FALSE)</x:f>
        <x:v>0.03614457831325301</x:v>
      </x:c>
      <x:c r="J2589" s="12" t="str">
        <x:v>Location model input - competition/saturation context</x:v>
      </x:c>
      <x:c r="K2589" s="12" t="str">
        <x:v>Business count is from 2018 while population/context indicators are newer; use as a historical proxy, not a current market count.</x:v>
      </x:c>
    </x:row>
    <x:row r="2590">
      <x:c r="A2590" s="12" t="str">
        <x:v>6491</x:v>
      </x:c>
      <x:c r="B2590" s="12" t="str">
        <x:v>Financial leasing</x:v>
      </x:c>
      <x:c r="C2590" s="12" t="str">
        <x:v>الكرك</x:v>
      </x:c>
      <x:c r="D2590" s="14" t="n">
        <x:v>0</x:v>
      </x:c>
      <x:c r="E2590" s="14" t="n">
        <x:f>VLOOKUP(C2590,'Governorate Master'!$A$2:$Q$13,3,FALSE)</x:f>
        <x:v>395400</x:v>
      </x:c>
      <x:c r="F2590" s="66" t="n">
        <x:f>IF(E2590=0,0,D2590/E2590*10000)</x:f>
        <x:v>0</x:v>
      </x:c>
      <x:c r="G2590" s="67" t="n">
        <x:f>VLOOKUP(C2590,'Governorate Master'!$A$2:$Q$13,7,FALSE)</x:f>
        <x:v>113.1</x:v>
      </x:c>
      <x:c r="H2590" s="20" t="n">
        <x:f>VLOOKUP(C2590,'Governorate Master'!$A$2:$Q$13,6,FALSE)</x:f>
        <x:v>0.5912999494183105</x:v>
      </x:c>
      <x:c r="I2590" s="20" t="n">
        <x:f>VLOOKUP(C2590,'Governorate Master'!$A$2:$Q$13,15,FALSE)</x:f>
        <x:v>0.08710801393728224</x:v>
      </x:c>
      <x:c r="J2590" s="12" t="str">
        <x:v>Location model input - competition/saturation context</x:v>
      </x:c>
      <x:c r="K2590" s="12" t="str">
        <x:v>Business count is from 2018 while population/context indicators are newer; use as a historical proxy, not a current market count.</x:v>
      </x:c>
    </x:row>
    <x:row r="2591">
      <x:c r="A2591" s="12" t="str">
        <x:v>6491</x:v>
      </x:c>
      <x:c r="B2591" s="12" t="str">
        <x:v>Financial leasing</x:v>
      </x:c>
      <x:c r="C2591" s="12" t="str">
        <x:v>الطفيلة</x:v>
      </x:c>
      <x:c r="D2591" s="14" t="n">
        <x:v>0</x:v>
      </x:c>
      <x:c r="E2591" s="14" t="n">
        <x:f>VLOOKUP(C2591,'Governorate Master'!$A$2:$Q$13,3,FALSE)</x:f>
        <x:v>120300</x:v>
      </x:c>
      <x:c r="F2591" s="66" t="n">
        <x:f>IF(E2591=0,0,D2591/E2591*10000)</x:f>
        <x:v>0</x:v>
      </x:c>
      <x:c r="G2591" s="67" t="n">
        <x:f>VLOOKUP(C2591,'Governorate Master'!$A$2:$Q$13,7,FALSE)</x:f>
        <x:v>54.4</x:v>
      </x:c>
      <x:c r="H2591" s="20" t="n">
        <x:f>VLOOKUP(C2591,'Governorate Master'!$A$2:$Q$13,6,FALSE)</x:f>
        <x:v>0.7797173732335827</x:v>
      </x:c>
      <x:c r="I2591" s="20" t="n">
        <x:f>VLOOKUP(C2591,'Governorate Master'!$A$2:$Q$13,15,FALSE)</x:f>
        <x:v>0.18452380952380953</x:v>
      </x:c>
      <x:c r="J2591" s="12" t="str">
        <x:v>Location model input - competition/saturation context</x:v>
      </x:c>
      <x:c r="K2591" s="12" t="str">
        <x:v>Business count is from 2018 while population/context indicators are newer; use as a historical proxy, not a current market count.</x:v>
      </x:c>
    </x:row>
    <x:row r="2592">
      <x:c r="A2592" s="12" t="str">
        <x:v>6491</x:v>
      </x:c>
      <x:c r="B2592" s="12" t="str">
        <x:v>Financial leasing</x:v>
      </x:c>
      <x:c r="C2592" s="12" t="str">
        <x:v>معان</x:v>
      </x:c>
      <x:c r="D2592" s="14" t="n">
        <x:v>0</x:v>
      </x:c>
      <x:c r="E2592" s="14" t="n">
        <x:f>VLOOKUP(C2592,'Governorate Master'!$A$2:$Q$13,3,FALSE)</x:f>
        <x:v>197900</x:v>
      </x:c>
      <x:c r="F2592" s="66" t="n">
        <x:f>IF(E2592=0,0,D2592/E2592*10000)</x:f>
        <x:v>0</x:v>
      </x:c>
      <x:c r="G2592" s="67" t="n">
        <x:f>VLOOKUP(C2592,'Governorate Master'!$A$2:$Q$13,7,FALSE)</x:f>
        <x:v>6</x:v>
      </x:c>
      <x:c r="H2592" s="20" t="n">
        <x:f>VLOOKUP(C2592,'Governorate Master'!$A$2:$Q$13,6,FALSE)</x:f>
        <x:v>0.5406771096513391</x:v>
      </x:c>
      <x:c r="I2592" s="20" t="n">
        <x:f>VLOOKUP(C2592,'Governorate Master'!$A$2:$Q$13,15,FALSE)</x:f>
        <x:v>0.026845637583892617</x:v>
      </x:c>
      <x:c r="J2592" s="12" t="str">
        <x:v>Location model input - competition/saturation context</x:v>
      </x:c>
      <x:c r="K2592" s="12" t="str">
        <x:v>Business count is from 2018 while population/context indicators are newer; use as a historical proxy, not a current market count.</x:v>
      </x:c>
    </x:row>
    <x:row r="2593">
      <x:c r="A2593" s="12" t="str">
        <x:v>6491</x:v>
      </x:c>
      <x:c r="B2593" s="12" t="str">
        <x:v>Financial leasing</x:v>
      </x:c>
      <x:c r="C2593" s="12" t="str">
        <x:v>العقبة</x:v>
      </x:c>
      <x:c r="D2593" s="14" t="n">
        <x:v>0</x:v>
      </x:c>
      <x:c r="E2593" s="14" t="n">
        <x:f>VLOOKUP(C2593,'Governorate Master'!$A$2:$Q$13,3,FALSE)</x:f>
        <x:v>250900</x:v>
      </x:c>
      <x:c r="F2593" s="66" t="n">
        <x:f>IF(E2593=0,0,D2593/E2593*10000)</x:f>
        <x:v>0</x:v>
      </x:c>
      <x:c r="G2593" s="67" t="n">
        <x:f>VLOOKUP(C2593,'Governorate Master'!$A$2:$Q$13,7,FALSE)</x:f>
        <x:v>36.3</x:v>
      </x:c>
      <x:c r="H2593" s="20" t="n">
        <x:f>VLOOKUP(C2593,'Governorate Master'!$A$2:$Q$13,6,FALSE)</x:f>
        <x:v>0.882024711040255</x:v>
      </x:c>
      <x:c r="I2593" s="20" t="n">
        <x:f>VLOOKUP(C2593,'Governorate Master'!$A$2:$Q$13,15,FALSE)</x:f>
        <x:v>-0.09</x:v>
      </x:c>
      <x:c r="J2593" s="12" t="str">
        <x:v>Location model input - competition/saturation context</x:v>
      </x:c>
      <x:c r="K2593" s="12" t="str">
        <x:v>Business count is from 2018 while population/context indicators are newer; use as a historical proxy, not a current market count.</x:v>
      </x:c>
    </x:row>
    <x:row r="2594">
      <x:c r="A2594" s="12" t="str">
        <x:v>6492</x:v>
      </x:c>
      <x:c r="B2594" s="12" t="str">
        <x:v>Other credit granting</x:v>
      </x:c>
      <x:c r="C2594" s="12" t="str">
        <x:v>عمان</x:v>
      </x:c>
      <x:c r="D2594" s="14" t="n">
        <x:v>28</x:v>
      </x:c>
      <x:c r="E2594" s="14" t="n">
        <x:f>VLOOKUP(C2594,'Governorate Master'!$A$2:$Q$13,3,FALSE)</x:f>
        <x:v>5004600</x:v>
      </x:c>
      <x:c r="F2594" s="66" t="n">
        <x:f>IF(E2594=0,0,D2594/E2594*10000)</x:f>
        <x:v>0.055948527354833556</x:v>
      </x:c>
      <x:c r="G2594" s="67" t="n">
        <x:f>VLOOKUP(C2594,'Governorate Master'!$A$2:$Q$13,7,FALSE)</x:f>
        <x:v>660.3</x:v>
      </x:c>
      <x:c r="H2594" s="20" t="n">
        <x:f>VLOOKUP(C2594,'Governorate Master'!$A$2:$Q$13,6,FALSE)</x:f>
        <x:v>0.9721656076409703</x:v>
      </x:c>
      <x:c r="I2594" s="20" t="n">
        <x:f>VLOOKUP(C2594,'Governorate Master'!$A$2:$Q$13,15,FALSE)</x:f>
        <x:v>0.06367041198501873</x:v>
      </x:c>
      <x:c r="J2594" s="12" t="str">
        <x:v>Location model input - competition/saturation context</x:v>
      </x:c>
      <x:c r="K2594" s="12" t="str">
        <x:v>Business count is from 2018 while population/context indicators are newer; use as a historical proxy, not a current market count.</x:v>
      </x:c>
    </x:row>
    <x:row r="2595">
      <x:c r="A2595" s="12" t="str">
        <x:v>6492</x:v>
      </x:c>
      <x:c r="B2595" s="12" t="str">
        <x:v>Other credit granting</x:v>
      </x:c>
      <x:c r="C2595" s="12" t="str">
        <x:v>البلقاء</x:v>
      </x:c>
      <x:c r="D2595" s="14" t="n">
        <x:v>2</x:v>
      </x:c>
      <x:c r="E2595" s="14" t="n">
        <x:f>VLOOKUP(C2595,'Governorate Master'!$A$2:$Q$13,3,FALSE)</x:f>
        <x:v>614000</x:v>
      </x:c>
      <x:c r="F2595" s="66" t="n">
        <x:f>IF(E2595=0,0,D2595/E2595*10000)</x:f>
        <x:v>0.03257328990228013</x:v>
      </x:c>
      <x:c r="G2595" s="67" t="n">
        <x:f>VLOOKUP(C2595,'Governorate Master'!$A$2:$Q$13,7,FALSE)</x:f>
        <x:v>548</x:v>
      </x:c>
      <x:c r="H2595" s="20" t="n">
        <x:f>VLOOKUP(C2595,'Governorate Master'!$A$2:$Q$13,6,FALSE)</x:f>
        <x:v>0.8210097719869707</x:v>
      </x:c>
      <x:c r="I2595" s="20" t="n">
        <x:f>VLOOKUP(C2595,'Governorate Master'!$A$2:$Q$13,15,FALSE)</x:f>
        <x:v>0.10794044665012408</x:v>
      </x:c>
      <x:c r="J2595" s="12" t="str">
        <x:v>Location model input - competition/saturation context</x:v>
      </x:c>
      <x:c r="K2595" s="12" t="str">
        <x:v>Business count is from 2018 while population/context indicators are newer; use as a historical proxy, not a current market count.</x:v>
      </x:c>
    </x:row>
    <x:row r="2596">
      <x:c r="A2596" s="12" t="str">
        <x:v>6492</x:v>
      </x:c>
      <x:c r="B2596" s="12" t="str">
        <x:v>Other credit granting</x:v>
      </x:c>
      <x:c r="C2596" s="12" t="str">
        <x:v>الزرقاء</x:v>
      </x:c>
      <x:c r="D2596" s="14" t="n">
        <x:v>3</x:v>
      </x:c>
      <x:c r="E2596" s="14" t="n">
        <x:f>VLOOKUP(C2596,'Governorate Master'!$A$2:$Q$13,3,FALSE)</x:f>
        <x:v>1704500</x:v>
      </x:c>
      <x:c r="F2596" s="66" t="n">
        <x:f>IF(E2596=0,0,D2596/E2596*10000)</x:f>
        <x:v>0.01760046934584922</x:v>
      </x:c>
      <x:c r="G2596" s="67" t="n">
        <x:f>VLOOKUP(C2596,'Governorate Master'!$A$2:$Q$13,7,FALSE)</x:f>
        <x:v>358</x:v>
      </x:c>
      <x:c r="H2596" s="20" t="n">
        <x:f>VLOOKUP(C2596,'Governorate Master'!$A$2:$Q$13,6,FALSE)</x:f>
        <x:v>0.9636256966852449</x:v>
      </x:c>
      <x:c r="I2596" s="20" t="n">
        <x:f>VLOOKUP(C2596,'Governorate Master'!$A$2:$Q$13,15,FALSE)</x:f>
        <x:v>-0.06808762581409118</x:v>
      </x:c>
      <x:c r="J2596" s="12" t="str">
        <x:v>Location model input - competition/saturation context</x:v>
      </x:c>
      <x:c r="K2596" s="12" t="str">
        <x:v>Business count is from 2018 while population/context indicators are newer; use as a historical proxy, not a current market count.</x:v>
      </x:c>
    </x:row>
    <x:row r="2597">
      <x:c r="A2597" s="12" t="str">
        <x:v>6492</x:v>
      </x:c>
      <x:c r="B2597" s="12" t="str">
        <x:v>Other credit granting</x:v>
      </x:c>
      <x:c r="C2597" s="12" t="str">
        <x:v>مادبا</x:v>
      </x:c>
      <x:c r="D2597" s="14" t="n">
        <x:v>0</x:v>
      </x:c>
      <x:c r="E2597" s="14" t="n">
        <x:f>VLOOKUP(C2597,'Governorate Master'!$A$2:$Q$13,3,FALSE)</x:f>
        <x:v>236200</x:v>
      </x:c>
      <x:c r="F2597" s="66" t="n">
        <x:f>IF(E2597=0,0,D2597/E2597*10000)</x:f>
        <x:v>0</x:v>
      </x:c>
      <x:c r="G2597" s="67" t="n">
        <x:f>VLOOKUP(C2597,'Governorate Master'!$A$2:$Q$13,7,FALSE)</x:f>
        <x:v>251.4</x:v>
      </x:c>
      <x:c r="H2597" s="20" t="n">
        <x:f>VLOOKUP(C2597,'Governorate Master'!$A$2:$Q$13,6,FALSE)</x:f>
        <x:v>0.7823878069432684</x:v>
      </x:c>
      <x:c r="I2597" s="20" t="n">
        <x:f>VLOOKUP(C2597,'Governorate Master'!$A$2:$Q$13,15,FALSE)</x:f>
        <x:v>-0.18823529411764706</x:v>
      </x:c>
      <x:c r="J2597" s="12" t="str">
        <x:v>Location model input - competition/saturation context</x:v>
      </x:c>
      <x:c r="K2597" s="12" t="str">
        <x:v>Business count is from 2018 while population/context indicators are newer; use as a historical proxy, not a current market count.</x:v>
      </x:c>
    </x:row>
    <x:row r="2598">
      <x:c r="A2598" s="12" t="str">
        <x:v>6492</x:v>
      </x:c>
      <x:c r="B2598" s="12" t="str">
        <x:v>Other credit granting</x:v>
      </x:c>
      <x:c r="C2598" s="12" t="str">
        <x:v>إربد</x:v>
      </x:c>
      <x:c r="D2598" s="14" t="n">
        <x:v>3</x:v>
      </x:c>
      <x:c r="E2598" s="14" t="n">
        <x:f>VLOOKUP(C2598,'Governorate Master'!$A$2:$Q$13,3,FALSE)</x:f>
        <x:v>2210500</x:v>
      </x:c>
      <x:c r="F2598" s="66" t="n">
        <x:f>IF(E2598=0,0,D2598/E2598*10000)</x:f>
        <x:v>0.013571590137977832</x:v>
      </x:c>
      <x:c r="G2598" s="67" t="n">
        <x:f>VLOOKUP(C2598,'Governorate Master'!$A$2:$Q$13,7,FALSE)</x:f>
        <x:v>1406.4</x:v>
      </x:c>
      <x:c r="H2598" s="20" t="n">
        <x:f>VLOOKUP(C2598,'Governorate Master'!$A$2:$Q$13,6,FALSE)</x:f>
        <x:v>0.9235014702555983</x:v>
      </x:c>
      <x:c r="I2598" s="20" t="n">
        <x:f>VLOOKUP(C2598,'Governorate Master'!$A$2:$Q$13,15,FALSE)</x:f>
        <x:v>0.07086922474549726</x:v>
      </x:c>
      <x:c r="J2598" s="12" t="str">
        <x:v>Location model input - competition/saturation context</x:v>
      </x:c>
      <x:c r="K2598" s="12" t="str">
        <x:v>Business count is from 2018 while population/context indicators are newer; use as a historical proxy, not a current market count.</x:v>
      </x:c>
    </x:row>
    <x:row r="2599">
      <x:c r="A2599" s="12" t="str">
        <x:v>6492</x:v>
      </x:c>
      <x:c r="B2599" s="12" t="str">
        <x:v>Other credit granting</x:v>
      </x:c>
      <x:c r="C2599" s="12" t="str">
        <x:v>المفرق</x:v>
      </x:c>
      <x:c r="D2599" s="14" t="n">
        <x:v>1</x:v>
      </x:c>
      <x:c r="E2599" s="14" t="n">
        <x:f>VLOOKUP(C2599,'Governorate Master'!$A$2:$Q$13,3,FALSE)</x:f>
        <x:v>686800</x:v>
      </x:c>
      <x:c r="F2599" s="66" t="n">
        <x:f>IF(E2599=0,0,D2599/E2599*10000)</x:f>
        <x:v>0.014560279557367502</x:v>
      </x:c>
      <x:c r="G2599" s="67" t="n">
        <x:f>VLOOKUP(C2599,'Governorate Master'!$A$2:$Q$13,7,FALSE)</x:f>
        <x:v>25.9</x:v>
      </x:c>
      <x:c r="H2599" s="20" t="n">
        <x:f>VLOOKUP(C2599,'Governorate Master'!$A$2:$Q$13,6,FALSE)</x:f>
        <x:v>0.6965637740244612</x:v>
      </x:c>
      <x:c r="I2599" s="20" t="n">
        <x:f>VLOOKUP(C2599,'Governorate Master'!$A$2:$Q$13,15,FALSE)</x:f>
        <x:v>-0.016638935108153077</x:v>
      </x:c>
      <x:c r="J2599" s="12" t="str">
        <x:v>Location model input - competition/saturation context</x:v>
      </x:c>
      <x:c r="K2599" s="12" t="str">
        <x:v>Business count is from 2018 while population/context indicators are newer; use as a historical proxy, not a current market count.</x:v>
      </x:c>
    </x:row>
    <x:row r="2600">
      <x:c r="A2600" s="12" t="str">
        <x:v>6492</x:v>
      </x:c>
      <x:c r="B2600" s="12" t="str">
        <x:v>Other credit granting</x:v>
      </x:c>
      <x:c r="C2600" s="12" t="str">
        <x:v>جرش</x:v>
      </x:c>
      <x:c r="D2600" s="14" t="n">
        <x:v>1</x:v>
      </x:c>
      <x:c r="E2600" s="14" t="n">
        <x:f>VLOOKUP(C2600,'Governorate Master'!$A$2:$Q$13,3,FALSE)</x:f>
        <x:v>296000</x:v>
      </x:c>
      <x:c r="F2600" s="66" t="n">
        <x:f>IF(E2600=0,0,D2600/E2600*10000)</x:f>
        <x:v>0.033783783783783786</x:v>
      </x:c>
      <x:c r="G2600" s="67" t="n">
        <x:f>VLOOKUP(C2600,'Governorate Master'!$A$2:$Q$13,7,FALSE)</x:f>
        <x:v>722.3</x:v>
      </x:c>
      <x:c r="H2600" s="20" t="n">
        <x:f>VLOOKUP(C2600,'Governorate Master'!$A$2:$Q$13,6,FALSE)</x:f>
        <x:v>0.7695945945945946</x:v>
      </x:c>
      <x:c r="I2600" s="20" t="n">
        <x:f>VLOOKUP(C2600,'Governorate Master'!$A$2:$Q$13,15,FALSE)</x:f>
        <x:v>-0.06527415143603134</x:v>
      </x:c>
      <x:c r="J2600" s="12" t="str">
        <x:v>Location model input - competition/saturation context</x:v>
      </x:c>
      <x:c r="K2600" s="12" t="str">
        <x:v>Business count is from 2018 while population/context indicators are newer; use as a historical proxy, not a current market count.</x:v>
      </x:c>
    </x:row>
    <x:row r="2601">
      <x:c r="A2601" s="12" t="str">
        <x:v>6492</x:v>
      </x:c>
      <x:c r="B2601" s="12" t="str">
        <x:v>Other credit granting</x:v>
      </x:c>
      <x:c r="C2601" s="12" t="str">
        <x:v>عجلون</x:v>
      </x:c>
      <x:c r="D2601" s="14" t="n">
        <x:v>0</x:v>
      </x:c>
      <x:c r="E2601" s="14" t="n">
        <x:f>VLOOKUP(C2601,'Governorate Master'!$A$2:$Q$13,3,FALSE)</x:f>
        <x:v>219900</x:v>
      </x:c>
      <x:c r="F2601" s="66" t="n">
        <x:f>IF(E2601=0,0,D2601/E2601*10000)</x:f>
        <x:v>0</x:v>
      </x:c>
      <x:c r="G2601" s="67" t="n">
        <x:f>VLOOKUP(C2601,'Governorate Master'!$A$2:$Q$13,7,FALSE)</x:f>
        <x:v>524</x:v>
      </x:c>
      <x:c r="H2601" s="20" t="n">
        <x:f>VLOOKUP(C2601,'Governorate Master'!$A$2:$Q$13,6,FALSE)</x:f>
        <x:v>0.8390177353342428</x:v>
      </x:c>
      <x:c r="I2601" s="20" t="n">
        <x:f>VLOOKUP(C2601,'Governorate Master'!$A$2:$Q$13,15,FALSE)</x:f>
        <x:v>0.03614457831325301</x:v>
      </x:c>
      <x:c r="J2601" s="12" t="str">
        <x:v>Location model input - competition/saturation context</x:v>
      </x:c>
      <x:c r="K2601" s="12" t="str">
        <x:v>Business count is from 2018 while population/context indicators are newer; use as a historical proxy, not a current market count.</x:v>
      </x:c>
    </x:row>
    <x:row r="2602">
      <x:c r="A2602" s="12" t="str">
        <x:v>6492</x:v>
      </x:c>
      <x:c r="B2602" s="12" t="str">
        <x:v>Other credit granting</x:v>
      </x:c>
      <x:c r="C2602" s="12" t="str">
        <x:v>الكرك</x:v>
      </x:c>
      <x:c r="D2602" s="14" t="n">
        <x:v>0</x:v>
      </x:c>
      <x:c r="E2602" s="14" t="n">
        <x:f>VLOOKUP(C2602,'Governorate Master'!$A$2:$Q$13,3,FALSE)</x:f>
        <x:v>395400</x:v>
      </x:c>
      <x:c r="F2602" s="66" t="n">
        <x:f>IF(E2602=0,0,D2602/E2602*10000)</x:f>
        <x:v>0</x:v>
      </x:c>
      <x:c r="G2602" s="67" t="n">
        <x:f>VLOOKUP(C2602,'Governorate Master'!$A$2:$Q$13,7,FALSE)</x:f>
        <x:v>113.1</x:v>
      </x:c>
      <x:c r="H2602" s="20" t="n">
        <x:f>VLOOKUP(C2602,'Governorate Master'!$A$2:$Q$13,6,FALSE)</x:f>
        <x:v>0.5912999494183105</x:v>
      </x:c>
      <x:c r="I2602" s="20" t="n">
        <x:f>VLOOKUP(C2602,'Governorate Master'!$A$2:$Q$13,15,FALSE)</x:f>
        <x:v>0.08710801393728224</x:v>
      </x:c>
      <x:c r="J2602" s="12" t="str">
        <x:v>Location model input - competition/saturation context</x:v>
      </x:c>
      <x:c r="K2602" s="12" t="str">
        <x:v>Business count is from 2018 while population/context indicators are newer; use as a historical proxy, not a current market count.</x:v>
      </x:c>
    </x:row>
    <x:row r="2603">
      <x:c r="A2603" s="12" t="str">
        <x:v>6492</x:v>
      </x:c>
      <x:c r="B2603" s="12" t="str">
        <x:v>Other credit granting</x:v>
      </x:c>
      <x:c r="C2603" s="12" t="str">
        <x:v>الطفيلة</x:v>
      </x:c>
      <x:c r="D2603" s="14" t="n">
        <x:v>0</x:v>
      </x:c>
      <x:c r="E2603" s="14" t="n">
        <x:f>VLOOKUP(C2603,'Governorate Master'!$A$2:$Q$13,3,FALSE)</x:f>
        <x:v>120300</x:v>
      </x:c>
      <x:c r="F2603" s="66" t="n">
        <x:f>IF(E2603=0,0,D2603/E2603*10000)</x:f>
        <x:v>0</x:v>
      </x:c>
      <x:c r="G2603" s="67" t="n">
        <x:f>VLOOKUP(C2603,'Governorate Master'!$A$2:$Q$13,7,FALSE)</x:f>
        <x:v>54.4</x:v>
      </x:c>
      <x:c r="H2603" s="20" t="n">
        <x:f>VLOOKUP(C2603,'Governorate Master'!$A$2:$Q$13,6,FALSE)</x:f>
        <x:v>0.7797173732335827</x:v>
      </x:c>
      <x:c r="I2603" s="20" t="n">
        <x:f>VLOOKUP(C2603,'Governorate Master'!$A$2:$Q$13,15,FALSE)</x:f>
        <x:v>0.18452380952380953</x:v>
      </x:c>
      <x:c r="J2603" s="12" t="str">
        <x:v>Location model input - competition/saturation context</x:v>
      </x:c>
      <x:c r="K2603" s="12" t="str">
        <x:v>Business count is from 2018 while population/context indicators are newer; use as a historical proxy, not a current market count.</x:v>
      </x:c>
    </x:row>
    <x:row r="2604">
      <x:c r="A2604" s="12" t="str">
        <x:v>6492</x:v>
      </x:c>
      <x:c r="B2604" s="12" t="str">
        <x:v>Other credit granting</x:v>
      </x:c>
      <x:c r="C2604" s="12" t="str">
        <x:v>معان</x:v>
      </x:c>
      <x:c r="D2604" s="14" t="n">
        <x:v>0</x:v>
      </x:c>
      <x:c r="E2604" s="14" t="n">
        <x:f>VLOOKUP(C2604,'Governorate Master'!$A$2:$Q$13,3,FALSE)</x:f>
        <x:v>197900</x:v>
      </x:c>
      <x:c r="F2604" s="66" t="n">
        <x:f>IF(E2604=0,0,D2604/E2604*10000)</x:f>
        <x:v>0</x:v>
      </x:c>
      <x:c r="G2604" s="67" t="n">
        <x:f>VLOOKUP(C2604,'Governorate Master'!$A$2:$Q$13,7,FALSE)</x:f>
        <x:v>6</x:v>
      </x:c>
      <x:c r="H2604" s="20" t="n">
        <x:f>VLOOKUP(C2604,'Governorate Master'!$A$2:$Q$13,6,FALSE)</x:f>
        <x:v>0.5406771096513391</x:v>
      </x:c>
      <x:c r="I2604" s="20" t="n">
        <x:f>VLOOKUP(C2604,'Governorate Master'!$A$2:$Q$13,15,FALSE)</x:f>
        <x:v>0.026845637583892617</x:v>
      </x:c>
      <x:c r="J2604" s="12" t="str">
        <x:v>Location model input - competition/saturation context</x:v>
      </x:c>
      <x:c r="K2604" s="12" t="str">
        <x:v>Business count is from 2018 while population/context indicators are newer; use as a historical proxy, not a current market count.</x:v>
      </x:c>
    </x:row>
    <x:row r="2605">
      <x:c r="A2605" s="12" t="str">
        <x:v>6492</x:v>
      </x:c>
      <x:c r="B2605" s="12" t="str">
        <x:v>Other credit granting</x:v>
      </x:c>
      <x:c r="C2605" s="12" t="str">
        <x:v>العقبة</x:v>
      </x:c>
      <x:c r="D2605" s="14" t="n">
        <x:v>0</x:v>
      </x:c>
      <x:c r="E2605" s="14" t="n">
        <x:f>VLOOKUP(C2605,'Governorate Master'!$A$2:$Q$13,3,FALSE)</x:f>
        <x:v>250900</x:v>
      </x:c>
      <x:c r="F2605" s="66" t="n">
        <x:f>IF(E2605=0,0,D2605/E2605*10000)</x:f>
        <x:v>0</x:v>
      </x:c>
      <x:c r="G2605" s="67" t="n">
        <x:f>VLOOKUP(C2605,'Governorate Master'!$A$2:$Q$13,7,FALSE)</x:f>
        <x:v>36.3</x:v>
      </x:c>
      <x:c r="H2605" s="20" t="n">
        <x:f>VLOOKUP(C2605,'Governorate Master'!$A$2:$Q$13,6,FALSE)</x:f>
        <x:v>0.882024711040255</x:v>
      </x:c>
      <x:c r="I2605" s="20" t="n">
        <x:f>VLOOKUP(C2605,'Governorate Master'!$A$2:$Q$13,15,FALSE)</x:f>
        <x:v>-0.09</x:v>
      </x:c>
      <x:c r="J2605" s="12" t="str">
        <x:v>Location model input - competition/saturation context</x:v>
      </x:c>
      <x:c r="K2605" s="12" t="str">
        <x:v>Business count is from 2018 while population/context indicators are newer; use as a historical proxy, not a current market count.</x:v>
      </x:c>
    </x:row>
    <x:row r="2606">
      <x:c r="A2606" s="12" t="str">
        <x:v>6499</x:v>
      </x:c>
      <x:c r="B2606" s="12" t="str">
        <x:v>Other financial service activities, except insurance and pension funding activities, n.e.c.</x:v>
      </x:c>
      <x:c r="C2606" s="12" t="str">
        <x:v>عمان</x:v>
      </x:c>
      <x:c r="D2606" s="14" t="n">
        <x:v>27</x:v>
      </x:c>
      <x:c r="E2606" s="14" t="n">
        <x:f>VLOOKUP(C2606,'Governorate Master'!$A$2:$Q$13,3,FALSE)</x:f>
        <x:v>5004600</x:v>
      </x:c>
      <x:c r="F2606" s="66" t="n">
        <x:f>IF(E2606=0,0,D2606/E2606*10000)</x:f>
        <x:v>0.053950365663589496</x:v>
      </x:c>
      <x:c r="G2606" s="67" t="n">
        <x:f>VLOOKUP(C2606,'Governorate Master'!$A$2:$Q$13,7,FALSE)</x:f>
        <x:v>660.3</x:v>
      </x:c>
      <x:c r="H2606" s="20" t="n">
        <x:f>VLOOKUP(C2606,'Governorate Master'!$A$2:$Q$13,6,FALSE)</x:f>
        <x:v>0.9721656076409703</x:v>
      </x:c>
      <x:c r="I2606" s="20" t="n">
        <x:f>VLOOKUP(C2606,'Governorate Master'!$A$2:$Q$13,15,FALSE)</x:f>
        <x:v>0.06367041198501873</x:v>
      </x:c>
      <x:c r="J2606" s="12" t="str">
        <x:v>Location model input - competition/saturation context</x:v>
      </x:c>
      <x:c r="K2606" s="12" t="str">
        <x:v>Business count is from 2018 while population/context indicators are newer; use as a historical proxy, not a current market count.</x:v>
      </x:c>
    </x:row>
    <x:row r="2607">
      <x:c r="A2607" s="12" t="str">
        <x:v>6499</x:v>
      </x:c>
      <x:c r="B2607" s="12" t="str">
        <x:v>Other financial service activities, except insurance and pension funding activities, n.e.c.</x:v>
      </x:c>
      <x:c r="C2607" s="12" t="str">
        <x:v>البلقاء</x:v>
      </x:c>
      <x:c r="D2607" s="14" t="n">
        <x:v>0</x:v>
      </x:c>
      <x:c r="E2607" s="14" t="n">
        <x:f>VLOOKUP(C2607,'Governorate Master'!$A$2:$Q$13,3,FALSE)</x:f>
        <x:v>614000</x:v>
      </x:c>
      <x:c r="F2607" s="66" t="n">
        <x:f>IF(E2607=0,0,D2607/E2607*10000)</x:f>
        <x:v>0</x:v>
      </x:c>
      <x:c r="G2607" s="67" t="n">
        <x:f>VLOOKUP(C2607,'Governorate Master'!$A$2:$Q$13,7,FALSE)</x:f>
        <x:v>548</x:v>
      </x:c>
      <x:c r="H2607" s="20" t="n">
        <x:f>VLOOKUP(C2607,'Governorate Master'!$A$2:$Q$13,6,FALSE)</x:f>
        <x:v>0.8210097719869707</x:v>
      </x:c>
      <x:c r="I2607" s="20" t="n">
        <x:f>VLOOKUP(C2607,'Governorate Master'!$A$2:$Q$13,15,FALSE)</x:f>
        <x:v>0.10794044665012408</x:v>
      </x:c>
      <x:c r="J2607" s="12" t="str">
        <x:v>Location model input - competition/saturation context</x:v>
      </x:c>
      <x:c r="K2607" s="12" t="str">
        <x:v>Business count is from 2018 while population/context indicators are newer; use as a historical proxy, not a current market count.</x:v>
      </x:c>
    </x:row>
    <x:row r="2608">
      <x:c r="A2608" s="12" t="str">
        <x:v>6499</x:v>
      </x:c>
      <x:c r="B2608" s="12" t="str">
        <x:v>Other financial service activities, except insurance and pension funding activities, n.e.c.</x:v>
      </x:c>
      <x:c r="C2608" s="12" t="str">
        <x:v>الزرقاء</x:v>
      </x:c>
      <x:c r="D2608" s="14" t="n">
        <x:v>1</x:v>
      </x:c>
      <x:c r="E2608" s="14" t="n">
        <x:f>VLOOKUP(C2608,'Governorate Master'!$A$2:$Q$13,3,FALSE)</x:f>
        <x:v>1704500</x:v>
      </x:c>
      <x:c r="F2608" s="66" t="n">
        <x:f>IF(E2608=0,0,D2608/E2608*10000)</x:f>
        <x:v>0.005866823115283074</x:v>
      </x:c>
      <x:c r="G2608" s="67" t="n">
        <x:f>VLOOKUP(C2608,'Governorate Master'!$A$2:$Q$13,7,FALSE)</x:f>
        <x:v>358</x:v>
      </x:c>
      <x:c r="H2608" s="20" t="n">
        <x:f>VLOOKUP(C2608,'Governorate Master'!$A$2:$Q$13,6,FALSE)</x:f>
        <x:v>0.9636256966852449</x:v>
      </x:c>
      <x:c r="I2608" s="20" t="n">
        <x:f>VLOOKUP(C2608,'Governorate Master'!$A$2:$Q$13,15,FALSE)</x:f>
        <x:v>-0.06808762581409118</x:v>
      </x:c>
      <x:c r="J2608" s="12" t="str">
        <x:v>Location model input - competition/saturation context</x:v>
      </x:c>
      <x:c r="K2608" s="12" t="str">
        <x:v>Business count is from 2018 while population/context indicators are newer; use as a historical proxy, not a current market count.</x:v>
      </x:c>
    </x:row>
    <x:row r="2609">
      <x:c r="A2609" s="12" t="str">
        <x:v>6499</x:v>
      </x:c>
      <x:c r="B2609" s="12" t="str">
        <x:v>Other financial service activities, except insurance and pension funding activities, n.e.c.</x:v>
      </x:c>
      <x:c r="C2609" s="12" t="str">
        <x:v>مادبا</x:v>
      </x:c>
      <x:c r="D2609" s="14" t="n">
        <x:v>0</x:v>
      </x:c>
      <x:c r="E2609" s="14" t="n">
        <x:f>VLOOKUP(C2609,'Governorate Master'!$A$2:$Q$13,3,FALSE)</x:f>
        <x:v>236200</x:v>
      </x:c>
      <x:c r="F2609" s="66" t="n">
        <x:f>IF(E2609=0,0,D2609/E2609*10000)</x:f>
        <x:v>0</x:v>
      </x:c>
      <x:c r="G2609" s="67" t="n">
        <x:f>VLOOKUP(C2609,'Governorate Master'!$A$2:$Q$13,7,FALSE)</x:f>
        <x:v>251.4</x:v>
      </x:c>
      <x:c r="H2609" s="20" t="n">
        <x:f>VLOOKUP(C2609,'Governorate Master'!$A$2:$Q$13,6,FALSE)</x:f>
        <x:v>0.7823878069432684</x:v>
      </x:c>
      <x:c r="I2609" s="20" t="n">
        <x:f>VLOOKUP(C2609,'Governorate Master'!$A$2:$Q$13,15,FALSE)</x:f>
        <x:v>-0.18823529411764706</x:v>
      </x:c>
      <x:c r="J2609" s="12" t="str">
        <x:v>Location model input - competition/saturation context</x:v>
      </x:c>
      <x:c r="K2609" s="12" t="str">
        <x:v>Business count is from 2018 while population/context indicators are newer; use as a historical proxy, not a current market count.</x:v>
      </x:c>
    </x:row>
    <x:row r="2610">
      <x:c r="A2610" s="12" t="str">
        <x:v>6499</x:v>
      </x:c>
      <x:c r="B2610" s="12" t="str">
        <x:v>Other financial service activities, except insurance and pension funding activities, n.e.c.</x:v>
      </x:c>
      <x:c r="C2610" s="12" t="str">
        <x:v>إربد</x:v>
      </x:c>
      <x:c r="D2610" s="14" t="n">
        <x:v>0</x:v>
      </x:c>
      <x:c r="E2610" s="14" t="n">
        <x:f>VLOOKUP(C2610,'Governorate Master'!$A$2:$Q$13,3,FALSE)</x:f>
        <x:v>2210500</x:v>
      </x:c>
      <x:c r="F2610" s="66" t="n">
        <x:f>IF(E2610=0,0,D2610/E2610*10000)</x:f>
        <x:v>0</x:v>
      </x:c>
      <x:c r="G2610" s="67" t="n">
        <x:f>VLOOKUP(C2610,'Governorate Master'!$A$2:$Q$13,7,FALSE)</x:f>
        <x:v>1406.4</x:v>
      </x:c>
      <x:c r="H2610" s="20" t="n">
        <x:f>VLOOKUP(C2610,'Governorate Master'!$A$2:$Q$13,6,FALSE)</x:f>
        <x:v>0.9235014702555983</x:v>
      </x:c>
      <x:c r="I2610" s="20" t="n">
        <x:f>VLOOKUP(C2610,'Governorate Master'!$A$2:$Q$13,15,FALSE)</x:f>
        <x:v>0.07086922474549726</x:v>
      </x:c>
      <x:c r="J2610" s="12" t="str">
        <x:v>Location model input - competition/saturation context</x:v>
      </x:c>
      <x:c r="K2610" s="12" t="str">
        <x:v>Business count is from 2018 while population/context indicators are newer; use as a historical proxy, not a current market count.</x:v>
      </x:c>
    </x:row>
    <x:row r="2611">
      <x:c r="A2611" s="12" t="str">
        <x:v>6499</x:v>
      </x:c>
      <x:c r="B2611" s="12" t="str">
        <x:v>Other financial service activities, except insurance and pension funding activities, n.e.c.</x:v>
      </x:c>
      <x:c r="C2611" s="12" t="str">
        <x:v>المفرق</x:v>
      </x:c>
      <x:c r="D2611" s="14" t="n">
        <x:v>0</x:v>
      </x:c>
      <x:c r="E2611" s="14" t="n">
        <x:f>VLOOKUP(C2611,'Governorate Master'!$A$2:$Q$13,3,FALSE)</x:f>
        <x:v>686800</x:v>
      </x:c>
      <x:c r="F2611" s="66" t="n">
        <x:f>IF(E2611=0,0,D2611/E2611*10000)</x:f>
        <x:v>0</x:v>
      </x:c>
      <x:c r="G2611" s="67" t="n">
        <x:f>VLOOKUP(C2611,'Governorate Master'!$A$2:$Q$13,7,FALSE)</x:f>
        <x:v>25.9</x:v>
      </x:c>
      <x:c r="H2611" s="20" t="n">
        <x:f>VLOOKUP(C2611,'Governorate Master'!$A$2:$Q$13,6,FALSE)</x:f>
        <x:v>0.6965637740244612</x:v>
      </x:c>
      <x:c r="I2611" s="20" t="n">
        <x:f>VLOOKUP(C2611,'Governorate Master'!$A$2:$Q$13,15,FALSE)</x:f>
        <x:v>-0.016638935108153077</x:v>
      </x:c>
      <x:c r="J2611" s="12" t="str">
        <x:v>Location model input - competition/saturation context</x:v>
      </x:c>
      <x:c r="K2611" s="12" t="str">
        <x:v>Business count is from 2018 while population/context indicators are newer; use as a historical proxy, not a current market count.</x:v>
      </x:c>
    </x:row>
    <x:row r="2612">
      <x:c r="A2612" s="12" t="str">
        <x:v>6499</x:v>
      </x:c>
      <x:c r="B2612" s="12" t="str">
        <x:v>Other financial service activities, except insurance and pension funding activities, n.e.c.</x:v>
      </x:c>
      <x:c r="C2612" s="12" t="str">
        <x:v>جرش</x:v>
      </x:c>
      <x:c r="D2612" s="14" t="n">
        <x:v>0</x:v>
      </x:c>
      <x:c r="E2612" s="14" t="n">
        <x:f>VLOOKUP(C2612,'Governorate Master'!$A$2:$Q$13,3,FALSE)</x:f>
        <x:v>296000</x:v>
      </x:c>
      <x:c r="F2612" s="66" t="n">
        <x:f>IF(E2612=0,0,D2612/E2612*10000)</x:f>
        <x:v>0</x:v>
      </x:c>
      <x:c r="G2612" s="67" t="n">
        <x:f>VLOOKUP(C2612,'Governorate Master'!$A$2:$Q$13,7,FALSE)</x:f>
        <x:v>722.3</x:v>
      </x:c>
      <x:c r="H2612" s="20" t="n">
        <x:f>VLOOKUP(C2612,'Governorate Master'!$A$2:$Q$13,6,FALSE)</x:f>
        <x:v>0.7695945945945946</x:v>
      </x:c>
      <x:c r="I2612" s="20" t="n">
        <x:f>VLOOKUP(C2612,'Governorate Master'!$A$2:$Q$13,15,FALSE)</x:f>
        <x:v>-0.06527415143603134</x:v>
      </x:c>
      <x:c r="J2612" s="12" t="str">
        <x:v>Location model input - competition/saturation context</x:v>
      </x:c>
      <x:c r="K2612" s="12" t="str">
        <x:v>Business count is from 2018 while population/context indicators are newer; use as a historical proxy, not a current market count.</x:v>
      </x:c>
    </x:row>
    <x:row r="2613">
      <x:c r="A2613" s="12" t="str">
        <x:v>6499</x:v>
      </x:c>
      <x:c r="B2613" s="12" t="str">
        <x:v>Other financial service activities, except insurance and pension funding activities, n.e.c.</x:v>
      </x:c>
      <x:c r="C2613" s="12" t="str">
        <x:v>عجلون</x:v>
      </x:c>
      <x:c r="D2613" s="14" t="n">
        <x:v>0</x:v>
      </x:c>
      <x:c r="E2613" s="14" t="n">
        <x:f>VLOOKUP(C2613,'Governorate Master'!$A$2:$Q$13,3,FALSE)</x:f>
        <x:v>219900</x:v>
      </x:c>
      <x:c r="F2613" s="66" t="n">
        <x:f>IF(E2613=0,0,D2613/E2613*10000)</x:f>
        <x:v>0</x:v>
      </x:c>
      <x:c r="G2613" s="67" t="n">
        <x:f>VLOOKUP(C2613,'Governorate Master'!$A$2:$Q$13,7,FALSE)</x:f>
        <x:v>524</x:v>
      </x:c>
      <x:c r="H2613" s="20" t="n">
        <x:f>VLOOKUP(C2613,'Governorate Master'!$A$2:$Q$13,6,FALSE)</x:f>
        <x:v>0.8390177353342428</x:v>
      </x:c>
      <x:c r="I2613" s="20" t="n">
        <x:f>VLOOKUP(C2613,'Governorate Master'!$A$2:$Q$13,15,FALSE)</x:f>
        <x:v>0.03614457831325301</x:v>
      </x:c>
      <x:c r="J2613" s="12" t="str">
        <x:v>Location model input - competition/saturation context</x:v>
      </x:c>
      <x:c r="K2613" s="12" t="str">
        <x:v>Business count is from 2018 while population/context indicators are newer; use as a historical proxy, not a current market count.</x:v>
      </x:c>
    </x:row>
    <x:row r="2614">
      <x:c r="A2614" s="12" t="str">
        <x:v>6499</x:v>
      </x:c>
      <x:c r="B2614" s="12" t="str">
        <x:v>Other financial service activities, except insurance and pension funding activities, n.e.c.</x:v>
      </x:c>
      <x:c r="C2614" s="12" t="str">
        <x:v>الكرك</x:v>
      </x:c>
      <x:c r="D2614" s="14" t="n">
        <x:v>0</x:v>
      </x:c>
      <x:c r="E2614" s="14" t="n">
        <x:f>VLOOKUP(C2614,'Governorate Master'!$A$2:$Q$13,3,FALSE)</x:f>
        <x:v>395400</x:v>
      </x:c>
      <x:c r="F2614" s="66" t="n">
        <x:f>IF(E2614=0,0,D2614/E2614*10000)</x:f>
        <x:v>0</x:v>
      </x:c>
      <x:c r="G2614" s="67" t="n">
        <x:f>VLOOKUP(C2614,'Governorate Master'!$A$2:$Q$13,7,FALSE)</x:f>
        <x:v>113.1</x:v>
      </x:c>
      <x:c r="H2614" s="20" t="n">
        <x:f>VLOOKUP(C2614,'Governorate Master'!$A$2:$Q$13,6,FALSE)</x:f>
        <x:v>0.5912999494183105</x:v>
      </x:c>
      <x:c r="I2614" s="20" t="n">
        <x:f>VLOOKUP(C2614,'Governorate Master'!$A$2:$Q$13,15,FALSE)</x:f>
        <x:v>0.08710801393728224</x:v>
      </x:c>
      <x:c r="J2614" s="12" t="str">
        <x:v>Location model input - competition/saturation context</x:v>
      </x:c>
      <x:c r="K2614" s="12" t="str">
        <x:v>Business count is from 2018 while population/context indicators are newer; use as a historical proxy, not a current market count.</x:v>
      </x:c>
    </x:row>
    <x:row r="2615">
      <x:c r="A2615" s="12" t="str">
        <x:v>6499</x:v>
      </x:c>
      <x:c r="B2615" s="12" t="str">
        <x:v>Other financial service activities, except insurance and pension funding activities, n.e.c.</x:v>
      </x:c>
      <x:c r="C2615" s="12" t="str">
        <x:v>الطفيلة</x:v>
      </x:c>
      <x:c r="D2615" s="14" t="n">
        <x:v>0</x:v>
      </x:c>
      <x:c r="E2615" s="14" t="n">
        <x:f>VLOOKUP(C2615,'Governorate Master'!$A$2:$Q$13,3,FALSE)</x:f>
        <x:v>120300</x:v>
      </x:c>
      <x:c r="F2615" s="66" t="n">
        <x:f>IF(E2615=0,0,D2615/E2615*10000)</x:f>
        <x:v>0</x:v>
      </x:c>
      <x:c r="G2615" s="67" t="n">
        <x:f>VLOOKUP(C2615,'Governorate Master'!$A$2:$Q$13,7,FALSE)</x:f>
        <x:v>54.4</x:v>
      </x:c>
      <x:c r="H2615" s="20" t="n">
        <x:f>VLOOKUP(C2615,'Governorate Master'!$A$2:$Q$13,6,FALSE)</x:f>
        <x:v>0.7797173732335827</x:v>
      </x:c>
      <x:c r="I2615" s="20" t="n">
        <x:f>VLOOKUP(C2615,'Governorate Master'!$A$2:$Q$13,15,FALSE)</x:f>
        <x:v>0.18452380952380953</x:v>
      </x:c>
      <x:c r="J2615" s="12" t="str">
        <x:v>Location model input - competition/saturation context</x:v>
      </x:c>
      <x:c r="K2615" s="12" t="str">
        <x:v>Business count is from 2018 while population/context indicators are newer; use as a historical proxy, not a current market count.</x:v>
      </x:c>
    </x:row>
    <x:row r="2616">
      <x:c r="A2616" s="12" t="str">
        <x:v>6499</x:v>
      </x:c>
      <x:c r="B2616" s="12" t="str">
        <x:v>Other financial service activities, except insurance and pension funding activities, n.e.c.</x:v>
      </x:c>
      <x:c r="C2616" s="12" t="str">
        <x:v>معان</x:v>
      </x:c>
      <x:c r="D2616" s="14" t="n">
        <x:v>0</x:v>
      </x:c>
      <x:c r="E2616" s="14" t="n">
        <x:f>VLOOKUP(C2616,'Governorate Master'!$A$2:$Q$13,3,FALSE)</x:f>
        <x:v>197900</x:v>
      </x:c>
      <x:c r="F2616" s="66" t="n">
        <x:f>IF(E2616=0,0,D2616/E2616*10000)</x:f>
        <x:v>0</x:v>
      </x:c>
      <x:c r="G2616" s="67" t="n">
        <x:f>VLOOKUP(C2616,'Governorate Master'!$A$2:$Q$13,7,FALSE)</x:f>
        <x:v>6</x:v>
      </x:c>
      <x:c r="H2616" s="20" t="n">
        <x:f>VLOOKUP(C2616,'Governorate Master'!$A$2:$Q$13,6,FALSE)</x:f>
        <x:v>0.5406771096513391</x:v>
      </x:c>
      <x:c r="I2616" s="20" t="n">
        <x:f>VLOOKUP(C2616,'Governorate Master'!$A$2:$Q$13,15,FALSE)</x:f>
        <x:v>0.026845637583892617</x:v>
      </x:c>
      <x:c r="J2616" s="12" t="str">
        <x:v>Location model input - competition/saturation context</x:v>
      </x:c>
      <x:c r="K2616" s="12" t="str">
        <x:v>Business count is from 2018 while population/context indicators are newer; use as a historical proxy, not a current market count.</x:v>
      </x:c>
    </x:row>
    <x:row r="2617">
      <x:c r="A2617" s="12" t="str">
        <x:v>6499</x:v>
      </x:c>
      <x:c r="B2617" s="12" t="str">
        <x:v>Other financial service activities, except insurance and pension funding activities, n.e.c.</x:v>
      </x:c>
      <x:c r="C2617" s="12" t="str">
        <x:v>العقبة</x:v>
      </x:c>
      <x:c r="D2617" s="14" t="n">
        <x:v>0</x:v>
      </x:c>
      <x:c r="E2617" s="14" t="n">
        <x:f>VLOOKUP(C2617,'Governorate Master'!$A$2:$Q$13,3,FALSE)</x:f>
        <x:v>250900</x:v>
      </x:c>
      <x:c r="F2617" s="66" t="n">
        <x:f>IF(E2617=0,0,D2617/E2617*10000)</x:f>
        <x:v>0</x:v>
      </x:c>
      <x:c r="G2617" s="67" t="n">
        <x:f>VLOOKUP(C2617,'Governorate Master'!$A$2:$Q$13,7,FALSE)</x:f>
        <x:v>36.3</x:v>
      </x:c>
      <x:c r="H2617" s="20" t="n">
        <x:f>VLOOKUP(C2617,'Governorate Master'!$A$2:$Q$13,6,FALSE)</x:f>
        <x:v>0.882024711040255</x:v>
      </x:c>
      <x:c r="I2617" s="20" t="n">
        <x:f>VLOOKUP(C2617,'Governorate Master'!$A$2:$Q$13,15,FALSE)</x:f>
        <x:v>-0.09</x:v>
      </x:c>
      <x:c r="J2617" s="12" t="str">
        <x:v>Location model input - competition/saturation context</x:v>
      </x:c>
      <x:c r="K2617" s="12" t="str">
        <x:v>Business count is from 2018 while population/context indicators are newer; use as a historical proxy, not a current market count.</x:v>
      </x:c>
    </x:row>
    <x:row r="2618">
      <x:c r="A2618" s="12" t="str">
        <x:v>6511</x:v>
      </x:c>
      <x:c r="B2618" s="12" t="str">
        <x:v>Life insurance</x:v>
      </x:c>
      <x:c r="C2618" s="12" t="str">
        <x:v>عمان</x:v>
      </x:c>
      <x:c r="D2618" s="14" t="n">
        <x:v>1</x:v>
      </x:c>
      <x:c r="E2618" s="14" t="n">
        <x:f>VLOOKUP(C2618,'Governorate Master'!$A$2:$Q$13,3,FALSE)</x:f>
        <x:v>5004600</x:v>
      </x:c>
      <x:c r="F2618" s="66" t="n">
        <x:f>IF(E2618=0,0,D2618/E2618*10000)</x:f>
        <x:v>0.0019981616912440555</x:v>
      </x:c>
      <x:c r="G2618" s="67" t="n">
        <x:f>VLOOKUP(C2618,'Governorate Master'!$A$2:$Q$13,7,FALSE)</x:f>
        <x:v>660.3</x:v>
      </x:c>
      <x:c r="H2618" s="20" t="n">
        <x:f>VLOOKUP(C2618,'Governorate Master'!$A$2:$Q$13,6,FALSE)</x:f>
        <x:v>0.9721656076409703</x:v>
      </x:c>
      <x:c r="I2618" s="20" t="n">
        <x:f>VLOOKUP(C2618,'Governorate Master'!$A$2:$Q$13,15,FALSE)</x:f>
        <x:v>0.06367041198501873</x:v>
      </x:c>
      <x:c r="J2618" s="12" t="str">
        <x:v>Location model input - competition/saturation context</x:v>
      </x:c>
      <x:c r="K2618" s="12" t="str">
        <x:v>Business count is from 2018 while population/context indicators are newer; use as a historical proxy, not a current market count.</x:v>
      </x:c>
    </x:row>
    <x:row r="2619">
      <x:c r="A2619" s="12" t="str">
        <x:v>6511</x:v>
      </x:c>
      <x:c r="B2619" s="12" t="str">
        <x:v>Life insurance</x:v>
      </x:c>
      <x:c r="C2619" s="12" t="str">
        <x:v>البلقاء</x:v>
      </x:c>
      <x:c r="D2619" s="14" t="n">
        <x:v>0</x:v>
      </x:c>
      <x:c r="E2619" s="14" t="n">
        <x:f>VLOOKUP(C2619,'Governorate Master'!$A$2:$Q$13,3,FALSE)</x:f>
        <x:v>614000</x:v>
      </x:c>
      <x:c r="F2619" s="66" t="n">
        <x:f>IF(E2619=0,0,D2619/E2619*10000)</x:f>
        <x:v>0</x:v>
      </x:c>
      <x:c r="G2619" s="67" t="n">
        <x:f>VLOOKUP(C2619,'Governorate Master'!$A$2:$Q$13,7,FALSE)</x:f>
        <x:v>548</x:v>
      </x:c>
      <x:c r="H2619" s="20" t="n">
        <x:f>VLOOKUP(C2619,'Governorate Master'!$A$2:$Q$13,6,FALSE)</x:f>
        <x:v>0.8210097719869707</x:v>
      </x:c>
      <x:c r="I2619" s="20" t="n">
        <x:f>VLOOKUP(C2619,'Governorate Master'!$A$2:$Q$13,15,FALSE)</x:f>
        <x:v>0.10794044665012408</x:v>
      </x:c>
      <x:c r="J2619" s="12" t="str">
        <x:v>Location model input - competition/saturation context</x:v>
      </x:c>
      <x:c r="K2619" s="12" t="str">
        <x:v>Business count is from 2018 while population/context indicators are newer; use as a historical proxy, not a current market count.</x:v>
      </x:c>
    </x:row>
    <x:row r="2620">
      <x:c r="A2620" s="12" t="str">
        <x:v>6511</x:v>
      </x:c>
      <x:c r="B2620" s="12" t="str">
        <x:v>Life insurance</x:v>
      </x:c>
      <x:c r="C2620" s="12" t="str">
        <x:v>الزرقاء</x:v>
      </x:c>
      <x:c r="D2620" s="14" t="n">
        <x:v>0</x:v>
      </x:c>
      <x:c r="E2620" s="14" t="n">
        <x:f>VLOOKUP(C2620,'Governorate Master'!$A$2:$Q$13,3,FALSE)</x:f>
        <x:v>1704500</x:v>
      </x:c>
      <x:c r="F2620" s="66" t="n">
        <x:f>IF(E2620=0,0,D2620/E2620*10000)</x:f>
        <x:v>0</x:v>
      </x:c>
      <x:c r="G2620" s="67" t="n">
        <x:f>VLOOKUP(C2620,'Governorate Master'!$A$2:$Q$13,7,FALSE)</x:f>
        <x:v>358</x:v>
      </x:c>
      <x:c r="H2620" s="20" t="n">
        <x:f>VLOOKUP(C2620,'Governorate Master'!$A$2:$Q$13,6,FALSE)</x:f>
        <x:v>0.9636256966852449</x:v>
      </x:c>
      <x:c r="I2620" s="20" t="n">
        <x:f>VLOOKUP(C2620,'Governorate Master'!$A$2:$Q$13,15,FALSE)</x:f>
        <x:v>-0.06808762581409118</x:v>
      </x:c>
      <x:c r="J2620" s="12" t="str">
        <x:v>Location model input - competition/saturation context</x:v>
      </x:c>
      <x:c r="K2620" s="12" t="str">
        <x:v>Business count is from 2018 while population/context indicators are newer; use as a historical proxy, not a current market count.</x:v>
      </x:c>
    </x:row>
    <x:row r="2621">
      <x:c r="A2621" s="12" t="str">
        <x:v>6511</x:v>
      </x:c>
      <x:c r="B2621" s="12" t="str">
        <x:v>Life insurance</x:v>
      </x:c>
      <x:c r="C2621" s="12" t="str">
        <x:v>مادبا</x:v>
      </x:c>
      <x:c r="D2621" s="14" t="n">
        <x:v>0</x:v>
      </x:c>
      <x:c r="E2621" s="14" t="n">
        <x:f>VLOOKUP(C2621,'Governorate Master'!$A$2:$Q$13,3,FALSE)</x:f>
        <x:v>236200</x:v>
      </x:c>
      <x:c r="F2621" s="66" t="n">
        <x:f>IF(E2621=0,0,D2621/E2621*10000)</x:f>
        <x:v>0</x:v>
      </x:c>
      <x:c r="G2621" s="67" t="n">
        <x:f>VLOOKUP(C2621,'Governorate Master'!$A$2:$Q$13,7,FALSE)</x:f>
        <x:v>251.4</x:v>
      </x:c>
      <x:c r="H2621" s="20" t="n">
        <x:f>VLOOKUP(C2621,'Governorate Master'!$A$2:$Q$13,6,FALSE)</x:f>
        <x:v>0.7823878069432684</x:v>
      </x:c>
      <x:c r="I2621" s="20" t="n">
        <x:f>VLOOKUP(C2621,'Governorate Master'!$A$2:$Q$13,15,FALSE)</x:f>
        <x:v>-0.18823529411764706</x:v>
      </x:c>
      <x:c r="J2621" s="12" t="str">
        <x:v>Location model input - competition/saturation context</x:v>
      </x:c>
      <x:c r="K2621" s="12" t="str">
        <x:v>Business count is from 2018 while population/context indicators are newer; use as a historical proxy, not a current market count.</x:v>
      </x:c>
    </x:row>
    <x:row r="2622">
      <x:c r="A2622" s="12" t="str">
        <x:v>6511</x:v>
      </x:c>
      <x:c r="B2622" s="12" t="str">
        <x:v>Life insurance</x:v>
      </x:c>
      <x:c r="C2622" s="12" t="str">
        <x:v>إربد</x:v>
      </x:c>
      <x:c r="D2622" s="14" t="n">
        <x:v>0</x:v>
      </x:c>
      <x:c r="E2622" s="14" t="n">
        <x:f>VLOOKUP(C2622,'Governorate Master'!$A$2:$Q$13,3,FALSE)</x:f>
        <x:v>2210500</x:v>
      </x:c>
      <x:c r="F2622" s="66" t="n">
        <x:f>IF(E2622=0,0,D2622/E2622*10000)</x:f>
        <x:v>0</x:v>
      </x:c>
      <x:c r="G2622" s="67" t="n">
        <x:f>VLOOKUP(C2622,'Governorate Master'!$A$2:$Q$13,7,FALSE)</x:f>
        <x:v>1406.4</x:v>
      </x:c>
      <x:c r="H2622" s="20" t="n">
        <x:f>VLOOKUP(C2622,'Governorate Master'!$A$2:$Q$13,6,FALSE)</x:f>
        <x:v>0.9235014702555983</x:v>
      </x:c>
      <x:c r="I2622" s="20" t="n">
        <x:f>VLOOKUP(C2622,'Governorate Master'!$A$2:$Q$13,15,FALSE)</x:f>
        <x:v>0.07086922474549726</x:v>
      </x:c>
      <x:c r="J2622" s="12" t="str">
        <x:v>Location model input - competition/saturation context</x:v>
      </x:c>
      <x:c r="K2622" s="12" t="str">
        <x:v>Business count is from 2018 while population/context indicators are newer; use as a historical proxy, not a current market count.</x:v>
      </x:c>
    </x:row>
    <x:row r="2623">
      <x:c r="A2623" s="12" t="str">
        <x:v>6511</x:v>
      </x:c>
      <x:c r="B2623" s="12" t="str">
        <x:v>Life insurance</x:v>
      </x:c>
      <x:c r="C2623" s="12" t="str">
        <x:v>المفرق</x:v>
      </x:c>
      <x:c r="D2623" s="14" t="n">
        <x:v>0</x:v>
      </x:c>
      <x:c r="E2623" s="14" t="n">
        <x:f>VLOOKUP(C2623,'Governorate Master'!$A$2:$Q$13,3,FALSE)</x:f>
        <x:v>686800</x:v>
      </x:c>
      <x:c r="F2623" s="66" t="n">
        <x:f>IF(E2623=0,0,D2623/E2623*10000)</x:f>
        <x:v>0</x:v>
      </x:c>
      <x:c r="G2623" s="67" t="n">
        <x:f>VLOOKUP(C2623,'Governorate Master'!$A$2:$Q$13,7,FALSE)</x:f>
        <x:v>25.9</x:v>
      </x:c>
      <x:c r="H2623" s="20" t="n">
        <x:f>VLOOKUP(C2623,'Governorate Master'!$A$2:$Q$13,6,FALSE)</x:f>
        <x:v>0.6965637740244612</x:v>
      </x:c>
      <x:c r="I2623" s="20" t="n">
        <x:f>VLOOKUP(C2623,'Governorate Master'!$A$2:$Q$13,15,FALSE)</x:f>
        <x:v>-0.016638935108153077</x:v>
      </x:c>
      <x:c r="J2623" s="12" t="str">
        <x:v>Location model input - competition/saturation context</x:v>
      </x:c>
      <x:c r="K2623" s="12" t="str">
        <x:v>Business count is from 2018 while population/context indicators are newer; use as a historical proxy, not a current market count.</x:v>
      </x:c>
    </x:row>
    <x:row r="2624">
      <x:c r="A2624" s="12" t="str">
        <x:v>6511</x:v>
      </x:c>
      <x:c r="B2624" s="12" t="str">
        <x:v>Life insurance</x:v>
      </x:c>
      <x:c r="C2624" s="12" t="str">
        <x:v>جرش</x:v>
      </x:c>
      <x:c r="D2624" s="14" t="n">
        <x:v>0</x:v>
      </x:c>
      <x:c r="E2624" s="14" t="n">
        <x:f>VLOOKUP(C2624,'Governorate Master'!$A$2:$Q$13,3,FALSE)</x:f>
        <x:v>296000</x:v>
      </x:c>
      <x:c r="F2624" s="66" t="n">
        <x:f>IF(E2624=0,0,D2624/E2624*10000)</x:f>
        <x:v>0</x:v>
      </x:c>
      <x:c r="G2624" s="67" t="n">
        <x:f>VLOOKUP(C2624,'Governorate Master'!$A$2:$Q$13,7,FALSE)</x:f>
        <x:v>722.3</x:v>
      </x:c>
      <x:c r="H2624" s="20" t="n">
        <x:f>VLOOKUP(C2624,'Governorate Master'!$A$2:$Q$13,6,FALSE)</x:f>
        <x:v>0.7695945945945946</x:v>
      </x:c>
      <x:c r="I2624" s="20" t="n">
        <x:f>VLOOKUP(C2624,'Governorate Master'!$A$2:$Q$13,15,FALSE)</x:f>
        <x:v>-0.06527415143603134</x:v>
      </x:c>
      <x:c r="J2624" s="12" t="str">
        <x:v>Location model input - competition/saturation context</x:v>
      </x:c>
      <x:c r="K2624" s="12" t="str">
        <x:v>Business count is from 2018 while population/context indicators are newer; use as a historical proxy, not a current market count.</x:v>
      </x:c>
    </x:row>
    <x:row r="2625">
      <x:c r="A2625" s="12" t="str">
        <x:v>6511</x:v>
      </x:c>
      <x:c r="B2625" s="12" t="str">
        <x:v>Life insurance</x:v>
      </x:c>
      <x:c r="C2625" s="12" t="str">
        <x:v>عجلون</x:v>
      </x:c>
      <x:c r="D2625" s="14" t="n">
        <x:v>0</x:v>
      </x:c>
      <x:c r="E2625" s="14" t="n">
        <x:f>VLOOKUP(C2625,'Governorate Master'!$A$2:$Q$13,3,FALSE)</x:f>
        <x:v>219900</x:v>
      </x:c>
      <x:c r="F2625" s="66" t="n">
        <x:f>IF(E2625=0,0,D2625/E2625*10000)</x:f>
        <x:v>0</x:v>
      </x:c>
      <x:c r="G2625" s="67" t="n">
        <x:f>VLOOKUP(C2625,'Governorate Master'!$A$2:$Q$13,7,FALSE)</x:f>
        <x:v>524</x:v>
      </x:c>
      <x:c r="H2625" s="20" t="n">
        <x:f>VLOOKUP(C2625,'Governorate Master'!$A$2:$Q$13,6,FALSE)</x:f>
        <x:v>0.8390177353342428</x:v>
      </x:c>
      <x:c r="I2625" s="20" t="n">
        <x:f>VLOOKUP(C2625,'Governorate Master'!$A$2:$Q$13,15,FALSE)</x:f>
        <x:v>0.03614457831325301</x:v>
      </x:c>
      <x:c r="J2625" s="12" t="str">
        <x:v>Location model input - competition/saturation context</x:v>
      </x:c>
      <x:c r="K2625" s="12" t="str">
        <x:v>Business count is from 2018 while population/context indicators are newer; use as a historical proxy, not a current market count.</x:v>
      </x:c>
    </x:row>
    <x:row r="2626">
      <x:c r="A2626" s="12" t="str">
        <x:v>6511</x:v>
      </x:c>
      <x:c r="B2626" s="12" t="str">
        <x:v>Life insurance</x:v>
      </x:c>
      <x:c r="C2626" s="12" t="str">
        <x:v>الكرك</x:v>
      </x:c>
      <x:c r="D2626" s="14" t="n">
        <x:v>0</x:v>
      </x:c>
      <x:c r="E2626" s="14" t="n">
        <x:f>VLOOKUP(C2626,'Governorate Master'!$A$2:$Q$13,3,FALSE)</x:f>
        <x:v>395400</x:v>
      </x:c>
      <x:c r="F2626" s="66" t="n">
        <x:f>IF(E2626=0,0,D2626/E2626*10000)</x:f>
        <x:v>0</x:v>
      </x:c>
      <x:c r="G2626" s="67" t="n">
        <x:f>VLOOKUP(C2626,'Governorate Master'!$A$2:$Q$13,7,FALSE)</x:f>
        <x:v>113.1</x:v>
      </x:c>
      <x:c r="H2626" s="20" t="n">
        <x:f>VLOOKUP(C2626,'Governorate Master'!$A$2:$Q$13,6,FALSE)</x:f>
        <x:v>0.5912999494183105</x:v>
      </x:c>
      <x:c r="I2626" s="20" t="n">
        <x:f>VLOOKUP(C2626,'Governorate Master'!$A$2:$Q$13,15,FALSE)</x:f>
        <x:v>0.08710801393728224</x:v>
      </x:c>
      <x:c r="J2626" s="12" t="str">
        <x:v>Location model input - competition/saturation context</x:v>
      </x:c>
      <x:c r="K2626" s="12" t="str">
        <x:v>Business count is from 2018 while population/context indicators are newer; use as a historical proxy, not a current market count.</x:v>
      </x:c>
    </x:row>
    <x:row r="2627">
      <x:c r="A2627" s="12" t="str">
        <x:v>6511</x:v>
      </x:c>
      <x:c r="B2627" s="12" t="str">
        <x:v>Life insurance</x:v>
      </x:c>
      <x:c r="C2627" s="12" t="str">
        <x:v>الطفيلة</x:v>
      </x:c>
      <x:c r="D2627" s="14" t="n">
        <x:v>0</x:v>
      </x:c>
      <x:c r="E2627" s="14" t="n">
        <x:f>VLOOKUP(C2627,'Governorate Master'!$A$2:$Q$13,3,FALSE)</x:f>
        <x:v>120300</x:v>
      </x:c>
      <x:c r="F2627" s="66" t="n">
        <x:f>IF(E2627=0,0,D2627/E2627*10000)</x:f>
        <x:v>0</x:v>
      </x:c>
      <x:c r="G2627" s="67" t="n">
        <x:f>VLOOKUP(C2627,'Governorate Master'!$A$2:$Q$13,7,FALSE)</x:f>
        <x:v>54.4</x:v>
      </x:c>
      <x:c r="H2627" s="20" t="n">
        <x:f>VLOOKUP(C2627,'Governorate Master'!$A$2:$Q$13,6,FALSE)</x:f>
        <x:v>0.7797173732335827</x:v>
      </x:c>
      <x:c r="I2627" s="20" t="n">
        <x:f>VLOOKUP(C2627,'Governorate Master'!$A$2:$Q$13,15,FALSE)</x:f>
        <x:v>0.18452380952380953</x:v>
      </x:c>
      <x:c r="J2627" s="12" t="str">
        <x:v>Location model input - competition/saturation context</x:v>
      </x:c>
      <x:c r="K2627" s="12" t="str">
        <x:v>Business count is from 2018 while population/context indicators are newer; use as a historical proxy, not a current market count.</x:v>
      </x:c>
    </x:row>
    <x:row r="2628">
      <x:c r="A2628" s="12" t="str">
        <x:v>6511</x:v>
      </x:c>
      <x:c r="B2628" s="12" t="str">
        <x:v>Life insurance</x:v>
      </x:c>
      <x:c r="C2628" s="12" t="str">
        <x:v>معان</x:v>
      </x:c>
      <x:c r="D2628" s="14" t="n">
        <x:v>0</x:v>
      </x:c>
      <x:c r="E2628" s="14" t="n">
        <x:f>VLOOKUP(C2628,'Governorate Master'!$A$2:$Q$13,3,FALSE)</x:f>
        <x:v>197900</x:v>
      </x:c>
      <x:c r="F2628" s="66" t="n">
        <x:f>IF(E2628=0,0,D2628/E2628*10000)</x:f>
        <x:v>0</x:v>
      </x:c>
      <x:c r="G2628" s="67" t="n">
        <x:f>VLOOKUP(C2628,'Governorate Master'!$A$2:$Q$13,7,FALSE)</x:f>
        <x:v>6</x:v>
      </x:c>
      <x:c r="H2628" s="20" t="n">
        <x:f>VLOOKUP(C2628,'Governorate Master'!$A$2:$Q$13,6,FALSE)</x:f>
        <x:v>0.5406771096513391</x:v>
      </x:c>
      <x:c r="I2628" s="20" t="n">
        <x:f>VLOOKUP(C2628,'Governorate Master'!$A$2:$Q$13,15,FALSE)</x:f>
        <x:v>0.026845637583892617</x:v>
      </x:c>
      <x:c r="J2628" s="12" t="str">
        <x:v>Location model input - competition/saturation context</x:v>
      </x:c>
      <x:c r="K2628" s="12" t="str">
        <x:v>Business count is from 2018 while population/context indicators are newer; use as a historical proxy, not a current market count.</x:v>
      </x:c>
    </x:row>
    <x:row r="2629">
      <x:c r="A2629" s="12" t="str">
        <x:v>6511</x:v>
      </x:c>
      <x:c r="B2629" s="12" t="str">
        <x:v>Life insurance</x:v>
      </x:c>
      <x:c r="C2629" s="12" t="str">
        <x:v>العقبة</x:v>
      </x:c>
      <x:c r="D2629" s="14" t="n">
        <x:v>0</x:v>
      </x:c>
      <x:c r="E2629" s="14" t="n">
        <x:f>VLOOKUP(C2629,'Governorate Master'!$A$2:$Q$13,3,FALSE)</x:f>
        <x:v>250900</x:v>
      </x:c>
      <x:c r="F2629" s="66" t="n">
        <x:f>IF(E2629=0,0,D2629/E2629*10000)</x:f>
        <x:v>0</x:v>
      </x:c>
      <x:c r="G2629" s="67" t="n">
        <x:f>VLOOKUP(C2629,'Governorate Master'!$A$2:$Q$13,7,FALSE)</x:f>
        <x:v>36.3</x:v>
      </x:c>
      <x:c r="H2629" s="20" t="n">
        <x:f>VLOOKUP(C2629,'Governorate Master'!$A$2:$Q$13,6,FALSE)</x:f>
        <x:v>0.882024711040255</x:v>
      </x:c>
      <x:c r="I2629" s="20" t="n">
        <x:f>VLOOKUP(C2629,'Governorate Master'!$A$2:$Q$13,15,FALSE)</x:f>
        <x:v>-0.09</x:v>
      </x:c>
      <x:c r="J2629" s="12" t="str">
        <x:v>Location model input - competition/saturation context</x:v>
      </x:c>
      <x:c r="K2629" s="12" t="str">
        <x:v>Business count is from 2018 while population/context indicators are newer; use as a historical proxy, not a current market count.</x:v>
      </x:c>
    </x:row>
    <x:row r="2630">
      <x:c r="A2630" s="12" t="str">
        <x:v>6512</x:v>
      </x:c>
      <x:c r="B2630" s="12" t="str">
        <x:v>Non-life insurance</x:v>
      </x:c>
      <x:c r="C2630" s="12" t="str">
        <x:v>عمان</x:v>
      </x:c>
      <x:c r="D2630" s="14" t="n">
        <x:v>20</x:v>
      </x:c>
      <x:c r="E2630" s="14" t="n">
        <x:f>VLOOKUP(C2630,'Governorate Master'!$A$2:$Q$13,3,FALSE)</x:f>
        <x:v>5004600</x:v>
      </x:c>
      <x:c r="F2630" s="66" t="n">
        <x:f>IF(E2630=0,0,D2630/E2630*10000)</x:f>
        <x:v>0.03996323382488111</x:v>
      </x:c>
      <x:c r="G2630" s="67" t="n">
        <x:f>VLOOKUP(C2630,'Governorate Master'!$A$2:$Q$13,7,FALSE)</x:f>
        <x:v>660.3</x:v>
      </x:c>
      <x:c r="H2630" s="20" t="n">
        <x:f>VLOOKUP(C2630,'Governorate Master'!$A$2:$Q$13,6,FALSE)</x:f>
        <x:v>0.9721656076409703</x:v>
      </x:c>
      <x:c r="I2630" s="20" t="n">
        <x:f>VLOOKUP(C2630,'Governorate Master'!$A$2:$Q$13,15,FALSE)</x:f>
        <x:v>0.06367041198501873</x:v>
      </x:c>
      <x:c r="J2630" s="12" t="str">
        <x:v>Location model input - competition/saturation context</x:v>
      </x:c>
      <x:c r="K2630" s="12" t="str">
        <x:v>Business count is from 2018 while population/context indicators are newer; use as a historical proxy, not a current market count.</x:v>
      </x:c>
    </x:row>
    <x:row r="2631">
      <x:c r="A2631" s="12" t="str">
        <x:v>6512</x:v>
      </x:c>
      <x:c r="B2631" s="12" t="str">
        <x:v>Non-life insurance</x:v>
      </x:c>
      <x:c r="C2631" s="12" t="str">
        <x:v>البلقاء</x:v>
      </x:c>
      <x:c r="D2631" s="14" t="n">
        <x:v>0</x:v>
      </x:c>
      <x:c r="E2631" s="14" t="n">
        <x:f>VLOOKUP(C2631,'Governorate Master'!$A$2:$Q$13,3,FALSE)</x:f>
        <x:v>614000</x:v>
      </x:c>
      <x:c r="F2631" s="66" t="n">
        <x:f>IF(E2631=0,0,D2631/E2631*10000)</x:f>
        <x:v>0</x:v>
      </x:c>
      <x:c r="G2631" s="67" t="n">
        <x:f>VLOOKUP(C2631,'Governorate Master'!$A$2:$Q$13,7,FALSE)</x:f>
        <x:v>548</x:v>
      </x:c>
      <x:c r="H2631" s="20" t="n">
        <x:f>VLOOKUP(C2631,'Governorate Master'!$A$2:$Q$13,6,FALSE)</x:f>
        <x:v>0.8210097719869707</x:v>
      </x:c>
      <x:c r="I2631" s="20" t="n">
        <x:f>VLOOKUP(C2631,'Governorate Master'!$A$2:$Q$13,15,FALSE)</x:f>
        <x:v>0.10794044665012408</x:v>
      </x:c>
      <x:c r="J2631" s="12" t="str">
        <x:v>Location model input - competition/saturation context</x:v>
      </x:c>
      <x:c r="K2631" s="12" t="str">
        <x:v>Business count is from 2018 while population/context indicators are newer; use as a historical proxy, not a current market count.</x:v>
      </x:c>
    </x:row>
    <x:row r="2632">
      <x:c r="A2632" s="12" t="str">
        <x:v>6512</x:v>
      </x:c>
      <x:c r="B2632" s="12" t="str">
        <x:v>Non-life insurance</x:v>
      </x:c>
      <x:c r="C2632" s="12" t="str">
        <x:v>الزرقاء</x:v>
      </x:c>
      <x:c r="D2632" s="14" t="n">
        <x:v>2</x:v>
      </x:c>
      <x:c r="E2632" s="14" t="n">
        <x:f>VLOOKUP(C2632,'Governorate Master'!$A$2:$Q$13,3,FALSE)</x:f>
        <x:v>1704500</x:v>
      </x:c>
      <x:c r="F2632" s="66" t="n">
        <x:f>IF(E2632=0,0,D2632/E2632*10000)</x:f>
        <x:v>0.011733646230566148</x:v>
      </x:c>
      <x:c r="G2632" s="67" t="n">
        <x:f>VLOOKUP(C2632,'Governorate Master'!$A$2:$Q$13,7,FALSE)</x:f>
        <x:v>358</x:v>
      </x:c>
      <x:c r="H2632" s="20" t="n">
        <x:f>VLOOKUP(C2632,'Governorate Master'!$A$2:$Q$13,6,FALSE)</x:f>
        <x:v>0.9636256966852449</x:v>
      </x:c>
      <x:c r="I2632" s="20" t="n">
        <x:f>VLOOKUP(C2632,'Governorate Master'!$A$2:$Q$13,15,FALSE)</x:f>
        <x:v>-0.06808762581409118</x:v>
      </x:c>
      <x:c r="J2632" s="12" t="str">
        <x:v>Location model input - competition/saturation context</x:v>
      </x:c>
      <x:c r="K2632" s="12" t="str">
        <x:v>Business count is from 2018 while population/context indicators are newer; use as a historical proxy, not a current market count.</x:v>
      </x:c>
    </x:row>
    <x:row r="2633">
      <x:c r="A2633" s="12" t="str">
        <x:v>6512</x:v>
      </x:c>
      <x:c r="B2633" s="12" t="str">
        <x:v>Non-life insurance</x:v>
      </x:c>
      <x:c r="C2633" s="12" t="str">
        <x:v>مادبا</x:v>
      </x:c>
      <x:c r="D2633" s="14" t="n">
        <x:v>0</x:v>
      </x:c>
      <x:c r="E2633" s="14" t="n">
        <x:f>VLOOKUP(C2633,'Governorate Master'!$A$2:$Q$13,3,FALSE)</x:f>
        <x:v>236200</x:v>
      </x:c>
      <x:c r="F2633" s="66" t="n">
        <x:f>IF(E2633=0,0,D2633/E2633*10000)</x:f>
        <x:v>0</x:v>
      </x:c>
      <x:c r="G2633" s="67" t="n">
        <x:f>VLOOKUP(C2633,'Governorate Master'!$A$2:$Q$13,7,FALSE)</x:f>
        <x:v>251.4</x:v>
      </x:c>
      <x:c r="H2633" s="20" t="n">
        <x:f>VLOOKUP(C2633,'Governorate Master'!$A$2:$Q$13,6,FALSE)</x:f>
        <x:v>0.7823878069432684</x:v>
      </x:c>
      <x:c r="I2633" s="20" t="n">
        <x:f>VLOOKUP(C2633,'Governorate Master'!$A$2:$Q$13,15,FALSE)</x:f>
        <x:v>-0.18823529411764706</x:v>
      </x:c>
      <x:c r="J2633" s="12" t="str">
        <x:v>Location model input - competition/saturation context</x:v>
      </x:c>
      <x:c r="K2633" s="12" t="str">
        <x:v>Business count is from 2018 while population/context indicators are newer; use as a historical proxy, not a current market count.</x:v>
      </x:c>
    </x:row>
    <x:row r="2634">
      <x:c r="A2634" s="12" t="str">
        <x:v>6512</x:v>
      </x:c>
      <x:c r="B2634" s="12" t="str">
        <x:v>Non-life insurance</x:v>
      </x:c>
      <x:c r="C2634" s="12" t="str">
        <x:v>إربد</x:v>
      </x:c>
      <x:c r="D2634" s="14" t="n">
        <x:v>1</x:v>
      </x:c>
      <x:c r="E2634" s="14" t="n">
        <x:f>VLOOKUP(C2634,'Governorate Master'!$A$2:$Q$13,3,FALSE)</x:f>
        <x:v>2210500</x:v>
      </x:c>
      <x:c r="F2634" s="66" t="n">
        <x:f>IF(E2634=0,0,D2634/E2634*10000)</x:f>
        <x:v>0.004523863379325944</x:v>
      </x:c>
      <x:c r="G2634" s="67" t="n">
        <x:f>VLOOKUP(C2634,'Governorate Master'!$A$2:$Q$13,7,FALSE)</x:f>
        <x:v>1406.4</x:v>
      </x:c>
      <x:c r="H2634" s="20" t="n">
        <x:f>VLOOKUP(C2634,'Governorate Master'!$A$2:$Q$13,6,FALSE)</x:f>
        <x:v>0.9235014702555983</x:v>
      </x:c>
      <x:c r="I2634" s="20" t="n">
        <x:f>VLOOKUP(C2634,'Governorate Master'!$A$2:$Q$13,15,FALSE)</x:f>
        <x:v>0.07086922474549726</x:v>
      </x:c>
      <x:c r="J2634" s="12" t="str">
        <x:v>Location model input - competition/saturation context</x:v>
      </x:c>
      <x:c r="K2634" s="12" t="str">
        <x:v>Business count is from 2018 while population/context indicators are newer; use as a historical proxy, not a current market count.</x:v>
      </x:c>
    </x:row>
    <x:row r="2635">
      <x:c r="A2635" s="12" t="str">
        <x:v>6512</x:v>
      </x:c>
      <x:c r="B2635" s="12" t="str">
        <x:v>Non-life insurance</x:v>
      </x:c>
      <x:c r="C2635" s="12" t="str">
        <x:v>المفرق</x:v>
      </x:c>
      <x:c r="D2635" s="14" t="n">
        <x:v>0</x:v>
      </x:c>
      <x:c r="E2635" s="14" t="n">
        <x:f>VLOOKUP(C2635,'Governorate Master'!$A$2:$Q$13,3,FALSE)</x:f>
        <x:v>686800</x:v>
      </x:c>
      <x:c r="F2635" s="66" t="n">
        <x:f>IF(E2635=0,0,D2635/E2635*10000)</x:f>
        <x:v>0</x:v>
      </x:c>
      <x:c r="G2635" s="67" t="n">
        <x:f>VLOOKUP(C2635,'Governorate Master'!$A$2:$Q$13,7,FALSE)</x:f>
        <x:v>25.9</x:v>
      </x:c>
      <x:c r="H2635" s="20" t="n">
        <x:f>VLOOKUP(C2635,'Governorate Master'!$A$2:$Q$13,6,FALSE)</x:f>
        <x:v>0.6965637740244612</x:v>
      </x:c>
      <x:c r="I2635" s="20" t="n">
        <x:f>VLOOKUP(C2635,'Governorate Master'!$A$2:$Q$13,15,FALSE)</x:f>
        <x:v>-0.016638935108153077</x:v>
      </x:c>
      <x:c r="J2635" s="12" t="str">
        <x:v>Location model input - competition/saturation context</x:v>
      </x:c>
      <x:c r="K2635" s="12" t="str">
        <x:v>Business count is from 2018 while population/context indicators are newer; use as a historical proxy, not a current market count.</x:v>
      </x:c>
    </x:row>
    <x:row r="2636">
      <x:c r="A2636" s="12" t="str">
        <x:v>6512</x:v>
      </x:c>
      <x:c r="B2636" s="12" t="str">
        <x:v>Non-life insurance</x:v>
      </x:c>
      <x:c r="C2636" s="12" t="str">
        <x:v>جرش</x:v>
      </x:c>
      <x:c r="D2636" s="14" t="n">
        <x:v>0</x:v>
      </x:c>
      <x:c r="E2636" s="14" t="n">
        <x:f>VLOOKUP(C2636,'Governorate Master'!$A$2:$Q$13,3,FALSE)</x:f>
        <x:v>296000</x:v>
      </x:c>
      <x:c r="F2636" s="66" t="n">
        <x:f>IF(E2636=0,0,D2636/E2636*10000)</x:f>
        <x:v>0</x:v>
      </x:c>
      <x:c r="G2636" s="67" t="n">
        <x:f>VLOOKUP(C2636,'Governorate Master'!$A$2:$Q$13,7,FALSE)</x:f>
        <x:v>722.3</x:v>
      </x:c>
      <x:c r="H2636" s="20" t="n">
        <x:f>VLOOKUP(C2636,'Governorate Master'!$A$2:$Q$13,6,FALSE)</x:f>
        <x:v>0.7695945945945946</x:v>
      </x:c>
      <x:c r="I2636" s="20" t="n">
        <x:f>VLOOKUP(C2636,'Governorate Master'!$A$2:$Q$13,15,FALSE)</x:f>
        <x:v>-0.06527415143603134</x:v>
      </x:c>
      <x:c r="J2636" s="12" t="str">
        <x:v>Location model input - competition/saturation context</x:v>
      </x:c>
      <x:c r="K2636" s="12" t="str">
        <x:v>Business count is from 2018 while population/context indicators are newer; use as a historical proxy, not a current market count.</x:v>
      </x:c>
    </x:row>
    <x:row r="2637">
      <x:c r="A2637" s="12" t="str">
        <x:v>6512</x:v>
      </x:c>
      <x:c r="B2637" s="12" t="str">
        <x:v>Non-life insurance</x:v>
      </x:c>
      <x:c r="C2637" s="12" t="str">
        <x:v>عجلون</x:v>
      </x:c>
      <x:c r="D2637" s="14" t="n">
        <x:v>0</x:v>
      </x:c>
      <x:c r="E2637" s="14" t="n">
        <x:f>VLOOKUP(C2637,'Governorate Master'!$A$2:$Q$13,3,FALSE)</x:f>
        <x:v>219900</x:v>
      </x:c>
      <x:c r="F2637" s="66" t="n">
        <x:f>IF(E2637=0,0,D2637/E2637*10000)</x:f>
        <x:v>0</x:v>
      </x:c>
      <x:c r="G2637" s="67" t="n">
        <x:f>VLOOKUP(C2637,'Governorate Master'!$A$2:$Q$13,7,FALSE)</x:f>
        <x:v>524</x:v>
      </x:c>
      <x:c r="H2637" s="20" t="n">
        <x:f>VLOOKUP(C2637,'Governorate Master'!$A$2:$Q$13,6,FALSE)</x:f>
        <x:v>0.8390177353342428</x:v>
      </x:c>
      <x:c r="I2637" s="20" t="n">
        <x:f>VLOOKUP(C2637,'Governorate Master'!$A$2:$Q$13,15,FALSE)</x:f>
        <x:v>0.03614457831325301</x:v>
      </x:c>
      <x:c r="J2637" s="12" t="str">
        <x:v>Location model input - competition/saturation context</x:v>
      </x:c>
      <x:c r="K2637" s="12" t="str">
        <x:v>Business count is from 2018 while population/context indicators are newer; use as a historical proxy, not a current market count.</x:v>
      </x:c>
    </x:row>
    <x:row r="2638">
      <x:c r="A2638" s="12" t="str">
        <x:v>6512</x:v>
      </x:c>
      <x:c r="B2638" s="12" t="str">
        <x:v>Non-life insurance</x:v>
      </x:c>
      <x:c r="C2638" s="12" t="str">
        <x:v>الكرك</x:v>
      </x:c>
      <x:c r="D2638" s="14" t="n">
        <x:v>0</x:v>
      </x:c>
      <x:c r="E2638" s="14" t="n">
        <x:f>VLOOKUP(C2638,'Governorate Master'!$A$2:$Q$13,3,FALSE)</x:f>
        <x:v>395400</x:v>
      </x:c>
      <x:c r="F2638" s="66" t="n">
        <x:f>IF(E2638=0,0,D2638/E2638*10000)</x:f>
        <x:v>0</x:v>
      </x:c>
      <x:c r="G2638" s="67" t="n">
        <x:f>VLOOKUP(C2638,'Governorate Master'!$A$2:$Q$13,7,FALSE)</x:f>
        <x:v>113.1</x:v>
      </x:c>
      <x:c r="H2638" s="20" t="n">
        <x:f>VLOOKUP(C2638,'Governorate Master'!$A$2:$Q$13,6,FALSE)</x:f>
        <x:v>0.5912999494183105</x:v>
      </x:c>
      <x:c r="I2638" s="20" t="n">
        <x:f>VLOOKUP(C2638,'Governorate Master'!$A$2:$Q$13,15,FALSE)</x:f>
        <x:v>0.08710801393728224</x:v>
      </x:c>
      <x:c r="J2638" s="12" t="str">
        <x:v>Location model input - competition/saturation context</x:v>
      </x:c>
      <x:c r="K2638" s="12" t="str">
        <x:v>Business count is from 2018 while population/context indicators are newer; use as a historical proxy, not a current market count.</x:v>
      </x:c>
    </x:row>
    <x:row r="2639">
      <x:c r="A2639" s="12" t="str">
        <x:v>6512</x:v>
      </x:c>
      <x:c r="B2639" s="12" t="str">
        <x:v>Non-life insurance</x:v>
      </x:c>
      <x:c r="C2639" s="12" t="str">
        <x:v>الطفيلة</x:v>
      </x:c>
      <x:c r="D2639" s="14" t="n">
        <x:v>0</x:v>
      </x:c>
      <x:c r="E2639" s="14" t="n">
        <x:f>VLOOKUP(C2639,'Governorate Master'!$A$2:$Q$13,3,FALSE)</x:f>
        <x:v>120300</x:v>
      </x:c>
      <x:c r="F2639" s="66" t="n">
        <x:f>IF(E2639=0,0,D2639/E2639*10000)</x:f>
        <x:v>0</x:v>
      </x:c>
      <x:c r="G2639" s="67" t="n">
        <x:f>VLOOKUP(C2639,'Governorate Master'!$A$2:$Q$13,7,FALSE)</x:f>
        <x:v>54.4</x:v>
      </x:c>
      <x:c r="H2639" s="20" t="n">
        <x:f>VLOOKUP(C2639,'Governorate Master'!$A$2:$Q$13,6,FALSE)</x:f>
        <x:v>0.7797173732335827</x:v>
      </x:c>
      <x:c r="I2639" s="20" t="n">
        <x:f>VLOOKUP(C2639,'Governorate Master'!$A$2:$Q$13,15,FALSE)</x:f>
        <x:v>0.18452380952380953</x:v>
      </x:c>
      <x:c r="J2639" s="12" t="str">
        <x:v>Location model input - competition/saturation context</x:v>
      </x:c>
      <x:c r="K2639" s="12" t="str">
        <x:v>Business count is from 2018 while population/context indicators are newer; use as a historical proxy, not a current market count.</x:v>
      </x:c>
    </x:row>
    <x:row r="2640">
      <x:c r="A2640" s="12" t="str">
        <x:v>6512</x:v>
      </x:c>
      <x:c r="B2640" s="12" t="str">
        <x:v>Non-life insurance</x:v>
      </x:c>
      <x:c r="C2640" s="12" t="str">
        <x:v>معان</x:v>
      </x:c>
      <x:c r="D2640" s="14" t="n">
        <x:v>0</x:v>
      </x:c>
      <x:c r="E2640" s="14" t="n">
        <x:f>VLOOKUP(C2640,'Governorate Master'!$A$2:$Q$13,3,FALSE)</x:f>
        <x:v>197900</x:v>
      </x:c>
      <x:c r="F2640" s="66" t="n">
        <x:f>IF(E2640=0,0,D2640/E2640*10000)</x:f>
        <x:v>0</x:v>
      </x:c>
      <x:c r="G2640" s="67" t="n">
        <x:f>VLOOKUP(C2640,'Governorate Master'!$A$2:$Q$13,7,FALSE)</x:f>
        <x:v>6</x:v>
      </x:c>
      <x:c r="H2640" s="20" t="n">
        <x:f>VLOOKUP(C2640,'Governorate Master'!$A$2:$Q$13,6,FALSE)</x:f>
        <x:v>0.5406771096513391</x:v>
      </x:c>
      <x:c r="I2640" s="20" t="n">
        <x:f>VLOOKUP(C2640,'Governorate Master'!$A$2:$Q$13,15,FALSE)</x:f>
        <x:v>0.026845637583892617</x:v>
      </x:c>
      <x:c r="J2640" s="12" t="str">
        <x:v>Location model input - competition/saturation context</x:v>
      </x:c>
      <x:c r="K2640" s="12" t="str">
        <x:v>Business count is from 2018 while population/context indicators are newer; use as a historical proxy, not a current market count.</x:v>
      </x:c>
    </x:row>
    <x:row r="2641">
      <x:c r="A2641" s="12" t="str">
        <x:v>6512</x:v>
      </x:c>
      <x:c r="B2641" s="12" t="str">
        <x:v>Non-life insurance</x:v>
      </x:c>
      <x:c r="C2641" s="12" t="str">
        <x:v>العقبة</x:v>
      </x:c>
      <x:c r="D2641" s="14" t="n">
        <x:v>0</x:v>
      </x:c>
      <x:c r="E2641" s="14" t="n">
        <x:f>VLOOKUP(C2641,'Governorate Master'!$A$2:$Q$13,3,FALSE)</x:f>
        <x:v>250900</x:v>
      </x:c>
      <x:c r="F2641" s="66" t="n">
        <x:f>IF(E2641=0,0,D2641/E2641*10000)</x:f>
        <x:v>0</x:v>
      </x:c>
      <x:c r="G2641" s="67" t="n">
        <x:f>VLOOKUP(C2641,'Governorate Master'!$A$2:$Q$13,7,FALSE)</x:f>
        <x:v>36.3</x:v>
      </x:c>
      <x:c r="H2641" s="20" t="n">
        <x:f>VLOOKUP(C2641,'Governorate Master'!$A$2:$Q$13,6,FALSE)</x:f>
        <x:v>0.882024711040255</x:v>
      </x:c>
      <x:c r="I2641" s="20" t="n">
        <x:f>VLOOKUP(C2641,'Governorate Master'!$A$2:$Q$13,15,FALSE)</x:f>
        <x:v>-0.09</x:v>
      </x:c>
      <x:c r="J2641" s="12" t="str">
        <x:v>Location model input - competition/saturation context</x:v>
      </x:c>
      <x:c r="K2641" s="12" t="str">
        <x:v>Business count is from 2018 while population/context indicators are newer; use as a historical proxy, not a current market count.</x:v>
      </x:c>
    </x:row>
    <x:row r="2642">
      <x:c r="A2642" s="12" t="str">
        <x:v>6611</x:v>
      </x:c>
      <x:c r="B2642" s="12" t="str">
        <x:v>Administration of financial markets</x:v>
      </x:c>
      <x:c r="C2642" s="12" t="str">
        <x:v>عمان</x:v>
      </x:c>
      <x:c r="D2642" s="14" t="n">
        <x:v>4</x:v>
      </x:c>
      <x:c r="E2642" s="14" t="n">
        <x:f>VLOOKUP(C2642,'Governorate Master'!$A$2:$Q$13,3,FALSE)</x:f>
        <x:v>5004600</x:v>
      </x:c>
      <x:c r="F2642" s="66" t="n">
        <x:f>IF(E2642=0,0,D2642/E2642*10000)</x:f>
        <x:v>0.007992646764976222</x:v>
      </x:c>
      <x:c r="G2642" s="67" t="n">
        <x:f>VLOOKUP(C2642,'Governorate Master'!$A$2:$Q$13,7,FALSE)</x:f>
        <x:v>660.3</x:v>
      </x:c>
      <x:c r="H2642" s="20" t="n">
        <x:f>VLOOKUP(C2642,'Governorate Master'!$A$2:$Q$13,6,FALSE)</x:f>
        <x:v>0.9721656076409703</x:v>
      </x:c>
      <x:c r="I2642" s="20" t="n">
        <x:f>VLOOKUP(C2642,'Governorate Master'!$A$2:$Q$13,15,FALSE)</x:f>
        <x:v>0.06367041198501873</x:v>
      </x:c>
      <x:c r="J2642" s="12" t="str">
        <x:v>Location model input - competition/saturation context</x:v>
      </x:c>
      <x:c r="K2642" s="12" t="str">
        <x:v>Business count is from 2018 while population/context indicators are newer; use as a historical proxy, not a current market count.</x:v>
      </x:c>
    </x:row>
    <x:row r="2643">
      <x:c r="A2643" s="12" t="str">
        <x:v>6611</x:v>
      </x:c>
      <x:c r="B2643" s="12" t="str">
        <x:v>Administration of financial markets</x:v>
      </x:c>
      <x:c r="C2643" s="12" t="str">
        <x:v>البلقاء</x:v>
      </x:c>
      <x:c r="D2643" s="14" t="n">
        <x:v>0</x:v>
      </x:c>
      <x:c r="E2643" s="14" t="n">
        <x:f>VLOOKUP(C2643,'Governorate Master'!$A$2:$Q$13,3,FALSE)</x:f>
        <x:v>614000</x:v>
      </x:c>
      <x:c r="F2643" s="66" t="n">
        <x:f>IF(E2643=0,0,D2643/E2643*10000)</x:f>
        <x:v>0</x:v>
      </x:c>
      <x:c r="G2643" s="67" t="n">
        <x:f>VLOOKUP(C2643,'Governorate Master'!$A$2:$Q$13,7,FALSE)</x:f>
        <x:v>548</x:v>
      </x:c>
      <x:c r="H2643" s="20" t="n">
        <x:f>VLOOKUP(C2643,'Governorate Master'!$A$2:$Q$13,6,FALSE)</x:f>
        <x:v>0.8210097719869707</x:v>
      </x:c>
      <x:c r="I2643" s="20" t="n">
        <x:f>VLOOKUP(C2643,'Governorate Master'!$A$2:$Q$13,15,FALSE)</x:f>
        <x:v>0.10794044665012408</x:v>
      </x:c>
      <x:c r="J2643" s="12" t="str">
        <x:v>Location model input - competition/saturation context</x:v>
      </x:c>
      <x:c r="K2643" s="12" t="str">
        <x:v>Business count is from 2018 while population/context indicators are newer; use as a historical proxy, not a current market count.</x:v>
      </x:c>
    </x:row>
    <x:row r="2644">
      <x:c r="A2644" s="12" t="str">
        <x:v>6611</x:v>
      </x:c>
      <x:c r="B2644" s="12" t="str">
        <x:v>Administration of financial markets</x:v>
      </x:c>
      <x:c r="C2644" s="12" t="str">
        <x:v>الزرقاء</x:v>
      </x:c>
      <x:c r="D2644" s="14" t="n">
        <x:v>0</x:v>
      </x:c>
      <x:c r="E2644" s="14" t="n">
        <x:f>VLOOKUP(C2644,'Governorate Master'!$A$2:$Q$13,3,FALSE)</x:f>
        <x:v>1704500</x:v>
      </x:c>
      <x:c r="F2644" s="66" t="n">
        <x:f>IF(E2644=0,0,D2644/E2644*10000)</x:f>
        <x:v>0</x:v>
      </x:c>
      <x:c r="G2644" s="67" t="n">
        <x:f>VLOOKUP(C2644,'Governorate Master'!$A$2:$Q$13,7,FALSE)</x:f>
        <x:v>358</x:v>
      </x:c>
      <x:c r="H2644" s="20" t="n">
        <x:f>VLOOKUP(C2644,'Governorate Master'!$A$2:$Q$13,6,FALSE)</x:f>
        <x:v>0.9636256966852449</x:v>
      </x:c>
      <x:c r="I2644" s="20" t="n">
        <x:f>VLOOKUP(C2644,'Governorate Master'!$A$2:$Q$13,15,FALSE)</x:f>
        <x:v>-0.06808762581409118</x:v>
      </x:c>
      <x:c r="J2644" s="12" t="str">
        <x:v>Location model input - competition/saturation context</x:v>
      </x:c>
      <x:c r="K2644" s="12" t="str">
        <x:v>Business count is from 2018 while population/context indicators are newer; use as a historical proxy, not a current market count.</x:v>
      </x:c>
    </x:row>
    <x:row r="2645">
      <x:c r="A2645" s="12" t="str">
        <x:v>6611</x:v>
      </x:c>
      <x:c r="B2645" s="12" t="str">
        <x:v>Administration of financial markets</x:v>
      </x:c>
      <x:c r="C2645" s="12" t="str">
        <x:v>مادبا</x:v>
      </x:c>
      <x:c r="D2645" s="14" t="n">
        <x:v>0</x:v>
      </x:c>
      <x:c r="E2645" s="14" t="n">
        <x:f>VLOOKUP(C2645,'Governorate Master'!$A$2:$Q$13,3,FALSE)</x:f>
        <x:v>236200</x:v>
      </x:c>
      <x:c r="F2645" s="66" t="n">
        <x:f>IF(E2645=0,0,D2645/E2645*10000)</x:f>
        <x:v>0</x:v>
      </x:c>
      <x:c r="G2645" s="67" t="n">
        <x:f>VLOOKUP(C2645,'Governorate Master'!$A$2:$Q$13,7,FALSE)</x:f>
        <x:v>251.4</x:v>
      </x:c>
      <x:c r="H2645" s="20" t="n">
        <x:f>VLOOKUP(C2645,'Governorate Master'!$A$2:$Q$13,6,FALSE)</x:f>
        <x:v>0.7823878069432684</x:v>
      </x:c>
      <x:c r="I2645" s="20" t="n">
        <x:f>VLOOKUP(C2645,'Governorate Master'!$A$2:$Q$13,15,FALSE)</x:f>
        <x:v>-0.18823529411764706</x:v>
      </x:c>
      <x:c r="J2645" s="12" t="str">
        <x:v>Location model input - competition/saturation context</x:v>
      </x:c>
      <x:c r="K2645" s="12" t="str">
        <x:v>Business count is from 2018 while population/context indicators are newer; use as a historical proxy, not a current market count.</x:v>
      </x:c>
    </x:row>
    <x:row r="2646">
      <x:c r="A2646" s="12" t="str">
        <x:v>6611</x:v>
      </x:c>
      <x:c r="B2646" s="12" t="str">
        <x:v>Administration of financial markets</x:v>
      </x:c>
      <x:c r="C2646" s="12" t="str">
        <x:v>إربد</x:v>
      </x:c>
      <x:c r="D2646" s="14" t="n">
        <x:v>0</x:v>
      </x:c>
      <x:c r="E2646" s="14" t="n">
        <x:f>VLOOKUP(C2646,'Governorate Master'!$A$2:$Q$13,3,FALSE)</x:f>
        <x:v>2210500</x:v>
      </x:c>
      <x:c r="F2646" s="66" t="n">
        <x:f>IF(E2646=0,0,D2646/E2646*10000)</x:f>
        <x:v>0</x:v>
      </x:c>
      <x:c r="G2646" s="67" t="n">
        <x:f>VLOOKUP(C2646,'Governorate Master'!$A$2:$Q$13,7,FALSE)</x:f>
        <x:v>1406.4</x:v>
      </x:c>
      <x:c r="H2646" s="20" t="n">
        <x:f>VLOOKUP(C2646,'Governorate Master'!$A$2:$Q$13,6,FALSE)</x:f>
        <x:v>0.9235014702555983</x:v>
      </x:c>
      <x:c r="I2646" s="20" t="n">
        <x:f>VLOOKUP(C2646,'Governorate Master'!$A$2:$Q$13,15,FALSE)</x:f>
        <x:v>0.07086922474549726</x:v>
      </x:c>
      <x:c r="J2646" s="12" t="str">
        <x:v>Location model input - competition/saturation context</x:v>
      </x:c>
      <x:c r="K2646" s="12" t="str">
        <x:v>Business count is from 2018 while population/context indicators are newer; use as a historical proxy, not a current market count.</x:v>
      </x:c>
    </x:row>
    <x:row r="2647">
      <x:c r="A2647" s="12" t="str">
        <x:v>6611</x:v>
      </x:c>
      <x:c r="B2647" s="12" t="str">
        <x:v>Administration of financial markets</x:v>
      </x:c>
      <x:c r="C2647" s="12" t="str">
        <x:v>المفرق</x:v>
      </x:c>
      <x:c r="D2647" s="14" t="n">
        <x:v>0</x:v>
      </x:c>
      <x:c r="E2647" s="14" t="n">
        <x:f>VLOOKUP(C2647,'Governorate Master'!$A$2:$Q$13,3,FALSE)</x:f>
        <x:v>686800</x:v>
      </x:c>
      <x:c r="F2647" s="66" t="n">
        <x:f>IF(E2647=0,0,D2647/E2647*10000)</x:f>
        <x:v>0</x:v>
      </x:c>
      <x:c r="G2647" s="67" t="n">
        <x:f>VLOOKUP(C2647,'Governorate Master'!$A$2:$Q$13,7,FALSE)</x:f>
        <x:v>25.9</x:v>
      </x:c>
      <x:c r="H2647" s="20" t="n">
        <x:f>VLOOKUP(C2647,'Governorate Master'!$A$2:$Q$13,6,FALSE)</x:f>
        <x:v>0.6965637740244612</x:v>
      </x:c>
      <x:c r="I2647" s="20" t="n">
        <x:f>VLOOKUP(C2647,'Governorate Master'!$A$2:$Q$13,15,FALSE)</x:f>
        <x:v>-0.016638935108153077</x:v>
      </x:c>
      <x:c r="J2647" s="12" t="str">
        <x:v>Location model input - competition/saturation context</x:v>
      </x:c>
      <x:c r="K2647" s="12" t="str">
        <x:v>Business count is from 2018 while population/context indicators are newer; use as a historical proxy, not a current market count.</x:v>
      </x:c>
    </x:row>
    <x:row r="2648">
      <x:c r="A2648" s="12" t="str">
        <x:v>6611</x:v>
      </x:c>
      <x:c r="B2648" s="12" t="str">
        <x:v>Administration of financial markets</x:v>
      </x:c>
      <x:c r="C2648" s="12" t="str">
        <x:v>جرش</x:v>
      </x:c>
      <x:c r="D2648" s="14" t="n">
        <x:v>0</x:v>
      </x:c>
      <x:c r="E2648" s="14" t="n">
        <x:f>VLOOKUP(C2648,'Governorate Master'!$A$2:$Q$13,3,FALSE)</x:f>
        <x:v>296000</x:v>
      </x:c>
      <x:c r="F2648" s="66" t="n">
        <x:f>IF(E2648=0,0,D2648/E2648*10000)</x:f>
        <x:v>0</x:v>
      </x:c>
      <x:c r="G2648" s="67" t="n">
        <x:f>VLOOKUP(C2648,'Governorate Master'!$A$2:$Q$13,7,FALSE)</x:f>
        <x:v>722.3</x:v>
      </x:c>
      <x:c r="H2648" s="20" t="n">
        <x:f>VLOOKUP(C2648,'Governorate Master'!$A$2:$Q$13,6,FALSE)</x:f>
        <x:v>0.7695945945945946</x:v>
      </x:c>
      <x:c r="I2648" s="20" t="n">
        <x:f>VLOOKUP(C2648,'Governorate Master'!$A$2:$Q$13,15,FALSE)</x:f>
        <x:v>-0.06527415143603134</x:v>
      </x:c>
      <x:c r="J2648" s="12" t="str">
        <x:v>Location model input - competition/saturation context</x:v>
      </x:c>
      <x:c r="K2648" s="12" t="str">
        <x:v>Business count is from 2018 while population/context indicators are newer; use as a historical proxy, not a current market count.</x:v>
      </x:c>
    </x:row>
    <x:row r="2649">
      <x:c r="A2649" s="12" t="str">
        <x:v>6611</x:v>
      </x:c>
      <x:c r="B2649" s="12" t="str">
        <x:v>Administration of financial markets</x:v>
      </x:c>
      <x:c r="C2649" s="12" t="str">
        <x:v>عجلون</x:v>
      </x:c>
      <x:c r="D2649" s="14" t="n">
        <x:v>0</x:v>
      </x:c>
      <x:c r="E2649" s="14" t="n">
        <x:f>VLOOKUP(C2649,'Governorate Master'!$A$2:$Q$13,3,FALSE)</x:f>
        <x:v>219900</x:v>
      </x:c>
      <x:c r="F2649" s="66" t="n">
        <x:f>IF(E2649=0,0,D2649/E2649*10000)</x:f>
        <x:v>0</x:v>
      </x:c>
      <x:c r="G2649" s="67" t="n">
        <x:f>VLOOKUP(C2649,'Governorate Master'!$A$2:$Q$13,7,FALSE)</x:f>
        <x:v>524</x:v>
      </x:c>
      <x:c r="H2649" s="20" t="n">
        <x:f>VLOOKUP(C2649,'Governorate Master'!$A$2:$Q$13,6,FALSE)</x:f>
        <x:v>0.8390177353342428</x:v>
      </x:c>
      <x:c r="I2649" s="20" t="n">
        <x:f>VLOOKUP(C2649,'Governorate Master'!$A$2:$Q$13,15,FALSE)</x:f>
        <x:v>0.03614457831325301</x:v>
      </x:c>
      <x:c r="J2649" s="12" t="str">
        <x:v>Location model input - competition/saturation context</x:v>
      </x:c>
      <x:c r="K2649" s="12" t="str">
        <x:v>Business count is from 2018 while population/context indicators are newer; use as a historical proxy, not a current market count.</x:v>
      </x:c>
    </x:row>
    <x:row r="2650">
      <x:c r="A2650" s="12" t="str">
        <x:v>6611</x:v>
      </x:c>
      <x:c r="B2650" s="12" t="str">
        <x:v>Administration of financial markets</x:v>
      </x:c>
      <x:c r="C2650" s="12" t="str">
        <x:v>الكرك</x:v>
      </x:c>
      <x:c r="D2650" s="14" t="n">
        <x:v>0</x:v>
      </x:c>
      <x:c r="E2650" s="14" t="n">
        <x:f>VLOOKUP(C2650,'Governorate Master'!$A$2:$Q$13,3,FALSE)</x:f>
        <x:v>395400</x:v>
      </x:c>
      <x:c r="F2650" s="66" t="n">
        <x:f>IF(E2650=0,0,D2650/E2650*10000)</x:f>
        <x:v>0</x:v>
      </x:c>
      <x:c r="G2650" s="67" t="n">
        <x:f>VLOOKUP(C2650,'Governorate Master'!$A$2:$Q$13,7,FALSE)</x:f>
        <x:v>113.1</x:v>
      </x:c>
      <x:c r="H2650" s="20" t="n">
        <x:f>VLOOKUP(C2650,'Governorate Master'!$A$2:$Q$13,6,FALSE)</x:f>
        <x:v>0.5912999494183105</x:v>
      </x:c>
      <x:c r="I2650" s="20" t="n">
        <x:f>VLOOKUP(C2650,'Governorate Master'!$A$2:$Q$13,15,FALSE)</x:f>
        <x:v>0.08710801393728224</x:v>
      </x:c>
      <x:c r="J2650" s="12" t="str">
        <x:v>Location model input - competition/saturation context</x:v>
      </x:c>
      <x:c r="K2650" s="12" t="str">
        <x:v>Business count is from 2018 while population/context indicators are newer; use as a historical proxy, not a current market count.</x:v>
      </x:c>
    </x:row>
    <x:row r="2651">
      <x:c r="A2651" s="12" t="str">
        <x:v>6611</x:v>
      </x:c>
      <x:c r="B2651" s="12" t="str">
        <x:v>Administration of financial markets</x:v>
      </x:c>
      <x:c r="C2651" s="12" t="str">
        <x:v>الطفيلة</x:v>
      </x:c>
      <x:c r="D2651" s="14" t="n">
        <x:v>0</x:v>
      </x:c>
      <x:c r="E2651" s="14" t="n">
        <x:f>VLOOKUP(C2651,'Governorate Master'!$A$2:$Q$13,3,FALSE)</x:f>
        <x:v>120300</x:v>
      </x:c>
      <x:c r="F2651" s="66" t="n">
        <x:f>IF(E2651=0,0,D2651/E2651*10000)</x:f>
        <x:v>0</x:v>
      </x:c>
      <x:c r="G2651" s="67" t="n">
        <x:f>VLOOKUP(C2651,'Governorate Master'!$A$2:$Q$13,7,FALSE)</x:f>
        <x:v>54.4</x:v>
      </x:c>
      <x:c r="H2651" s="20" t="n">
        <x:f>VLOOKUP(C2651,'Governorate Master'!$A$2:$Q$13,6,FALSE)</x:f>
        <x:v>0.7797173732335827</x:v>
      </x:c>
      <x:c r="I2651" s="20" t="n">
        <x:f>VLOOKUP(C2651,'Governorate Master'!$A$2:$Q$13,15,FALSE)</x:f>
        <x:v>0.18452380952380953</x:v>
      </x:c>
      <x:c r="J2651" s="12" t="str">
        <x:v>Location model input - competition/saturation context</x:v>
      </x:c>
      <x:c r="K2651" s="12" t="str">
        <x:v>Business count is from 2018 while population/context indicators are newer; use as a historical proxy, not a current market count.</x:v>
      </x:c>
    </x:row>
    <x:row r="2652">
      <x:c r="A2652" s="12" t="str">
        <x:v>6611</x:v>
      </x:c>
      <x:c r="B2652" s="12" t="str">
        <x:v>Administration of financial markets</x:v>
      </x:c>
      <x:c r="C2652" s="12" t="str">
        <x:v>معان</x:v>
      </x:c>
      <x:c r="D2652" s="14" t="n">
        <x:v>0</x:v>
      </x:c>
      <x:c r="E2652" s="14" t="n">
        <x:f>VLOOKUP(C2652,'Governorate Master'!$A$2:$Q$13,3,FALSE)</x:f>
        <x:v>197900</x:v>
      </x:c>
      <x:c r="F2652" s="66" t="n">
        <x:f>IF(E2652=0,0,D2652/E2652*10000)</x:f>
        <x:v>0</x:v>
      </x:c>
      <x:c r="G2652" s="67" t="n">
        <x:f>VLOOKUP(C2652,'Governorate Master'!$A$2:$Q$13,7,FALSE)</x:f>
        <x:v>6</x:v>
      </x:c>
      <x:c r="H2652" s="20" t="n">
        <x:f>VLOOKUP(C2652,'Governorate Master'!$A$2:$Q$13,6,FALSE)</x:f>
        <x:v>0.5406771096513391</x:v>
      </x:c>
      <x:c r="I2652" s="20" t="n">
        <x:f>VLOOKUP(C2652,'Governorate Master'!$A$2:$Q$13,15,FALSE)</x:f>
        <x:v>0.026845637583892617</x:v>
      </x:c>
      <x:c r="J2652" s="12" t="str">
        <x:v>Location model input - competition/saturation context</x:v>
      </x:c>
      <x:c r="K2652" s="12" t="str">
        <x:v>Business count is from 2018 while population/context indicators are newer; use as a historical proxy, not a current market count.</x:v>
      </x:c>
    </x:row>
    <x:row r="2653">
      <x:c r="A2653" s="12" t="str">
        <x:v>6611</x:v>
      </x:c>
      <x:c r="B2653" s="12" t="str">
        <x:v>Administration of financial markets</x:v>
      </x:c>
      <x:c r="C2653" s="12" t="str">
        <x:v>العقبة</x:v>
      </x:c>
      <x:c r="D2653" s="14" t="n">
        <x:v>0</x:v>
      </x:c>
      <x:c r="E2653" s="14" t="n">
        <x:f>VLOOKUP(C2653,'Governorate Master'!$A$2:$Q$13,3,FALSE)</x:f>
        <x:v>250900</x:v>
      </x:c>
      <x:c r="F2653" s="66" t="n">
        <x:f>IF(E2653=0,0,D2653/E2653*10000)</x:f>
        <x:v>0</x:v>
      </x:c>
      <x:c r="G2653" s="67" t="n">
        <x:f>VLOOKUP(C2653,'Governorate Master'!$A$2:$Q$13,7,FALSE)</x:f>
        <x:v>36.3</x:v>
      </x:c>
      <x:c r="H2653" s="20" t="n">
        <x:f>VLOOKUP(C2653,'Governorate Master'!$A$2:$Q$13,6,FALSE)</x:f>
        <x:v>0.882024711040255</x:v>
      </x:c>
      <x:c r="I2653" s="20" t="n">
        <x:f>VLOOKUP(C2653,'Governorate Master'!$A$2:$Q$13,15,FALSE)</x:f>
        <x:v>-0.09</x:v>
      </x:c>
      <x:c r="J2653" s="12" t="str">
        <x:v>Location model input - competition/saturation context</x:v>
      </x:c>
      <x:c r="K2653" s="12" t="str">
        <x:v>Business count is from 2018 while population/context indicators are newer; use as a historical proxy, not a current market count.</x:v>
      </x:c>
    </x:row>
    <x:row r="2654">
      <x:c r="A2654" s="12" t="str">
        <x:v>6612</x:v>
      </x:c>
      <x:c r="B2654" s="12" t="str">
        <x:v>Security and commodity contracts brokerage</x:v>
      </x:c>
      <x:c r="C2654" s="12" t="str">
        <x:v>عمان</x:v>
      </x:c>
      <x:c r="D2654" s="14" t="n">
        <x:v>109</x:v>
      </x:c>
      <x:c r="E2654" s="14" t="n">
        <x:f>VLOOKUP(C2654,'Governorate Master'!$A$2:$Q$13,3,FALSE)</x:f>
        <x:v>5004600</x:v>
      </x:c>
      <x:c r="F2654" s="66" t="n">
        <x:f>IF(E2654=0,0,D2654/E2654*10000)</x:f>
        <x:v>0.21779962434560204</x:v>
      </x:c>
      <x:c r="G2654" s="67" t="n">
        <x:f>VLOOKUP(C2654,'Governorate Master'!$A$2:$Q$13,7,FALSE)</x:f>
        <x:v>660.3</x:v>
      </x:c>
      <x:c r="H2654" s="20" t="n">
        <x:f>VLOOKUP(C2654,'Governorate Master'!$A$2:$Q$13,6,FALSE)</x:f>
        <x:v>0.9721656076409703</x:v>
      </x:c>
      <x:c r="I2654" s="20" t="n">
        <x:f>VLOOKUP(C2654,'Governorate Master'!$A$2:$Q$13,15,FALSE)</x:f>
        <x:v>0.06367041198501873</x:v>
      </x:c>
      <x:c r="J2654" s="12" t="str">
        <x:v>Location model input - competition/saturation context</x:v>
      </x:c>
      <x:c r="K2654" s="12" t="str">
        <x:v>Business count is from 2018 while population/context indicators are newer; use as a historical proxy, not a current market count.</x:v>
      </x:c>
    </x:row>
    <x:row r="2655">
      <x:c r="A2655" s="12" t="str">
        <x:v>6612</x:v>
      </x:c>
      <x:c r="B2655" s="12" t="str">
        <x:v>Security and commodity contracts brokerage</x:v>
      </x:c>
      <x:c r="C2655" s="12" t="str">
        <x:v>البلقاء</x:v>
      </x:c>
      <x:c r="D2655" s="14" t="n">
        <x:v>2</x:v>
      </x:c>
      <x:c r="E2655" s="14" t="n">
        <x:f>VLOOKUP(C2655,'Governorate Master'!$A$2:$Q$13,3,FALSE)</x:f>
        <x:v>614000</x:v>
      </x:c>
      <x:c r="F2655" s="66" t="n">
        <x:f>IF(E2655=0,0,D2655/E2655*10000)</x:f>
        <x:v>0.03257328990228013</x:v>
      </x:c>
      <x:c r="G2655" s="67" t="n">
        <x:f>VLOOKUP(C2655,'Governorate Master'!$A$2:$Q$13,7,FALSE)</x:f>
        <x:v>548</x:v>
      </x:c>
      <x:c r="H2655" s="20" t="n">
        <x:f>VLOOKUP(C2655,'Governorate Master'!$A$2:$Q$13,6,FALSE)</x:f>
        <x:v>0.8210097719869707</x:v>
      </x:c>
      <x:c r="I2655" s="20" t="n">
        <x:f>VLOOKUP(C2655,'Governorate Master'!$A$2:$Q$13,15,FALSE)</x:f>
        <x:v>0.10794044665012408</x:v>
      </x:c>
      <x:c r="J2655" s="12" t="str">
        <x:v>Location model input - competition/saturation context</x:v>
      </x:c>
      <x:c r="K2655" s="12" t="str">
        <x:v>Business count is from 2018 while population/context indicators are newer; use as a historical proxy, not a current market count.</x:v>
      </x:c>
    </x:row>
    <x:row r="2656">
      <x:c r="A2656" s="12" t="str">
        <x:v>6612</x:v>
      </x:c>
      <x:c r="B2656" s="12" t="str">
        <x:v>Security and commodity contracts brokerage</x:v>
      </x:c>
      <x:c r="C2656" s="12" t="str">
        <x:v>الزرقاء</x:v>
      </x:c>
      <x:c r="D2656" s="14" t="n">
        <x:v>11</x:v>
      </x:c>
      <x:c r="E2656" s="14" t="n">
        <x:f>VLOOKUP(C2656,'Governorate Master'!$A$2:$Q$13,3,FALSE)</x:f>
        <x:v>1704500</x:v>
      </x:c>
      <x:c r="F2656" s="66" t="n">
        <x:f>IF(E2656=0,0,D2656/E2656*10000)</x:f>
        <x:v>0.06453505426811382</x:v>
      </x:c>
      <x:c r="G2656" s="67" t="n">
        <x:f>VLOOKUP(C2656,'Governorate Master'!$A$2:$Q$13,7,FALSE)</x:f>
        <x:v>358</x:v>
      </x:c>
      <x:c r="H2656" s="20" t="n">
        <x:f>VLOOKUP(C2656,'Governorate Master'!$A$2:$Q$13,6,FALSE)</x:f>
        <x:v>0.9636256966852449</x:v>
      </x:c>
      <x:c r="I2656" s="20" t="n">
        <x:f>VLOOKUP(C2656,'Governorate Master'!$A$2:$Q$13,15,FALSE)</x:f>
        <x:v>-0.06808762581409118</x:v>
      </x:c>
      <x:c r="J2656" s="12" t="str">
        <x:v>Location model input - competition/saturation context</x:v>
      </x:c>
      <x:c r="K2656" s="12" t="str">
        <x:v>Business count is from 2018 while population/context indicators are newer; use as a historical proxy, not a current market count.</x:v>
      </x:c>
    </x:row>
    <x:row r="2657">
      <x:c r="A2657" s="12" t="str">
        <x:v>6612</x:v>
      </x:c>
      <x:c r="B2657" s="12" t="str">
        <x:v>Security and commodity contracts brokerage</x:v>
      </x:c>
      <x:c r="C2657" s="12" t="str">
        <x:v>مادبا</x:v>
      </x:c>
      <x:c r="D2657" s="14" t="n">
        <x:v>1</x:v>
      </x:c>
      <x:c r="E2657" s="14" t="n">
        <x:f>VLOOKUP(C2657,'Governorate Master'!$A$2:$Q$13,3,FALSE)</x:f>
        <x:v>236200</x:v>
      </x:c>
      <x:c r="F2657" s="66" t="n">
        <x:f>IF(E2657=0,0,D2657/E2657*10000)</x:f>
        <x:v>0.04233700254022015</x:v>
      </x:c>
      <x:c r="G2657" s="67" t="n">
        <x:f>VLOOKUP(C2657,'Governorate Master'!$A$2:$Q$13,7,FALSE)</x:f>
        <x:v>251.4</x:v>
      </x:c>
      <x:c r="H2657" s="20" t="n">
        <x:f>VLOOKUP(C2657,'Governorate Master'!$A$2:$Q$13,6,FALSE)</x:f>
        <x:v>0.7823878069432684</x:v>
      </x:c>
      <x:c r="I2657" s="20" t="n">
        <x:f>VLOOKUP(C2657,'Governorate Master'!$A$2:$Q$13,15,FALSE)</x:f>
        <x:v>-0.18823529411764706</x:v>
      </x:c>
      <x:c r="J2657" s="12" t="str">
        <x:v>Location model input - competition/saturation context</x:v>
      </x:c>
      <x:c r="K2657" s="12" t="str">
        <x:v>Business count is from 2018 while population/context indicators are newer; use as a historical proxy, not a current market count.</x:v>
      </x:c>
    </x:row>
    <x:row r="2658">
      <x:c r="A2658" s="12" t="str">
        <x:v>6612</x:v>
      </x:c>
      <x:c r="B2658" s="12" t="str">
        <x:v>Security and commodity contracts brokerage</x:v>
      </x:c>
      <x:c r="C2658" s="12" t="str">
        <x:v>إربد</x:v>
      </x:c>
      <x:c r="D2658" s="14" t="n">
        <x:v>8</x:v>
      </x:c>
      <x:c r="E2658" s="14" t="n">
        <x:f>VLOOKUP(C2658,'Governorate Master'!$A$2:$Q$13,3,FALSE)</x:f>
        <x:v>2210500</x:v>
      </x:c>
      <x:c r="F2658" s="66" t="n">
        <x:f>IF(E2658=0,0,D2658/E2658*10000)</x:f>
        <x:v>0.036190907034607554</x:v>
      </x:c>
      <x:c r="G2658" s="67" t="n">
        <x:f>VLOOKUP(C2658,'Governorate Master'!$A$2:$Q$13,7,FALSE)</x:f>
        <x:v>1406.4</x:v>
      </x:c>
      <x:c r="H2658" s="20" t="n">
        <x:f>VLOOKUP(C2658,'Governorate Master'!$A$2:$Q$13,6,FALSE)</x:f>
        <x:v>0.9235014702555983</x:v>
      </x:c>
      <x:c r="I2658" s="20" t="n">
        <x:f>VLOOKUP(C2658,'Governorate Master'!$A$2:$Q$13,15,FALSE)</x:f>
        <x:v>0.07086922474549726</x:v>
      </x:c>
      <x:c r="J2658" s="12" t="str">
        <x:v>Location model input - competition/saturation context</x:v>
      </x:c>
      <x:c r="K2658" s="12" t="str">
        <x:v>Business count is from 2018 while population/context indicators are newer; use as a historical proxy, not a current market count.</x:v>
      </x:c>
    </x:row>
    <x:row r="2659">
      <x:c r="A2659" s="12" t="str">
        <x:v>6612</x:v>
      </x:c>
      <x:c r="B2659" s="12" t="str">
        <x:v>Security and commodity contracts brokerage</x:v>
      </x:c>
      <x:c r="C2659" s="12" t="str">
        <x:v>المفرق</x:v>
      </x:c>
      <x:c r="D2659" s="14" t="n">
        <x:v>4</x:v>
      </x:c>
      <x:c r="E2659" s="14" t="n">
        <x:f>VLOOKUP(C2659,'Governorate Master'!$A$2:$Q$13,3,FALSE)</x:f>
        <x:v>686800</x:v>
      </x:c>
      <x:c r="F2659" s="66" t="n">
        <x:f>IF(E2659=0,0,D2659/E2659*10000)</x:f>
        <x:v>0.05824111822947001</x:v>
      </x:c>
      <x:c r="G2659" s="67" t="n">
        <x:f>VLOOKUP(C2659,'Governorate Master'!$A$2:$Q$13,7,FALSE)</x:f>
        <x:v>25.9</x:v>
      </x:c>
      <x:c r="H2659" s="20" t="n">
        <x:f>VLOOKUP(C2659,'Governorate Master'!$A$2:$Q$13,6,FALSE)</x:f>
        <x:v>0.6965637740244612</x:v>
      </x:c>
      <x:c r="I2659" s="20" t="n">
        <x:f>VLOOKUP(C2659,'Governorate Master'!$A$2:$Q$13,15,FALSE)</x:f>
        <x:v>-0.016638935108153077</x:v>
      </x:c>
      <x:c r="J2659" s="12" t="str">
        <x:v>Location model input - competition/saturation context</x:v>
      </x:c>
      <x:c r="K2659" s="12" t="str">
        <x:v>Business count is from 2018 while population/context indicators are newer; use as a historical proxy, not a current market count.</x:v>
      </x:c>
    </x:row>
    <x:row r="2660">
      <x:c r="A2660" s="12" t="str">
        <x:v>6612</x:v>
      </x:c>
      <x:c r="B2660" s="12" t="str">
        <x:v>Security and commodity contracts brokerage</x:v>
      </x:c>
      <x:c r="C2660" s="12" t="str">
        <x:v>جرش</x:v>
      </x:c>
      <x:c r="D2660" s="14" t="n">
        <x:v>1</x:v>
      </x:c>
      <x:c r="E2660" s="14" t="n">
        <x:f>VLOOKUP(C2660,'Governorate Master'!$A$2:$Q$13,3,FALSE)</x:f>
        <x:v>296000</x:v>
      </x:c>
      <x:c r="F2660" s="66" t="n">
        <x:f>IF(E2660=0,0,D2660/E2660*10000)</x:f>
        <x:v>0.033783783783783786</x:v>
      </x:c>
      <x:c r="G2660" s="67" t="n">
        <x:f>VLOOKUP(C2660,'Governorate Master'!$A$2:$Q$13,7,FALSE)</x:f>
        <x:v>722.3</x:v>
      </x:c>
      <x:c r="H2660" s="20" t="n">
        <x:f>VLOOKUP(C2660,'Governorate Master'!$A$2:$Q$13,6,FALSE)</x:f>
        <x:v>0.7695945945945946</x:v>
      </x:c>
      <x:c r="I2660" s="20" t="n">
        <x:f>VLOOKUP(C2660,'Governorate Master'!$A$2:$Q$13,15,FALSE)</x:f>
        <x:v>-0.06527415143603134</x:v>
      </x:c>
      <x:c r="J2660" s="12" t="str">
        <x:v>Location model input - competition/saturation context</x:v>
      </x:c>
      <x:c r="K2660" s="12" t="str">
        <x:v>Business count is from 2018 while population/context indicators are newer; use as a historical proxy, not a current market count.</x:v>
      </x:c>
    </x:row>
    <x:row r="2661">
      <x:c r="A2661" s="12" t="str">
        <x:v>6612</x:v>
      </x:c>
      <x:c r="B2661" s="12" t="str">
        <x:v>Security and commodity contracts brokerage</x:v>
      </x:c>
      <x:c r="C2661" s="12" t="str">
        <x:v>عجلون</x:v>
      </x:c>
      <x:c r="D2661" s="14" t="n">
        <x:v>0</x:v>
      </x:c>
      <x:c r="E2661" s="14" t="n">
        <x:f>VLOOKUP(C2661,'Governorate Master'!$A$2:$Q$13,3,FALSE)</x:f>
        <x:v>219900</x:v>
      </x:c>
      <x:c r="F2661" s="66" t="n">
        <x:f>IF(E2661=0,0,D2661/E2661*10000)</x:f>
        <x:v>0</x:v>
      </x:c>
      <x:c r="G2661" s="67" t="n">
        <x:f>VLOOKUP(C2661,'Governorate Master'!$A$2:$Q$13,7,FALSE)</x:f>
        <x:v>524</x:v>
      </x:c>
      <x:c r="H2661" s="20" t="n">
        <x:f>VLOOKUP(C2661,'Governorate Master'!$A$2:$Q$13,6,FALSE)</x:f>
        <x:v>0.8390177353342428</x:v>
      </x:c>
      <x:c r="I2661" s="20" t="n">
        <x:f>VLOOKUP(C2661,'Governorate Master'!$A$2:$Q$13,15,FALSE)</x:f>
        <x:v>0.03614457831325301</x:v>
      </x:c>
      <x:c r="J2661" s="12" t="str">
        <x:v>Location model input - competition/saturation context</x:v>
      </x:c>
      <x:c r="K2661" s="12" t="str">
        <x:v>Business count is from 2018 while population/context indicators are newer; use as a historical proxy, not a current market count.</x:v>
      </x:c>
    </x:row>
    <x:row r="2662">
      <x:c r="A2662" s="12" t="str">
        <x:v>6612</x:v>
      </x:c>
      <x:c r="B2662" s="12" t="str">
        <x:v>Security and commodity contracts brokerage</x:v>
      </x:c>
      <x:c r="C2662" s="12" t="str">
        <x:v>الكرك</x:v>
      </x:c>
      <x:c r="D2662" s="14" t="n">
        <x:v>2</x:v>
      </x:c>
      <x:c r="E2662" s="14" t="n">
        <x:f>VLOOKUP(C2662,'Governorate Master'!$A$2:$Q$13,3,FALSE)</x:f>
        <x:v>395400</x:v>
      </x:c>
      <x:c r="F2662" s="66" t="n">
        <x:f>IF(E2662=0,0,D2662/E2662*10000)</x:f>
        <x:v>0.050581689428426904</x:v>
      </x:c>
      <x:c r="G2662" s="67" t="n">
        <x:f>VLOOKUP(C2662,'Governorate Master'!$A$2:$Q$13,7,FALSE)</x:f>
        <x:v>113.1</x:v>
      </x:c>
      <x:c r="H2662" s="20" t="n">
        <x:f>VLOOKUP(C2662,'Governorate Master'!$A$2:$Q$13,6,FALSE)</x:f>
        <x:v>0.5912999494183105</x:v>
      </x:c>
      <x:c r="I2662" s="20" t="n">
        <x:f>VLOOKUP(C2662,'Governorate Master'!$A$2:$Q$13,15,FALSE)</x:f>
        <x:v>0.08710801393728224</x:v>
      </x:c>
      <x:c r="J2662" s="12" t="str">
        <x:v>Location model input - competition/saturation context</x:v>
      </x:c>
      <x:c r="K2662" s="12" t="str">
        <x:v>Business count is from 2018 while population/context indicators are newer; use as a historical proxy, not a current market count.</x:v>
      </x:c>
    </x:row>
    <x:row r="2663">
      <x:c r="A2663" s="12" t="str">
        <x:v>6612</x:v>
      </x:c>
      <x:c r="B2663" s="12" t="str">
        <x:v>Security and commodity contracts brokerage</x:v>
      </x:c>
      <x:c r="C2663" s="12" t="str">
        <x:v>الطفيلة</x:v>
      </x:c>
      <x:c r="D2663" s="14" t="n">
        <x:v>0</x:v>
      </x:c>
      <x:c r="E2663" s="14" t="n">
        <x:f>VLOOKUP(C2663,'Governorate Master'!$A$2:$Q$13,3,FALSE)</x:f>
        <x:v>120300</x:v>
      </x:c>
      <x:c r="F2663" s="66" t="n">
        <x:f>IF(E2663=0,0,D2663/E2663*10000)</x:f>
        <x:v>0</x:v>
      </x:c>
      <x:c r="G2663" s="67" t="n">
        <x:f>VLOOKUP(C2663,'Governorate Master'!$A$2:$Q$13,7,FALSE)</x:f>
        <x:v>54.4</x:v>
      </x:c>
      <x:c r="H2663" s="20" t="n">
        <x:f>VLOOKUP(C2663,'Governorate Master'!$A$2:$Q$13,6,FALSE)</x:f>
        <x:v>0.7797173732335827</x:v>
      </x:c>
      <x:c r="I2663" s="20" t="n">
        <x:f>VLOOKUP(C2663,'Governorate Master'!$A$2:$Q$13,15,FALSE)</x:f>
        <x:v>0.18452380952380953</x:v>
      </x:c>
      <x:c r="J2663" s="12" t="str">
        <x:v>Location model input - competition/saturation context</x:v>
      </x:c>
      <x:c r="K2663" s="12" t="str">
        <x:v>Business count is from 2018 while population/context indicators are newer; use as a historical proxy, not a current market count.</x:v>
      </x:c>
    </x:row>
    <x:row r="2664">
      <x:c r="A2664" s="12" t="str">
        <x:v>6612</x:v>
      </x:c>
      <x:c r="B2664" s="12" t="str">
        <x:v>Security and commodity contracts brokerage</x:v>
      </x:c>
      <x:c r="C2664" s="12" t="str">
        <x:v>معان</x:v>
      </x:c>
      <x:c r="D2664" s="14" t="n">
        <x:v>3</x:v>
      </x:c>
      <x:c r="E2664" s="14" t="n">
        <x:f>VLOOKUP(C2664,'Governorate Master'!$A$2:$Q$13,3,FALSE)</x:f>
        <x:v>197900</x:v>
      </x:c>
      <x:c r="F2664" s="66" t="n">
        <x:f>IF(E2664=0,0,D2664/E2664*10000)</x:f>
        <x:v>0.15159171298635674</x:v>
      </x:c>
      <x:c r="G2664" s="67" t="n">
        <x:f>VLOOKUP(C2664,'Governorate Master'!$A$2:$Q$13,7,FALSE)</x:f>
        <x:v>6</x:v>
      </x:c>
      <x:c r="H2664" s="20" t="n">
        <x:f>VLOOKUP(C2664,'Governorate Master'!$A$2:$Q$13,6,FALSE)</x:f>
        <x:v>0.5406771096513391</x:v>
      </x:c>
      <x:c r="I2664" s="20" t="n">
        <x:f>VLOOKUP(C2664,'Governorate Master'!$A$2:$Q$13,15,FALSE)</x:f>
        <x:v>0.026845637583892617</x:v>
      </x:c>
      <x:c r="J2664" s="12" t="str">
        <x:v>Location model input - competition/saturation context</x:v>
      </x:c>
      <x:c r="K2664" s="12" t="str">
        <x:v>Business count is from 2018 while population/context indicators are newer; use as a historical proxy, not a current market count.</x:v>
      </x:c>
    </x:row>
    <x:row r="2665">
      <x:c r="A2665" s="12" t="str">
        <x:v>6612</x:v>
      </x:c>
      <x:c r="B2665" s="12" t="str">
        <x:v>Security and commodity contracts brokerage</x:v>
      </x:c>
      <x:c r="C2665" s="12" t="str">
        <x:v>العقبة</x:v>
      </x:c>
      <x:c r="D2665" s="14" t="n">
        <x:v>6</x:v>
      </x:c>
      <x:c r="E2665" s="14" t="n">
        <x:f>VLOOKUP(C2665,'Governorate Master'!$A$2:$Q$13,3,FALSE)</x:f>
        <x:v>250900</x:v>
      </x:c>
      <x:c r="F2665" s="66" t="n">
        <x:f>IF(E2665=0,0,D2665/E2665*10000)</x:f>
        <x:v>0.23913909924272617</x:v>
      </x:c>
      <x:c r="G2665" s="67" t="n">
        <x:f>VLOOKUP(C2665,'Governorate Master'!$A$2:$Q$13,7,FALSE)</x:f>
        <x:v>36.3</x:v>
      </x:c>
      <x:c r="H2665" s="20" t="n">
        <x:f>VLOOKUP(C2665,'Governorate Master'!$A$2:$Q$13,6,FALSE)</x:f>
        <x:v>0.882024711040255</x:v>
      </x:c>
      <x:c r="I2665" s="20" t="n">
        <x:f>VLOOKUP(C2665,'Governorate Master'!$A$2:$Q$13,15,FALSE)</x:f>
        <x:v>-0.09</x:v>
      </x:c>
      <x:c r="J2665" s="12" t="str">
        <x:v>Location model input - competition/saturation context</x:v>
      </x:c>
      <x:c r="K2665" s="12" t="str">
        <x:v>Business count is from 2018 while population/context indicators are newer; use as a historical proxy, not a current market count.</x:v>
      </x:c>
    </x:row>
    <x:row r="2666">
      <x:c r="A2666" s="12" t="str">
        <x:v>6619</x:v>
      </x:c>
      <x:c r="B2666" s="12" t="str">
        <x:v>Other activities auxiliary to financial service activities</x:v>
      </x:c>
      <x:c r="C2666" s="12" t="str">
        <x:v>عمان</x:v>
      </x:c>
      <x:c r="D2666" s="14" t="n">
        <x:v>5</x:v>
      </x:c>
      <x:c r="E2666" s="14" t="n">
        <x:f>VLOOKUP(C2666,'Governorate Master'!$A$2:$Q$13,3,FALSE)</x:f>
        <x:v>5004600</x:v>
      </x:c>
      <x:c r="F2666" s="66" t="n">
        <x:f>IF(E2666=0,0,D2666/E2666*10000)</x:f>
        <x:v>0.009990808456220277</x:v>
      </x:c>
      <x:c r="G2666" s="67" t="n">
        <x:f>VLOOKUP(C2666,'Governorate Master'!$A$2:$Q$13,7,FALSE)</x:f>
        <x:v>660.3</x:v>
      </x:c>
      <x:c r="H2666" s="20" t="n">
        <x:f>VLOOKUP(C2666,'Governorate Master'!$A$2:$Q$13,6,FALSE)</x:f>
        <x:v>0.9721656076409703</x:v>
      </x:c>
      <x:c r="I2666" s="20" t="n">
        <x:f>VLOOKUP(C2666,'Governorate Master'!$A$2:$Q$13,15,FALSE)</x:f>
        <x:v>0.06367041198501873</x:v>
      </x:c>
      <x:c r="J2666" s="12" t="str">
        <x:v>Location model input - competition/saturation context</x:v>
      </x:c>
      <x:c r="K2666" s="12" t="str">
        <x:v>Business count is from 2018 while population/context indicators are newer; use as a historical proxy, not a current market count.</x:v>
      </x:c>
    </x:row>
    <x:row r="2667">
      <x:c r="A2667" s="12" t="str">
        <x:v>6619</x:v>
      </x:c>
      <x:c r="B2667" s="12" t="str">
        <x:v>Other activities auxiliary to financial service activities</x:v>
      </x:c>
      <x:c r="C2667" s="12" t="str">
        <x:v>البلقاء</x:v>
      </x:c>
      <x:c r="D2667" s="14" t="n">
        <x:v>0</x:v>
      </x:c>
      <x:c r="E2667" s="14" t="n">
        <x:f>VLOOKUP(C2667,'Governorate Master'!$A$2:$Q$13,3,FALSE)</x:f>
        <x:v>614000</x:v>
      </x:c>
      <x:c r="F2667" s="66" t="n">
        <x:f>IF(E2667=0,0,D2667/E2667*10000)</x:f>
        <x:v>0</x:v>
      </x:c>
      <x:c r="G2667" s="67" t="n">
        <x:f>VLOOKUP(C2667,'Governorate Master'!$A$2:$Q$13,7,FALSE)</x:f>
        <x:v>548</x:v>
      </x:c>
      <x:c r="H2667" s="20" t="n">
        <x:f>VLOOKUP(C2667,'Governorate Master'!$A$2:$Q$13,6,FALSE)</x:f>
        <x:v>0.8210097719869707</x:v>
      </x:c>
      <x:c r="I2667" s="20" t="n">
        <x:f>VLOOKUP(C2667,'Governorate Master'!$A$2:$Q$13,15,FALSE)</x:f>
        <x:v>0.10794044665012408</x:v>
      </x:c>
      <x:c r="J2667" s="12" t="str">
        <x:v>Location model input - competition/saturation context</x:v>
      </x:c>
      <x:c r="K2667" s="12" t="str">
        <x:v>Business count is from 2018 while population/context indicators are newer; use as a historical proxy, not a current market count.</x:v>
      </x:c>
    </x:row>
    <x:row r="2668">
      <x:c r="A2668" s="12" t="str">
        <x:v>6619</x:v>
      </x:c>
      <x:c r="B2668" s="12" t="str">
        <x:v>Other activities auxiliary to financial service activities</x:v>
      </x:c>
      <x:c r="C2668" s="12" t="str">
        <x:v>الزرقاء</x:v>
      </x:c>
      <x:c r="D2668" s="14" t="n">
        <x:v>0</x:v>
      </x:c>
      <x:c r="E2668" s="14" t="n">
        <x:f>VLOOKUP(C2668,'Governorate Master'!$A$2:$Q$13,3,FALSE)</x:f>
        <x:v>1704500</x:v>
      </x:c>
      <x:c r="F2668" s="66" t="n">
        <x:f>IF(E2668=0,0,D2668/E2668*10000)</x:f>
        <x:v>0</x:v>
      </x:c>
      <x:c r="G2668" s="67" t="n">
        <x:f>VLOOKUP(C2668,'Governorate Master'!$A$2:$Q$13,7,FALSE)</x:f>
        <x:v>358</x:v>
      </x:c>
      <x:c r="H2668" s="20" t="n">
        <x:f>VLOOKUP(C2668,'Governorate Master'!$A$2:$Q$13,6,FALSE)</x:f>
        <x:v>0.9636256966852449</x:v>
      </x:c>
      <x:c r="I2668" s="20" t="n">
        <x:f>VLOOKUP(C2668,'Governorate Master'!$A$2:$Q$13,15,FALSE)</x:f>
        <x:v>-0.06808762581409118</x:v>
      </x:c>
      <x:c r="J2668" s="12" t="str">
        <x:v>Location model input - competition/saturation context</x:v>
      </x:c>
      <x:c r="K2668" s="12" t="str">
        <x:v>Business count is from 2018 while population/context indicators are newer; use as a historical proxy, not a current market count.</x:v>
      </x:c>
    </x:row>
    <x:row r="2669">
      <x:c r="A2669" s="12" t="str">
        <x:v>6619</x:v>
      </x:c>
      <x:c r="B2669" s="12" t="str">
        <x:v>Other activities auxiliary to financial service activities</x:v>
      </x:c>
      <x:c r="C2669" s="12" t="str">
        <x:v>مادبا</x:v>
      </x:c>
      <x:c r="D2669" s="14" t="n">
        <x:v>0</x:v>
      </x:c>
      <x:c r="E2669" s="14" t="n">
        <x:f>VLOOKUP(C2669,'Governorate Master'!$A$2:$Q$13,3,FALSE)</x:f>
        <x:v>236200</x:v>
      </x:c>
      <x:c r="F2669" s="66" t="n">
        <x:f>IF(E2669=0,0,D2669/E2669*10000)</x:f>
        <x:v>0</x:v>
      </x:c>
      <x:c r="G2669" s="67" t="n">
        <x:f>VLOOKUP(C2669,'Governorate Master'!$A$2:$Q$13,7,FALSE)</x:f>
        <x:v>251.4</x:v>
      </x:c>
      <x:c r="H2669" s="20" t="n">
        <x:f>VLOOKUP(C2669,'Governorate Master'!$A$2:$Q$13,6,FALSE)</x:f>
        <x:v>0.7823878069432684</x:v>
      </x:c>
      <x:c r="I2669" s="20" t="n">
        <x:f>VLOOKUP(C2669,'Governorate Master'!$A$2:$Q$13,15,FALSE)</x:f>
        <x:v>-0.18823529411764706</x:v>
      </x:c>
      <x:c r="J2669" s="12" t="str">
        <x:v>Location model input - competition/saturation context</x:v>
      </x:c>
      <x:c r="K2669" s="12" t="str">
        <x:v>Business count is from 2018 while population/context indicators are newer; use as a historical proxy, not a current market count.</x:v>
      </x:c>
    </x:row>
    <x:row r="2670">
      <x:c r="A2670" s="12" t="str">
        <x:v>6619</x:v>
      </x:c>
      <x:c r="B2670" s="12" t="str">
        <x:v>Other activities auxiliary to financial service activities</x:v>
      </x:c>
      <x:c r="C2670" s="12" t="str">
        <x:v>إربد</x:v>
      </x:c>
      <x:c r="D2670" s="14" t="n">
        <x:v>0</x:v>
      </x:c>
      <x:c r="E2670" s="14" t="n">
        <x:f>VLOOKUP(C2670,'Governorate Master'!$A$2:$Q$13,3,FALSE)</x:f>
        <x:v>2210500</x:v>
      </x:c>
      <x:c r="F2670" s="66" t="n">
        <x:f>IF(E2670=0,0,D2670/E2670*10000)</x:f>
        <x:v>0</x:v>
      </x:c>
      <x:c r="G2670" s="67" t="n">
        <x:f>VLOOKUP(C2670,'Governorate Master'!$A$2:$Q$13,7,FALSE)</x:f>
        <x:v>1406.4</x:v>
      </x:c>
      <x:c r="H2670" s="20" t="n">
        <x:f>VLOOKUP(C2670,'Governorate Master'!$A$2:$Q$13,6,FALSE)</x:f>
        <x:v>0.9235014702555983</x:v>
      </x:c>
      <x:c r="I2670" s="20" t="n">
        <x:f>VLOOKUP(C2670,'Governorate Master'!$A$2:$Q$13,15,FALSE)</x:f>
        <x:v>0.07086922474549726</x:v>
      </x:c>
      <x:c r="J2670" s="12" t="str">
        <x:v>Location model input - competition/saturation context</x:v>
      </x:c>
      <x:c r="K2670" s="12" t="str">
        <x:v>Business count is from 2018 while population/context indicators are newer; use as a historical proxy, not a current market count.</x:v>
      </x:c>
    </x:row>
    <x:row r="2671">
      <x:c r="A2671" s="12" t="str">
        <x:v>6619</x:v>
      </x:c>
      <x:c r="B2671" s="12" t="str">
        <x:v>Other activities auxiliary to financial service activities</x:v>
      </x:c>
      <x:c r="C2671" s="12" t="str">
        <x:v>المفرق</x:v>
      </x:c>
      <x:c r="D2671" s="14" t="n">
        <x:v>0</x:v>
      </x:c>
      <x:c r="E2671" s="14" t="n">
        <x:f>VLOOKUP(C2671,'Governorate Master'!$A$2:$Q$13,3,FALSE)</x:f>
        <x:v>686800</x:v>
      </x:c>
      <x:c r="F2671" s="66" t="n">
        <x:f>IF(E2671=0,0,D2671/E2671*10000)</x:f>
        <x:v>0</x:v>
      </x:c>
      <x:c r="G2671" s="67" t="n">
        <x:f>VLOOKUP(C2671,'Governorate Master'!$A$2:$Q$13,7,FALSE)</x:f>
        <x:v>25.9</x:v>
      </x:c>
      <x:c r="H2671" s="20" t="n">
        <x:f>VLOOKUP(C2671,'Governorate Master'!$A$2:$Q$13,6,FALSE)</x:f>
        <x:v>0.6965637740244612</x:v>
      </x:c>
      <x:c r="I2671" s="20" t="n">
        <x:f>VLOOKUP(C2671,'Governorate Master'!$A$2:$Q$13,15,FALSE)</x:f>
        <x:v>-0.016638935108153077</x:v>
      </x:c>
      <x:c r="J2671" s="12" t="str">
        <x:v>Location model input - competition/saturation context</x:v>
      </x:c>
      <x:c r="K2671" s="12" t="str">
        <x:v>Business count is from 2018 while population/context indicators are newer; use as a historical proxy, not a current market count.</x:v>
      </x:c>
    </x:row>
    <x:row r="2672">
      <x:c r="A2672" s="12" t="str">
        <x:v>6619</x:v>
      </x:c>
      <x:c r="B2672" s="12" t="str">
        <x:v>Other activities auxiliary to financial service activities</x:v>
      </x:c>
      <x:c r="C2672" s="12" t="str">
        <x:v>جرش</x:v>
      </x:c>
      <x:c r="D2672" s="14" t="n">
        <x:v>0</x:v>
      </x:c>
      <x:c r="E2672" s="14" t="n">
        <x:f>VLOOKUP(C2672,'Governorate Master'!$A$2:$Q$13,3,FALSE)</x:f>
        <x:v>296000</x:v>
      </x:c>
      <x:c r="F2672" s="66" t="n">
        <x:f>IF(E2672=0,0,D2672/E2672*10000)</x:f>
        <x:v>0</x:v>
      </x:c>
      <x:c r="G2672" s="67" t="n">
        <x:f>VLOOKUP(C2672,'Governorate Master'!$A$2:$Q$13,7,FALSE)</x:f>
        <x:v>722.3</x:v>
      </x:c>
      <x:c r="H2672" s="20" t="n">
        <x:f>VLOOKUP(C2672,'Governorate Master'!$A$2:$Q$13,6,FALSE)</x:f>
        <x:v>0.7695945945945946</x:v>
      </x:c>
      <x:c r="I2672" s="20" t="n">
        <x:f>VLOOKUP(C2672,'Governorate Master'!$A$2:$Q$13,15,FALSE)</x:f>
        <x:v>-0.06527415143603134</x:v>
      </x:c>
      <x:c r="J2672" s="12" t="str">
        <x:v>Location model input - competition/saturation context</x:v>
      </x:c>
      <x:c r="K2672" s="12" t="str">
        <x:v>Business count is from 2018 while population/context indicators are newer; use as a historical proxy, not a current market count.</x:v>
      </x:c>
    </x:row>
    <x:row r="2673">
      <x:c r="A2673" s="12" t="str">
        <x:v>6619</x:v>
      </x:c>
      <x:c r="B2673" s="12" t="str">
        <x:v>Other activities auxiliary to financial service activities</x:v>
      </x:c>
      <x:c r="C2673" s="12" t="str">
        <x:v>عجلون</x:v>
      </x:c>
      <x:c r="D2673" s="14" t="n">
        <x:v>0</x:v>
      </x:c>
      <x:c r="E2673" s="14" t="n">
        <x:f>VLOOKUP(C2673,'Governorate Master'!$A$2:$Q$13,3,FALSE)</x:f>
        <x:v>219900</x:v>
      </x:c>
      <x:c r="F2673" s="66" t="n">
        <x:f>IF(E2673=0,0,D2673/E2673*10000)</x:f>
        <x:v>0</x:v>
      </x:c>
      <x:c r="G2673" s="67" t="n">
        <x:f>VLOOKUP(C2673,'Governorate Master'!$A$2:$Q$13,7,FALSE)</x:f>
        <x:v>524</x:v>
      </x:c>
      <x:c r="H2673" s="20" t="n">
        <x:f>VLOOKUP(C2673,'Governorate Master'!$A$2:$Q$13,6,FALSE)</x:f>
        <x:v>0.8390177353342428</x:v>
      </x:c>
      <x:c r="I2673" s="20" t="n">
        <x:f>VLOOKUP(C2673,'Governorate Master'!$A$2:$Q$13,15,FALSE)</x:f>
        <x:v>0.03614457831325301</x:v>
      </x:c>
      <x:c r="J2673" s="12" t="str">
        <x:v>Location model input - competition/saturation context</x:v>
      </x:c>
      <x:c r="K2673" s="12" t="str">
        <x:v>Business count is from 2018 while population/context indicators are newer; use as a historical proxy, not a current market count.</x:v>
      </x:c>
    </x:row>
    <x:row r="2674">
      <x:c r="A2674" s="12" t="str">
        <x:v>6619</x:v>
      </x:c>
      <x:c r="B2674" s="12" t="str">
        <x:v>Other activities auxiliary to financial service activities</x:v>
      </x:c>
      <x:c r="C2674" s="12" t="str">
        <x:v>الكرك</x:v>
      </x:c>
      <x:c r="D2674" s="14" t="n">
        <x:v>0</x:v>
      </x:c>
      <x:c r="E2674" s="14" t="n">
        <x:f>VLOOKUP(C2674,'Governorate Master'!$A$2:$Q$13,3,FALSE)</x:f>
        <x:v>395400</x:v>
      </x:c>
      <x:c r="F2674" s="66" t="n">
        <x:f>IF(E2674=0,0,D2674/E2674*10000)</x:f>
        <x:v>0</x:v>
      </x:c>
      <x:c r="G2674" s="67" t="n">
        <x:f>VLOOKUP(C2674,'Governorate Master'!$A$2:$Q$13,7,FALSE)</x:f>
        <x:v>113.1</x:v>
      </x:c>
      <x:c r="H2674" s="20" t="n">
        <x:f>VLOOKUP(C2674,'Governorate Master'!$A$2:$Q$13,6,FALSE)</x:f>
        <x:v>0.5912999494183105</x:v>
      </x:c>
      <x:c r="I2674" s="20" t="n">
        <x:f>VLOOKUP(C2674,'Governorate Master'!$A$2:$Q$13,15,FALSE)</x:f>
        <x:v>0.08710801393728224</x:v>
      </x:c>
      <x:c r="J2674" s="12" t="str">
        <x:v>Location model input - competition/saturation context</x:v>
      </x:c>
      <x:c r="K2674" s="12" t="str">
        <x:v>Business count is from 2018 while population/context indicators are newer; use as a historical proxy, not a current market count.</x:v>
      </x:c>
    </x:row>
    <x:row r="2675">
      <x:c r="A2675" s="12" t="str">
        <x:v>6619</x:v>
      </x:c>
      <x:c r="B2675" s="12" t="str">
        <x:v>Other activities auxiliary to financial service activities</x:v>
      </x:c>
      <x:c r="C2675" s="12" t="str">
        <x:v>الطفيلة</x:v>
      </x:c>
      <x:c r="D2675" s="14" t="n">
        <x:v>0</x:v>
      </x:c>
      <x:c r="E2675" s="14" t="n">
        <x:f>VLOOKUP(C2675,'Governorate Master'!$A$2:$Q$13,3,FALSE)</x:f>
        <x:v>120300</x:v>
      </x:c>
      <x:c r="F2675" s="66" t="n">
        <x:f>IF(E2675=0,0,D2675/E2675*10000)</x:f>
        <x:v>0</x:v>
      </x:c>
      <x:c r="G2675" s="67" t="n">
        <x:f>VLOOKUP(C2675,'Governorate Master'!$A$2:$Q$13,7,FALSE)</x:f>
        <x:v>54.4</x:v>
      </x:c>
      <x:c r="H2675" s="20" t="n">
        <x:f>VLOOKUP(C2675,'Governorate Master'!$A$2:$Q$13,6,FALSE)</x:f>
        <x:v>0.7797173732335827</x:v>
      </x:c>
      <x:c r="I2675" s="20" t="n">
        <x:f>VLOOKUP(C2675,'Governorate Master'!$A$2:$Q$13,15,FALSE)</x:f>
        <x:v>0.18452380952380953</x:v>
      </x:c>
      <x:c r="J2675" s="12" t="str">
        <x:v>Location model input - competition/saturation context</x:v>
      </x:c>
      <x:c r="K2675" s="12" t="str">
        <x:v>Business count is from 2018 while population/context indicators are newer; use as a historical proxy, not a current market count.</x:v>
      </x:c>
    </x:row>
    <x:row r="2676">
      <x:c r="A2676" s="12" t="str">
        <x:v>6619</x:v>
      </x:c>
      <x:c r="B2676" s="12" t="str">
        <x:v>Other activities auxiliary to financial service activities</x:v>
      </x:c>
      <x:c r="C2676" s="12" t="str">
        <x:v>معان</x:v>
      </x:c>
      <x:c r="D2676" s="14" t="n">
        <x:v>0</x:v>
      </x:c>
      <x:c r="E2676" s="14" t="n">
        <x:f>VLOOKUP(C2676,'Governorate Master'!$A$2:$Q$13,3,FALSE)</x:f>
        <x:v>197900</x:v>
      </x:c>
      <x:c r="F2676" s="66" t="n">
        <x:f>IF(E2676=0,0,D2676/E2676*10000)</x:f>
        <x:v>0</x:v>
      </x:c>
      <x:c r="G2676" s="67" t="n">
        <x:f>VLOOKUP(C2676,'Governorate Master'!$A$2:$Q$13,7,FALSE)</x:f>
        <x:v>6</x:v>
      </x:c>
      <x:c r="H2676" s="20" t="n">
        <x:f>VLOOKUP(C2676,'Governorate Master'!$A$2:$Q$13,6,FALSE)</x:f>
        <x:v>0.5406771096513391</x:v>
      </x:c>
      <x:c r="I2676" s="20" t="n">
        <x:f>VLOOKUP(C2676,'Governorate Master'!$A$2:$Q$13,15,FALSE)</x:f>
        <x:v>0.026845637583892617</x:v>
      </x:c>
      <x:c r="J2676" s="12" t="str">
        <x:v>Location model input - competition/saturation context</x:v>
      </x:c>
      <x:c r="K2676" s="12" t="str">
        <x:v>Business count is from 2018 while population/context indicators are newer; use as a historical proxy, not a current market count.</x:v>
      </x:c>
    </x:row>
    <x:row r="2677">
      <x:c r="A2677" s="12" t="str">
        <x:v>6619</x:v>
      </x:c>
      <x:c r="B2677" s="12" t="str">
        <x:v>Other activities auxiliary to financial service activities</x:v>
      </x:c>
      <x:c r="C2677" s="12" t="str">
        <x:v>العقبة</x:v>
      </x:c>
      <x:c r="D2677" s="14" t="n">
        <x:v>0</x:v>
      </x:c>
      <x:c r="E2677" s="14" t="n">
        <x:f>VLOOKUP(C2677,'Governorate Master'!$A$2:$Q$13,3,FALSE)</x:f>
        <x:v>250900</x:v>
      </x:c>
      <x:c r="F2677" s="66" t="n">
        <x:f>IF(E2677=0,0,D2677/E2677*10000)</x:f>
        <x:v>0</x:v>
      </x:c>
      <x:c r="G2677" s="67" t="n">
        <x:f>VLOOKUP(C2677,'Governorate Master'!$A$2:$Q$13,7,FALSE)</x:f>
        <x:v>36.3</x:v>
      </x:c>
      <x:c r="H2677" s="20" t="n">
        <x:f>VLOOKUP(C2677,'Governorate Master'!$A$2:$Q$13,6,FALSE)</x:f>
        <x:v>0.882024711040255</x:v>
      </x:c>
      <x:c r="I2677" s="20" t="n">
        <x:f>VLOOKUP(C2677,'Governorate Master'!$A$2:$Q$13,15,FALSE)</x:f>
        <x:v>-0.09</x:v>
      </x:c>
      <x:c r="J2677" s="12" t="str">
        <x:v>Location model input - competition/saturation context</x:v>
      </x:c>
      <x:c r="K2677" s="12" t="str">
        <x:v>Business count is from 2018 while population/context indicators are newer; use as a historical proxy, not a current market count.</x:v>
      </x:c>
    </x:row>
    <x:row r="2678">
      <x:c r="A2678" s="12" t="str">
        <x:v>6622</x:v>
      </x:c>
      <x:c r="B2678" s="12" t="str">
        <x:v>Activities of insurance agents and brokers</x:v>
      </x:c>
      <x:c r="C2678" s="12" t="str">
        <x:v>عمان</x:v>
      </x:c>
      <x:c r="D2678" s="14" t="n">
        <x:v>71</x:v>
      </x:c>
      <x:c r="E2678" s="14" t="n">
        <x:f>VLOOKUP(C2678,'Governorate Master'!$A$2:$Q$13,3,FALSE)</x:f>
        <x:v>5004600</x:v>
      </x:c>
      <x:c r="F2678" s="66" t="n">
        <x:f>IF(E2678=0,0,D2678/E2678*10000)</x:f>
        <x:v>0.14186948007832795</x:v>
      </x:c>
      <x:c r="G2678" s="67" t="n">
        <x:f>VLOOKUP(C2678,'Governorate Master'!$A$2:$Q$13,7,FALSE)</x:f>
        <x:v>660.3</x:v>
      </x:c>
      <x:c r="H2678" s="20" t="n">
        <x:f>VLOOKUP(C2678,'Governorate Master'!$A$2:$Q$13,6,FALSE)</x:f>
        <x:v>0.9721656076409703</x:v>
      </x:c>
      <x:c r="I2678" s="20" t="n">
        <x:f>VLOOKUP(C2678,'Governorate Master'!$A$2:$Q$13,15,FALSE)</x:f>
        <x:v>0.06367041198501873</x:v>
      </x:c>
      <x:c r="J2678" s="12" t="str">
        <x:v>Location model input - competition/saturation context</x:v>
      </x:c>
      <x:c r="K2678" s="12" t="str">
        <x:v>Business count is from 2018 while population/context indicators are newer; use as a historical proxy, not a current market count.</x:v>
      </x:c>
    </x:row>
    <x:row r="2679">
      <x:c r="A2679" s="12" t="str">
        <x:v>6622</x:v>
      </x:c>
      <x:c r="B2679" s="12" t="str">
        <x:v>Activities of insurance agents and brokers</x:v>
      </x:c>
      <x:c r="C2679" s="12" t="str">
        <x:v>البلقاء</x:v>
      </x:c>
      <x:c r="D2679" s="14" t="n">
        <x:v>1</x:v>
      </x:c>
      <x:c r="E2679" s="14" t="n">
        <x:f>VLOOKUP(C2679,'Governorate Master'!$A$2:$Q$13,3,FALSE)</x:f>
        <x:v>614000</x:v>
      </x:c>
      <x:c r="F2679" s="66" t="n">
        <x:f>IF(E2679=0,0,D2679/E2679*10000)</x:f>
        <x:v>0.016286644951140065</x:v>
      </x:c>
      <x:c r="G2679" s="67" t="n">
        <x:f>VLOOKUP(C2679,'Governorate Master'!$A$2:$Q$13,7,FALSE)</x:f>
        <x:v>548</x:v>
      </x:c>
      <x:c r="H2679" s="20" t="n">
        <x:f>VLOOKUP(C2679,'Governorate Master'!$A$2:$Q$13,6,FALSE)</x:f>
        <x:v>0.8210097719869707</x:v>
      </x:c>
      <x:c r="I2679" s="20" t="n">
        <x:f>VLOOKUP(C2679,'Governorate Master'!$A$2:$Q$13,15,FALSE)</x:f>
        <x:v>0.10794044665012408</x:v>
      </x:c>
      <x:c r="J2679" s="12" t="str">
        <x:v>Location model input - competition/saturation context</x:v>
      </x:c>
      <x:c r="K2679" s="12" t="str">
        <x:v>Business count is from 2018 while population/context indicators are newer; use as a historical proxy, not a current market count.</x:v>
      </x:c>
    </x:row>
    <x:row r="2680">
      <x:c r="A2680" s="12" t="str">
        <x:v>6622</x:v>
      </x:c>
      <x:c r="B2680" s="12" t="str">
        <x:v>Activities of insurance agents and brokers</x:v>
      </x:c>
      <x:c r="C2680" s="12" t="str">
        <x:v>الزرقاء</x:v>
      </x:c>
      <x:c r="D2680" s="14" t="n">
        <x:v>6</x:v>
      </x:c>
      <x:c r="E2680" s="14" t="n">
        <x:f>VLOOKUP(C2680,'Governorate Master'!$A$2:$Q$13,3,FALSE)</x:f>
        <x:v>1704500</x:v>
      </x:c>
      <x:c r="F2680" s="66" t="n">
        <x:f>IF(E2680=0,0,D2680/E2680*10000)</x:f>
        <x:v>0.03520093869169844</x:v>
      </x:c>
      <x:c r="G2680" s="67" t="n">
        <x:f>VLOOKUP(C2680,'Governorate Master'!$A$2:$Q$13,7,FALSE)</x:f>
        <x:v>358</x:v>
      </x:c>
      <x:c r="H2680" s="20" t="n">
        <x:f>VLOOKUP(C2680,'Governorate Master'!$A$2:$Q$13,6,FALSE)</x:f>
        <x:v>0.9636256966852449</x:v>
      </x:c>
      <x:c r="I2680" s="20" t="n">
        <x:f>VLOOKUP(C2680,'Governorate Master'!$A$2:$Q$13,15,FALSE)</x:f>
        <x:v>-0.06808762581409118</x:v>
      </x:c>
      <x:c r="J2680" s="12" t="str">
        <x:v>Location model input - competition/saturation context</x:v>
      </x:c>
      <x:c r="K2680" s="12" t="str">
        <x:v>Business count is from 2018 while population/context indicators are newer; use as a historical proxy, not a current market count.</x:v>
      </x:c>
    </x:row>
    <x:row r="2681">
      <x:c r="A2681" s="12" t="str">
        <x:v>6622</x:v>
      </x:c>
      <x:c r="B2681" s="12" t="str">
        <x:v>Activities of insurance agents and brokers</x:v>
      </x:c>
      <x:c r="C2681" s="12" t="str">
        <x:v>مادبا</x:v>
      </x:c>
      <x:c r="D2681" s="14" t="n">
        <x:v>0</x:v>
      </x:c>
      <x:c r="E2681" s="14" t="n">
        <x:f>VLOOKUP(C2681,'Governorate Master'!$A$2:$Q$13,3,FALSE)</x:f>
        <x:v>236200</x:v>
      </x:c>
      <x:c r="F2681" s="66" t="n">
        <x:f>IF(E2681=0,0,D2681/E2681*10000)</x:f>
        <x:v>0</x:v>
      </x:c>
      <x:c r="G2681" s="67" t="n">
        <x:f>VLOOKUP(C2681,'Governorate Master'!$A$2:$Q$13,7,FALSE)</x:f>
        <x:v>251.4</x:v>
      </x:c>
      <x:c r="H2681" s="20" t="n">
        <x:f>VLOOKUP(C2681,'Governorate Master'!$A$2:$Q$13,6,FALSE)</x:f>
        <x:v>0.7823878069432684</x:v>
      </x:c>
      <x:c r="I2681" s="20" t="n">
        <x:f>VLOOKUP(C2681,'Governorate Master'!$A$2:$Q$13,15,FALSE)</x:f>
        <x:v>-0.18823529411764706</x:v>
      </x:c>
      <x:c r="J2681" s="12" t="str">
        <x:v>Location model input - competition/saturation context</x:v>
      </x:c>
      <x:c r="K2681" s="12" t="str">
        <x:v>Business count is from 2018 while population/context indicators are newer; use as a historical proxy, not a current market count.</x:v>
      </x:c>
    </x:row>
    <x:row r="2682">
      <x:c r="A2682" s="12" t="str">
        <x:v>6622</x:v>
      </x:c>
      <x:c r="B2682" s="12" t="str">
        <x:v>Activities of insurance agents and brokers</x:v>
      </x:c>
      <x:c r="C2682" s="12" t="str">
        <x:v>إربد</x:v>
      </x:c>
      <x:c r="D2682" s="14" t="n">
        <x:v>5</x:v>
      </x:c>
      <x:c r="E2682" s="14" t="n">
        <x:f>VLOOKUP(C2682,'Governorate Master'!$A$2:$Q$13,3,FALSE)</x:f>
        <x:v>2210500</x:v>
      </x:c>
      <x:c r="F2682" s="66" t="n">
        <x:f>IF(E2682=0,0,D2682/E2682*10000)</x:f>
        <x:v>0.022619316896629722</x:v>
      </x:c>
      <x:c r="G2682" s="67" t="n">
        <x:f>VLOOKUP(C2682,'Governorate Master'!$A$2:$Q$13,7,FALSE)</x:f>
        <x:v>1406.4</x:v>
      </x:c>
      <x:c r="H2682" s="20" t="n">
        <x:f>VLOOKUP(C2682,'Governorate Master'!$A$2:$Q$13,6,FALSE)</x:f>
        <x:v>0.9235014702555983</x:v>
      </x:c>
      <x:c r="I2682" s="20" t="n">
        <x:f>VLOOKUP(C2682,'Governorate Master'!$A$2:$Q$13,15,FALSE)</x:f>
        <x:v>0.07086922474549726</x:v>
      </x:c>
      <x:c r="J2682" s="12" t="str">
        <x:v>Location model input - competition/saturation context</x:v>
      </x:c>
      <x:c r="K2682" s="12" t="str">
        <x:v>Business count is from 2018 while population/context indicators are newer; use as a historical proxy, not a current market count.</x:v>
      </x:c>
    </x:row>
    <x:row r="2683">
      <x:c r="A2683" s="12" t="str">
        <x:v>6622</x:v>
      </x:c>
      <x:c r="B2683" s="12" t="str">
        <x:v>Activities of insurance agents and brokers</x:v>
      </x:c>
      <x:c r="C2683" s="12" t="str">
        <x:v>المفرق</x:v>
      </x:c>
      <x:c r="D2683" s="14" t="n">
        <x:v>0</x:v>
      </x:c>
      <x:c r="E2683" s="14" t="n">
        <x:f>VLOOKUP(C2683,'Governorate Master'!$A$2:$Q$13,3,FALSE)</x:f>
        <x:v>686800</x:v>
      </x:c>
      <x:c r="F2683" s="66" t="n">
        <x:f>IF(E2683=0,0,D2683/E2683*10000)</x:f>
        <x:v>0</x:v>
      </x:c>
      <x:c r="G2683" s="67" t="n">
        <x:f>VLOOKUP(C2683,'Governorate Master'!$A$2:$Q$13,7,FALSE)</x:f>
        <x:v>25.9</x:v>
      </x:c>
      <x:c r="H2683" s="20" t="n">
        <x:f>VLOOKUP(C2683,'Governorate Master'!$A$2:$Q$13,6,FALSE)</x:f>
        <x:v>0.6965637740244612</x:v>
      </x:c>
      <x:c r="I2683" s="20" t="n">
        <x:f>VLOOKUP(C2683,'Governorate Master'!$A$2:$Q$13,15,FALSE)</x:f>
        <x:v>-0.016638935108153077</x:v>
      </x:c>
      <x:c r="J2683" s="12" t="str">
        <x:v>Location model input - competition/saturation context</x:v>
      </x:c>
      <x:c r="K2683" s="12" t="str">
        <x:v>Business count is from 2018 while population/context indicators are newer; use as a historical proxy, not a current market count.</x:v>
      </x:c>
    </x:row>
    <x:row r="2684">
      <x:c r="A2684" s="12" t="str">
        <x:v>6622</x:v>
      </x:c>
      <x:c r="B2684" s="12" t="str">
        <x:v>Activities of insurance agents and brokers</x:v>
      </x:c>
      <x:c r="C2684" s="12" t="str">
        <x:v>جرش</x:v>
      </x:c>
      <x:c r="D2684" s="14" t="n">
        <x:v>0</x:v>
      </x:c>
      <x:c r="E2684" s="14" t="n">
        <x:f>VLOOKUP(C2684,'Governorate Master'!$A$2:$Q$13,3,FALSE)</x:f>
        <x:v>296000</x:v>
      </x:c>
      <x:c r="F2684" s="66" t="n">
        <x:f>IF(E2684=0,0,D2684/E2684*10000)</x:f>
        <x:v>0</x:v>
      </x:c>
      <x:c r="G2684" s="67" t="n">
        <x:f>VLOOKUP(C2684,'Governorate Master'!$A$2:$Q$13,7,FALSE)</x:f>
        <x:v>722.3</x:v>
      </x:c>
      <x:c r="H2684" s="20" t="n">
        <x:f>VLOOKUP(C2684,'Governorate Master'!$A$2:$Q$13,6,FALSE)</x:f>
        <x:v>0.7695945945945946</x:v>
      </x:c>
      <x:c r="I2684" s="20" t="n">
        <x:f>VLOOKUP(C2684,'Governorate Master'!$A$2:$Q$13,15,FALSE)</x:f>
        <x:v>-0.06527415143603134</x:v>
      </x:c>
      <x:c r="J2684" s="12" t="str">
        <x:v>Location model input - competition/saturation context</x:v>
      </x:c>
      <x:c r="K2684" s="12" t="str">
        <x:v>Business count is from 2018 while population/context indicators are newer; use as a historical proxy, not a current market count.</x:v>
      </x:c>
    </x:row>
    <x:row r="2685">
      <x:c r="A2685" s="12" t="str">
        <x:v>6622</x:v>
      </x:c>
      <x:c r="B2685" s="12" t="str">
        <x:v>Activities of insurance agents and brokers</x:v>
      </x:c>
      <x:c r="C2685" s="12" t="str">
        <x:v>عجلون</x:v>
      </x:c>
      <x:c r="D2685" s="14" t="n">
        <x:v>0</x:v>
      </x:c>
      <x:c r="E2685" s="14" t="n">
        <x:f>VLOOKUP(C2685,'Governorate Master'!$A$2:$Q$13,3,FALSE)</x:f>
        <x:v>219900</x:v>
      </x:c>
      <x:c r="F2685" s="66" t="n">
        <x:f>IF(E2685=0,0,D2685/E2685*10000)</x:f>
        <x:v>0</x:v>
      </x:c>
      <x:c r="G2685" s="67" t="n">
        <x:f>VLOOKUP(C2685,'Governorate Master'!$A$2:$Q$13,7,FALSE)</x:f>
        <x:v>524</x:v>
      </x:c>
      <x:c r="H2685" s="20" t="n">
        <x:f>VLOOKUP(C2685,'Governorate Master'!$A$2:$Q$13,6,FALSE)</x:f>
        <x:v>0.8390177353342428</x:v>
      </x:c>
      <x:c r="I2685" s="20" t="n">
        <x:f>VLOOKUP(C2685,'Governorate Master'!$A$2:$Q$13,15,FALSE)</x:f>
        <x:v>0.03614457831325301</x:v>
      </x:c>
      <x:c r="J2685" s="12" t="str">
        <x:v>Location model input - competition/saturation context</x:v>
      </x:c>
      <x:c r="K2685" s="12" t="str">
        <x:v>Business count is from 2018 while population/context indicators are newer; use as a historical proxy, not a current market count.</x:v>
      </x:c>
    </x:row>
    <x:row r="2686">
      <x:c r="A2686" s="12" t="str">
        <x:v>6622</x:v>
      </x:c>
      <x:c r="B2686" s="12" t="str">
        <x:v>Activities of insurance agents and brokers</x:v>
      </x:c>
      <x:c r="C2686" s="12" t="str">
        <x:v>الكرك</x:v>
      </x:c>
      <x:c r="D2686" s="14" t="n">
        <x:v>0</x:v>
      </x:c>
      <x:c r="E2686" s="14" t="n">
        <x:f>VLOOKUP(C2686,'Governorate Master'!$A$2:$Q$13,3,FALSE)</x:f>
        <x:v>395400</x:v>
      </x:c>
      <x:c r="F2686" s="66" t="n">
        <x:f>IF(E2686=0,0,D2686/E2686*10000)</x:f>
        <x:v>0</x:v>
      </x:c>
      <x:c r="G2686" s="67" t="n">
        <x:f>VLOOKUP(C2686,'Governorate Master'!$A$2:$Q$13,7,FALSE)</x:f>
        <x:v>113.1</x:v>
      </x:c>
      <x:c r="H2686" s="20" t="n">
        <x:f>VLOOKUP(C2686,'Governorate Master'!$A$2:$Q$13,6,FALSE)</x:f>
        <x:v>0.5912999494183105</x:v>
      </x:c>
      <x:c r="I2686" s="20" t="n">
        <x:f>VLOOKUP(C2686,'Governorate Master'!$A$2:$Q$13,15,FALSE)</x:f>
        <x:v>0.08710801393728224</x:v>
      </x:c>
      <x:c r="J2686" s="12" t="str">
        <x:v>Location model input - competition/saturation context</x:v>
      </x:c>
      <x:c r="K2686" s="12" t="str">
        <x:v>Business count is from 2018 while population/context indicators are newer; use as a historical proxy, not a current market count.</x:v>
      </x:c>
    </x:row>
    <x:row r="2687">
      <x:c r="A2687" s="12" t="str">
        <x:v>6622</x:v>
      </x:c>
      <x:c r="B2687" s="12" t="str">
        <x:v>Activities of insurance agents and brokers</x:v>
      </x:c>
      <x:c r="C2687" s="12" t="str">
        <x:v>الطفيلة</x:v>
      </x:c>
      <x:c r="D2687" s="14" t="n">
        <x:v>0</x:v>
      </x:c>
      <x:c r="E2687" s="14" t="n">
        <x:f>VLOOKUP(C2687,'Governorate Master'!$A$2:$Q$13,3,FALSE)</x:f>
        <x:v>120300</x:v>
      </x:c>
      <x:c r="F2687" s="66" t="n">
        <x:f>IF(E2687=0,0,D2687/E2687*10000)</x:f>
        <x:v>0</x:v>
      </x:c>
      <x:c r="G2687" s="67" t="n">
        <x:f>VLOOKUP(C2687,'Governorate Master'!$A$2:$Q$13,7,FALSE)</x:f>
        <x:v>54.4</x:v>
      </x:c>
      <x:c r="H2687" s="20" t="n">
        <x:f>VLOOKUP(C2687,'Governorate Master'!$A$2:$Q$13,6,FALSE)</x:f>
        <x:v>0.7797173732335827</x:v>
      </x:c>
      <x:c r="I2687" s="20" t="n">
        <x:f>VLOOKUP(C2687,'Governorate Master'!$A$2:$Q$13,15,FALSE)</x:f>
        <x:v>0.18452380952380953</x:v>
      </x:c>
      <x:c r="J2687" s="12" t="str">
        <x:v>Location model input - competition/saturation context</x:v>
      </x:c>
      <x:c r="K2687" s="12" t="str">
        <x:v>Business count is from 2018 while population/context indicators are newer; use as a historical proxy, not a current market count.</x:v>
      </x:c>
    </x:row>
    <x:row r="2688">
      <x:c r="A2688" s="12" t="str">
        <x:v>6622</x:v>
      </x:c>
      <x:c r="B2688" s="12" t="str">
        <x:v>Activities of insurance agents and brokers</x:v>
      </x:c>
      <x:c r="C2688" s="12" t="str">
        <x:v>معان</x:v>
      </x:c>
      <x:c r="D2688" s="14" t="n">
        <x:v>0</x:v>
      </x:c>
      <x:c r="E2688" s="14" t="n">
        <x:f>VLOOKUP(C2688,'Governorate Master'!$A$2:$Q$13,3,FALSE)</x:f>
        <x:v>197900</x:v>
      </x:c>
      <x:c r="F2688" s="66" t="n">
        <x:f>IF(E2688=0,0,D2688/E2688*10000)</x:f>
        <x:v>0</x:v>
      </x:c>
      <x:c r="G2688" s="67" t="n">
        <x:f>VLOOKUP(C2688,'Governorate Master'!$A$2:$Q$13,7,FALSE)</x:f>
        <x:v>6</x:v>
      </x:c>
      <x:c r="H2688" s="20" t="n">
        <x:f>VLOOKUP(C2688,'Governorate Master'!$A$2:$Q$13,6,FALSE)</x:f>
        <x:v>0.5406771096513391</x:v>
      </x:c>
      <x:c r="I2688" s="20" t="n">
        <x:f>VLOOKUP(C2688,'Governorate Master'!$A$2:$Q$13,15,FALSE)</x:f>
        <x:v>0.026845637583892617</x:v>
      </x:c>
      <x:c r="J2688" s="12" t="str">
        <x:v>Location model input - competition/saturation context</x:v>
      </x:c>
      <x:c r="K2688" s="12" t="str">
        <x:v>Business count is from 2018 while population/context indicators are newer; use as a historical proxy, not a current market count.</x:v>
      </x:c>
    </x:row>
    <x:row r="2689">
      <x:c r="A2689" s="12" t="str">
        <x:v>6622</x:v>
      </x:c>
      <x:c r="B2689" s="12" t="str">
        <x:v>Activities of insurance agents and brokers</x:v>
      </x:c>
      <x:c r="C2689" s="12" t="str">
        <x:v>العقبة</x:v>
      </x:c>
      <x:c r="D2689" s="14" t="n">
        <x:v>1</x:v>
      </x:c>
      <x:c r="E2689" s="14" t="n">
        <x:f>VLOOKUP(C2689,'Governorate Master'!$A$2:$Q$13,3,FALSE)</x:f>
        <x:v>250900</x:v>
      </x:c>
      <x:c r="F2689" s="66" t="n">
        <x:f>IF(E2689=0,0,D2689/E2689*10000)</x:f>
        <x:v>0.03985651654045436</x:v>
      </x:c>
      <x:c r="G2689" s="67" t="n">
        <x:f>VLOOKUP(C2689,'Governorate Master'!$A$2:$Q$13,7,FALSE)</x:f>
        <x:v>36.3</x:v>
      </x:c>
      <x:c r="H2689" s="20" t="n">
        <x:f>VLOOKUP(C2689,'Governorate Master'!$A$2:$Q$13,6,FALSE)</x:f>
        <x:v>0.882024711040255</x:v>
      </x:c>
      <x:c r="I2689" s="20" t="n">
        <x:f>VLOOKUP(C2689,'Governorate Master'!$A$2:$Q$13,15,FALSE)</x:f>
        <x:v>-0.09</x:v>
      </x:c>
      <x:c r="J2689" s="12" t="str">
        <x:v>Location model input - competition/saturation context</x:v>
      </x:c>
      <x:c r="K2689" s="12" t="str">
        <x:v>Business count is from 2018 while population/context indicators are newer; use as a historical proxy, not a current market count.</x:v>
      </x:c>
    </x:row>
    <x:row r="2690">
      <x:c r="A2690" s="12" t="str">
        <x:v>6810</x:v>
      </x:c>
      <x:c r="B2690" s="12" t="str">
        <x:v>Real estate activities with own or leased property</x:v>
      </x:c>
      <x:c r="C2690" s="12" t="str">
        <x:v>عمان</x:v>
      </x:c>
      <x:c r="D2690" s="14" t="n">
        <x:v>444</x:v>
      </x:c>
      <x:c r="E2690" s="14" t="n">
        <x:f>VLOOKUP(C2690,'Governorate Master'!$A$2:$Q$13,3,FALSE)</x:f>
        <x:v>5004600</x:v>
      </x:c>
      <x:c r="F2690" s="66" t="n">
        <x:f>IF(E2690=0,0,D2690/E2690*10000)</x:f>
        <x:v>0.8871837909123607</x:v>
      </x:c>
      <x:c r="G2690" s="67" t="n">
        <x:f>VLOOKUP(C2690,'Governorate Master'!$A$2:$Q$13,7,FALSE)</x:f>
        <x:v>660.3</x:v>
      </x:c>
      <x:c r="H2690" s="20" t="n">
        <x:f>VLOOKUP(C2690,'Governorate Master'!$A$2:$Q$13,6,FALSE)</x:f>
        <x:v>0.9721656076409703</x:v>
      </x:c>
      <x:c r="I2690" s="20" t="n">
        <x:f>VLOOKUP(C2690,'Governorate Master'!$A$2:$Q$13,15,FALSE)</x:f>
        <x:v>0.06367041198501873</x:v>
      </x:c>
      <x:c r="J2690" s="12" t="str">
        <x:v>Location model input - competition/saturation context</x:v>
      </x:c>
      <x:c r="K2690" s="12" t="str">
        <x:v>Business count is from 2018 while population/context indicators are newer; use as a historical proxy, not a current market count.</x:v>
      </x:c>
    </x:row>
    <x:row r="2691">
      <x:c r="A2691" s="12" t="str">
        <x:v>6810</x:v>
      </x:c>
      <x:c r="B2691" s="12" t="str">
        <x:v>Real estate activities with own or leased property</x:v>
      </x:c>
      <x:c r="C2691" s="12" t="str">
        <x:v>البلقاء</x:v>
      </x:c>
      <x:c r="D2691" s="14" t="n">
        <x:v>34</x:v>
      </x:c>
      <x:c r="E2691" s="14" t="n">
        <x:f>VLOOKUP(C2691,'Governorate Master'!$A$2:$Q$13,3,FALSE)</x:f>
        <x:v>614000</x:v>
      </x:c>
      <x:c r="F2691" s="66" t="n">
        <x:f>IF(E2691=0,0,D2691/E2691*10000)</x:f>
        <x:v>0.5537459283387622</x:v>
      </x:c>
      <x:c r="G2691" s="67" t="n">
        <x:f>VLOOKUP(C2691,'Governorate Master'!$A$2:$Q$13,7,FALSE)</x:f>
        <x:v>548</x:v>
      </x:c>
      <x:c r="H2691" s="20" t="n">
        <x:f>VLOOKUP(C2691,'Governorate Master'!$A$2:$Q$13,6,FALSE)</x:f>
        <x:v>0.8210097719869707</x:v>
      </x:c>
      <x:c r="I2691" s="20" t="n">
        <x:f>VLOOKUP(C2691,'Governorate Master'!$A$2:$Q$13,15,FALSE)</x:f>
        <x:v>0.10794044665012408</x:v>
      </x:c>
      <x:c r="J2691" s="12" t="str">
        <x:v>Location model input - competition/saturation context</x:v>
      </x:c>
      <x:c r="K2691" s="12" t="str">
        <x:v>Business count is from 2018 while population/context indicators are newer; use as a historical proxy, not a current market count.</x:v>
      </x:c>
    </x:row>
    <x:row r="2692">
      <x:c r="A2692" s="12" t="str">
        <x:v>6810</x:v>
      </x:c>
      <x:c r="B2692" s="12" t="str">
        <x:v>Real estate activities with own or leased property</x:v>
      </x:c>
      <x:c r="C2692" s="12" t="str">
        <x:v>الزرقاء</x:v>
      </x:c>
      <x:c r="D2692" s="14" t="n">
        <x:v>97</x:v>
      </x:c>
      <x:c r="E2692" s="14" t="n">
        <x:f>VLOOKUP(C2692,'Governorate Master'!$A$2:$Q$13,3,FALSE)</x:f>
        <x:v>1704500</x:v>
      </x:c>
      <x:c r="F2692" s="66" t="n">
        <x:f>IF(E2692=0,0,D2692/E2692*10000)</x:f>
        <x:v>0.5690818421824582</x:v>
      </x:c>
      <x:c r="G2692" s="67" t="n">
        <x:f>VLOOKUP(C2692,'Governorate Master'!$A$2:$Q$13,7,FALSE)</x:f>
        <x:v>358</x:v>
      </x:c>
      <x:c r="H2692" s="20" t="n">
        <x:f>VLOOKUP(C2692,'Governorate Master'!$A$2:$Q$13,6,FALSE)</x:f>
        <x:v>0.9636256966852449</x:v>
      </x:c>
      <x:c r="I2692" s="20" t="n">
        <x:f>VLOOKUP(C2692,'Governorate Master'!$A$2:$Q$13,15,FALSE)</x:f>
        <x:v>-0.06808762581409118</x:v>
      </x:c>
      <x:c r="J2692" s="12" t="str">
        <x:v>Location model input - competition/saturation context</x:v>
      </x:c>
      <x:c r="K2692" s="12" t="str">
        <x:v>Business count is from 2018 while population/context indicators are newer; use as a historical proxy, not a current market count.</x:v>
      </x:c>
    </x:row>
    <x:row r="2693">
      <x:c r="A2693" s="12" t="str">
        <x:v>6810</x:v>
      </x:c>
      <x:c r="B2693" s="12" t="str">
        <x:v>Real estate activities with own or leased property</x:v>
      </x:c>
      <x:c r="C2693" s="12" t="str">
        <x:v>مادبا</x:v>
      </x:c>
      <x:c r="D2693" s="14" t="n">
        <x:v>14</x:v>
      </x:c>
      <x:c r="E2693" s="14" t="n">
        <x:f>VLOOKUP(C2693,'Governorate Master'!$A$2:$Q$13,3,FALSE)</x:f>
        <x:v>236200</x:v>
      </x:c>
      <x:c r="F2693" s="66" t="n">
        <x:f>IF(E2693=0,0,D2693/E2693*10000)</x:f>
        <x:v>0.5927180355630821</x:v>
      </x:c>
      <x:c r="G2693" s="67" t="n">
        <x:f>VLOOKUP(C2693,'Governorate Master'!$A$2:$Q$13,7,FALSE)</x:f>
        <x:v>251.4</x:v>
      </x:c>
      <x:c r="H2693" s="20" t="n">
        <x:f>VLOOKUP(C2693,'Governorate Master'!$A$2:$Q$13,6,FALSE)</x:f>
        <x:v>0.7823878069432684</x:v>
      </x:c>
      <x:c r="I2693" s="20" t="n">
        <x:f>VLOOKUP(C2693,'Governorate Master'!$A$2:$Q$13,15,FALSE)</x:f>
        <x:v>-0.18823529411764706</x:v>
      </x:c>
      <x:c r="J2693" s="12" t="str">
        <x:v>Location model input - competition/saturation context</x:v>
      </x:c>
      <x:c r="K2693" s="12" t="str">
        <x:v>Business count is from 2018 while population/context indicators are newer; use as a historical proxy, not a current market count.</x:v>
      </x:c>
    </x:row>
    <x:row r="2694">
      <x:c r="A2694" s="12" t="str">
        <x:v>6810</x:v>
      </x:c>
      <x:c r="B2694" s="12" t="str">
        <x:v>Real estate activities with own or leased property</x:v>
      </x:c>
      <x:c r="C2694" s="12" t="str">
        <x:v>إربد</x:v>
      </x:c>
      <x:c r="D2694" s="14" t="n">
        <x:v>58</x:v>
      </x:c>
      <x:c r="E2694" s="14" t="n">
        <x:f>VLOOKUP(C2694,'Governorate Master'!$A$2:$Q$13,3,FALSE)</x:f>
        <x:v>2210500</x:v>
      </x:c>
      <x:c r="F2694" s="66" t="n">
        <x:f>IF(E2694=0,0,D2694/E2694*10000)</x:f>
        <x:v>0.2623840760009048</x:v>
      </x:c>
      <x:c r="G2694" s="67" t="n">
        <x:f>VLOOKUP(C2694,'Governorate Master'!$A$2:$Q$13,7,FALSE)</x:f>
        <x:v>1406.4</x:v>
      </x:c>
      <x:c r="H2694" s="20" t="n">
        <x:f>VLOOKUP(C2694,'Governorate Master'!$A$2:$Q$13,6,FALSE)</x:f>
        <x:v>0.9235014702555983</x:v>
      </x:c>
      <x:c r="I2694" s="20" t="n">
        <x:f>VLOOKUP(C2694,'Governorate Master'!$A$2:$Q$13,15,FALSE)</x:f>
        <x:v>0.07086922474549726</x:v>
      </x:c>
      <x:c r="J2694" s="12" t="str">
        <x:v>Location model input - competition/saturation context</x:v>
      </x:c>
      <x:c r="K2694" s="12" t="str">
        <x:v>Business count is from 2018 while population/context indicators are newer; use as a historical proxy, not a current market count.</x:v>
      </x:c>
    </x:row>
    <x:row r="2695">
      <x:c r="A2695" s="12" t="str">
        <x:v>6810</x:v>
      </x:c>
      <x:c r="B2695" s="12" t="str">
        <x:v>Real estate activities with own or leased property</x:v>
      </x:c>
      <x:c r="C2695" s="12" t="str">
        <x:v>المفرق</x:v>
      </x:c>
      <x:c r="D2695" s="14" t="n">
        <x:v>13</x:v>
      </x:c>
      <x:c r="E2695" s="14" t="n">
        <x:f>VLOOKUP(C2695,'Governorate Master'!$A$2:$Q$13,3,FALSE)</x:f>
        <x:v>686800</x:v>
      </x:c>
      <x:c r="F2695" s="66" t="n">
        <x:f>IF(E2695=0,0,D2695/E2695*10000)</x:f>
        <x:v>0.18928363424577752</x:v>
      </x:c>
      <x:c r="G2695" s="67" t="n">
        <x:f>VLOOKUP(C2695,'Governorate Master'!$A$2:$Q$13,7,FALSE)</x:f>
        <x:v>25.9</x:v>
      </x:c>
      <x:c r="H2695" s="20" t="n">
        <x:f>VLOOKUP(C2695,'Governorate Master'!$A$2:$Q$13,6,FALSE)</x:f>
        <x:v>0.6965637740244612</x:v>
      </x:c>
      <x:c r="I2695" s="20" t="n">
        <x:f>VLOOKUP(C2695,'Governorate Master'!$A$2:$Q$13,15,FALSE)</x:f>
        <x:v>-0.016638935108153077</x:v>
      </x:c>
      <x:c r="J2695" s="12" t="str">
        <x:v>Location model input - competition/saturation context</x:v>
      </x:c>
      <x:c r="K2695" s="12" t="str">
        <x:v>Business count is from 2018 while population/context indicators are newer; use as a historical proxy, not a current market count.</x:v>
      </x:c>
    </x:row>
    <x:row r="2696">
      <x:c r="A2696" s="12" t="str">
        <x:v>6810</x:v>
      </x:c>
      <x:c r="B2696" s="12" t="str">
        <x:v>Real estate activities with own or leased property</x:v>
      </x:c>
      <x:c r="C2696" s="12" t="str">
        <x:v>جرش</x:v>
      </x:c>
      <x:c r="D2696" s="14" t="n">
        <x:v>2</x:v>
      </x:c>
      <x:c r="E2696" s="14" t="n">
        <x:f>VLOOKUP(C2696,'Governorate Master'!$A$2:$Q$13,3,FALSE)</x:f>
        <x:v>296000</x:v>
      </x:c>
      <x:c r="F2696" s="66" t="n">
        <x:f>IF(E2696=0,0,D2696/E2696*10000)</x:f>
        <x:v>0.06756756756756757</x:v>
      </x:c>
      <x:c r="G2696" s="67" t="n">
        <x:f>VLOOKUP(C2696,'Governorate Master'!$A$2:$Q$13,7,FALSE)</x:f>
        <x:v>722.3</x:v>
      </x:c>
      <x:c r="H2696" s="20" t="n">
        <x:f>VLOOKUP(C2696,'Governorate Master'!$A$2:$Q$13,6,FALSE)</x:f>
        <x:v>0.7695945945945946</x:v>
      </x:c>
      <x:c r="I2696" s="20" t="n">
        <x:f>VLOOKUP(C2696,'Governorate Master'!$A$2:$Q$13,15,FALSE)</x:f>
        <x:v>-0.06527415143603134</x:v>
      </x:c>
      <x:c r="J2696" s="12" t="str">
        <x:v>Location model input - competition/saturation context</x:v>
      </x:c>
      <x:c r="K2696" s="12" t="str">
        <x:v>Business count is from 2018 while population/context indicators are newer; use as a historical proxy, not a current market count.</x:v>
      </x:c>
    </x:row>
    <x:row r="2697">
      <x:c r="A2697" s="12" t="str">
        <x:v>6810</x:v>
      </x:c>
      <x:c r="B2697" s="12" t="str">
        <x:v>Real estate activities with own or leased property</x:v>
      </x:c>
      <x:c r="C2697" s="12" t="str">
        <x:v>عجلون</x:v>
      </x:c>
      <x:c r="D2697" s="14" t="n">
        <x:v>1</x:v>
      </x:c>
      <x:c r="E2697" s="14" t="n">
        <x:f>VLOOKUP(C2697,'Governorate Master'!$A$2:$Q$13,3,FALSE)</x:f>
        <x:v>219900</x:v>
      </x:c>
      <x:c r="F2697" s="66" t="n">
        <x:f>IF(E2697=0,0,D2697/E2697*10000)</x:f>
        <x:v>0.04547521600727603</x:v>
      </x:c>
      <x:c r="G2697" s="67" t="n">
        <x:f>VLOOKUP(C2697,'Governorate Master'!$A$2:$Q$13,7,FALSE)</x:f>
        <x:v>524</x:v>
      </x:c>
      <x:c r="H2697" s="20" t="n">
        <x:f>VLOOKUP(C2697,'Governorate Master'!$A$2:$Q$13,6,FALSE)</x:f>
        <x:v>0.8390177353342428</x:v>
      </x:c>
      <x:c r="I2697" s="20" t="n">
        <x:f>VLOOKUP(C2697,'Governorate Master'!$A$2:$Q$13,15,FALSE)</x:f>
        <x:v>0.03614457831325301</x:v>
      </x:c>
      <x:c r="J2697" s="12" t="str">
        <x:v>Location model input - competition/saturation context</x:v>
      </x:c>
      <x:c r="K2697" s="12" t="str">
        <x:v>Business count is from 2018 while population/context indicators are newer; use as a historical proxy, not a current market count.</x:v>
      </x:c>
    </x:row>
    <x:row r="2698">
      <x:c r="A2698" s="12" t="str">
        <x:v>6810</x:v>
      </x:c>
      <x:c r="B2698" s="12" t="str">
        <x:v>Real estate activities with own or leased property</x:v>
      </x:c>
      <x:c r="C2698" s="12" t="str">
        <x:v>الكرك</x:v>
      </x:c>
      <x:c r="D2698" s="14" t="n">
        <x:v>3</x:v>
      </x:c>
      <x:c r="E2698" s="14" t="n">
        <x:f>VLOOKUP(C2698,'Governorate Master'!$A$2:$Q$13,3,FALSE)</x:f>
        <x:v>395400</x:v>
      </x:c>
      <x:c r="F2698" s="66" t="n">
        <x:f>IF(E2698=0,0,D2698/E2698*10000)</x:f>
        <x:v>0.07587253414264036</x:v>
      </x:c>
      <x:c r="G2698" s="67" t="n">
        <x:f>VLOOKUP(C2698,'Governorate Master'!$A$2:$Q$13,7,FALSE)</x:f>
        <x:v>113.1</x:v>
      </x:c>
      <x:c r="H2698" s="20" t="n">
        <x:f>VLOOKUP(C2698,'Governorate Master'!$A$2:$Q$13,6,FALSE)</x:f>
        <x:v>0.5912999494183105</x:v>
      </x:c>
      <x:c r="I2698" s="20" t="n">
        <x:f>VLOOKUP(C2698,'Governorate Master'!$A$2:$Q$13,15,FALSE)</x:f>
        <x:v>0.08710801393728224</x:v>
      </x:c>
      <x:c r="J2698" s="12" t="str">
        <x:v>Location model input - competition/saturation context</x:v>
      </x:c>
      <x:c r="K2698" s="12" t="str">
        <x:v>Business count is from 2018 while population/context indicators are newer; use as a historical proxy, not a current market count.</x:v>
      </x:c>
    </x:row>
    <x:row r="2699">
      <x:c r="A2699" s="12" t="str">
        <x:v>6810</x:v>
      </x:c>
      <x:c r="B2699" s="12" t="str">
        <x:v>Real estate activities with own or leased property</x:v>
      </x:c>
      <x:c r="C2699" s="12" t="str">
        <x:v>الطفيلة</x:v>
      </x:c>
      <x:c r="D2699" s="14" t="n">
        <x:v>0</x:v>
      </x:c>
      <x:c r="E2699" s="14" t="n">
        <x:f>VLOOKUP(C2699,'Governorate Master'!$A$2:$Q$13,3,FALSE)</x:f>
        <x:v>120300</x:v>
      </x:c>
      <x:c r="F2699" s="66" t="n">
        <x:f>IF(E2699=0,0,D2699/E2699*10000)</x:f>
        <x:v>0</x:v>
      </x:c>
      <x:c r="G2699" s="67" t="n">
        <x:f>VLOOKUP(C2699,'Governorate Master'!$A$2:$Q$13,7,FALSE)</x:f>
        <x:v>54.4</x:v>
      </x:c>
      <x:c r="H2699" s="20" t="n">
        <x:f>VLOOKUP(C2699,'Governorate Master'!$A$2:$Q$13,6,FALSE)</x:f>
        <x:v>0.7797173732335827</x:v>
      </x:c>
      <x:c r="I2699" s="20" t="n">
        <x:f>VLOOKUP(C2699,'Governorate Master'!$A$2:$Q$13,15,FALSE)</x:f>
        <x:v>0.18452380952380953</x:v>
      </x:c>
      <x:c r="J2699" s="12" t="str">
        <x:v>Location model input - competition/saturation context</x:v>
      </x:c>
      <x:c r="K2699" s="12" t="str">
        <x:v>Business count is from 2018 while population/context indicators are newer; use as a historical proxy, not a current market count.</x:v>
      </x:c>
    </x:row>
    <x:row r="2700">
      <x:c r="A2700" s="12" t="str">
        <x:v>6810</x:v>
      </x:c>
      <x:c r="B2700" s="12" t="str">
        <x:v>Real estate activities with own or leased property</x:v>
      </x:c>
      <x:c r="C2700" s="12" t="str">
        <x:v>معان</x:v>
      </x:c>
      <x:c r="D2700" s="14" t="n">
        <x:v>10</x:v>
      </x:c>
      <x:c r="E2700" s="14" t="n">
        <x:f>VLOOKUP(C2700,'Governorate Master'!$A$2:$Q$13,3,FALSE)</x:f>
        <x:v>197900</x:v>
      </x:c>
      <x:c r="F2700" s="66" t="n">
        <x:f>IF(E2700=0,0,D2700/E2700*10000)</x:f>
        <x:v>0.5053057099545225</x:v>
      </x:c>
      <x:c r="G2700" s="67" t="n">
        <x:f>VLOOKUP(C2700,'Governorate Master'!$A$2:$Q$13,7,FALSE)</x:f>
        <x:v>6</x:v>
      </x:c>
      <x:c r="H2700" s="20" t="n">
        <x:f>VLOOKUP(C2700,'Governorate Master'!$A$2:$Q$13,6,FALSE)</x:f>
        <x:v>0.5406771096513391</x:v>
      </x:c>
      <x:c r="I2700" s="20" t="n">
        <x:f>VLOOKUP(C2700,'Governorate Master'!$A$2:$Q$13,15,FALSE)</x:f>
        <x:v>0.026845637583892617</x:v>
      </x:c>
      <x:c r="J2700" s="12" t="str">
        <x:v>Location model input - competition/saturation context</x:v>
      </x:c>
      <x:c r="K2700" s="12" t="str">
        <x:v>Business count is from 2018 while population/context indicators are newer; use as a historical proxy, not a current market count.</x:v>
      </x:c>
    </x:row>
    <x:row r="2701">
      <x:c r="A2701" s="12" t="str">
        <x:v>6810</x:v>
      </x:c>
      <x:c r="B2701" s="12" t="str">
        <x:v>Real estate activities with own or leased property</x:v>
      </x:c>
      <x:c r="C2701" s="12" t="str">
        <x:v>العقبة</x:v>
      </x:c>
      <x:c r="D2701" s="14" t="n">
        <x:v>9</x:v>
      </x:c>
      <x:c r="E2701" s="14" t="n">
        <x:f>VLOOKUP(C2701,'Governorate Master'!$A$2:$Q$13,3,FALSE)</x:f>
        <x:v>250900</x:v>
      </x:c>
      <x:c r="F2701" s="66" t="n">
        <x:f>IF(E2701=0,0,D2701/E2701*10000)</x:f>
        <x:v>0.3587086488640893</x:v>
      </x:c>
      <x:c r="G2701" s="67" t="n">
        <x:f>VLOOKUP(C2701,'Governorate Master'!$A$2:$Q$13,7,FALSE)</x:f>
        <x:v>36.3</x:v>
      </x:c>
      <x:c r="H2701" s="20" t="n">
        <x:f>VLOOKUP(C2701,'Governorate Master'!$A$2:$Q$13,6,FALSE)</x:f>
        <x:v>0.882024711040255</x:v>
      </x:c>
      <x:c r="I2701" s="20" t="n">
        <x:f>VLOOKUP(C2701,'Governorate Master'!$A$2:$Q$13,15,FALSE)</x:f>
        <x:v>-0.09</x:v>
      </x:c>
      <x:c r="J2701" s="12" t="str">
        <x:v>Location model input - competition/saturation context</x:v>
      </x:c>
      <x:c r="K2701" s="12" t="str">
        <x:v>Business count is from 2018 while population/context indicators are newer; use as a historical proxy, not a current market count.</x:v>
      </x:c>
    </x:row>
    <x:row r="2702">
      <x:c r="A2702" s="12" t="str">
        <x:v>6820</x:v>
      </x:c>
      <x:c r="B2702" s="12" t="str">
        <x:v>Real estate activities on a fee or contract basis</x:v>
      </x:c>
      <x:c r="C2702" s="12" t="str">
        <x:v>عمان</x:v>
      </x:c>
      <x:c r="D2702" s="14" t="n">
        <x:v>285</x:v>
      </x:c>
      <x:c r="E2702" s="14" t="n">
        <x:f>VLOOKUP(C2702,'Governorate Master'!$A$2:$Q$13,3,FALSE)</x:f>
        <x:v>5004600</x:v>
      </x:c>
      <x:c r="F2702" s="66" t="n">
        <x:f>IF(E2702=0,0,D2702/E2702*10000)</x:f>
        <x:v>0.5694760820045558</x:v>
      </x:c>
      <x:c r="G2702" s="67" t="n">
        <x:f>VLOOKUP(C2702,'Governorate Master'!$A$2:$Q$13,7,FALSE)</x:f>
        <x:v>660.3</x:v>
      </x:c>
      <x:c r="H2702" s="20" t="n">
        <x:f>VLOOKUP(C2702,'Governorate Master'!$A$2:$Q$13,6,FALSE)</x:f>
        <x:v>0.9721656076409703</x:v>
      </x:c>
      <x:c r="I2702" s="20" t="n">
        <x:f>VLOOKUP(C2702,'Governorate Master'!$A$2:$Q$13,15,FALSE)</x:f>
        <x:v>0.06367041198501873</x:v>
      </x:c>
      <x:c r="J2702" s="12" t="str">
        <x:v>Location model input - competition/saturation context</x:v>
      </x:c>
      <x:c r="K2702" s="12" t="str">
        <x:v>Business count is from 2018 while population/context indicators are newer; use as a historical proxy, not a current market count.</x:v>
      </x:c>
    </x:row>
    <x:row r="2703">
      <x:c r="A2703" s="12" t="str">
        <x:v>6820</x:v>
      </x:c>
      <x:c r="B2703" s="12" t="str">
        <x:v>Real estate activities on a fee or contract basis</x:v>
      </x:c>
      <x:c r="C2703" s="12" t="str">
        <x:v>البلقاء</x:v>
      </x:c>
      <x:c r="D2703" s="14" t="n">
        <x:v>30</x:v>
      </x:c>
      <x:c r="E2703" s="14" t="n">
        <x:f>VLOOKUP(C2703,'Governorate Master'!$A$2:$Q$13,3,FALSE)</x:f>
        <x:v>614000</x:v>
      </x:c>
      <x:c r="F2703" s="66" t="n">
        <x:f>IF(E2703=0,0,D2703/E2703*10000)</x:f>
        <x:v>0.48859934853420195</x:v>
      </x:c>
      <x:c r="G2703" s="67" t="n">
        <x:f>VLOOKUP(C2703,'Governorate Master'!$A$2:$Q$13,7,FALSE)</x:f>
        <x:v>548</x:v>
      </x:c>
      <x:c r="H2703" s="20" t="n">
        <x:f>VLOOKUP(C2703,'Governorate Master'!$A$2:$Q$13,6,FALSE)</x:f>
        <x:v>0.8210097719869707</x:v>
      </x:c>
      <x:c r="I2703" s="20" t="n">
        <x:f>VLOOKUP(C2703,'Governorate Master'!$A$2:$Q$13,15,FALSE)</x:f>
        <x:v>0.10794044665012408</x:v>
      </x:c>
      <x:c r="J2703" s="12" t="str">
        <x:v>Location model input - competition/saturation context</x:v>
      </x:c>
      <x:c r="K2703" s="12" t="str">
        <x:v>Business count is from 2018 while population/context indicators are newer; use as a historical proxy, not a current market count.</x:v>
      </x:c>
    </x:row>
    <x:row r="2704">
      <x:c r="A2704" s="12" t="str">
        <x:v>6820</x:v>
      </x:c>
      <x:c r="B2704" s="12" t="str">
        <x:v>Real estate activities on a fee or contract basis</x:v>
      </x:c>
      <x:c r="C2704" s="12" t="str">
        <x:v>الزرقاء</x:v>
      </x:c>
      <x:c r="D2704" s="14" t="n">
        <x:v>77</x:v>
      </x:c>
      <x:c r="E2704" s="14" t="n">
        <x:f>VLOOKUP(C2704,'Governorate Master'!$A$2:$Q$13,3,FALSE)</x:f>
        <x:v>1704500</x:v>
      </x:c>
      <x:c r="F2704" s="66" t="n">
        <x:f>IF(E2704=0,0,D2704/E2704*10000)</x:f>
        <x:v>0.4517453798767967</x:v>
      </x:c>
      <x:c r="G2704" s="67" t="n">
        <x:f>VLOOKUP(C2704,'Governorate Master'!$A$2:$Q$13,7,FALSE)</x:f>
        <x:v>358</x:v>
      </x:c>
      <x:c r="H2704" s="20" t="n">
        <x:f>VLOOKUP(C2704,'Governorate Master'!$A$2:$Q$13,6,FALSE)</x:f>
        <x:v>0.9636256966852449</x:v>
      </x:c>
      <x:c r="I2704" s="20" t="n">
        <x:f>VLOOKUP(C2704,'Governorate Master'!$A$2:$Q$13,15,FALSE)</x:f>
        <x:v>-0.06808762581409118</x:v>
      </x:c>
      <x:c r="J2704" s="12" t="str">
        <x:v>Location model input - competition/saturation context</x:v>
      </x:c>
      <x:c r="K2704" s="12" t="str">
        <x:v>Business count is from 2018 while population/context indicators are newer; use as a historical proxy, not a current market count.</x:v>
      </x:c>
    </x:row>
    <x:row r="2705">
      <x:c r="A2705" s="12" t="str">
        <x:v>6820</x:v>
      </x:c>
      <x:c r="B2705" s="12" t="str">
        <x:v>Real estate activities on a fee or contract basis</x:v>
      </x:c>
      <x:c r="C2705" s="12" t="str">
        <x:v>مادبا</x:v>
      </x:c>
      <x:c r="D2705" s="14" t="n">
        <x:v>9</x:v>
      </x:c>
      <x:c r="E2705" s="14" t="n">
        <x:f>VLOOKUP(C2705,'Governorate Master'!$A$2:$Q$13,3,FALSE)</x:f>
        <x:v>236200</x:v>
      </x:c>
      <x:c r="F2705" s="66" t="n">
        <x:f>IF(E2705=0,0,D2705/E2705*10000)</x:f>
        <x:v>0.3810330228619814</x:v>
      </x:c>
      <x:c r="G2705" s="67" t="n">
        <x:f>VLOOKUP(C2705,'Governorate Master'!$A$2:$Q$13,7,FALSE)</x:f>
        <x:v>251.4</x:v>
      </x:c>
      <x:c r="H2705" s="20" t="n">
        <x:f>VLOOKUP(C2705,'Governorate Master'!$A$2:$Q$13,6,FALSE)</x:f>
        <x:v>0.7823878069432684</x:v>
      </x:c>
      <x:c r="I2705" s="20" t="n">
        <x:f>VLOOKUP(C2705,'Governorate Master'!$A$2:$Q$13,15,FALSE)</x:f>
        <x:v>-0.18823529411764706</x:v>
      </x:c>
      <x:c r="J2705" s="12" t="str">
        <x:v>Location model input - competition/saturation context</x:v>
      </x:c>
      <x:c r="K2705" s="12" t="str">
        <x:v>Business count is from 2018 while population/context indicators are newer; use as a historical proxy, not a current market count.</x:v>
      </x:c>
    </x:row>
    <x:row r="2706">
      <x:c r="A2706" s="12" t="str">
        <x:v>6820</x:v>
      </x:c>
      <x:c r="B2706" s="12" t="str">
        <x:v>Real estate activities on a fee or contract basis</x:v>
      </x:c>
      <x:c r="C2706" s="12" t="str">
        <x:v>إربد</x:v>
      </x:c>
      <x:c r="D2706" s="14" t="n">
        <x:v>62</x:v>
      </x:c>
      <x:c r="E2706" s="14" t="n">
        <x:f>VLOOKUP(C2706,'Governorate Master'!$A$2:$Q$13,3,FALSE)</x:f>
        <x:v>2210500</x:v>
      </x:c>
      <x:c r="F2706" s="66" t="n">
        <x:f>IF(E2706=0,0,D2706/E2706*10000)</x:f>
        <x:v>0.28047952951820854</x:v>
      </x:c>
      <x:c r="G2706" s="67" t="n">
        <x:f>VLOOKUP(C2706,'Governorate Master'!$A$2:$Q$13,7,FALSE)</x:f>
        <x:v>1406.4</x:v>
      </x:c>
      <x:c r="H2706" s="20" t="n">
        <x:f>VLOOKUP(C2706,'Governorate Master'!$A$2:$Q$13,6,FALSE)</x:f>
        <x:v>0.9235014702555983</x:v>
      </x:c>
      <x:c r="I2706" s="20" t="n">
        <x:f>VLOOKUP(C2706,'Governorate Master'!$A$2:$Q$13,15,FALSE)</x:f>
        <x:v>0.07086922474549726</x:v>
      </x:c>
      <x:c r="J2706" s="12" t="str">
        <x:v>Location model input - competition/saturation context</x:v>
      </x:c>
      <x:c r="K2706" s="12" t="str">
        <x:v>Business count is from 2018 while population/context indicators are newer; use as a historical proxy, not a current market count.</x:v>
      </x:c>
    </x:row>
    <x:row r="2707">
      <x:c r="A2707" s="12" t="str">
        <x:v>6820</x:v>
      </x:c>
      <x:c r="B2707" s="12" t="str">
        <x:v>Real estate activities on a fee or contract basis</x:v>
      </x:c>
      <x:c r="C2707" s="12" t="str">
        <x:v>المفرق</x:v>
      </x:c>
      <x:c r="D2707" s="14" t="n">
        <x:v>8</x:v>
      </x:c>
      <x:c r="E2707" s="14" t="n">
        <x:f>VLOOKUP(C2707,'Governorate Master'!$A$2:$Q$13,3,FALSE)</x:f>
        <x:v>686800</x:v>
      </x:c>
      <x:c r="F2707" s="66" t="n">
        <x:f>IF(E2707=0,0,D2707/E2707*10000)</x:f>
        <x:v>0.11648223645894001</x:v>
      </x:c>
      <x:c r="G2707" s="67" t="n">
        <x:f>VLOOKUP(C2707,'Governorate Master'!$A$2:$Q$13,7,FALSE)</x:f>
        <x:v>25.9</x:v>
      </x:c>
      <x:c r="H2707" s="20" t="n">
        <x:f>VLOOKUP(C2707,'Governorate Master'!$A$2:$Q$13,6,FALSE)</x:f>
        <x:v>0.6965637740244612</x:v>
      </x:c>
      <x:c r="I2707" s="20" t="n">
        <x:f>VLOOKUP(C2707,'Governorate Master'!$A$2:$Q$13,15,FALSE)</x:f>
        <x:v>-0.016638935108153077</x:v>
      </x:c>
      <x:c r="J2707" s="12" t="str">
        <x:v>Location model input - competition/saturation context</x:v>
      </x:c>
      <x:c r="K2707" s="12" t="str">
        <x:v>Business count is from 2018 while population/context indicators are newer; use as a historical proxy, not a current market count.</x:v>
      </x:c>
    </x:row>
    <x:row r="2708">
      <x:c r="A2708" s="12" t="str">
        <x:v>6820</x:v>
      </x:c>
      <x:c r="B2708" s="12" t="str">
        <x:v>Real estate activities on a fee or contract basis</x:v>
      </x:c>
      <x:c r="C2708" s="12" t="str">
        <x:v>جرش</x:v>
      </x:c>
      <x:c r="D2708" s="14" t="n">
        <x:v>5</x:v>
      </x:c>
      <x:c r="E2708" s="14" t="n">
        <x:f>VLOOKUP(C2708,'Governorate Master'!$A$2:$Q$13,3,FALSE)</x:f>
        <x:v>296000</x:v>
      </x:c>
      <x:c r="F2708" s="66" t="n">
        <x:f>IF(E2708=0,0,D2708/E2708*10000)</x:f>
        <x:v>0.16891891891891891</x:v>
      </x:c>
      <x:c r="G2708" s="67" t="n">
        <x:f>VLOOKUP(C2708,'Governorate Master'!$A$2:$Q$13,7,FALSE)</x:f>
        <x:v>722.3</x:v>
      </x:c>
      <x:c r="H2708" s="20" t="n">
        <x:f>VLOOKUP(C2708,'Governorate Master'!$A$2:$Q$13,6,FALSE)</x:f>
        <x:v>0.7695945945945946</x:v>
      </x:c>
      <x:c r="I2708" s="20" t="n">
        <x:f>VLOOKUP(C2708,'Governorate Master'!$A$2:$Q$13,15,FALSE)</x:f>
        <x:v>-0.06527415143603134</x:v>
      </x:c>
      <x:c r="J2708" s="12" t="str">
        <x:v>Location model input - competition/saturation context</x:v>
      </x:c>
      <x:c r="K2708" s="12" t="str">
        <x:v>Business count is from 2018 while population/context indicators are newer; use as a historical proxy, not a current market count.</x:v>
      </x:c>
    </x:row>
    <x:row r="2709">
      <x:c r="A2709" s="12" t="str">
        <x:v>6820</x:v>
      </x:c>
      <x:c r="B2709" s="12" t="str">
        <x:v>Real estate activities on a fee or contract basis</x:v>
      </x:c>
      <x:c r="C2709" s="12" t="str">
        <x:v>عجلون</x:v>
      </x:c>
      <x:c r="D2709" s="14" t="n">
        <x:v>2</x:v>
      </x:c>
      <x:c r="E2709" s="14" t="n">
        <x:f>VLOOKUP(C2709,'Governorate Master'!$A$2:$Q$13,3,FALSE)</x:f>
        <x:v>219900</x:v>
      </x:c>
      <x:c r="F2709" s="66" t="n">
        <x:f>IF(E2709=0,0,D2709/E2709*10000)</x:f>
        <x:v>0.09095043201455207</x:v>
      </x:c>
      <x:c r="G2709" s="67" t="n">
        <x:f>VLOOKUP(C2709,'Governorate Master'!$A$2:$Q$13,7,FALSE)</x:f>
        <x:v>524</x:v>
      </x:c>
      <x:c r="H2709" s="20" t="n">
        <x:f>VLOOKUP(C2709,'Governorate Master'!$A$2:$Q$13,6,FALSE)</x:f>
        <x:v>0.8390177353342428</x:v>
      </x:c>
      <x:c r="I2709" s="20" t="n">
        <x:f>VLOOKUP(C2709,'Governorate Master'!$A$2:$Q$13,15,FALSE)</x:f>
        <x:v>0.03614457831325301</x:v>
      </x:c>
      <x:c r="J2709" s="12" t="str">
        <x:v>Location model input - competition/saturation context</x:v>
      </x:c>
      <x:c r="K2709" s="12" t="str">
        <x:v>Business count is from 2018 while population/context indicators are newer; use as a historical proxy, not a current market count.</x:v>
      </x:c>
    </x:row>
    <x:row r="2710">
      <x:c r="A2710" s="12" t="str">
        <x:v>6820</x:v>
      </x:c>
      <x:c r="B2710" s="12" t="str">
        <x:v>Real estate activities on a fee or contract basis</x:v>
      </x:c>
      <x:c r="C2710" s="12" t="str">
        <x:v>الكرك</x:v>
      </x:c>
      <x:c r="D2710" s="14" t="n">
        <x:v>1</x:v>
      </x:c>
      <x:c r="E2710" s="14" t="n">
        <x:f>VLOOKUP(C2710,'Governorate Master'!$A$2:$Q$13,3,FALSE)</x:f>
        <x:v>395400</x:v>
      </x:c>
      <x:c r="F2710" s="66" t="n">
        <x:f>IF(E2710=0,0,D2710/E2710*10000)</x:f>
        <x:v>0.025290844714213452</x:v>
      </x:c>
      <x:c r="G2710" s="67" t="n">
        <x:f>VLOOKUP(C2710,'Governorate Master'!$A$2:$Q$13,7,FALSE)</x:f>
        <x:v>113.1</x:v>
      </x:c>
      <x:c r="H2710" s="20" t="n">
        <x:f>VLOOKUP(C2710,'Governorate Master'!$A$2:$Q$13,6,FALSE)</x:f>
        <x:v>0.5912999494183105</x:v>
      </x:c>
      <x:c r="I2710" s="20" t="n">
        <x:f>VLOOKUP(C2710,'Governorate Master'!$A$2:$Q$13,15,FALSE)</x:f>
        <x:v>0.08710801393728224</x:v>
      </x:c>
      <x:c r="J2710" s="12" t="str">
        <x:v>Location model input - competition/saturation context</x:v>
      </x:c>
      <x:c r="K2710" s="12" t="str">
        <x:v>Business count is from 2018 while population/context indicators are newer; use as a historical proxy, not a current market count.</x:v>
      </x:c>
    </x:row>
    <x:row r="2711">
      <x:c r="A2711" s="12" t="str">
        <x:v>6820</x:v>
      </x:c>
      <x:c r="B2711" s="12" t="str">
        <x:v>Real estate activities on a fee or contract basis</x:v>
      </x:c>
      <x:c r="C2711" s="12" t="str">
        <x:v>الطفيلة</x:v>
      </x:c>
      <x:c r="D2711" s="14" t="n">
        <x:v>0</x:v>
      </x:c>
      <x:c r="E2711" s="14" t="n">
        <x:f>VLOOKUP(C2711,'Governorate Master'!$A$2:$Q$13,3,FALSE)</x:f>
        <x:v>120300</x:v>
      </x:c>
      <x:c r="F2711" s="66" t="n">
        <x:f>IF(E2711=0,0,D2711/E2711*10000)</x:f>
        <x:v>0</x:v>
      </x:c>
      <x:c r="G2711" s="67" t="n">
        <x:f>VLOOKUP(C2711,'Governorate Master'!$A$2:$Q$13,7,FALSE)</x:f>
        <x:v>54.4</x:v>
      </x:c>
      <x:c r="H2711" s="20" t="n">
        <x:f>VLOOKUP(C2711,'Governorate Master'!$A$2:$Q$13,6,FALSE)</x:f>
        <x:v>0.7797173732335827</x:v>
      </x:c>
      <x:c r="I2711" s="20" t="n">
        <x:f>VLOOKUP(C2711,'Governorate Master'!$A$2:$Q$13,15,FALSE)</x:f>
        <x:v>0.18452380952380953</x:v>
      </x:c>
      <x:c r="J2711" s="12" t="str">
        <x:v>Location model input - competition/saturation context</x:v>
      </x:c>
      <x:c r="K2711" s="12" t="str">
        <x:v>Business count is from 2018 while population/context indicators are newer; use as a historical proxy, not a current market count.</x:v>
      </x:c>
    </x:row>
    <x:row r="2712">
      <x:c r="A2712" s="12" t="str">
        <x:v>6820</x:v>
      </x:c>
      <x:c r="B2712" s="12" t="str">
        <x:v>Real estate activities on a fee or contract basis</x:v>
      </x:c>
      <x:c r="C2712" s="12" t="str">
        <x:v>معان</x:v>
      </x:c>
      <x:c r="D2712" s="14" t="n">
        <x:v>2</x:v>
      </x:c>
      <x:c r="E2712" s="14" t="n">
        <x:f>VLOOKUP(C2712,'Governorate Master'!$A$2:$Q$13,3,FALSE)</x:f>
        <x:v>197900</x:v>
      </x:c>
      <x:c r="F2712" s="66" t="n">
        <x:f>IF(E2712=0,0,D2712/E2712*10000)</x:f>
        <x:v>0.1010611419909045</x:v>
      </x:c>
      <x:c r="G2712" s="67" t="n">
        <x:f>VLOOKUP(C2712,'Governorate Master'!$A$2:$Q$13,7,FALSE)</x:f>
        <x:v>6</x:v>
      </x:c>
      <x:c r="H2712" s="20" t="n">
        <x:f>VLOOKUP(C2712,'Governorate Master'!$A$2:$Q$13,6,FALSE)</x:f>
        <x:v>0.5406771096513391</x:v>
      </x:c>
      <x:c r="I2712" s="20" t="n">
        <x:f>VLOOKUP(C2712,'Governorate Master'!$A$2:$Q$13,15,FALSE)</x:f>
        <x:v>0.026845637583892617</x:v>
      </x:c>
      <x:c r="J2712" s="12" t="str">
        <x:v>Location model input - competition/saturation context</x:v>
      </x:c>
      <x:c r="K2712" s="12" t="str">
        <x:v>Business count is from 2018 while population/context indicators are newer; use as a historical proxy, not a current market count.</x:v>
      </x:c>
    </x:row>
    <x:row r="2713">
      <x:c r="A2713" s="12" t="str">
        <x:v>6820</x:v>
      </x:c>
      <x:c r="B2713" s="12" t="str">
        <x:v>Real estate activities on a fee or contract basis</x:v>
      </x:c>
      <x:c r="C2713" s="12" t="str">
        <x:v>العقبة</x:v>
      </x:c>
      <x:c r="D2713" s="14" t="n">
        <x:v>16</x:v>
      </x:c>
      <x:c r="E2713" s="14" t="n">
        <x:f>VLOOKUP(C2713,'Governorate Master'!$A$2:$Q$13,3,FALSE)</x:f>
        <x:v>250900</x:v>
      </x:c>
      <x:c r="F2713" s="66" t="n">
        <x:f>IF(E2713=0,0,D2713/E2713*10000)</x:f>
        <x:v>0.6377042646472698</x:v>
      </x:c>
      <x:c r="G2713" s="67" t="n">
        <x:f>VLOOKUP(C2713,'Governorate Master'!$A$2:$Q$13,7,FALSE)</x:f>
        <x:v>36.3</x:v>
      </x:c>
      <x:c r="H2713" s="20" t="n">
        <x:f>VLOOKUP(C2713,'Governorate Master'!$A$2:$Q$13,6,FALSE)</x:f>
        <x:v>0.882024711040255</x:v>
      </x:c>
      <x:c r="I2713" s="20" t="n">
        <x:f>VLOOKUP(C2713,'Governorate Master'!$A$2:$Q$13,15,FALSE)</x:f>
        <x:v>-0.09</x:v>
      </x:c>
      <x:c r="J2713" s="12" t="str">
        <x:v>Location model input - competition/saturation context</x:v>
      </x:c>
      <x:c r="K2713" s="12" t="str">
        <x:v>Business count is from 2018 while population/context indicators are newer; use as a historical proxy, not a current market count.</x:v>
      </x:c>
    </x:row>
    <x:row r="2714">
      <x:c r="A2714" s="12" t="str">
        <x:v>6910</x:v>
      </x:c>
      <x:c r="B2714" s="12" t="str">
        <x:v>Legal activities</x:v>
      </x:c>
      <x:c r="C2714" s="12" t="str">
        <x:v>عمان</x:v>
      </x:c>
      <x:c r="D2714" s="14" t="n">
        <x:v>1710</x:v>
      </x:c>
      <x:c r="E2714" s="14" t="n">
        <x:f>VLOOKUP(C2714,'Governorate Master'!$A$2:$Q$13,3,FALSE)</x:f>
        <x:v>5004600</x:v>
      </x:c>
      <x:c r="F2714" s="66" t="n">
        <x:f>IF(E2714=0,0,D2714/E2714*10000)</x:f>
        <x:v>3.416856492027335</x:v>
      </x:c>
      <x:c r="G2714" s="67" t="n">
        <x:f>VLOOKUP(C2714,'Governorate Master'!$A$2:$Q$13,7,FALSE)</x:f>
        <x:v>660.3</x:v>
      </x:c>
      <x:c r="H2714" s="20" t="n">
        <x:f>VLOOKUP(C2714,'Governorate Master'!$A$2:$Q$13,6,FALSE)</x:f>
        <x:v>0.9721656076409703</x:v>
      </x:c>
      <x:c r="I2714" s="20" t="n">
        <x:f>VLOOKUP(C2714,'Governorate Master'!$A$2:$Q$13,15,FALSE)</x:f>
        <x:v>0.06367041198501873</x:v>
      </x:c>
      <x:c r="J2714" s="12" t="str">
        <x:v>Location model input - competition/saturation context</x:v>
      </x:c>
      <x:c r="K2714" s="12" t="str">
        <x:v>Business count is from 2018 while population/context indicators are newer; use as a historical proxy, not a current market count.</x:v>
      </x:c>
    </x:row>
    <x:row r="2715">
      <x:c r="A2715" s="12" t="str">
        <x:v>6910</x:v>
      </x:c>
      <x:c r="B2715" s="12" t="str">
        <x:v>Legal activities</x:v>
      </x:c>
      <x:c r="C2715" s="12" t="str">
        <x:v>البلقاء</x:v>
      </x:c>
      <x:c r="D2715" s="14" t="n">
        <x:v>102</x:v>
      </x:c>
      <x:c r="E2715" s="14" t="n">
        <x:f>VLOOKUP(C2715,'Governorate Master'!$A$2:$Q$13,3,FALSE)</x:f>
        <x:v>614000</x:v>
      </x:c>
      <x:c r="F2715" s="66" t="n">
        <x:f>IF(E2715=0,0,D2715/E2715*10000)</x:f>
        <x:v>1.6612377850162867</x:v>
      </x:c>
      <x:c r="G2715" s="67" t="n">
        <x:f>VLOOKUP(C2715,'Governorate Master'!$A$2:$Q$13,7,FALSE)</x:f>
        <x:v>548</x:v>
      </x:c>
      <x:c r="H2715" s="20" t="n">
        <x:f>VLOOKUP(C2715,'Governorate Master'!$A$2:$Q$13,6,FALSE)</x:f>
        <x:v>0.8210097719869707</x:v>
      </x:c>
      <x:c r="I2715" s="20" t="n">
        <x:f>VLOOKUP(C2715,'Governorate Master'!$A$2:$Q$13,15,FALSE)</x:f>
        <x:v>0.10794044665012408</x:v>
      </x:c>
      <x:c r="J2715" s="12" t="str">
        <x:v>Location model input - competition/saturation context</x:v>
      </x:c>
      <x:c r="K2715" s="12" t="str">
        <x:v>Business count is from 2018 while population/context indicators are newer; use as a historical proxy, not a current market count.</x:v>
      </x:c>
    </x:row>
    <x:row r="2716">
      <x:c r="A2716" s="12" t="str">
        <x:v>6910</x:v>
      </x:c>
      <x:c r="B2716" s="12" t="str">
        <x:v>Legal activities</x:v>
      </x:c>
      <x:c r="C2716" s="12" t="str">
        <x:v>الزرقاء</x:v>
      </x:c>
      <x:c r="D2716" s="14" t="n">
        <x:v>345</x:v>
      </x:c>
      <x:c r="E2716" s="14" t="n">
        <x:f>VLOOKUP(C2716,'Governorate Master'!$A$2:$Q$13,3,FALSE)</x:f>
        <x:v>1704500</x:v>
      </x:c>
      <x:c r="F2716" s="66" t="n">
        <x:f>IF(E2716=0,0,D2716/E2716*10000)</x:f>
        <x:v>2.0240539747726607</x:v>
      </x:c>
      <x:c r="G2716" s="67" t="n">
        <x:f>VLOOKUP(C2716,'Governorate Master'!$A$2:$Q$13,7,FALSE)</x:f>
        <x:v>358</x:v>
      </x:c>
      <x:c r="H2716" s="20" t="n">
        <x:f>VLOOKUP(C2716,'Governorate Master'!$A$2:$Q$13,6,FALSE)</x:f>
        <x:v>0.9636256966852449</x:v>
      </x:c>
      <x:c r="I2716" s="20" t="n">
        <x:f>VLOOKUP(C2716,'Governorate Master'!$A$2:$Q$13,15,FALSE)</x:f>
        <x:v>-0.06808762581409118</x:v>
      </x:c>
      <x:c r="J2716" s="12" t="str">
        <x:v>Location model input - competition/saturation context</x:v>
      </x:c>
      <x:c r="K2716" s="12" t="str">
        <x:v>Business count is from 2018 while population/context indicators are newer; use as a historical proxy, not a current market count.</x:v>
      </x:c>
    </x:row>
    <x:row r="2717">
      <x:c r="A2717" s="12" t="str">
        <x:v>6910</x:v>
      </x:c>
      <x:c r="B2717" s="12" t="str">
        <x:v>Legal activities</x:v>
      </x:c>
      <x:c r="C2717" s="12" t="str">
        <x:v>مادبا</x:v>
      </x:c>
      <x:c r="D2717" s="14" t="n">
        <x:v>51</x:v>
      </x:c>
      <x:c r="E2717" s="14" t="n">
        <x:f>VLOOKUP(C2717,'Governorate Master'!$A$2:$Q$13,3,FALSE)</x:f>
        <x:v>236200</x:v>
      </x:c>
      <x:c r="F2717" s="66" t="n">
        <x:f>IF(E2717=0,0,D2717/E2717*10000)</x:f>
        <x:v>2.1591871295512277</x:v>
      </x:c>
      <x:c r="G2717" s="67" t="n">
        <x:f>VLOOKUP(C2717,'Governorate Master'!$A$2:$Q$13,7,FALSE)</x:f>
        <x:v>251.4</x:v>
      </x:c>
      <x:c r="H2717" s="20" t="n">
        <x:f>VLOOKUP(C2717,'Governorate Master'!$A$2:$Q$13,6,FALSE)</x:f>
        <x:v>0.7823878069432684</x:v>
      </x:c>
      <x:c r="I2717" s="20" t="n">
        <x:f>VLOOKUP(C2717,'Governorate Master'!$A$2:$Q$13,15,FALSE)</x:f>
        <x:v>-0.18823529411764706</x:v>
      </x:c>
      <x:c r="J2717" s="12" t="str">
        <x:v>Location model input - competition/saturation context</x:v>
      </x:c>
      <x:c r="K2717" s="12" t="str">
        <x:v>Business count is from 2018 while population/context indicators are newer; use as a historical proxy, not a current market count.</x:v>
      </x:c>
    </x:row>
    <x:row r="2718">
      <x:c r="A2718" s="12" t="str">
        <x:v>6910</x:v>
      </x:c>
      <x:c r="B2718" s="12" t="str">
        <x:v>Legal activities</x:v>
      </x:c>
      <x:c r="C2718" s="12" t="str">
        <x:v>إربد</x:v>
      </x:c>
      <x:c r="D2718" s="14" t="n">
        <x:v>343</x:v>
      </x:c>
      <x:c r="E2718" s="14" t="n">
        <x:f>VLOOKUP(C2718,'Governorate Master'!$A$2:$Q$13,3,FALSE)</x:f>
        <x:v>2210500</x:v>
      </x:c>
      <x:c r="F2718" s="66" t="n">
        <x:f>IF(E2718=0,0,D2718/E2718*10000)</x:f>
        <x:v>1.5516851391087991</x:v>
      </x:c>
      <x:c r="G2718" s="67" t="n">
        <x:f>VLOOKUP(C2718,'Governorate Master'!$A$2:$Q$13,7,FALSE)</x:f>
        <x:v>1406.4</x:v>
      </x:c>
      <x:c r="H2718" s="20" t="n">
        <x:f>VLOOKUP(C2718,'Governorate Master'!$A$2:$Q$13,6,FALSE)</x:f>
        <x:v>0.9235014702555983</x:v>
      </x:c>
      <x:c r="I2718" s="20" t="n">
        <x:f>VLOOKUP(C2718,'Governorate Master'!$A$2:$Q$13,15,FALSE)</x:f>
        <x:v>0.07086922474549726</x:v>
      </x:c>
      <x:c r="J2718" s="12" t="str">
        <x:v>Location model input - competition/saturation context</x:v>
      </x:c>
      <x:c r="K2718" s="12" t="str">
        <x:v>Business count is from 2018 while population/context indicators are newer; use as a historical proxy, not a current market count.</x:v>
      </x:c>
    </x:row>
    <x:row r="2719">
      <x:c r="A2719" s="12" t="str">
        <x:v>6910</x:v>
      </x:c>
      <x:c r="B2719" s="12" t="str">
        <x:v>Legal activities</x:v>
      </x:c>
      <x:c r="C2719" s="12" t="str">
        <x:v>المفرق</x:v>
      </x:c>
      <x:c r="D2719" s="14" t="n">
        <x:v>112</x:v>
      </x:c>
      <x:c r="E2719" s="14" t="n">
        <x:f>VLOOKUP(C2719,'Governorate Master'!$A$2:$Q$13,3,FALSE)</x:f>
        <x:v>686800</x:v>
      </x:c>
      <x:c r="F2719" s="66" t="n">
        <x:f>IF(E2719=0,0,D2719/E2719*10000)</x:f>
        <x:v>1.6307513104251603</x:v>
      </x:c>
      <x:c r="G2719" s="67" t="n">
        <x:f>VLOOKUP(C2719,'Governorate Master'!$A$2:$Q$13,7,FALSE)</x:f>
        <x:v>25.9</x:v>
      </x:c>
      <x:c r="H2719" s="20" t="n">
        <x:f>VLOOKUP(C2719,'Governorate Master'!$A$2:$Q$13,6,FALSE)</x:f>
        <x:v>0.6965637740244612</x:v>
      </x:c>
      <x:c r="I2719" s="20" t="n">
        <x:f>VLOOKUP(C2719,'Governorate Master'!$A$2:$Q$13,15,FALSE)</x:f>
        <x:v>-0.016638935108153077</x:v>
      </x:c>
      <x:c r="J2719" s="12" t="str">
        <x:v>Location model input - competition/saturation context</x:v>
      </x:c>
      <x:c r="K2719" s="12" t="str">
        <x:v>Business count is from 2018 while population/context indicators are newer; use as a historical proxy, not a current market count.</x:v>
      </x:c>
    </x:row>
    <x:row r="2720">
      <x:c r="A2720" s="12" t="str">
        <x:v>6910</x:v>
      </x:c>
      <x:c r="B2720" s="12" t="str">
        <x:v>Legal activities</x:v>
      </x:c>
      <x:c r="C2720" s="12" t="str">
        <x:v>جرش</x:v>
      </x:c>
      <x:c r="D2720" s="14" t="n">
        <x:v>31</x:v>
      </x:c>
      <x:c r="E2720" s="14" t="n">
        <x:f>VLOOKUP(C2720,'Governorate Master'!$A$2:$Q$13,3,FALSE)</x:f>
        <x:v>296000</x:v>
      </x:c>
      <x:c r="F2720" s="66" t="n">
        <x:f>IF(E2720=0,0,D2720/E2720*10000)</x:f>
        <x:v>1.0472972972972974</x:v>
      </x:c>
      <x:c r="G2720" s="67" t="n">
        <x:f>VLOOKUP(C2720,'Governorate Master'!$A$2:$Q$13,7,FALSE)</x:f>
        <x:v>722.3</x:v>
      </x:c>
      <x:c r="H2720" s="20" t="n">
        <x:f>VLOOKUP(C2720,'Governorate Master'!$A$2:$Q$13,6,FALSE)</x:f>
        <x:v>0.7695945945945946</x:v>
      </x:c>
      <x:c r="I2720" s="20" t="n">
        <x:f>VLOOKUP(C2720,'Governorate Master'!$A$2:$Q$13,15,FALSE)</x:f>
        <x:v>-0.06527415143603134</x:v>
      </x:c>
      <x:c r="J2720" s="12" t="str">
        <x:v>Location model input - competition/saturation context</x:v>
      </x:c>
      <x:c r="K2720" s="12" t="str">
        <x:v>Business count is from 2018 while population/context indicators are newer; use as a historical proxy, not a current market count.</x:v>
      </x:c>
    </x:row>
    <x:row r="2721">
      <x:c r="A2721" s="12" t="str">
        <x:v>6910</x:v>
      </x:c>
      <x:c r="B2721" s="12" t="str">
        <x:v>Legal activities</x:v>
      </x:c>
      <x:c r="C2721" s="12" t="str">
        <x:v>عجلون</x:v>
      </x:c>
      <x:c r="D2721" s="14" t="n">
        <x:v>83</x:v>
      </x:c>
      <x:c r="E2721" s="14" t="n">
        <x:f>VLOOKUP(C2721,'Governorate Master'!$A$2:$Q$13,3,FALSE)</x:f>
        <x:v>219900</x:v>
      </x:c>
      <x:c r="F2721" s="66" t="n">
        <x:f>IF(E2721=0,0,D2721/E2721*10000)</x:f>
        <x:v>3.774442928603911</x:v>
      </x:c>
      <x:c r="G2721" s="67" t="n">
        <x:f>VLOOKUP(C2721,'Governorate Master'!$A$2:$Q$13,7,FALSE)</x:f>
        <x:v>524</x:v>
      </x:c>
      <x:c r="H2721" s="20" t="n">
        <x:f>VLOOKUP(C2721,'Governorate Master'!$A$2:$Q$13,6,FALSE)</x:f>
        <x:v>0.8390177353342428</x:v>
      </x:c>
      <x:c r="I2721" s="20" t="n">
        <x:f>VLOOKUP(C2721,'Governorate Master'!$A$2:$Q$13,15,FALSE)</x:f>
        <x:v>0.03614457831325301</x:v>
      </x:c>
      <x:c r="J2721" s="12" t="str">
        <x:v>Location model input - competition/saturation context</x:v>
      </x:c>
      <x:c r="K2721" s="12" t="str">
        <x:v>Business count is from 2018 while population/context indicators are newer; use as a historical proxy, not a current market count.</x:v>
      </x:c>
    </x:row>
    <x:row r="2722">
      <x:c r="A2722" s="12" t="str">
        <x:v>6910</x:v>
      </x:c>
      <x:c r="B2722" s="12" t="str">
        <x:v>Legal activities</x:v>
      </x:c>
      <x:c r="C2722" s="12" t="str">
        <x:v>الكرك</x:v>
      </x:c>
      <x:c r="D2722" s="14" t="n">
        <x:v>136</x:v>
      </x:c>
      <x:c r="E2722" s="14" t="n">
        <x:f>VLOOKUP(C2722,'Governorate Master'!$A$2:$Q$13,3,FALSE)</x:f>
        <x:v>395400</x:v>
      </x:c>
      <x:c r="F2722" s="66" t="n">
        <x:f>IF(E2722=0,0,D2722/E2722*10000)</x:f>
        <x:v>3.43955488113303</x:v>
      </x:c>
      <x:c r="G2722" s="67" t="n">
        <x:f>VLOOKUP(C2722,'Governorate Master'!$A$2:$Q$13,7,FALSE)</x:f>
        <x:v>113.1</x:v>
      </x:c>
      <x:c r="H2722" s="20" t="n">
        <x:f>VLOOKUP(C2722,'Governorate Master'!$A$2:$Q$13,6,FALSE)</x:f>
        <x:v>0.5912999494183105</x:v>
      </x:c>
      <x:c r="I2722" s="20" t="n">
        <x:f>VLOOKUP(C2722,'Governorate Master'!$A$2:$Q$13,15,FALSE)</x:f>
        <x:v>0.08710801393728224</x:v>
      </x:c>
      <x:c r="J2722" s="12" t="str">
        <x:v>Location model input - competition/saturation context</x:v>
      </x:c>
      <x:c r="K2722" s="12" t="str">
        <x:v>Business count is from 2018 while population/context indicators are newer; use as a historical proxy, not a current market count.</x:v>
      </x:c>
    </x:row>
    <x:row r="2723">
      <x:c r="A2723" s="12" t="str">
        <x:v>6910</x:v>
      </x:c>
      <x:c r="B2723" s="12" t="str">
        <x:v>Legal activities</x:v>
      </x:c>
      <x:c r="C2723" s="12" t="str">
        <x:v>الطفيلة</x:v>
      </x:c>
      <x:c r="D2723" s="14" t="n">
        <x:v>12</x:v>
      </x:c>
      <x:c r="E2723" s="14" t="n">
        <x:f>VLOOKUP(C2723,'Governorate Master'!$A$2:$Q$13,3,FALSE)</x:f>
        <x:v>120300</x:v>
      </x:c>
      <x:c r="F2723" s="66" t="n">
        <x:f>IF(E2723=0,0,D2723/E2723*10000)</x:f>
        <x:v>0.9975062344139651</x:v>
      </x:c>
      <x:c r="G2723" s="67" t="n">
        <x:f>VLOOKUP(C2723,'Governorate Master'!$A$2:$Q$13,7,FALSE)</x:f>
        <x:v>54.4</x:v>
      </x:c>
      <x:c r="H2723" s="20" t="n">
        <x:f>VLOOKUP(C2723,'Governorate Master'!$A$2:$Q$13,6,FALSE)</x:f>
        <x:v>0.7797173732335827</x:v>
      </x:c>
      <x:c r="I2723" s="20" t="n">
        <x:f>VLOOKUP(C2723,'Governorate Master'!$A$2:$Q$13,15,FALSE)</x:f>
        <x:v>0.18452380952380953</x:v>
      </x:c>
      <x:c r="J2723" s="12" t="str">
        <x:v>Location model input - competition/saturation context</x:v>
      </x:c>
      <x:c r="K2723" s="12" t="str">
        <x:v>Business count is from 2018 while population/context indicators are newer; use as a historical proxy, not a current market count.</x:v>
      </x:c>
    </x:row>
    <x:row r="2724">
      <x:c r="A2724" s="12" t="str">
        <x:v>6910</x:v>
      </x:c>
      <x:c r="B2724" s="12" t="str">
        <x:v>Legal activities</x:v>
      </x:c>
      <x:c r="C2724" s="12" t="str">
        <x:v>معان</x:v>
      </x:c>
      <x:c r="D2724" s="14" t="n">
        <x:v>14</x:v>
      </x:c>
      <x:c r="E2724" s="14" t="n">
        <x:f>VLOOKUP(C2724,'Governorate Master'!$A$2:$Q$13,3,FALSE)</x:f>
        <x:v>197900</x:v>
      </x:c>
      <x:c r="F2724" s="66" t="n">
        <x:f>IF(E2724=0,0,D2724/E2724*10000)</x:f>
        <x:v>0.7074279939363315</x:v>
      </x:c>
      <x:c r="G2724" s="67" t="n">
        <x:f>VLOOKUP(C2724,'Governorate Master'!$A$2:$Q$13,7,FALSE)</x:f>
        <x:v>6</x:v>
      </x:c>
      <x:c r="H2724" s="20" t="n">
        <x:f>VLOOKUP(C2724,'Governorate Master'!$A$2:$Q$13,6,FALSE)</x:f>
        <x:v>0.5406771096513391</x:v>
      </x:c>
      <x:c r="I2724" s="20" t="n">
        <x:f>VLOOKUP(C2724,'Governorate Master'!$A$2:$Q$13,15,FALSE)</x:f>
        <x:v>0.026845637583892617</x:v>
      </x:c>
      <x:c r="J2724" s="12" t="str">
        <x:v>Location model input - competition/saturation context</x:v>
      </x:c>
      <x:c r="K2724" s="12" t="str">
        <x:v>Business count is from 2018 while population/context indicators are newer; use as a historical proxy, not a current market count.</x:v>
      </x:c>
    </x:row>
    <x:row r="2725">
      <x:c r="A2725" s="12" t="str">
        <x:v>6910</x:v>
      </x:c>
      <x:c r="B2725" s="12" t="str">
        <x:v>Legal activities</x:v>
      </x:c>
      <x:c r="C2725" s="12" t="str">
        <x:v>العقبة</x:v>
      </x:c>
      <x:c r="D2725" s="14" t="n">
        <x:v>60</x:v>
      </x:c>
      <x:c r="E2725" s="14" t="n">
        <x:f>VLOOKUP(C2725,'Governorate Master'!$A$2:$Q$13,3,FALSE)</x:f>
        <x:v>250900</x:v>
      </x:c>
      <x:c r="F2725" s="66" t="n">
        <x:f>IF(E2725=0,0,D2725/E2725*10000)</x:f>
        <x:v>2.3913909924272616</x:v>
      </x:c>
      <x:c r="G2725" s="67" t="n">
        <x:f>VLOOKUP(C2725,'Governorate Master'!$A$2:$Q$13,7,FALSE)</x:f>
        <x:v>36.3</x:v>
      </x:c>
      <x:c r="H2725" s="20" t="n">
        <x:f>VLOOKUP(C2725,'Governorate Master'!$A$2:$Q$13,6,FALSE)</x:f>
        <x:v>0.882024711040255</x:v>
      </x:c>
      <x:c r="I2725" s="20" t="n">
        <x:f>VLOOKUP(C2725,'Governorate Master'!$A$2:$Q$13,15,FALSE)</x:f>
        <x:v>-0.09</x:v>
      </x:c>
      <x:c r="J2725" s="12" t="str">
        <x:v>Location model input - competition/saturation context</x:v>
      </x:c>
      <x:c r="K2725" s="12" t="str">
        <x:v>Business count is from 2018 while population/context indicators are newer; use as a historical proxy, not a current market count.</x:v>
      </x:c>
    </x:row>
    <x:row r="2726">
      <x:c r="A2726" s="12" t="str">
        <x:v>6920</x:v>
      </x:c>
      <x:c r="B2726" s="12" t="str">
        <x:v>Accounting, bookkeeping and auditing activities; tax consultancy</x:v>
      </x:c>
      <x:c r="C2726" s="12" t="str">
        <x:v>عمان</x:v>
      </x:c>
      <x:c r="D2726" s="14" t="n">
        <x:v>294</x:v>
      </x:c>
      <x:c r="E2726" s="14" t="n">
        <x:f>VLOOKUP(C2726,'Governorate Master'!$A$2:$Q$13,3,FALSE)</x:f>
        <x:v>5004600</x:v>
      </x:c>
      <x:c r="F2726" s="66" t="n">
        <x:f>IF(E2726=0,0,D2726/E2726*10000)</x:f>
        <x:v>0.5874595372257523</x:v>
      </x:c>
      <x:c r="G2726" s="67" t="n">
        <x:f>VLOOKUP(C2726,'Governorate Master'!$A$2:$Q$13,7,FALSE)</x:f>
        <x:v>660.3</x:v>
      </x:c>
      <x:c r="H2726" s="20" t="n">
        <x:f>VLOOKUP(C2726,'Governorate Master'!$A$2:$Q$13,6,FALSE)</x:f>
        <x:v>0.9721656076409703</x:v>
      </x:c>
      <x:c r="I2726" s="20" t="n">
        <x:f>VLOOKUP(C2726,'Governorate Master'!$A$2:$Q$13,15,FALSE)</x:f>
        <x:v>0.06367041198501873</x:v>
      </x:c>
      <x:c r="J2726" s="12" t="str">
        <x:v>Location model input - competition/saturation context</x:v>
      </x:c>
      <x:c r="K2726" s="12" t="str">
        <x:v>Business count is from 2018 while population/context indicators are newer; use as a historical proxy, not a current market count.</x:v>
      </x:c>
    </x:row>
    <x:row r="2727">
      <x:c r="A2727" s="12" t="str">
        <x:v>6920</x:v>
      </x:c>
      <x:c r="B2727" s="12" t="str">
        <x:v>Accounting, bookkeeping and auditing activities; tax consultancy</x:v>
      </x:c>
      <x:c r="C2727" s="12" t="str">
        <x:v>البلقاء</x:v>
      </x:c>
      <x:c r="D2727" s="14" t="n">
        <x:v>4</x:v>
      </x:c>
      <x:c r="E2727" s="14" t="n">
        <x:f>VLOOKUP(C2727,'Governorate Master'!$A$2:$Q$13,3,FALSE)</x:f>
        <x:v>614000</x:v>
      </x:c>
      <x:c r="F2727" s="66" t="n">
        <x:f>IF(E2727=0,0,D2727/E2727*10000)</x:f>
        <x:v>0.06514657980456026</x:v>
      </x:c>
      <x:c r="G2727" s="67" t="n">
        <x:f>VLOOKUP(C2727,'Governorate Master'!$A$2:$Q$13,7,FALSE)</x:f>
        <x:v>548</x:v>
      </x:c>
      <x:c r="H2727" s="20" t="n">
        <x:f>VLOOKUP(C2727,'Governorate Master'!$A$2:$Q$13,6,FALSE)</x:f>
        <x:v>0.8210097719869707</x:v>
      </x:c>
      <x:c r="I2727" s="20" t="n">
        <x:f>VLOOKUP(C2727,'Governorate Master'!$A$2:$Q$13,15,FALSE)</x:f>
        <x:v>0.10794044665012408</x:v>
      </x:c>
      <x:c r="J2727" s="12" t="str">
        <x:v>Location model input - competition/saturation context</x:v>
      </x:c>
      <x:c r="K2727" s="12" t="str">
        <x:v>Business count is from 2018 while population/context indicators are newer; use as a historical proxy, not a current market count.</x:v>
      </x:c>
    </x:row>
    <x:row r="2728">
      <x:c r="A2728" s="12" t="str">
        <x:v>6920</x:v>
      </x:c>
      <x:c r="B2728" s="12" t="str">
        <x:v>Accounting, bookkeeping and auditing activities; tax consultancy</x:v>
      </x:c>
      <x:c r="C2728" s="12" t="str">
        <x:v>الزرقاء</x:v>
      </x:c>
      <x:c r="D2728" s="14" t="n">
        <x:v>15</x:v>
      </x:c>
      <x:c r="E2728" s="14" t="n">
        <x:f>VLOOKUP(C2728,'Governorate Master'!$A$2:$Q$13,3,FALSE)</x:f>
        <x:v>1704500</x:v>
      </x:c>
      <x:c r="F2728" s="66" t="n">
        <x:f>IF(E2728=0,0,D2728/E2728*10000)</x:f>
        <x:v>0.0880023467292461</x:v>
      </x:c>
      <x:c r="G2728" s="67" t="n">
        <x:f>VLOOKUP(C2728,'Governorate Master'!$A$2:$Q$13,7,FALSE)</x:f>
        <x:v>358</x:v>
      </x:c>
      <x:c r="H2728" s="20" t="n">
        <x:f>VLOOKUP(C2728,'Governorate Master'!$A$2:$Q$13,6,FALSE)</x:f>
        <x:v>0.9636256966852449</x:v>
      </x:c>
      <x:c r="I2728" s="20" t="n">
        <x:f>VLOOKUP(C2728,'Governorate Master'!$A$2:$Q$13,15,FALSE)</x:f>
        <x:v>-0.06808762581409118</x:v>
      </x:c>
      <x:c r="J2728" s="12" t="str">
        <x:v>Location model input - competition/saturation context</x:v>
      </x:c>
      <x:c r="K2728" s="12" t="str">
        <x:v>Business count is from 2018 while population/context indicators are newer; use as a historical proxy, not a current market count.</x:v>
      </x:c>
    </x:row>
    <x:row r="2729">
      <x:c r="A2729" s="12" t="str">
        <x:v>6920</x:v>
      </x:c>
      <x:c r="B2729" s="12" t="str">
        <x:v>Accounting, bookkeeping and auditing activities; tax consultancy</x:v>
      </x:c>
      <x:c r="C2729" s="12" t="str">
        <x:v>مادبا</x:v>
      </x:c>
      <x:c r="D2729" s="14" t="n">
        <x:v>1</x:v>
      </x:c>
      <x:c r="E2729" s="14" t="n">
        <x:f>VLOOKUP(C2729,'Governorate Master'!$A$2:$Q$13,3,FALSE)</x:f>
        <x:v>236200</x:v>
      </x:c>
      <x:c r="F2729" s="66" t="n">
        <x:f>IF(E2729=0,0,D2729/E2729*10000)</x:f>
        <x:v>0.04233700254022015</x:v>
      </x:c>
      <x:c r="G2729" s="67" t="n">
        <x:f>VLOOKUP(C2729,'Governorate Master'!$A$2:$Q$13,7,FALSE)</x:f>
        <x:v>251.4</x:v>
      </x:c>
      <x:c r="H2729" s="20" t="n">
        <x:f>VLOOKUP(C2729,'Governorate Master'!$A$2:$Q$13,6,FALSE)</x:f>
        <x:v>0.7823878069432684</x:v>
      </x:c>
      <x:c r="I2729" s="20" t="n">
        <x:f>VLOOKUP(C2729,'Governorate Master'!$A$2:$Q$13,15,FALSE)</x:f>
        <x:v>-0.18823529411764706</x:v>
      </x:c>
      <x:c r="J2729" s="12" t="str">
        <x:v>Location model input - competition/saturation context</x:v>
      </x:c>
      <x:c r="K2729" s="12" t="str">
        <x:v>Business count is from 2018 while population/context indicators are newer; use as a historical proxy, not a current market count.</x:v>
      </x:c>
    </x:row>
    <x:row r="2730">
      <x:c r="A2730" s="12" t="str">
        <x:v>6920</x:v>
      </x:c>
      <x:c r="B2730" s="12" t="str">
        <x:v>Accounting, bookkeeping and auditing activities; tax consultancy</x:v>
      </x:c>
      <x:c r="C2730" s="12" t="str">
        <x:v>إربد</x:v>
      </x:c>
      <x:c r="D2730" s="14" t="n">
        <x:v>17</x:v>
      </x:c>
      <x:c r="E2730" s="14" t="n">
        <x:f>VLOOKUP(C2730,'Governorate Master'!$A$2:$Q$13,3,FALSE)</x:f>
        <x:v>2210500</x:v>
      </x:c>
      <x:c r="F2730" s="66" t="n">
        <x:f>IF(E2730=0,0,D2730/E2730*10000)</x:f>
        <x:v>0.07690567744854106</x:v>
      </x:c>
      <x:c r="G2730" s="67" t="n">
        <x:f>VLOOKUP(C2730,'Governorate Master'!$A$2:$Q$13,7,FALSE)</x:f>
        <x:v>1406.4</x:v>
      </x:c>
      <x:c r="H2730" s="20" t="n">
        <x:f>VLOOKUP(C2730,'Governorate Master'!$A$2:$Q$13,6,FALSE)</x:f>
        <x:v>0.9235014702555983</x:v>
      </x:c>
      <x:c r="I2730" s="20" t="n">
        <x:f>VLOOKUP(C2730,'Governorate Master'!$A$2:$Q$13,15,FALSE)</x:f>
        <x:v>0.07086922474549726</x:v>
      </x:c>
      <x:c r="J2730" s="12" t="str">
        <x:v>Location model input - competition/saturation context</x:v>
      </x:c>
      <x:c r="K2730" s="12" t="str">
        <x:v>Business count is from 2018 while population/context indicators are newer; use as a historical proxy, not a current market count.</x:v>
      </x:c>
    </x:row>
    <x:row r="2731">
      <x:c r="A2731" s="12" t="str">
        <x:v>6920</x:v>
      </x:c>
      <x:c r="B2731" s="12" t="str">
        <x:v>Accounting, bookkeeping and auditing activities; tax consultancy</x:v>
      </x:c>
      <x:c r="C2731" s="12" t="str">
        <x:v>المفرق</x:v>
      </x:c>
      <x:c r="D2731" s="14" t="n">
        <x:v>2</x:v>
      </x:c>
      <x:c r="E2731" s="14" t="n">
        <x:f>VLOOKUP(C2731,'Governorate Master'!$A$2:$Q$13,3,FALSE)</x:f>
        <x:v>686800</x:v>
      </x:c>
      <x:c r="F2731" s="66" t="n">
        <x:f>IF(E2731=0,0,D2731/E2731*10000)</x:f>
        <x:v>0.029120559114735003</x:v>
      </x:c>
      <x:c r="G2731" s="67" t="n">
        <x:f>VLOOKUP(C2731,'Governorate Master'!$A$2:$Q$13,7,FALSE)</x:f>
        <x:v>25.9</x:v>
      </x:c>
      <x:c r="H2731" s="20" t="n">
        <x:f>VLOOKUP(C2731,'Governorate Master'!$A$2:$Q$13,6,FALSE)</x:f>
        <x:v>0.6965637740244612</x:v>
      </x:c>
      <x:c r="I2731" s="20" t="n">
        <x:f>VLOOKUP(C2731,'Governorate Master'!$A$2:$Q$13,15,FALSE)</x:f>
        <x:v>-0.016638935108153077</x:v>
      </x:c>
      <x:c r="J2731" s="12" t="str">
        <x:v>Location model input - competition/saturation context</x:v>
      </x:c>
      <x:c r="K2731" s="12" t="str">
        <x:v>Business count is from 2018 while population/context indicators are newer; use as a historical proxy, not a current market count.</x:v>
      </x:c>
    </x:row>
    <x:row r="2732">
      <x:c r="A2732" s="12" t="str">
        <x:v>6920</x:v>
      </x:c>
      <x:c r="B2732" s="12" t="str">
        <x:v>Accounting, bookkeeping and auditing activities; tax consultancy</x:v>
      </x:c>
      <x:c r="C2732" s="12" t="str">
        <x:v>جرش</x:v>
      </x:c>
      <x:c r="D2732" s="14" t="n">
        <x:v>0</x:v>
      </x:c>
      <x:c r="E2732" s="14" t="n">
        <x:f>VLOOKUP(C2732,'Governorate Master'!$A$2:$Q$13,3,FALSE)</x:f>
        <x:v>296000</x:v>
      </x:c>
      <x:c r="F2732" s="66" t="n">
        <x:f>IF(E2732=0,0,D2732/E2732*10000)</x:f>
        <x:v>0</x:v>
      </x:c>
      <x:c r="G2732" s="67" t="n">
        <x:f>VLOOKUP(C2732,'Governorate Master'!$A$2:$Q$13,7,FALSE)</x:f>
        <x:v>722.3</x:v>
      </x:c>
      <x:c r="H2732" s="20" t="n">
        <x:f>VLOOKUP(C2732,'Governorate Master'!$A$2:$Q$13,6,FALSE)</x:f>
        <x:v>0.7695945945945946</x:v>
      </x:c>
      <x:c r="I2732" s="20" t="n">
        <x:f>VLOOKUP(C2732,'Governorate Master'!$A$2:$Q$13,15,FALSE)</x:f>
        <x:v>-0.06527415143603134</x:v>
      </x:c>
      <x:c r="J2732" s="12" t="str">
        <x:v>Location model input - competition/saturation context</x:v>
      </x:c>
      <x:c r="K2732" s="12" t="str">
        <x:v>Business count is from 2018 while population/context indicators are newer; use as a historical proxy, not a current market count.</x:v>
      </x:c>
    </x:row>
    <x:row r="2733">
      <x:c r="A2733" s="12" t="str">
        <x:v>6920</x:v>
      </x:c>
      <x:c r="B2733" s="12" t="str">
        <x:v>Accounting, bookkeeping and auditing activities; tax consultancy</x:v>
      </x:c>
      <x:c r="C2733" s="12" t="str">
        <x:v>عجلون</x:v>
      </x:c>
      <x:c r="D2733" s="14" t="n">
        <x:v>0</x:v>
      </x:c>
      <x:c r="E2733" s="14" t="n">
        <x:f>VLOOKUP(C2733,'Governorate Master'!$A$2:$Q$13,3,FALSE)</x:f>
        <x:v>219900</x:v>
      </x:c>
      <x:c r="F2733" s="66" t="n">
        <x:f>IF(E2733=0,0,D2733/E2733*10000)</x:f>
        <x:v>0</x:v>
      </x:c>
      <x:c r="G2733" s="67" t="n">
        <x:f>VLOOKUP(C2733,'Governorate Master'!$A$2:$Q$13,7,FALSE)</x:f>
        <x:v>524</x:v>
      </x:c>
      <x:c r="H2733" s="20" t="n">
        <x:f>VLOOKUP(C2733,'Governorate Master'!$A$2:$Q$13,6,FALSE)</x:f>
        <x:v>0.8390177353342428</x:v>
      </x:c>
      <x:c r="I2733" s="20" t="n">
        <x:f>VLOOKUP(C2733,'Governorate Master'!$A$2:$Q$13,15,FALSE)</x:f>
        <x:v>0.03614457831325301</x:v>
      </x:c>
      <x:c r="J2733" s="12" t="str">
        <x:v>Location model input - competition/saturation context</x:v>
      </x:c>
      <x:c r="K2733" s="12" t="str">
        <x:v>Business count is from 2018 while population/context indicators are newer; use as a historical proxy, not a current market count.</x:v>
      </x:c>
    </x:row>
    <x:row r="2734">
      <x:c r="A2734" s="12" t="str">
        <x:v>6920</x:v>
      </x:c>
      <x:c r="B2734" s="12" t="str">
        <x:v>Accounting, bookkeeping and auditing activities; tax consultancy</x:v>
      </x:c>
      <x:c r="C2734" s="12" t="str">
        <x:v>الكرك</x:v>
      </x:c>
      <x:c r="D2734" s="14" t="n">
        <x:v>2</x:v>
      </x:c>
      <x:c r="E2734" s="14" t="n">
        <x:f>VLOOKUP(C2734,'Governorate Master'!$A$2:$Q$13,3,FALSE)</x:f>
        <x:v>395400</x:v>
      </x:c>
      <x:c r="F2734" s="66" t="n">
        <x:f>IF(E2734=0,0,D2734/E2734*10000)</x:f>
        <x:v>0.050581689428426904</x:v>
      </x:c>
      <x:c r="G2734" s="67" t="n">
        <x:f>VLOOKUP(C2734,'Governorate Master'!$A$2:$Q$13,7,FALSE)</x:f>
        <x:v>113.1</x:v>
      </x:c>
      <x:c r="H2734" s="20" t="n">
        <x:f>VLOOKUP(C2734,'Governorate Master'!$A$2:$Q$13,6,FALSE)</x:f>
        <x:v>0.5912999494183105</x:v>
      </x:c>
      <x:c r="I2734" s="20" t="n">
        <x:f>VLOOKUP(C2734,'Governorate Master'!$A$2:$Q$13,15,FALSE)</x:f>
        <x:v>0.08710801393728224</x:v>
      </x:c>
      <x:c r="J2734" s="12" t="str">
        <x:v>Location model input - competition/saturation context</x:v>
      </x:c>
      <x:c r="K2734" s="12" t="str">
        <x:v>Business count is from 2018 while population/context indicators are newer; use as a historical proxy, not a current market count.</x:v>
      </x:c>
    </x:row>
    <x:row r="2735">
      <x:c r="A2735" s="12" t="str">
        <x:v>6920</x:v>
      </x:c>
      <x:c r="B2735" s="12" t="str">
        <x:v>Accounting, bookkeeping and auditing activities; tax consultancy</x:v>
      </x:c>
      <x:c r="C2735" s="12" t="str">
        <x:v>الطفيلة</x:v>
      </x:c>
      <x:c r="D2735" s="14" t="n">
        <x:v>0</x:v>
      </x:c>
      <x:c r="E2735" s="14" t="n">
        <x:f>VLOOKUP(C2735,'Governorate Master'!$A$2:$Q$13,3,FALSE)</x:f>
        <x:v>120300</x:v>
      </x:c>
      <x:c r="F2735" s="66" t="n">
        <x:f>IF(E2735=0,0,D2735/E2735*10000)</x:f>
        <x:v>0</x:v>
      </x:c>
      <x:c r="G2735" s="67" t="n">
        <x:f>VLOOKUP(C2735,'Governorate Master'!$A$2:$Q$13,7,FALSE)</x:f>
        <x:v>54.4</x:v>
      </x:c>
      <x:c r="H2735" s="20" t="n">
        <x:f>VLOOKUP(C2735,'Governorate Master'!$A$2:$Q$13,6,FALSE)</x:f>
        <x:v>0.7797173732335827</x:v>
      </x:c>
      <x:c r="I2735" s="20" t="n">
        <x:f>VLOOKUP(C2735,'Governorate Master'!$A$2:$Q$13,15,FALSE)</x:f>
        <x:v>0.18452380952380953</x:v>
      </x:c>
      <x:c r="J2735" s="12" t="str">
        <x:v>Location model input - competition/saturation context</x:v>
      </x:c>
      <x:c r="K2735" s="12" t="str">
        <x:v>Business count is from 2018 while population/context indicators are newer; use as a historical proxy, not a current market count.</x:v>
      </x:c>
    </x:row>
    <x:row r="2736">
      <x:c r="A2736" s="12" t="str">
        <x:v>6920</x:v>
      </x:c>
      <x:c r="B2736" s="12" t="str">
        <x:v>Accounting, bookkeeping and auditing activities; tax consultancy</x:v>
      </x:c>
      <x:c r="C2736" s="12" t="str">
        <x:v>معان</x:v>
      </x:c>
      <x:c r="D2736" s="14" t="n">
        <x:v>0</x:v>
      </x:c>
      <x:c r="E2736" s="14" t="n">
        <x:f>VLOOKUP(C2736,'Governorate Master'!$A$2:$Q$13,3,FALSE)</x:f>
        <x:v>197900</x:v>
      </x:c>
      <x:c r="F2736" s="66" t="n">
        <x:f>IF(E2736=0,0,D2736/E2736*10000)</x:f>
        <x:v>0</x:v>
      </x:c>
      <x:c r="G2736" s="67" t="n">
        <x:f>VLOOKUP(C2736,'Governorate Master'!$A$2:$Q$13,7,FALSE)</x:f>
        <x:v>6</x:v>
      </x:c>
      <x:c r="H2736" s="20" t="n">
        <x:f>VLOOKUP(C2736,'Governorate Master'!$A$2:$Q$13,6,FALSE)</x:f>
        <x:v>0.5406771096513391</x:v>
      </x:c>
      <x:c r="I2736" s="20" t="n">
        <x:f>VLOOKUP(C2736,'Governorate Master'!$A$2:$Q$13,15,FALSE)</x:f>
        <x:v>0.026845637583892617</x:v>
      </x:c>
      <x:c r="J2736" s="12" t="str">
        <x:v>Location model input - competition/saturation context</x:v>
      </x:c>
      <x:c r="K2736" s="12" t="str">
        <x:v>Business count is from 2018 while population/context indicators are newer; use as a historical proxy, not a current market count.</x:v>
      </x:c>
    </x:row>
    <x:row r="2737">
      <x:c r="A2737" s="12" t="str">
        <x:v>6920</x:v>
      </x:c>
      <x:c r="B2737" s="12" t="str">
        <x:v>Accounting, bookkeeping and auditing activities; tax consultancy</x:v>
      </x:c>
      <x:c r="C2737" s="12" t="str">
        <x:v>العقبة</x:v>
      </x:c>
      <x:c r="D2737" s="14" t="n">
        <x:v>4</x:v>
      </x:c>
      <x:c r="E2737" s="14" t="n">
        <x:f>VLOOKUP(C2737,'Governorate Master'!$A$2:$Q$13,3,FALSE)</x:f>
        <x:v>250900</x:v>
      </x:c>
      <x:c r="F2737" s="66" t="n">
        <x:f>IF(E2737=0,0,D2737/E2737*10000)</x:f>
        <x:v>0.15942606616181745</x:v>
      </x:c>
      <x:c r="G2737" s="67" t="n">
        <x:f>VLOOKUP(C2737,'Governorate Master'!$A$2:$Q$13,7,FALSE)</x:f>
        <x:v>36.3</x:v>
      </x:c>
      <x:c r="H2737" s="20" t="n">
        <x:f>VLOOKUP(C2737,'Governorate Master'!$A$2:$Q$13,6,FALSE)</x:f>
        <x:v>0.882024711040255</x:v>
      </x:c>
      <x:c r="I2737" s="20" t="n">
        <x:f>VLOOKUP(C2737,'Governorate Master'!$A$2:$Q$13,15,FALSE)</x:f>
        <x:v>-0.09</x:v>
      </x:c>
      <x:c r="J2737" s="12" t="str">
        <x:v>Location model input - competition/saturation context</x:v>
      </x:c>
      <x:c r="K2737" s="12" t="str">
        <x:v>Business count is from 2018 while population/context indicators are newer; use as a historical proxy, not a current market count.</x:v>
      </x:c>
    </x:row>
    <x:row r="2738">
      <x:c r="A2738" s="12" t="str">
        <x:v>7020</x:v>
      </x:c>
      <x:c r="B2738" s="12" t="str">
        <x:v>Management consultancy activities</x:v>
      </x:c>
      <x:c r="C2738" s="12" t="str">
        <x:v>عمان</x:v>
      </x:c>
      <x:c r="D2738" s="14" t="n">
        <x:v>268</x:v>
      </x:c>
      <x:c r="E2738" s="14" t="n">
        <x:f>VLOOKUP(C2738,'Governorate Master'!$A$2:$Q$13,3,FALSE)</x:f>
        <x:v>5004600</x:v>
      </x:c>
      <x:c r="F2738" s="66" t="n">
        <x:f>IF(E2738=0,0,D2738/E2738*10000)</x:f>
        <x:v>0.5355073332534068</x:v>
      </x:c>
      <x:c r="G2738" s="67" t="n">
        <x:f>VLOOKUP(C2738,'Governorate Master'!$A$2:$Q$13,7,FALSE)</x:f>
        <x:v>660.3</x:v>
      </x:c>
      <x:c r="H2738" s="20" t="n">
        <x:f>VLOOKUP(C2738,'Governorate Master'!$A$2:$Q$13,6,FALSE)</x:f>
        <x:v>0.9721656076409703</x:v>
      </x:c>
      <x:c r="I2738" s="20" t="n">
        <x:f>VLOOKUP(C2738,'Governorate Master'!$A$2:$Q$13,15,FALSE)</x:f>
        <x:v>0.06367041198501873</x:v>
      </x:c>
      <x:c r="J2738" s="12" t="str">
        <x:v>Location model input - competition/saturation context</x:v>
      </x:c>
      <x:c r="K2738" s="12" t="str">
        <x:v>Business count is from 2018 while population/context indicators are newer; use as a historical proxy, not a current market count.</x:v>
      </x:c>
    </x:row>
    <x:row r="2739">
      <x:c r="A2739" s="12" t="str">
        <x:v>7020</x:v>
      </x:c>
      <x:c r="B2739" s="12" t="str">
        <x:v>Management consultancy activities</x:v>
      </x:c>
      <x:c r="C2739" s="12" t="str">
        <x:v>البلقاء</x:v>
      </x:c>
      <x:c r="D2739" s="14" t="n">
        <x:v>2</x:v>
      </x:c>
      <x:c r="E2739" s="14" t="n">
        <x:f>VLOOKUP(C2739,'Governorate Master'!$A$2:$Q$13,3,FALSE)</x:f>
        <x:v>614000</x:v>
      </x:c>
      <x:c r="F2739" s="66" t="n">
        <x:f>IF(E2739=0,0,D2739/E2739*10000)</x:f>
        <x:v>0.03257328990228013</x:v>
      </x:c>
      <x:c r="G2739" s="67" t="n">
        <x:f>VLOOKUP(C2739,'Governorate Master'!$A$2:$Q$13,7,FALSE)</x:f>
        <x:v>548</x:v>
      </x:c>
      <x:c r="H2739" s="20" t="n">
        <x:f>VLOOKUP(C2739,'Governorate Master'!$A$2:$Q$13,6,FALSE)</x:f>
        <x:v>0.8210097719869707</x:v>
      </x:c>
      <x:c r="I2739" s="20" t="n">
        <x:f>VLOOKUP(C2739,'Governorate Master'!$A$2:$Q$13,15,FALSE)</x:f>
        <x:v>0.10794044665012408</x:v>
      </x:c>
      <x:c r="J2739" s="12" t="str">
        <x:v>Location model input - competition/saturation context</x:v>
      </x:c>
      <x:c r="K2739" s="12" t="str">
        <x:v>Business count is from 2018 while population/context indicators are newer; use as a historical proxy, not a current market count.</x:v>
      </x:c>
    </x:row>
    <x:row r="2740">
      <x:c r="A2740" s="12" t="str">
        <x:v>7020</x:v>
      </x:c>
      <x:c r="B2740" s="12" t="str">
        <x:v>Management consultancy activities</x:v>
      </x:c>
      <x:c r="C2740" s="12" t="str">
        <x:v>الزرقاء</x:v>
      </x:c>
      <x:c r="D2740" s="14" t="n">
        <x:v>5</x:v>
      </x:c>
      <x:c r="E2740" s="14" t="n">
        <x:f>VLOOKUP(C2740,'Governorate Master'!$A$2:$Q$13,3,FALSE)</x:f>
        <x:v>1704500</x:v>
      </x:c>
      <x:c r="F2740" s="66" t="n">
        <x:f>IF(E2740=0,0,D2740/E2740*10000)</x:f>
        <x:v>0.029334115576415375</x:v>
      </x:c>
      <x:c r="G2740" s="67" t="n">
        <x:f>VLOOKUP(C2740,'Governorate Master'!$A$2:$Q$13,7,FALSE)</x:f>
        <x:v>358</x:v>
      </x:c>
      <x:c r="H2740" s="20" t="n">
        <x:f>VLOOKUP(C2740,'Governorate Master'!$A$2:$Q$13,6,FALSE)</x:f>
        <x:v>0.9636256966852449</x:v>
      </x:c>
      <x:c r="I2740" s="20" t="n">
        <x:f>VLOOKUP(C2740,'Governorate Master'!$A$2:$Q$13,15,FALSE)</x:f>
        <x:v>-0.06808762581409118</x:v>
      </x:c>
      <x:c r="J2740" s="12" t="str">
        <x:v>Location model input - competition/saturation context</x:v>
      </x:c>
      <x:c r="K2740" s="12" t="str">
        <x:v>Business count is from 2018 while population/context indicators are newer; use as a historical proxy, not a current market count.</x:v>
      </x:c>
    </x:row>
    <x:row r="2741">
      <x:c r="A2741" s="12" t="str">
        <x:v>7020</x:v>
      </x:c>
      <x:c r="B2741" s="12" t="str">
        <x:v>Management consultancy activities</x:v>
      </x:c>
      <x:c r="C2741" s="12" t="str">
        <x:v>مادبا</x:v>
      </x:c>
      <x:c r="D2741" s="14" t="n">
        <x:v>2</x:v>
      </x:c>
      <x:c r="E2741" s="14" t="n">
        <x:f>VLOOKUP(C2741,'Governorate Master'!$A$2:$Q$13,3,FALSE)</x:f>
        <x:v>236200</x:v>
      </x:c>
      <x:c r="F2741" s="66" t="n">
        <x:f>IF(E2741=0,0,D2741/E2741*10000)</x:f>
        <x:v>0.0846740050804403</x:v>
      </x:c>
      <x:c r="G2741" s="67" t="n">
        <x:f>VLOOKUP(C2741,'Governorate Master'!$A$2:$Q$13,7,FALSE)</x:f>
        <x:v>251.4</x:v>
      </x:c>
      <x:c r="H2741" s="20" t="n">
        <x:f>VLOOKUP(C2741,'Governorate Master'!$A$2:$Q$13,6,FALSE)</x:f>
        <x:v>0.7823878069432684</x:v>
      </x:c>
      <x:c r="I2741" s="20" t="n">
        <x:f>VLOOKUP(C2741,'Governorate Master'!$A$2:$Q$13,15,FALSE)</x:f>
        <x:v>-0.18823529411764706</x:v>
      </x:c>
      <x:c r="J2741" s="12" t="str">
        <x:v>Location model input - competition/saturation context</x:v>
      </x:c>
      <x:c r="K2741" s="12" t="str">
        <x:v>Business count is from 2018 while population/context indicators are newer; use as a historical proxy, not a current market count.</x:v>
      </x:c>
    </x:row>
    <x:row r="2742">
      <x:c r="A2742" s="12" t="str">
        <x:v>7020</x:v>
      </x:c>
      <x:c r="B2742" s="12" t="str">
        <x:v>Management consultancy activities</x:v>
      </x:c>
      <x:c r="C2742" s="12" t="str">
        <x:v>إربد</x:v>
      </x:c>
      <x:c r="D2742" s="14" t="n">
        <x:v>11</x:v>
      </x:c>
      <x:c r="E2742" s="14" t="n">
        <x:f>VLOOKUP(C2742,'Governorate Master'!$A$2:$Q$13,3,FALSE)</x:f>
        <x:v>2210500</x:v>
      </x:c>
      <x:c r="F2742" s="66" t="n">
        <x:f>IF(E2742=0,0,D2742/E2742*10000)</x:f>
        <x:v>0.049762497172585386</x:v>
      </x:c>
      <x:c r="G2742" s="67" t="n">
        <x:f>VLOOKUP(C2742,'Governorate Master'!$A$2:$Q$13,7,FALSE)</x:f>
        <x:v>1406.4</x:v>
      </x:c>
      <x:c r="H2742" s="20" t="n">
        <x:f>VLOOKUP(C2742,'Governorate Master'!$A$2:$Q$13,6,FALSE)</x:f>
        <x:v>0.9235014702555983</x:v>
      </x:c>
      <x:c r="I2742" s="20" t="n">
        <x:f>VLOOKUP(C2742,'Governorate Master'!$A$2:$Q$13,15,FALSE)</x:f>
        <x:v>0.07086922474549726</x:v>
      </x:c>
      <x:c r="J2742" s="12" t="str">
        <x:v>Location model input - competition/saturation context</x:v>
      </x:c>
      <x:c r="K2742" s="12" t="str">
        <x:v>Business count is from 2018 while population/context indicators are newer; use as a historical proxy, not a current market count.</x:v>
      </x:c>
    </x:row>
    <x:row r="2743">
      <x:c r="A2743" s="12" t="str">
        <x:v>7020</x:v>
      </x:c>
      <x:c r="B2743" s="12" t="str">
        <x:v>Management consultancy activities</x:v>
      </x:c>
      <x:c r="C2743" s="12" t="str">
        <x:v>المفرق</x:v>
      </x:c>
      <x:c r="D2743" s="14" t="n">
        <x:v>2</x:v>
      </x:c>
      <x:c r="E2743" s="14" t="n">
        <x:f>VLOOKUP(C2743,'Governorate Master'!$A$2:$Q$13,3,FALSE)</x:f>
        <x:v>686800</x:v>
      </x:c>
      <x:c r="F2743" s="66" t="n">
        <x:f>IF(E2743=0,0,D2743/E2743*10000)</x:f>
        <x:v>0.029120559114735003</x:v>
      </x:c>
      <x:c r="G2743" s="67" t="n">
        <x:f>VLOOKUP(C2743,'Governorate Master'!$A$2:$Q$13,7,FALSE)</x:f>
        <x:v>25.9</x:v>
      </x:c>
      <x:c r="H2743" s="20" t="n">
        <x:f>VLOOKUP(C2743,'Governorate Master'!$A$2:$Q$13,6,FALSE)</x:f>
        <x:v>0.6965637740244612</x:v>
      </x:c>
      <x:c r="I2743" s="20" t="n">
        <x:f>VLOOKUP(C2743,'Governorate Master'!$A$2:$Q$13,15,FALSE)</x:f>
        <x:v>-0.016638935108153077</x:v>
      </x:c>
      <x:c r="J2743" s="12" t="str">
        <x:v>Location model input - competition/saturation context</x:v>
      </x:c>
      <x:c r="K2743" s="12" t="str">
        <x:v>Business count is from 2018 while population/context indicators are newer; use as a historical proxy, not a current market count.</x:v>
      </x:c>
    </x:row>
    <x:row r="2744">
      <x:c r="A2744" s="12" t="str">
        <x:v>7020</x:v>
      </x:c>
      <x:c r="B2744" s="12" t="str">
        <x:v>Management consultancy activities</x:v>
      </x:c>
      <x:c r="C2744" s="12" t="str">
        <x:v>جرش</x:v>
      </x:c>
      <x:c r="D2744" s="14" t="n">
        <x:v>0</x:v>
      </x:c>
      <x:c r="E2744" s="14" t="n">
        <x:f>VLOOKUP(C2744,'Governorate Master'!$A$2:$Q$13,3,FALSE)</x:f>
        <x:v>296000</x:v>
      </x:c>
      <x:c r="F2744" s="66" t="n">
        <x:f>IF(E2744=0,0,D2744/E2744*10000)</x:f>
        <x:v>0</x:v>
      </x:c>
      <x:c r="G2744" s="67" t="n">
        <x:f>VLOOKUP(C2744,'Governorate Master'!$A$2:$Q$13,7,FALSE)</x:f>
        <x:v>722.3</x:v>
      </x:c>
      <x:c r="H2744" s="20" t="n">
        <x:f>VLOOKUP(C2744,'Governorate Master'!$A$2:$Q$13,6,FALSE)</x:f>
        <x:v>0.7695945945945946</x:v>
      </x:c>
      <x:c r="I2744" s="20" t="n">
        <x:f>VLOOKUP(C2744,'Governorate Master'!$A$2:$Q$13,15,FALSE)</x:f>
        <x:v>-0.06527415143603134</x:v>
      </x:c>
      <x:c r="J2744" s="12" t="str">
        <x:v>Location model input - competition/saturation context</x:v>
      </x:c>
      <x:c r="K2744" s="12" t="str">
        <x:v>Business count is from 2018 while population/context indicators are newer; use as a historical proxy, not a current market count.</x:v>
      </x:c>
    </x:row>
    <x:row r="2745">
      <x:c r="A2745" s="12" t="str">
        <x:v>7020</x:v>
      </x:c>
      <x:c r="B2745" s="12" t="str">
        <x:v>Management consultancy activities</x:v>
      </x:c>
      <x:c r="C2745" s="12" t="str">
        <x:v>عجلون</x:v>
      </x:c>
      <x:c r="D2745" s="14" t="n">
        <x:v>0</x:v>
      </x:c>
      <x:c r="E2745" s="14" t="n">
        <x:f>VLOOKUP(C2745,'Governorate Master'!$A$2:$Q$13,3,FALSE)</x:f>
        <x:v>219900</x:v>
      </x:c>
      <x:c r="F2745" s="66" t="n">
        <x:f>IF(E2745=0,0,D2745/E2745*10000)</x:f>
        <x:v>0</x:v>
      </x:c>
      <x:c r="G2745" s="67" t="n">
        <x:f>VLOOKUP(C2745,'Governorate Master'!$A$2:$Q$13,7,FALSE)</x:f>
        <x:v>524</x:v>
      </x:c>
      <x:c r="H2745" s="20" t="n">
        <x:f>VLOOKUP(C2745,'Governorate Master'!$A$2:$Q$13,6,FALSE)</x:f>
        <x:v>0.8390177353342428</x:v>
      </x:c>
      <x:c r="I2745" s="20" t="n">
        <x:f>VLOOKUP(C2745,'Governorate Master'!$A$2:$Q$13,15,FALSE)</x:f>
        <x:v>0.03614457831325301</x:v>
      </x:c>
      <x:c r="J2745" s="12" t="str">
        <x:v>Location model input - competition/saturation context</x:v>
      </x:c>
      <x:c r="K2745" s="12" t="str">
        <x:v>Business count is from 2018 while population/context indicators are newer; use as a historical proxy, not a current market count.</x:v>
      </x:c>
    </x:row>
    <x:row r="2746">
      <x:c r="A2746" s="12" t="str">
        <x:v>7020</x:v>
      </x:c>
      <x:c r="B2746" s="12" t="str">
        <x:v>Management consultancy activities</x:v>
      </x:c>
      <x:c r="C2746" s="12" t="str">
        <x:v>الكرك</x:v>
      </x:c>
      <x:c r="D2746" s="14" t="n">
        <x:v>0</x:v>
      </x:c>
      <x:c r="E2746" s="14" t="n">
        <x:f>VLOOKUP(C2746,'Governorate Master'!$A$2:$Q$13,3,FALSE)</x:f>
        <x:v>395400</x:v>
      </x:c>
      <x:c r="F2746" s="66" t="n">
        <x:f>IF(E2746=0,0,D2746/E2746*10000)</x:f>
        <x:v>0</x:v>
      </x:c>
      <x:c r="G2746" s="67" t="n">
        <x:f>VLOOKUP(C2746,'Governorate Master'!$A$2:$Q$13,7,FALSE)</x:f>
        <x:v>113.1</x:v>
      </x:c>
      <x:c r="H2746" s="20" t="n">
        <x:f>VLOOKUP(C2746,'Governorate Master'!$A$2:$Q$13,6,FALSE)</x:f>
        <x:v>0.5912999494183105</x:v>
      </x:c>
      <x:c r="I2746" s="20" t="n">
        <x:f>VLOOKUP(C2746,'Governorate Master'!$A$2:$Q$13,15,FALSE)</x:f>
        <x:v>0.08710801393728224</x:v>
      </x:c>
      <x:c r="J2746" s="12" t="str">
        <x:v>Location model input - competition/saturation context</x:v>
      </x:c>
      <x:c r="K2746" s="12" t="str">
        <x:v>Business count is from 2018 while population/context indicators are newer; use as a historical proxy, not a current market count.</x:v>
      </x:c>
    </x:row>
    <x:row r="2747">
      <x:c r="A2747" s="12" t="str">
        <x:v>7020</x:v>
      </x:c>
      <x:c r="B2747" s="12" t="str">
        <x:v>Management consultancy activities</x:v>
      </x:c>
      <x:c r="C2747" s="12" t="str">
        <x:v>الطفيلة</x:v>
      </x:c>
      <x:c r="D2747" s="14" t="n">
        <x:v>0</x:v>
      </x:c>
      <x:c r="E2747" s="14" t="n">
        <x:f>VLOOKUP(C2747,'Governorate Master'!$A$2:$Q$13,3,FALSE)</x:f>
        <x:v>120300</x:v>
      </x:c>
      <x:c r="F2747" s="66" t="n">
        <x:f>IF(E2747=0,0,D2747/E2747*10000)</x:f>
        <x:v>0</x:v>
      </x:c>
      <x:c r="G2747" s="67" t="n">
        <x:f>VLOOKUP(C2747,'Governorate Master'!$A$2:$Q$13,7,FALSE)</x:f>
        <x:v>54.4</x:v>
      </x:c>
      <x:c r="H2747" s="20" t="n">
        <x:f>VLOOKUP(C2747,'Governorate Master'!$A$2:$Q$13,6,FALSE)</x:f>
        <x:v>0.7797173732335827</x:v>
      </x:c>
      <x:c r="I2747" s="20" t="n">
        <x:f>VLOOKUP(C2747,'Governorate Master'!$A$2:$Q$13,15,FALSE)</x:f>
        <x:v>0.18452380952380953</x:v>
      </x:c>
      <x:c r="J2747" s="12" t="str">
        <x:v>Location model input - competition/saturation context</x:v>
      </x:c>
      <x:c r="K2747" s="12" t="str">
        <x:v>Business count is from 2018 while population/context indicators are newer; use as a historical proxy, not a current market count.</x:v>
      </x:c>
    </x:row>
    <x:row r="2748">
      <x:c r="A2748" s="12" t="str">
        <x:v>7020</x:v>
      </x:c>
      <x:c r="B2748" s="12" t="str">
        <x:v>Management consultancy activities</x:v>
      </x:c>
      <x:c r="C2748" s="12" t="str">
        <x:v>معان</x:v>
      </x:c>
      <x:c r="D2748" s="14" t="n">
        <x:v>0</x:v>
      </x:c>
      <x:c r="E2748" s="14" t="n">
        <x:f>VLOOKUP(C2748,'Governorate Master'!$A$2:$Q$13,3,FALSE)</x:f>
        <x:v>197900</x:v>
      </x:c>
      <x:c r="F2748" s="66" t="n">
        <x:f>IF(E2748=0,0,D2748/E2748*10000)</x:f>
        <x:v>0</x:v>
      </x:c>
      <x:c r="G2748" s="67" t="n">
        <x:f>VLOOKUP(C2748,'Governorate Master'!$A$2:$Q$13,7,FALSE)</x:f>
        <x:v>6</x:v>
      </x:c>
      <x:c r="H2748" s="20" t="n">
        <x:f>VLOOKUP(C2748,'Governorate Master'!$A$2:$Q$13,6,FALSE)</x:f>
        <x:v>0.5406771096513391</x:v>
      </x:c>
      <x:c r="I2748" s="20" t="n">
        <x:f>VLOOKUP(C2748,'Governorate Master'!$A$2:$Q$13,15,FALSE)</x:f>
        <x:v>0.026845637583892617</x:v>
      </x:c>
      <x:c r="J2748" s="12" t="str">
        <x:v>Location model input - competition/saturation context</x:v>
      </x:c>
      <x:c r="K2748" s="12" t="str">
        <x:v>Business count is from 2018 while population/context indicators are newer; use as a historical proxy, not a current market count.</x:v>
      </x:c>
    </x:row>
    <x:row r="2749">
      <x:c r="A2749" s="12" t="str">
        <x:v>7020</x:v>
      </x:c>
      <x:c r="B2749" s="12" t="str">
        <x:v>Management consultancy activities</x:v>
      </x:c>
      <x:c r="C2749" s="12" t="str">
        <x:v>العقبة</x:v>
      </x:c>
      <x:c r="D2749" s="14" t="n">
        <x:v>11</x:v>
      </x:c>
      <x:c r="E2749" s="14" t="n">
        <x:f>VLOOKUP(C2749,'Governorate Master'!$A$2:$Q$13,3,FALSE)</x:f>
        <x:v>250900</x:v>
      </x:c>
      <x:c r="F2749" s="66" t="n">
        <x:f>IF(E2749=0,0,D2749/E2749*10000)</x:f>
        <x:v>0.43842168194499803</x:v>
      </x:c>
      <x:c r="G2749" s="67" t="n">
        <x:f>VLOOKUP(C2749,'Governorate Master'!$A$2:$Q$13,7,FALSE)</x:f>
        <x:v>36.3</x:v>
      </x:c>
      <x:c r="H2749" s="20" t="n">
        <x:f>VLOOKUP(C2749,'Governorate Master'!$A$2:$Q$13,6,FALSE)</x:f>
        <x:v>0.882024711040255</x:v>
      </x:c>
      <x:c r="I2749" s="20" t="n">
        <x:f>VLOOKUP(C2749,'Governorate Master'!$A$2:$Q$13,15,FALSE)</x:f>
        <x:v>-0.09</x:v>
      </x:c>
      <x:c r="J2749" s="12" t="str">
        <x:v>Location model input - competition/saturation context</x:v>
      </x:c>
      <x:c r="K2749" s="12" t="str">
        <x:v>Business count is from 2018 while population/context indicators are newer; use as a historical proxy, not a current market count.</x:v>
      </x:c>
    </x:row>
    <x:row r="2750">
      <x:c r="A2750" s="12" t="str">
        <x:v>7110</x:v>
      </x:c>
      <x:c r="B2750" s="12" t="str">
        <x:v>Architectural and engineering activities and related technical consultancy</x:v>
      </x:c>
      <x:c r="C2750" s="12" t="str">
        <x:v>عمان</x:v>
      </x:c>
      <x:c r="D2750" s="14" t="n">
        <x:v>539</x:v>
      </x:c>
      <x:c r="E2750" s="14" t="n">
        <x:f>VLOOKUP(C2750,'Governorate Master'!$A$2:$Q$13,3,FALSE)</x:f>
        <x:v>5004600</x:v>
      </x:c>
      <x:c r="F2750" s="66" t="n">
        <x:f>IF(E2750=0,0,D2750/E2750*10000)</x:f>
        <x:v>1.077009151580546</x:v>
      </x:c>
      <x:c r="G2750" s="67" t="n">
        <x:f>VLOOKUP(C2750,'Governorate Master'!$A$2:$Q$13,7,FALSE)</x:f>
        <x:v>660.3</x:v>
      </x:c>
      <x:c r="H2750" s="20" t="n">
        <x:f>VLOOKUP(C2750,'Governorate Master'!$A$2:$Q$13,6,FALSE)</x:f>
        <x:v>0.9721656076409703</x:v>
      </x:c>
      <x:c r="I2750" s="20" t="n">
        <x:f>VLOOKUP(C2750,'Governorate Master'!$A$2:$Q$13,15,FALSE)</x:f>
        <x:v>0.06367041198501873</x:v>
      </x:c>
      <x:c r="J2750" s="12" t="str">
        <x:v>Location model input - competition/saturation context</x:v>
      </x:c>
      <x:c r="K2750" s="12" t="str">
        <x:v>Business count is from 2018 while population/context indicators are newer; use as a historical proxy, not a current market count.</x:v>
      </x:c>
    </x:row>
    <x:row r="2751">
      <x:c r="A2751" s="12" t="str">
        <x:v>7110</x:v>
      </x:c>
      <x:c r="B2751" s="12" t="str">
        <x:v>Architectural and engineering activities and related technical consultancy</x:v>
      </x:c>
      <x:c r="C2751" s="12" t="str">
        <x:v>البلقاء</x:v>
      </x:c>
      <x:c r="D2751" s="14" t="n">
        <x:v>32</x:v>
      </x:c>
      <x:c r="E2751" s="14" t="n">
        <x:f>VLOOKUP(C2751,'Governorate Master'!$A$2:$Q$13,3,FALSE)</x:f>
        <x:v>614000</x:v>
      </x:c>
      <x:c r="F2751" s="66" t="n">
        <x:f>IF(E2751=0,0,D2751/E2751*10000)</x:f>
        <x:v>0.5211726384364821</x:v>
      </x:c>
      <x:c r="G2751" s="67" t="n">
        <x:f>VLOOKUP(C2751,'Governorate Master'!$A$2:$Q$13,7,FALSE)</x:f>
        <x:v>548</x:v>
      </x:c>
      <x:c r="H2751" s="20" t="n">
        <x:f>VLOOKUP(C2751,'Governorate Master'!$A$2:$Q$13,6,FALSE)</x:f>
        <x:v>0.8210097719869707</x:v>
      </x:c>
      <x:c r="I2751" s="20" t="n">
        <x:f>VLOOKUP(C2751,'Governorate Master'!$A$2:$Q$13,15,FALSE)</x:f>
        <x:v>0.10794044665012408</x:v>
      </x:c>
      <x:c r="J2751" s="12" t="str">
        <x:v>Location model input - competition/saturation context</x:v>
      </x:c>
      <x:c r="K2751" s="12" t="str">
        <x:v>Business count is from 2018 while population/context indicators are newer; use as a historical proxy, not a current market count.</x:v>
      </x:c>
    </x:row>
    <x:row r="2752">
      <x:c r="A2752" s="12" t="str">
        <x:v>7110</x:v>
      </x:c>
      <x:c r="B2752" s="12" t="str">
        <x:v>Architectural and engineering activities and related technical consultancy</x:v>
      </x:c>
      <x:c r="C2752" s="12" t="str">
        <x:v>الزرقاء</x:v>
      </x:c>
      <x:c r="D2752" s="14" t="n">
        <x:v>81</x:v>
      </x:c>
      <x:c r="E2752" s="14" t="n">
        <x:f>VLOOKUP(C2752,'Governorate Master'!$A$2:$Q$13,3,FALSE)</x:f>
        <x:v>1704500</x:v>
      </x:c>
      <x:c r="F2752" s="66" t="n">
        <x:f>IF(E2752=0,0,D2752/E2752*10000)</x:f>
        <x:v>0.475212672337929</x:v>
      </x:c>
      <x:c r="G2752" s="67" t="n">
        <x:f>VLOOKUP(C2752,'Governorate Master'!$A$2:$Q$13,7,FALSE)</x:f>
        <x:v>358</x:v>
      </x:c>
      <x:c r="H2752" s="20" t="n">
        <x:f>VLOOKUP(C2752,'Governorate Master'!$A$2:$Q$13,6,FALSE)</x:f>
        <x:v>0.9636256966852449</x:v>
      </x:c>
      <x:c r="I2752" s="20" t="n">
        <x:f>VLOOKUP(C2752,'Governorate Master'!$A$2:$Q$13,15,FALSE)</x:f>
        <x:v>-0.06808762581409118</x:v>
      </x:c>
      <x:c r="J2752" s="12" t="str">
        <x:v>Location model input - competition/saturation context</x:v>
      </x:c>
      <x:c r="K2752" s="12" t="str">
        <x:v>Business count is from 2018 while population/context indicators are newer; use as a historical proxy, not a current market count.</x:v>
      </x:c>
    </x:row>
    <x:row r="2753">
      <x:c r="A2753" s="12" t="str">
        <x:v>7110</x:v>
      </x:c>
      <x:c r="B2753" s="12" t="str">
        <x:v>Architectural and engineering activities and related technical consultancy</x:v>
      </x:c>
      <x:c r="C2753" s="12" t="str">
        <x:v>مادبا</x:v>
      </x:c>
      <x:c r="D2753" s="14" t="n">
        <x:v>16</x:v>
      </x:c>
      <x:c r="E2753" s="14" t="n">
        <x:f>VLOOKUP(C2753,'Governorate Master'!$A$2:$Q$13,3,FALSE)</x:f>
        <x:v>236200</x:v>
      </x:c>
      <x:c r="F2753" s="66" t="n">
        <x:f>IF(E2753=0,0,D2753/E2753*10000)</x:f>
        <x:v>0.6773920406435224</x:v>
      </x:c>
      <x:c r="G2753" s="67" t="n">
        <x:f>VLOOKUP(C2753,'Governorate Master'!$A$2:$Q$13,7,FALSE)</x:f>
        <x:v>251.4</x:v>
      </x:c>
      <x:c r="H2753" s="20" t="n">
        <x:f>VLOOKUP(C2753,'Governorate Master'!$A$2:$Q$13,6,FALSE)</x:f>
        <x:v>0.7823878069432684</x:v>
      </x:c>
      <x:c r="I2753" s="20" t="n">
        <x:f>VLOOKUP(C2753,'Governorate Master'!$A$2:$Q$13,15,FALSE)</x:f>
        <x:v>-0.18823529411764706</x:v>
      </x:c>
      <x:c r="J2753" s="12" t="str">
        <x:v>Location model input - competition/saturation context</x:v>
      </x:c>
      <x:c r="K2753" s="12" t="str">
        <x:v>Business count is from 2018 while population/context indicators are newer; use as a historical proxy, not a current market count.</x:v>
      </x:c>
    </x:row>
    <x:row r="2754">
      <x:c r="A2754" s="12" t="str">
        <x:v>7110</x:v>
      </x:c>
      <x:c r="B2754" s="12" t="str">
        <x:v>Architectural and engineering activities and related technical consultancy</x:v>
      </x:c>
      <x:c r="C2754" s="12" t="str">
        <x:v>إربد</x:v>
      </x:c>
      <x:c r="D2754" s="14" t="n">
        <x:v>52</x:v>
      </x:c>
      <x:c r="E2754" s="14" t="n">
        <x:f>VLOOKUP(C2754,'Governorate Master'!$A$2:$Q$13,3,FALSE)</x:f>
        <x:v>2210500</x:v>
      </x:c>
      <x:c r="F2754" s="66" t="n">
        <x:f>IF(E2754=0,0,D2754/E2754*10000)</x:f>
        <x:v>0.23524089572494908</x:v>
      </x:c>
      <x:c r="G2754" s="67" t="n">
        <x:f>VLOOKUP(C2754,'Governorate Master'!$A$2:$Q$13,7,FALSE)</x:f>
        <x:v>1406.4</x:v>
      </x:c>
      <x:c r="H2754" s="20" t="n">
        <x:f>VLOOKUP(C2754,'Governorate Master'!$A$2:$Q$13,6,FALSE)</x:f>
        <x:v>0.9235014702555983</x:v>
      </x:c>
      <x:c r="I2754" s="20" t="n">
        <x:f>VLOOKUP(C2754,'Governorate Master'!$A$2:$Q$13,15,FALSE)</x:f>
        <x:v>0.07086922474549726</x:v>
      </x:c>
      <x:c r="J2754" s="12" t="str">
        <x:v>Location model input - competition/saturation context</x:v>
      </x:c>
      <x:c r="K2754" s="12" t="str">
        <x:v>Business count is from 2018 while population/context indicators are newer; use as a historical proxy, not a current market count.</x:v>
      </x:c>
    </x:row>
    <x:row r="2755">
      <x:c r="A2755" s="12" t="str">
        <x:v>7110</x:v>
      </x:c>
      <x:c r="B2755" s="12" t="str">
        <x:v>Architectural and engineering activities and related technical consultancy</x:v>
      </x:c>
      <x:c r="C2755" s="12" t="str">
        <x:v>المفرق</x:v>
      </x:c>
      <x:c r="D2755" s="14" t="n">
        <x:v>13</x:v>
      </x:c>
      <x:c r="E2755" s="14" t="n">
        <x:f>VLOOKUP(C2755,'Governorate Master'!$A$2:$Q$13,3,FALSE)</x:f>
        <x:v>686800</x:v>
      </x:c>
      <x:c r="F2755" s="66" t="n">
        <x:f>IF(E2755=0,0,D2755/E2755*10000)</x:f>
        <x:v>0.18928363424577752</x:v>
      </x:c>
      <x:c r="G2755" s="67" t="n">
        <x:f>VLOOKUP(C2755,'Governorate Master'!$A$2:$Q$13,7,FALSE)</x:f>
        <x:v>25.9</x:v>
      </x:c>
      <x:c r="H2755" s="20" t="n">
        <x:f>VLOOKUP(C2755,'Governorate Master'!$A$2:$Q$13,6,FALSE)</x:f>
        <x:v>0.6965637740244612</x:v>
      </x:c>
      <x:c r="I2755" s="20" t="n">
        <x:f>VLOOKUP(C2755,'Governorate Master'!$A$2:$Q$13,15,FALSE)</x:f>
        <x:v>-0.016638935108153077</x:v>
      </x:c>
      <x:c r="J2755" s="12" t="str">
        <x:v>Location model input - competition/saturation context</x:v>
      </x:c>
      <x:c r="K2755" s="12" t="str">
        <x:v>Business count is from 2018 while population/context indicators are newer; use as a historical proxy, not a current market count.</x:v>
      </x:c>
    </x:row>
    <x:row r="2756">
      <x:c r="A2756" s="12" t="str">
        <x:v>7110</x:v>
      </x:c>
      <x:c r="B2756" s="12" t="str">
        <x:v>Architectural and engineering activities and related technical consultancy</x:v>
      </x:c>
      <x:c r="C2756" s="12" t="str">
        <x:v>جرش</x:v>
      </x:c>
      <x:c r="D2756" s="14" t="n">
        <x:v>5</x:v>
      </x:c>
      <x:c r="E2756" s="14" t="n">
        <x:f>VLOOKUP(C2756,'Governorate Master'!$A$2:$Q$13,3,FALSE)</x:f>
        <x:v>296000</x:v>
      </x:c>
      <x:c r="F2756" s="66" t="n">
        <x:f>IF(E2756=0,0,D2756/E2756*10000)</x:f>
        <x:v>0.16891891891891891</x:v>
      </x:c>
      <x:c r="G2756" s="67" t="n">
        <x:f>VLOOKUP(C2756,'Governorate Master'!$A$2:$Q$13,7,FALSE)</x:f>
        <x:v>722.3</x:v>
      </x:c>
      <x:c r="H2756" s="20" t="n">
        <x:f>VLOOKUP(C2756,'Governorate Master'!$A$2:$Q$13,6,FALSE)</x:f>
        <x:v>0.7695945945945946</x:v>
      </x:c>
      <x:c r="I2756" s="20" t="n">
        <x:f>VLOOKUP(C2756,'Governorate Master'!$A$2:$Q$13,15,FALSE)</x:f>
        <x:v>-0.06527415143603134</x:v>
      </x:c>
      <x:c r="J2756" s="12" t="str">
        <x:v>Location model input - competition/saturation context</x:v>
      </x:c>
      <x:c r="K2756" s="12" t="str">
        <x:v>Business count is from 2018 while population/context indicators are newer; use as a historical proxy, not a current market count.</x:v>
      </x:c>
    </x:row>
    <x:row r="2757">
      <x:c r="A2757" s="12" t="str">
        <x:v>7110</x:v>
      </x:c>
      <x:c r="B2757" s="12" t="str">
        <x:v>Architectural and engineering activities and related technical consultancy</x:v>
      </x:c>
      <x:c r="C2757" s="12" t="str">
        <x:v>عجلون</x:v>
      </x:c>
      <x:c r="D2757" s="14" t="n">
        <x:v>10</x:v>
      </x:c>
      <x:c r="E2757" s="14" t="n">
        <x:f>VLOOKUP(C2757,'Governorate Master'!$A$2:$Q$13,3,FALSE)</x:f>
        <x:v>219900</x:v>
      </x:c>
      <x:c r="F2757" s="66" t="n">
        <x:f>IF(E2757=0,0,D2757/E2757*10000)</x:f>
        <x:v>0.4547521600727603</x:v>
      </x:c>
      <x:c r="G2757" s="67" t="n">
        <x:f>VLOOKUP(C2757,'Governorate Master'!$A$2:$Q$13,7,FALSE)</x:f>
        <x:v>524</x:v>
      </x:c>
      <x:c r="H2757" s="20" t="n">
        <x:f>VLOOKUP(C2757,'Governorate Master'!$A$2:$Q$13,6,FALSE)</x:f>
        <x:v>0.8390177353342428</x:v>
      </x:c>
      <x:c r="I2757" s="20" t="n">
        <x:f>VLOOKUP(C2757,'Governorate Master'!$A$2:$Q$13,15,FALSE)</x:f>
        <x:v>0.03614457831325301</x:v>
      </x:c>
      <x:c r="J2757" s="12" t="str">
        <x:v>Location model input - competition/saturation context</x:v>
      </x:c>
      <x:c r="K2757" s="12" t="str">
        <x:v>Business count is from 2018 while population/context indicators are newer; use as a historical proxy, not a current market count.</x:v>
      </x:c>
    </x:row>
    <x:row r="2758">
      <x:c r="A2758" s="12" t="str">
        <x:v>7110</x:v>
      </x:c>
      <x:c r="B2758" s="12" t="str">
        <x:v>Architectural and engineering activities and related technical consultancy</x:v>
      </x:c>
      <x:c r="C2758" s="12" t="str">
        <x:v>الكرك</x:v>
      </x:c>
      <x:c r="D2758" s="14" t="n">
        <x:v>29</x:v>
      </x:c>
      <x:c r="E2758" s="14" t="n">
        <x:f>VLOOKUP(C2758,'Governorate Master'!$A$2:$Q$13,3,FALSE)</x:f>
        <x:v>395400</x:v>
      </x:c>
      <x:c r="F2758" s="66" t="n">
        <x:f>IF(E2758=0,0,D2758/E2758*10000)</x:f>
        <x:v>0.7334344967121902</x:v>
      </x:c>
      <x:c r="G2758" s="67" t="n">
        <x:f>VLOOKUP(C2758,'Governorate Master'!$A$2:$Q$13,7,FALSE)</x:f>
        <x:v>113.1</x:v>
      </x:c>
      <x:c r="H2758" s="20" t="n">
        <x:f>VLOOKUP(C2758,'Governorate Master'!$A$2:$Q$13,6,FALSE)</x:f>
        <x:v>0.5912999494183105</x:v>
      </x:c>
      <x:c r="I2758" s="20" t="n">
        <x:f>VLOOKUP(C2758,'Governorate Master'!$A$2:$Q$13,15,FALSE)</x:f>
        <x:v>0.08710801393728224</x:v>
      </x:c>
      <x:c r="J2758" s="12" t="str">
        <x:v>Location model input - competition/saturation context</x:v>
      </x:c>
      <x:c r="K2758" s="12" t="str">
        <x:v>Business count is from 2018 while population/context indicators are newer; use as a historical proxy, not a current market count.</x:v>
      </x:c>
    </x:row>
    <x:row r="2759">
      <x:c r="A2759" s="12" t="str">
        <x:v>7110</x:v>
      </x:c>
      <x:c r="B2759" s="12" t="str">
        <x:v>Architectural and engineering activities and related technical consultancy</x:v>
      </x:c>
      <x:c r="C2759" s="12" t="str">
        <x:v>الطفيلة</x:v>
      </x:c>
      <x:c r="D2759" s="14" t="n">
        <x:v>7</x:v>
      </x:c>
      <x:c r="E2759" s="14" t="n">
        <x:f>VLOOKUP(C2759,'Governorate Master'!$A$2:$Q$13,3,FALSE)</x:f>
        <x:v>120300</x:v>
      </x:c>
      <x:c r="F2759" s="66" t="n">
        <x:f>IF(E2759=0,0,D2759/E2759*10000)</x:f>
        <x:v>0.5818786367414797</x:v>
      </x:c>
      <x:c r="G2759" s="67" t="n">
        <x:f>VLOOKUP(C2759,'Governorate Master'!$A$2:$Q$13,7,FALSE)</x:f>
        <x:v>54.4</x:v>
      </x:c>
      <x:c r="H2759" s="20" t="n">
        <x:f>VLOOKUP(C2759,'Governorate Master'!$A$2:$Q$13,6,FALSE)</x:f>
        <x:v>0.7797173732335827</x:v>
      </x:c>
      <x:c r="I2759" s="20" t="n">
        <x:f>VLOOKUP(C2759,'Governorate Master'!$A$2:$Q$13,15,FALSE)</x:f>
        <x:v>0.18452380952380953</x:v>
      </x:c>
      <x:c r="J2759" s="12" t="str">
        <x:v>Location model input - competition/saturation context</x:v>
      </x:c>
      <x:c r="K2759" s="12" t="str">
        <x:v>Business count is from 2018 while population/context indicators are newer; use as a historical proxy, not a current market count.</x:v>
      </x:c>
    </x:row>
    <x:row r="2760">
      <x:c r="A2760" s="12" t="str">
        <x:v>7110</x:v>
      </x:c>
      <x:c r="B2760" s="12" t="str">
        <x:v>Architectural and engineering activities and related technical consultancy</x:v>
      </x:c>
      <x:c r="C2760" s="12" t="str">
        <x:v>معان</x:v>
      </x:c>
      <x:c r="D2760" s="14" t="n">
        <x:v>2</x:v>
      </x:c>
      <x:c r="E2760" s="14" t="n">
        <x:f>VLOOKUP(C2760,'Governorate Master'!$A$2:$Q$13,3,FALSE)</x:f>
        <x:v>197900</x:v>
      </x:c>
      <x:c r="F2760" s="66" t="n">
        <x:f>IF(E2760=0,0,D2760/E2760*10000)</x:f>
        <x:v>0.1010611419909045</x:v>
      </x:c>
      <x:c r="G2760" s="67" t="n">
        <x:f>VLOOKUP(C2760,'Governorate Master'!$A$2:$Q$13,7,FALSE)</x:f>
        <x:v>6</x:v>
      </x:c>
      <x:c r="H2760" s="20" t="n">
        <x:f>VLOOKUP(C2760,'Governorate Master'!$A$2:$Q$13,6,FALSE)</x:f>
        <x:v>0.5406771096513391</x:v>
      </x:c>
      <x:c r="I2760" s="20" t="n">
        <x:f>VLOOKUP(C2760,'Governorate Master'!$A$2:$Q$13,15,FALSE)</x:f>
        <x:v>0.026845637583892617</x:v>
      </x:c>
      <x:c r="J2760" s="12" t="str">
        <x:v>Location model input - competition/saturation context</x:v>
      </x:c>
      <x:c r="K2760" s="12" t="str">
        <x:v>Business count is from 2018 while population/context indicators are newer; use as a historical proxy, not a current market count.</x:v>
      </x:c>
    </x:row>
    <x:row r="2761">
      <x:c r="A2761" s="12" t="str">
        <x:v>7110</x:v>
      </x:c>
      <x:c r="B2761" s="12" t="str">
        <x:v>Architectural and engineering activities and related technical consultancy</x:v>
      </x:c>
      <x:c r="C2761" s="12" t="str">
        <x:v>العقبة</x:v>
      </x:c>
      <x:c r="D2761" s="14" t="n">
        <x:v>17</x:v>
      </x:c>
      <x:c r="E2761" s="14" t="n">
        <x:f>VLOOKUP(C2761,'Governorate Master'!$A$2:$Q$13,3,FALSE)</x:f>
        <x:v>250900</x:v>
      </x:c>
      <x:c r="F2761" s="66" t="n">
        <x:f>IF(E2761=0,0,D2761/E2761*10000)</x:f>
        <x:v>0.6775607811877241</x:v>
      </x:c>
      <x:c r="G2761" s="67" t="n">
        <x:f>VLOOKUP(C2761,'Governorate Master'!$A$2:$Q$13,7,FALSE)</x:f>
        <x:v>36.3</x:v>
      </x:c>
      <x:c r="H2761" s="20" t="n">
        <x:f>VLOOKUP(C2761,'Governorate Master'!$A$2:$Q$13,6,FALSE)</x:f>
        <x:v>0.882024711040255</x:v>
      </x:c>
      <x:c r="I2761" s="20" t="n">
        <x:f>VLOOKUP(C2761,'Governorate Master'!$A$2:$Q$13,15,FALSE)</x:f>
        <x:v>-0.09</x:v>
      </x:c>
      <x:c r="J2761" s="12" t="str">
        <x:v>Location model input - competition/saturation context</x:v>
      </x:c>
      <x:c r="K2761" s="12" t="str">
        <x:v>Business count is from 2018 while population/context indicators are newer; use as a historical proxy, not a current market count.</x:v>
      </x:c>
    </x:row>
    <x:row r="2762">
      <x:c r="A2762" s="12" t="str">
        <x:v>7120</x:v>
      </x:c>
      <x:c r="B2762" s="12" t="str">
        <x:v>Technical testing and analysis</x:v>
      </x:c>
      <x:c r="C2762" s="12" t="str">
        <x:v>عمان</x:v>
      </x:c>
      <x:c r="D2762" s="14" t="n">
        <x:v>1</x:v>
      </x:c>
      <x:c r="E2762" s="14" t="n">
        <x:f>VLOOKUP(C2762,'Governorate Master'!$A$2:$Q$13,3,FALSE)</x:f>
        <x:v>5004600</x:v>
      </x:c>
      <x:c r="F2762" s="66" t="n">
        <x:f>IF(E2762=0,0,D2762/E2762*10000)</x:f>
        <x:v>0.0019981616912440555</x:v>
      </x:c>
      <x:c r="G2762" s="67" t="n">
        <x:f>VLOOKUP(C2762,'Governorate Master'!$A$2:$Q$13,7,FALSE)</x:f>
        <x:v>660.3</x:v>
      </x:c>
      <x:c r="H2762" s="20" t="n">
        <x:f>VLOOKUP(C2762,'Governorate Master'!$A$2:$Q$13,6,FALSE)</x:f>
        <x:v>0.9721656076409703</x:v>
      </x:c>
      <x:c r="I2762" s="20" t="n">
        <x:f>VLOOKUP(C2762,'Governorate Master'!$A$2:$Q$13,15,FALSE)</x:f>
        <x:v>0.06367041198501873</x:v>
      </x:c>
      <x:c r="J2762" s="12" t="str">
        <x:v>Location model input - competition/saturation context</x:v>
      </x:c>
      <x:c r="K2762" s="12" t="str">
        <x:v>Business count is from 2018 while population/context indicators are newer; use as a historical proxy, not a current market count.</x:v>
      </x:c>
    </x:row>
    <x:row r="2763">
      <x:c r="A2763" s="12" t="str">
        <x:v>7120</x:v>
      </x:c>
      <x:c r="B2763" s="12" t="str">
        <x:v>Technical testing and analysis</x:v>
      </x:c>
      <x:c r="C2763" s="12" t="str">
        <x:v>البلقاء</x:v>
      </x:c>
      <x:c r="D2763" s="14" t="n">
        <x:v>0</x:v>
      </x:c>
      <x:c r="E2763" s="14" t="n">
        <x:f>VLOOKUP(C2763,'Governorate Master'!$A$2:$Q$13,3,FALSE)</x:f>
        <x:v>614000</x:v>
      </x:c>
      <x:c r="F2763" s="66" t="n">
        <x:f>IF(E2763=0,0,D2763/E2763*10000)</x:f>
        <x:v>0</x:v>
      </x:c>
      <x:c r="G2763" s="67" t="n">
        <x:f>VLOOKUP(C2763,'Governorate Master'!$A$2:$Q$13,7,FALSE)</x:f>
        <x:v>548</x:v>
      </x:c>
      <x:c r="H2763" s="20" t="n">
        <x:f>VLOOKUP(C2763,'Governorate Master'!$A$2:$Q$13,6,FALSE)</x:f>
        <x:v>0.8210097719869707</x:v>
      </x:c>
      <x:c r="I2763" s="20" t="n">
        <x:f>VLOOKUP(C2763,'Governorate Master'!$A$2:$Q$13,15,FALSE)</x:f>
        <x:v>0.10794044665012408</x:v>
      </x:c>
      <x:c r="J2763" s="12" t="str">
        <x:v>Location model input - competition/saturation context</x:v>
      </x:c>
      <x:c r="K2763" s="12" t="str">
        <x:v>Business count is from 2018 while population/context indicators are newer; use as a historical proxy, not a current market count.</x:v>
      </x:c>
    </x:row>
    <x:row r="2764">
      <x:c r="A2764" s="12" t="str">
        <x:v>7120</x:v>
      </x:c>
      <x:c r="B2764" s="12" t="str">
        <x:v>Technical testing and analysis</x:v>
      </x:c>
      <x:c r="C2764" s="12" t="str">
        <x:v>الزرقاء</x:v>
      </x:c>
      <x:c r="D2764" s="14" t="n">
        <x:v>1</x:v>
      </x:c>
      <x:c r="E2764" s="14" t="n">
        <x:f>VLOOKUP(C2764,'Governorate Master'!$A$2:$Q$13,3,FALSE)</x:f>
        <x:v>1704500</x:v>
      </x:c>
      <x:c r="F2764" s="66" t="n">
        <x:f>IF(E2764=0,0,D2764/E2764*10000)</x:f>
        <x:v>0.005866823115283074</x:v>
      </x:c>
      <x:c r="G2764" s="67" t="n">
        <x:f>VLOOKUP(C2764,'Governorate Master'!$A$2:$Q$13,7,FALSE)</x:f>
        <x:v>358</x:v>
      </x:c>
      <x:c r="H2764" s="20" t="n">
        <x:f>VLOOKUP(C2764,'Governorate Master'!$A$2:$Q$13,6,FALSE)</x:f>
        <x:v>0.9636256966852449</x:v>
      </x:c>
      <x:c r="I2764" s="20" t="n">
        <x:f>VLOOKUP(C2764,'Governorate Master'!$A$2:$Q$13,15,FALSE)</x:f>
        <x:v>-0.06808762581409118</x:v>
      </x:c>
      <x:c r="J2764" s="12" t="str">
        <x:v>Location model input - competition/saturation context</x:v>
      </x:c>
      <x:c r="K2764" s="12" t="str">
        <x:v>Business count is from 2018 while population/context indicators are newer; use as a historical proxy, not a current market count.</x:v>
      </x:c>
    </x:row>
    <x:row r="2765">
      <x:c r="A2765" s="12" t="str">
        <x:v>7120</x:v>
      </x:c>
      <x:c r="B2765" s="12" t="str">
        <x:v>Technical testing and analysis</x:v>
      </x:c>
      <x:c r="C2765" s="12" t="str">
        <x:v>مادبا</x:v>
      </x:c>
      <x:c r="D2765" s="14" t="n">
        <x:v>0</x:v>
      </x:c>
      <x:c r="E2765" s="14" t="n">
        <x:f>VLOOKUP(C2765,'Governorate Master'!$A$2:$Q$13,3,FALSE)</x:f>
        <x:v>236200</x:v>
      </x:c>
      <x:c r="F2765" s="66" t="n">
        <x:f>IF(E2765=0,0,D2765/E2765*10000)</x:f>
        <x:v>0</x:v>
      </x:c>
      <x:c r="G2765" s="67" t="n">
        <x:f>VLOOKUP(C2765,'Governorate Master'!$A$2:$Q$13,7,FALSE)</x:f>
        <x:v>251.4</x:v>
      </x:c>
      <x:c r="H2765" s="20" t="n">
        <x:f>VLOOKUP(C2765,'Governorate Master'!$A$2:$Q$13,6,FALSE)</x:f>
        <x:v>0.7823878069432684</x:v>
      </x:c>
      <x:c r="I2765" s="20" t="n">
        <x:f>VLOOKUP(C2765,'Governorate Master'!$A$2:$Q$13,15,FALSE)</x:f>
        <x:v>-0.18823529411764706</x:v>
      </x:c>
      <x:c r="J2765" s="12" t="str">
        <x:v>Location model input - competition/saturation context</x:v>
      </x:c>
      <x:c r="K2765" s="12" t="str">
        <x:v>Business count is from 2018 while population/context indicators are newer; use as a historical proxy, not a current market count.</x:v>
      </x:c>
    </x:row>
    <x:row r="2766">
      <x:c r="A2766" s="12" t="str">
        <x:v>7120</x:v>
      </x:c>
      <x:c r="B2766" s="12" t="str">
        <x:v>Technical testing and analysis</x:v>
      </x:c>
      <x:c r="C2766" s="12" t="str">
        <x:v>إربد</x:v>
      </x:c>
      <x:c r="D2766" s="14" t="n">
        <x:v>0</x:v>
      </x:c>
      <x:c r="E2766" s="14" t="n">
        <x:f>VLOOKUP(C2766,'Governorate Master'!$A$2:$Q$13,3,FALSE)</x:f>
        <x:v>2210500</x:v>
      </x:c>
      <x:c r="F2766" s="66" t="n">
        <x:f>IF(E2766=0,0,D2766/E2766*10000)</x:f>
        <x:v>0</x:v>
      </x:c>
      <x:c r="G2766" s="67" t="n">
        <x:f>VLOOKUP(C2766,'Governorate Master'!$A$2:$Q$13,7,FALSE)</x:f>
        <x:v>1406.4</x:v>
      </x:c>
      <x:c r="H2766" s="20" t="n">
        <x:f>VLOOKUP(C2766,'Governorate Master'!$A$2:$Q$13,6,FALSE)</x:f>
        <x:v>0.9235014702555983</x:v>
      </x:c>
      <x:c r="I2766" s="20" t="n">
        <x:f>VLOOKUP(C2766,'Governorate Master'!$A$2:$Q$13,15,FALSE)</x:f>
        <x:v>0.07086922474549726</x:v>
      </x:c>
      <x:c r="J2766" s="12" t="str">
        <x:v>Location model input - competition/saturation context</x:v>
      </x:c>
      <x:c r="K2766" s="12" t="str">
        <x:v>Business count is from 2018 while population/context indicators are newer; use as a historical proxy, not a current market count.</x:v>
      </x:c>
    </x:row>
    <x:row r="2767">
      <x:c r="A2767" s="12" t="str">
        <x:v>7120</x:v>
      </x:c>
      <x:c r="B2767" s="12" t="str">
        <x:v>Technical testing and analysis</x:v>
      </x:c>
      <x:c r="C2767" s="12" t="str">
        <x:v>المفرق</x:v>
      </x:c>
      <x:c r="D2767" s="14" t="n">
        <x:v>0</x:v>
      </x:c>
      <x:c r="E2767" s="14" t="n">
        <x:f>VLOOKUP(C2767,'Governorate Master'!$A$2:$Q$13,3,FALSE)</x:f>
        <x:v>686800</x:v>
      </x:c>
      <x:c r="F2767" s="66" t="n">
        <x:f>IF(E2767=0,0,D2767/E2767*10000)</x:f>
        <x:v>0</x:v>
      </x:c>
      <x:c r="G2767" s="67" t="n">
        <x:f>VLOOKUP(C2767,'Governorate Master'!$A$2:$Q$13,7,FALSE)</x:f>
        <x:v>25.9</x:v>
      </x:c>
      <x:c r="H2767" s="20" t="n">
        <x:f>VLOOKUP(C2767,'Governorate Master'!$A$2:$Q$13,6,FALSE)</x:f>
        <x:v>0.6965637740244612</x:v>
      </x:c>
      <x:c r="I2767" s="20" t="n">
        <x:f>VLOOKUP(C2767,'Governorate Master'!$A$2:$Q$13,15,FALSE)</x:f>
        <x:v>-0.016638935108153077</x:v>
      </x:c>
      <x:c r="J2767" s="12" t="str">
        <x:v>Location model input - competition/saturation context</x:v>
      </x:c>
      <x:c r="K2767" s="12" t="str">
        <x:v>Business count is from 2018 while population/context indicators are newer; use as a historical proxy, not a current market count.</x:v>
      </x:c>
    </x:row>
    <x:row r="2768">
      <x:c r="A2768" s="12" t="str">
        <x:v>7120</x:v>
      </x:c>
      <x:c r="B2768" s="12" t="str">
        <x:v>Technical testing and analysis</x:v>
      </x:c>
      <x:c r="C2768" s="12" t="str">
        <x:v>جرش</x:v>
      </x:c>
      <x:c r="D2768" s="14" t="n">
        <x:v>0</x:v>
      </x:c>
      <x:c r="E2768" s="14" t="n">
        <x:f>VLOOKUP(C2768,'Governorate Master'!$A$2:$Q$13,3,FALSE)</x:f>
        <x:v>296000</x:v>
      </x:c>
      <x:c r="F2768" s="66" t="n">
        <x:f>IF(E2768=0,0,D2768/E2768*10000)</x:f>
        <x:v>0</x:v>
      </x:c>
      <x:c r="G2768" s="67" t="n">
        <x:f>VLOOKUP(C2768,'Governorate Master'!$A$2:$Q$13,7,FALSE)</x:f>
        <x:v>722.3</x:v>
      </x:c>
      <x:c r="H2768" s="20" t="n">
        <x:f>VLOOKUP(C2768,'Governorate Master'!$A$2:$Q$13,6,FALSE)</x:f>
        <x:v>0.7695945945945946</x:v>
      </x:c>
      <x:c r="I2768" s="20" t="n">
        <x:f>VLOOKUP(C2768,'Governorate Master'!$A$2:$Q$13,15,FALSE)</x:f>
        <x:v>-0.06527415143603134</x:v>
      </x:c>
      <x:c r="J2768" s="12" t="str">
        <x:v>Location model input - competition/saturation context</x:v>
      </x:c>
      <x:c r="K2768" s="12" t="str">
        <x:v>Business count is from 2018 while population/context indicators are newer; use as a historical proxy, not a current market count.</x:v>
      </x:c>
    </x:row>
    <x:row r="2769">
      <x:c r="A2769" s="12" t="str">
        <x:v>7120</x:v>
      </x:c>
      <x:c r="B2769" s="12" t="str">
        <x:v>Technical testing and analysis</x:v>
      </x:c>
      <x:c r="C2769" s="12" t="str">
        <x:v>عجلون</x:v>
      </x:c>
      <x:c r="D2769" s="14" t="n">
        <x:v>0</x:v>
      </x:c>
      <x:c r="E2769" s="14" t="n">
        <x:f>VLOOKUP(C2769,'Governorate Master'!$A$2:$Q$13,3,FALSE)</x:f>
        <x:v>219900</x:v>
      </x:c>
      <x:c r="F2769" s="66" t="n">
        <x:f>IF(E2769=0,0,D2769/E2769*10000)</x:f>
        <x:v>0</x:v>
      </x:c>
      <x:c r="G2769" s="67" t="n">
        <x:f>VLOOKUP(C2769,'Governorate Master'!$A$2:$Q$13,7,FALSE)</x:f>
        <x:v>524</x:v>
      </x:c>
      <x:c r="H2769" s="20" t="n">
        <x:f>VLOOKUP(C2769,'Governorate Master'!$A$2:$Q$13,6,FALSE)</x:f>
        <x:v>0.8390177353342428</x:v>
      </x:c>
      <x:c r="I2769" s="20" t="n">
        <x:f>VLOOKUP(C2769,'Governorate Master'!$A$2:$Q$13,15,FALSE)</x:f>
        <x:v>0.03614457831325301</x:v>
      </x:c>
      <x:c r="J2769" s="12" t="str">
        <x:v>Location model input - competition/saturation context</x:v>
      </x:c>
      <x:c r="K2769" s="12" t="str">
        <x:v>Business count is from 2018 while population/context indicators are newer; use as a historical proxy, not a current market count.</x:v>
      </x:c>
    </x:row>
    <x:row r="2770">
      <x:c r="A2770" s="12" t="str">
        <x:v>7120</x:v>
      </x:c>
      <x:c r="B2770" s="12" t="str">
        <x:v>Technical testing and analysis</x:v>
      </x:c>
      <x:c r="C2770" s="12" t="str">
        <x:v>الكرك</x:v>
      </x:c>
      <x:c r="D2770" s="14" t="n">
        <x:v>0</x:v>
      </x:c>
      <x:c r="E2770" s="14" t="n">
        <x:f>VLOOKUP(C2770,'Governorate Master'!$A$2:$Q$13,3,FALSE)</x:f>
        <x:v>395400</x:v>
      </x:c>
      <x:c r="F2770" s="66" t="n">
        <x:f>IF(E2770=0,0,D2770/E2770*10000)</x:f>
        <x:v>0</x:v>
      </x:c>
      <x:c r="G2770" s="67" t="n">
        <x:f>VLOOKUP(C2770,'Governorate Master'!$A$2:$Q$13,7,FALSE)</x:f>
        <x:v>113.1</x:v>
      </x:c>
      <x:c r="H2770" s="20" t="n">
        <x:f>VLOOKUP(C2770,'Governorate Master'!$A$2:$Q$13,6,FALSE)</x:f>
        <x:v>0.5912999494183105</x:v>
      </x:c>
      <x:c r="I2770" s="20" t="n">
        <x:f>VLOOKUP(C2770,'Governorate Master'!$A$2:$Q$13,15,FALSE)</x:f>
        <x:v>0.08710801393728224</x:v>
      </x:c>
      <x:c r="J2770" s="12" t="str">
        <x:v>Location model input - competition/saturation context</x:v>
      </x:c>
      <x:c r="K2770" s="12" t="str">
        <x:v>Business count is from 2018 while population/context indicators are newer; use as a historical proxy, not a current market count.</x:v>
      </x:c>
    </x:row>
    <x:row r="2771">
      <x:c r="A2771" s="12" t="str">
        <x:v>7120</x:v>
      </x:c>
      <x:c r="B2771" s="12" t="str">
        <x:v>Technical testing and analysis</x:v>
      </x:c>
      <x:c r="C2771" s="12" t="str">
        <x:v>الطفيلة</x:v>
      </x:c>
      <x:c r="D2771" s="14" t="n">
        <x:v>0</x:v>
      </x:c>
      <x:c r="E2771" s="14" t="n">
        <x:f>VLOOKUP(C2771,'Governorate Master'!$A$2:$Q$13,3,FALSE)</x:f>
        <x:v>120300</x:v>
      </x:c>
      <x:c r="F2771" s="66" t="n">
        <x:f>IF(E2771=0,0,D2771/E2771*10000)</x:f>
        <x:v>0</x:v>
      </x:c>
      <x:c r="G2771" s="67" t="n">
        <x:f>VLOOKUP(C2771,'Governorate Master'!$A$2:$Q$13,7,FALSE)</x:f>
        <x:v>54.4</x:v>
      </x:c>
      <x:c r="H2771" s="20" t="n">
        <x:f>VLOOKUP(C2771,'Governorate Master'!$A$2:$Q$13,6,FALSE)</x:f>
        <x:v>0.7797173732335827</x:v>
      </x:c>
      <x:c r="I2771" s="20" t="n">
        <x:f>VLOOKUP(C2771,'Governorate Master'!$A$2:$Q$13,15,FALSE)</x:f>
        <x:v>0.18452380952380953</x:v>
      </x:c>
      <x:c r="J2771" s="12" t="str">
        <x:v>Location model input - competition/saturation context</x:v>
      </x:c>
      <x:c r="K2771" s="12" t="str">
        <x:v>Business count is from 2018 while population/context indicators are newer; use as a historical proxy, not a current market count.</x:v>
      </x:c>
    </x:row>
    <x:row r="2772">
      <x:c r="A2772" s="12" t="str">
        <x:v>7120</x:v>
      </x:c>
      <x:c r="B2772" s="12" t="str">
        <x:v>Technical testing and analysis</x:v>
      </x:c>
      <x:c r="C2772" s="12" t="str">
        <x:v>معان</x:v>
      </x:c>
      <x:c r="D2772" s="14" t="n">
        <x:v>0</x:v>
      </x:c>
      <x:c r="E2772" s="14" t="n">
        <x:f>VLOOKUP(C2772,'Governorate Master'!$A$2:$Q$13,3,FALSE)</x:f>
        <x:v>197900</x:v>
      </x:c>
      <x:c r="F2772" s="66" t="n">
        <x:f>IF(E2772=0,0,D2772/E2772*10000)</x:f>
        <x:v>0</x:v>
      </x:c>
      <x:c r="G2772" s="67" t="n">
        <x:f>VLOOKUP(C2772,'Governorate Master'!$A$2:$Q$13,7,FALSE)</x:f>
        <x:v>6</x:v>
      </x:c>
      <x:c r="H2772" s="20" t="n">
        <x:f>VLOOKUP(C2772,'Governorate Master'!$A$2:$Q$13,6,FALSE)</x:f>
        <x:v>0.5406771096513391</x:v>
      </x:c>
      <x:c r="I2772" s="20" t="n">
        <x:f>VLOOKUP(C2772,'Governorate Master'!$A$2:$Q$13,15,FALSE)</x:f>
        <x:v>0.026845637583892617</x:v>
      </x:c>
      <x:c r="J2772" s="12" t="str">
        <x:v>Location model input - competition/saturation context</x:v>
      </x:c>
      <x:c r="K2772" s="12" t="str">
        <x:v>Business count is from 2018 while population/context indicators are newer; use as a historical proxy, not a current market count.</x:v>
      </x:c>
    </x:row>
    <x:row r="2773">
      <x:c r="A2773" s="12" t="str">
        <x:v>7120</x:v>
      </x:c>
      <x:c r="B2773" s="12" t="str">
        <x:v>Technical testing and analysis</x:v>
      </x:c>
      <x:c r="C2773" s="12" t="str">
        <x:v>العقبة</x:v>
      </x:c>
      <x:c r="D2773" s="14" t="n">
        <x:v>0</x:v>
      </x:c>
      <x:c r="E2773" s="14" t="n">
        <x:f>VLOOKUP(C2773,'Governorate Master'!$A$2:$Q$13,3,FALSE)</x:f>
        <x:v>250900</x:v>
      </x:c>
      <x:c r="F2773" s="66" t="n">
        <x:f>IF(E2773=0,0,D2773/E2773*10000)</x:f>
        <x:v>0</x:v>
      </x:c>
      <x:c r="G2773" s="67" t="n">
        <x:f>VLOOKUP(C2773,'Governorate Master'!$A$2:$Q$13,7,FALSE)</x:f>
        <x:v>36.3</x:v>
      </x:c>
      <x:c r="H2773" s="20" t="n">
        <x:f>VLOOKUP(C2773,'Governorate Master'!$A$2:$Q$13,6,FALSE)</x:f>
        <x:v>0.882024711040255</x:v>
      </x:c>
      <x:c r="I2773" s="20" t="n">
        <x:f>VLOOKUP(C2773,'Governorate Master'!$A$2:$Q$13,15,FALSE)</x:f>
        <x:v>-0.09</x:v>
      </x:c>
      <x:c r="J2773" s="12" t="str">
        <x:v>Location model input - competition/saturation context</x:v>
      </x:c>
      <x:c r="K2773" s="12" t="str">
        <x:v>Business count is from 2018 while population/context indicators are newer; use as a historical proxy, not a current market count.</x:v>
      </x:c>
    </x:row>
    <x:row r="2774">
      <x:c r="A2774" s="12" t="str">
        <x:v>7210</x:v>
      </x:c>
      <x:c r="B2774" s="12" t="str">
        <x:v>Research and experimental development on natural sciences and engineering</x:v>
      </x:c>
      <x:c r="C2774" s="12" t="str">
        <x:v>عمان</x:v>
      </x:c>
      <x:c r="D2774" s="14" t="n">
        <x:v>18</x:v>
      </x:c>
      <x:c r="E2774" s="14" t="n">
        <x:f>VLOOKUP(C2774,'Governorate Master'!$A$2:$Q$13,3,FALSE)</x:f>
        <x:v>5004600</x:v>
      </x:c>
      <x:c r="F2774" s="66" t="n">
        <x:f>IF(E2774=0,0,D2774/E2774*10000)</x:f>
        <x:v>0.035966910442393</x:v>
      </x:c>
      <x:c r="G2774" s="67" t="n">
        <x:f>VLOOKUP(C2774,'Governorate Master'!$A$2:$Q$13,7,FALSE)</x:f>
        <x:v>660.3</x:v>
      </x:c>
      <x:c r="H2774" s="20" t="n">
        <x:f>VLOOKUP(C2774,'Governorate Master'!$A$2:$Q$13,6,FALSE)</x:f>
        <x:v>0.9721656076409703</x:v>
      </x:c>
      <x:c r="I2774" s="20" t="n">
        <x:f>VLOOKUP(C2774,'Governorate Master'!$A$2:$Q$13,15,FALSE)</x:f>
        <x:v>0.06367041198501873</x:v>
      </x:c>
      <x:c r="J2774" s="12" t="str">
        <x:v>Location model input - competition/saturation context</x:v>
      </x:c>
      <x:c r="K2774" s="12" t="str">
        <x:v>Business count is from 2018 while population/context indicators are newer; use as a historical proxy, not a current market count.</x:v>
      </x:c>
    </x:row>
    <x:row r="2775">
      <x:c r="A2775" s="12" t="str">
        <x:v>7210</x:v>
      </x:c>
      <x:c r="B2775" s="12" t="str">
        <x:v>Research and experimental development on natural sciences and engineering</x:v>
      </x:c>
      <x:c r="C2775" s="12" t="str">
        <x:v>البلقاء</x:v>
      </x:c>
      <x:c r="D2775" s="14" t="n">
        <x:v>0</x:v>
      </x:c>
      <x:c r="E2775" s="14" t="n">
        <x:f>VLOOKUP(C2775,'Governorate Master'!$A$2:$Q$13,3,FALSE)</x:f>
        <x:v>614000</x:v>
      </x:c>
      <x:c r="F2775" s="66" t="n">
        <x:f>IF(E2775=0,0,D2775/E2775*10000)</x:f>
        <x:v>0</x:v>
      </x:c>
      <x:c r="G2775" s="67" t="n">
        <x:f>VLOOKUP(C2775,'Governorate Master'!$A$2:$Q$13,7,FALSE)</x:f>
        <x:v>548</x:v>
      </x:c>
      <x:c r="H2775" s="20" t="n">
        <x:f>VLOOKUP(C2775,'Governorate Master'!$A$2:$Q$13,6,FALSE)</x:f>
        <x:v>0.8210097719869707</x:v>
      </x:c>
      <x:c r="I2775" s="20" t="n">
        <x:f>VLOOKUP(C2775,'Governorate Master'!$A$2:$Q$13,15,FALSE)</x:f>
        <x:v>0.10794044665012408</x:v>
      </x:c>
      <x:c r="J2775" s="12" t="str">
        <x:v>Location model input - competition/saturation context</x:v>
      </x:c>
      <x:c r="K2775" s="12" t="str">
        <x:v>Business count is from 2018 while population/context indicators are newer; use as a historical proxy, not a current market count.</x:v>
      </x:c>
    </x:row>
    <x:row r="2776">
      <x:c r="A2776" s="12" t="str">
        <x:v>7210</x:v>
      </x:c>
      <x:c r="B2776" s="12" t="str">
        <x:v>Research and experimental development on natural sciences and engineering</x:v>
      </x:c>
      <x:c r="C2776" s="12" t="str">
        <x:v>الزرقاء</x:v>
      </x:c>
      <x:c r="D2776" s="14" t="n">
        <x:v>0</x:v>
      </x:c>
      <x:c r="E2776" s="14" t="n">
        <x:f>VLOOKUP(C2776,'Governorate Master'!$A$2:$Q$13,3,FALSE)</x:f>
        <x:v>1704500</x:v>
      </x:c>
      <x:c r="F2776" s="66" t="n">
        <x:f>IF(E2776=0,0,D2776/E2776*10000)</x:f>
        <x:v>0</x:v>
      </x:c>
      <x:c r="G2776" s="67" t="n">
        <x:f>VLOOKUP(C2776,'Governorate Master'!$A$2:$Q$13,7,FALSE)</x:f>
        <x:v>358</x:v>
      </x:c>
      <x:c r="H2776" s="20" t="n">
        <x:f>VLOOKUP(C2776,'Governorate Master'!$A$2:$Q$13,6,FALSE)</x:f>
        <x:v>0.9636256966852449</x:v>
      </x:c>
      <x:c r="I2776" s="20" t="n">
        <x:f>VLOOKUP(C2776,'Governorate Master'!$A$2:$Q$13,15,FALSE)</x:f>
        <x:v>-0.06808762581409118</x:v>
      </x:c>
      <x:c r="J2776" s="12" t="str">
        <x:v>Location model input - competition/saturation context</x:v>
      </x:c>
      <x:c r="K2776" s="12" t="str">
        <x:v>Business count is from 2018 while population/context indicators are newer; use as a historical proxy, not a current market count.</x:v>
      </x:c>
    </x:row>
    <x:row r="2777">
      <x:c r="A2777" s="12" t="str">
        <x:v>7210</x:v>
      </x:c>
      <x:c r="B2777" s="12" t="str">
        <x:v>Research and experimental development on natural sciences and engineering</x:v>
      </x:c>
      <x:c r="C2777" s="12" t="str">
        <x:v>مادبا</x:v>
      </x:c>
      <x:c r="D2777" s="14" t="n">
        <x:v>0</x:v>
      </x:c>
      <x:c r="E2777" s="14" t="n">
        <x:f>VLOOKUP(C2777,'Governorate Master'!$A$2:$Q$13,3,FALSE)</x:f>
        <x:v>236200</x:v>
      </x:c>
      <x:c r="F2777" s="66" t="n">
        <x:f>IF(E2777=0,0,D2777/E2777*10000)</x:f>
        <x:v>0</x:v>
      </x:c>
      <x:c r="G2777" s="67" t="n">
        <x:f>VLOOKUP(C2777,'Governorate Master'!$A$2:$Q$13,7,FALSE)</x:f>
        <x:v>251.4</x:v>
      </x:c>
      <x:c r="H2777" s="20" t="n">
        <x:f>VLOOKUP(C2777,'Governorate Master'!$A$2:$Q$13,6,FALSE)</x:f>
        <x:v>0.7823878069432684</x:v>
      </x:c>
      <x:c r="I2777" s="20" t="n">
        <x:f>VLOOKUP(C2777,'Governorate Master'!$A$2:$Q$13,15,FALSE)</x:f>
        <x:v>-0.18823529411764706</x:v>
      </x:c>
      <x:c r="J2777" s="12" t="str">
        <x:v>Location model input - competition/saturation context</x:v>
      </x:c>
      <x:c r="K2777" s="12" t="str">
        <x:v>Business count is from 2018 while population/context indicators are newer; use as a historical proxy, not a current market count.</x:v>
      </x:c>
    </x:row>
    <x:row r="2778">
      <x:c r="A2778" s="12" t="str">
        <x:v>7210</x:v>
      </x:c>
      <x:c r="B2778" s="12" t="str">
        <x:v>Research and experimental development on natural sciences and engineering</x:v>
      </x:c>
      <x:c r="C2778" s="12" t="str">
        <x:v>إربد</x:v>
      </x:c>
      <x:c r="D2778" s="14" t="n">
        <x:v>0</x:v>
      </x:c>
      <x:c r="E2778" s="14" t="n">
        <x:f>VLOOKUP(C2778,'Governorate Master'!$A$2:$Q$13,3,FALSE)</x:f>
        <x:v>2210500</x:v>
      </x:c>
      <x:c r="F2778" s="66" t="n">
        <x:f>IF(E2778=0,0,D2778/E2778*10000)</x:f>
        <x:v>0</x:v>
      </x:c>
      <x:c r="G2778" s="67" t="n">
        <x:f>VLOOKUP(C2778,'Governorate Master'!$A$2:$Q$13,7,FALSE)</x:f>
        <x:v>1406.4</x:v>
      </x:c>
      <x:c r="H2778" s="20" t="n">
        <x:f>VLOOKUP(C2778,'Governorate Master'!$A$2:$Q$13,6,FALSE)</x:f>
        <x:v>0.9235014702555983</x:v>
      </x:c>
      <x:c r="I2778" s="20" t="n">
        <x:f>VLOOKUP(C2778,'Governorate Master'!$A$2:$Q$13,15,FALSE)</x:f>
        <x:v>0.07086922474549726</x:v>
      </x:c>
      <x:c r="J2778" s="12" t="str">
        <x:v>Location model input - competition/saturation context</x:v>
      </x:c>
      <x:c r="K2778" s="12" t="str">
        <x:v>Business count is from 2018 while population/context indicators are newer; use as a historical proxy, not a current market count.</x:v>
      </x:c>
    </x:row>
    <x:row r="2779">
      <x:c r="A2779" s="12" t="str">
        <x:v>7210</x:v>
      </x:c>
      <x:c r="B2779" s="12" t="str">
        <x:v>Research and experimental development on natural sciences and engineering</x:v>
      </x:c>
      <x:c r="C2779" s="12" t="str">
        <x:v>المفرق</x:v>
      </x:c>
      <x:c r="D2779" s="14" t="n">
        <x:v>1</x:v>
      </x:c>
      <x:c r="E2779" s="14" t="n">
        <x:f>VLOOKUP(C2779,'Governorate Master'!$A$2:$Q$13,3,FALSE)</x:f>
        <x:v>686800</x:v>
      </x:c>
      <x:c r="F2779" s="66" t="n">
        <x:f>IF(E2779=0,0,D2779/E2779*10000)</x:f>
        <x:v>0.014560279557367502</x:v>
      </x:c>
      <x:c r="G2779" s="67" t="n">
        <x:f>VLOOKUP(C2779,'Governorate Master'!$A$2:$Q$13,7,FALSE)</x:f>
        <x:v>25.9</x:v>
      </x:c>
      <x:c r="H2779" s="20" t="n">
        <x:f>VLOOKUP(C2779,'Governorate Master'!$A$2:$Q$13,6,FALSE)</x:f>
        <x:v>0.6965637740244612</x:v>
      </x:c>
      <x:c r="I2779" s="20" t="n">
        <x:f>VLOOKUP(C2779,'Governorate Master'!$A$2:$Q$13,15,FALSE)</x:f>
        <x:v>-0.016638935108153077</x:v>
      </x:c>
      <x:c r="J2779" s="12" t="str">
        <x:v>Location model input - competition/saturation context</x:v>
      </x:c>
      <x:c r="K2779" s="12" t="str">
        <x:v>Business count is from 2018 while population/context indicators are newer; use as a historical proxy, not a current market count.</x:v>
      </x:c>
    </x:row>
    <x:row r="2780">
      <x:c r="A2780" s="12" t="str">
        <x:v>7210</x:v>
      </x:c>
      <x:c r="B2780" s="12" t="str">
        <x:v>Research and experimental development on natural sciences and engineering</x:v>
      </x:c>
      <x:c r="C2780" s="12" t="str">
        <x:v>جرش</x:v>
      </x:c>
      <x:c r="D2780" s="14" t="n">
        <x:v>0</x:v>
      </x:c>
      <x:c r="E2780" s="14" t="n">
        <x:f>VLOOKUP(C2780,'Governorate Master'!$A$2:$Q$13,3,FALSE)</x:f>
        <x:v>296000</x:v>
      </x:c>
      <x:c r="F2780" s="66" t="n">
        <x:f>IF(E2780=0,0,D2780/E2780*10000)</x:f>
        <x:v>0</x:v>
      </x:c>
      <x:c r="G2780" s="67" t="n">
        <x:f>VLOOKUP(C2780,'Governorate Master'!$A$2:$Q$13,7,FALSE)</x:f>
        <x:v>722.3</x:v>
      </x:c>
      <x:c r="H2780" s="20" t="n">
        <x:f>VLOOKUP(C2780,'Governorate Master'!$A$2:$Q$13,6,FALSE)</x:f>
        <x:v>0.7695945945945946</x:v>
      </x:c>
      <x:c r="I2780" s="20" t="n">
        <x:f>VLOOKUP(C2780,'Governorate Master'!$A$2:$Q$13,15,FALSE)</x:f>
        <x:v>-0.06527415143603134</x:v>
      </x:c>
      <x:c r="J2780" s="12" t="str">
        <x:v>Location model input - competition/saturation context</x:v>
      </x:c>
      <x:c r="K2780" s="12" t="str">
        <x:v>Business count is from 2018 while population/context indicators are newer; use as a historical proxy, not a current market count.</x:v>
      </x:c>
    </x:row>
    <x:row r="2781">
      <x:c r="A2781" s="12" t="str">
        <x:v>7210</x:v>
      </x:c>
      <x:c r="B2781" s="12" t="str">
        <x:v>Research and experimental development on natural sciences and engineering</x:v>
      </x:c>
      <x:c r="C2781" s="12" t="str">
        <x:v>عجلون</x:v>
      </x:c>
      <x:c r="D2781" s="14" t="n">
        <x:v>0</x:v>
      </x:c>
      <x:c r="E2781" s="14" t="n">
        <x:f>VLOOKUP(C2781,'Governorate Master'!$A$2:$Q$13,3,FALSE)</x:f>
        <x:v>219900</x:v>
      </x:c>
      <x:c r="F2781" s="66" t="n">
        <x:f>IF(E2781=0,0,D2781/E2781*10000)</x:f>
        <x:v>0</x:v>
      </x:c>
      <x:c r="G2781" s="67" t="n">
        <x:f>VLOOKUP(C2781,'Governorate Master'!$A$2:$Q$13,7,FALSE)</x:f>
        <x:v>524</x:v>
      </x:c>
      <x:c r="H2781" s="20" t="n">
        <x:f>VLOOKUP(C2781,'Governorate Master'!$A$2:$Q$13,6,FALSE)</x:f>
        <x:v>0.8390177353342428</x:v>
      </x:c>
      <x:c r="I2781" s="20" t="n">
        <x:f>VLOOKUP(C2781,'Governorate Master'!$A$2:$Q$13,15,FALSE)</x:f>
        <x:v>0.03614457831325301</x:v>
      </x:c>
      <x:c r="J2781" s="12" t="str">
        <x:v>Location model input - competition/saturation context</x:v>
      </x:c>
      <x:c r="K2781" s="12" t="str">
        <x:v>Business count is from 2018 while population/context indicators are newer; use as a historical proxy, not a current market count.</x:v>
      </x:c>
    </x:row>
    <x:row r="2782">
      <x:c r="A2782" s="12" t="str">
        <x:v>7210</x:v>
      </x:c>
      <x:c r="B2782" s="12" t="str">
        <x:v>Research and experimental development on natural sciences and engineering</x:v>
      </x:c>
      <x:c r="C2782" s="12" t="str">
        <x:v>الكرك</x:v>
      </x:c>
      <x:c r="D2782" s="14" t="n">
        <x:v>1</x:v>
      </x:c>
      <x:c r="E2782" s="14" t="n">
        <x:f>VLOOKUP(C2782,'Governorate Master'!$A$2:$Q$13,3,FALSE)</x:f>
        <x:v>395400</x:v>
      </x:c>
      <x:c r="F2782" s="66" t="n">
        <x:f>IF(E2782=0,0,D2782/E2782*10000)</x:f>
        <x:v>0.025290844714213452</x:v>
      </x:c>
      <x:c r="G2782" s="67" t="n">
        <x:f>VLOOKUP(C2782,'Governorate Master'!$A$2:$Q$13,7,FALSE)</x:f>
        <x:v>113.1</x:v>
      </x:c>
      <x:c r="H2782" s="20" t="n">
        <x:f>VLOOKUP(C2782,'Governorate Master'!$A$2:$Q$13,6,FALSE)</x:f>
        <x:v>0.5912999494183105</x:v>
      </x:c>
      <x:c r="I2782" s="20" t="n">
        <x:f>VLOOKUP(C2782,'Governorate Master'!$A$2:$Q$13,15,FALSE)</x:f>
        <x:v>0.08710801393728224</x:v>
      </x:c>
      <x:c r="J2782" s="12" t="str">
        <x:v>Location model input - competition/saturation context</x:v>
      </x:c>
      <x:c r="K2782" s="12" t="str">
        <x:v>Business count is from 2018 while population/context indicators are newer; use as a historical proxy, not a current market count.</x:v>
      </x:c>
    </x:row>
    <x:row r="2783">
      <x:c r="A2783" s="12" t="str">
        <x:v>7210</x:v>
      </x:c>
      <x:c r="B2783" s="12" t="str">
        <x:v>Research and experimental development on natural sciences and engineering</x:v>
      </x:c>
      <x:c r="C2783" s="12" t="str">
        <x:v>الطفيلة</x:v>
      </x:c>
      <x:c r="D2783" s="14" t="n">
        <x:v>0</x:v>
      </x:c>
      <x:c r="E2783" s="14" t="n">
        <x:f>VLOOKUP(C2783,'Governorate Master'!$A$2:$Q$13,3,FALSE)</x:f>
        <x:v>120300</x:v>
      </x:c>
      <x:c r="F2783" s="66" t="n">
        <x:f>IF(E2783=0,0,D2783/E2783*10000)</x:f>
        <x:v>0</x:v>
      </x:c>
      <x:c r="G2783" s="67" t="n">
        <x:f>VLOOKUP(C2783,'Governorate Master'!$A$2:$Q$13,7,FALSE)</x:f>
        <x:v>54.4</x:v>
      </x:c>
      <x:c r="H2783" s="20" t="n">
        <x:f>VLOOKUP(C2783,'Governorate Master'!$A$2:$Q$13,6,FALSE)</x:f>
        <x:v>0.7797173732335827</x:v>
      </x:c>
      <x:c r="I2783" s="20" t="n">
        <x:f>VLOOKUP(C2783,'Governorate Master'!$A$2:$Q$13,15,FALSE)</x:f>
        <x:v>0.18452380952380953</x:v>
      </x:c>
      <x:c r="J2783" s="12" t="str">
        <x:v>Location model input - competition/saturation context</x:v>
      </x:c>
      <x:c r="K2783" s="12" t="str">
        <x:v>Business count is from 2018 while population/context indicators are newer; use as a historical proxy, not a current market count.</x:v>
      </x:c>
    </x:row>
    <x:row r="2784">
      <x:c r="A2784" s="12" t="str">
        <x:v>7210</x:v>
      </x:c>
      <x:c r="B2784" s="12" t="str">
        <x:v>Research and experimental development on natural sciences and engineering</x:v>
      </x:c>
      <x:c r="C2784" s="12" t="str">
        <x:v>معان</x:v>
      </x:c>
      <x:c r="D2784" s="14" t="n">
        <x:v>0</x:v>
      </x:c>
      <x:c r="E2784" s="14" t="n">
        <x:f>VLOOKUP(C2784,'Governorate Master'!$A$2:$Q$13,3,FALSE)</x:f>
        <x:v>197900</x:v>
      </x:c>
      <x:c r="F2784" s="66" t="n">
        <x:f>IF(E2784=0,0,D2784/E2784*10000)</x:f>
        <x:v>0</x:v>
      </x:c>
      <x:c r="G2784" s="67" t="n">
        <x:f>VLOOKUP(C2784,'Governorate Master'!$A$2:$Q$13,7,FALSE)</x:f>
        <x:v>6</x:v>
      </x:c>
      <x:c r="H2784" s="20" t="n">
        <x:f>VLOOKUP(C2784,'Governorate Master'!$A$2:$Q$13,6,FALSE)</x:f>
        <x:v>0.5406771096513391</x:v>
      </x:c>
      <x:c r="I2784" s="20" t="n">
        <x:f>VLOOKUP(C2784,'Governorate Master'!$A$2:$Q$13,15,FALSE)</x:f>
        <x:v>0.026845637583892617</x:v>
      </x:c>
      <x:c r="J2784" s="12" t="str">
        <x:v>Location model input - competition/saturation context</x:v>
      </x:c>
      <x:c r="K2784" s="12" t="str">
        <x:v>Business count is from 2018 while population/context indicators are newer; use as a historical proxy, not a current market count.</x:v>
      </x:c>
    </x:row>
    <x:row r="2785">
      <x:c r="A2785" s="12" t="str">
        <x:v>7210</x:v>
      </x:c>
      <x:c r="B2785" s="12" t="str">
        <x:v>Research and experimental development on natural sciences and engineering</x:v>
      </x:c>
      <x:c r="C2785" s="12" t="str">
        <x:v>العقبة</x:v>
      </x:c>
      <x:c r="D2785" s="14" t="n">
        <x:v>0</x:v>
      </x:c>
      <x:c r="E2785" s="14" t="n">
        <x:f>VLOOKUP(C2785,'Governorate Master'!$A$2:$Q$13,3,FALSE)</x:f>
        <x:v>250900</x:v>
      </x:c>
      <x:c r="F2785" s="66" t="n">
        <x:f>IF(E2785=0,0,D2785/E2785*10000)</x:f>
        <x:v>0</x:v>
      </x:c>
      <x:c r="G2785" s="67" t="n">
        <x:f>VLOOKUP(C2785,'Governorate Master'!$A$2:$Q$13,7,FALSE)</x:f>
        <x:v>36.3</x:v>
      </x:c>
      <x:c r="H2785" s="20" t="n">
        <x:f>VLOOKUP(C2785,'Governorate Master'!$A$2:$Q$13,6,FALSE)</x:f>
        <x:v>0.882024711040255</x:v>
      </x:c>
      <x:c r="I2785" s="20" t="n">
        <x:f>VLOOKUP(C2785,'Governorate Master'!$A$2:$Q$13,15,FALSE)</x:f>
        <x:v>-0.09</x:v>
      </x:c>
      <x:c r="J2785" s="12" t="str">
        <x:v>Location model input - competition/saturation context</x:v>
      </x:c>
      <x:c r="K2785" s="12" t="str">
        <x:v>Business count is from 2018 while population/context indicators are newer; use as a historical proxy, not a current market count.</x:v>
      </x:c>
    </x:row>
    <x:row r="2786">
      <x:c r="A2786" s="12" t="str">
        <x:v>7220</x:v>
      </x:c>
      <x:c r="B2786" s="12" t="str">
        <x:v>Research and experimental development on social sciences and humanities</x:v>
      </x:c>
      <x:c r="C2786" s="12" t="str">
        <x:v>عمان</x:v>
      </x:c>
      <x:c r="D2786" s="14" t="n">
        <x:v>62</x:v>
      </x:c>
      <x:c r="E2786" s="14" t="n">
        <x:f>VLOOKUP(C2786,'Governorate Master'!$A$2:$Q$13,3,FALSE)</x:f>
        <x:v>5004600</x:v>
      </x:c>
      <x:c r="F2786" s="66" t="n">
        <x:f>IF(E2786=0,0,D2786/E2786*10000)</x:f>
        <x:v>0.12388602485713143</x:v>
      </x:c>
      <x:c r="G2786" s="67" t="n">
        <x:f>VLOOKUP(C2786,'Governorate Master'!$A$2:$Q$13,7,FALSE)</x:f>
        <x:v>660.3</x:v>
      </x:c>
      <x:c r="H2786" s="20" t="n">
        <x:f>VLOOKUP(C2786,'Governorate Master'!$A$2:$Q$13,6,FALSE)</x:f>
        <x:v>0.9721656076409703</x:v>
      </x:c>
      <x:c r="I2786" s="20" t="n">
        <x:f>VLOOKUP(C2786,'Governorate Master'!$A$2:$Q$13,15,FALSE)</x:f>
        <x:v>0.06367041198501873</x:v>
      </x:c>
      <x:c r="J2786" s="12" t="str">
        <x:v>Location model input - competition/saturation context</x:v>
      </x:c>
      <x:c r="K2786" s="12" t="str">
        <x:v>Business count is from 2018 while population/context indicators are newer; use as a historical proxy, not a current market count.</x:v>
      </x:c>
    </x:row>
    <x:row r="2787">
      <x:c r="A2787" s="12" t="str">
        <x:v>7220</x:v>
      </x:c>
      <x:c r="B2787" s="12" t="str">
        <x:v>Research and experimental development on social sciences and humanities</x:v>
      </x:c>
      <x:c r="C2787" s="12" t="str">
        <x:v>البلقاء</x:v>
      </x:c>
      <x:c r="D2787" s="14" t="n">
        <x:v>0</x:v>
      </x:c>
      <x:c r="E2787" s="14" t="n">
        <x:f>VLOOKUP(C2787,'Governorate Master'!$A$2:$Q$13,3,FALSE)</x:f>
        <x:v>614000</x:v>
      </x:c>
      <x:c r="F2787" s="66" t="n">
        <x:f>IF(E2787=0,0,D2787/E2787*10000)</x:f>
        <x:v>0</x:v>
      </x:c>
      <x:c r="G2787" s="67" t="n">
        <x:f>VLOOKUP(C2787,'Governorate Master'!$A$2:$Q$13,7,FALSE)</x:f>
        <x:v>548</x:v>
      </x:c>
      <x:c r="H2787" s="20" t="n">
        <x:f>VLOOKUP(C2787,'Governorate Master'!$A$2:$Q$13,6,FALSE)</x:f>
        <x:v>0.8210097719869707</x:v>
      </x:c>
      <x:c r="I2787" s="20" t="n">
        <x:f>VLOOKUP(C2787,'Governorate Master'!$A$2:$Q$13,15,FALSE)</x:f>
        <x:v>0.10794044665012408</x:v>
      </x:c>
      <x:c r="J2787" s="12" t="str">
        <x:v>Location model input - competition/saturation context</x:v>
      </x:c>
      <x:c r="K2787" s="12" t="str">
        <x:v>Business count is from 2018 while population/context indicators are newer; use as a historical proxy, not a current market count.</x:v>
      </x:c>
    </x:row>
    <x:row r="2788">
      <x:c r="A2788" s="12" t="str">
        <x:v>7220</x:v>
      </x:c>
      <x:c r="B2788" s="12" t="str">
        <x:v>Research and experimental development on social sciences and humanities</x:v>
      </x:c>
      <x:c r="C2788" s="12" t="str">
        <x:v>الزرقاء</x:v>
      </x:c>
      <x:c r="D2788" s="14" t="n">
        <x:v>2</x:v>
      </x:c>
      <x:c r="E2788" s="14" t="n">
        <x:f>VLOOKUP(C2788,'Governorate Master'!$A$2:$Q$13,3,FALSE)</x:f>
        <x:v>1704500</x:v>
      </x:c>
      <x:c r="F2788" s="66" t="n">
        <x:f>IF(E2788=0,0,D2788/E2788*10000)</x:f>
        <x:v>0.011733646230566148</x:v>
      </x:c>
      <x:c r="G2788" s="67" t="n">
        <x:f>VLOOKUP(C2788,'Governorate Master'!$A$2:$Q$13,7,FALSE)</x:f>
        <x:v>358</x:v>
      </x:c>
      <x:c r="H2788" s="20" t="n">
        <x:f>VLOOKUP(C2788,'Governorate Master'!$A$2:$Q$13,6,FALSE)</x:f>
        <x:v>0.9636256966852449</x:v>
      </x:c>
      <x:c r="I2788" s="20" t="n">
        <x:f>VLOOKUP(C2788,'Governorate Master'!$A$2:$Q$13,15,FALSE)</x:f>
        <x:v>-0.06808762581409118</x:v>
      </x:c>
      <x:c r="J2788" s="12" t="str">
        <x:v>Location model input - competition/saturation context</x:v>
      </x:c>
      <x:c r="K2788" s="12" t="str">
        <x:v>Business count is from 2018 while population/context indicators are newer; use as a historical proxy, not a current market count.</x:v>
      </x:c>
    </x:row>
    <x:row r="2789">
      <x:c r="A2789" s="12" t="str">
        <x:v>7220</x:v>
      </x:c>
      <x:c r="B2789" s="12" t="str">
        <x:v>Research and experimental development on social sciences and humanities</x:v>
      </x:c>
      <x:c r="C2789" s="12" t="str">
        <x:v>مادبا</x:v>
      </x:c>
      <x:c r="D2789" s="14" t="n">
        <x:v>2</x:v>
      </x:c>
      <x:c r="E2789" s="14" t="n">
        <x:f>VLOOKUP(C2789,'Governorate Master'!$A$2:$Q$13,3,FALSE)</x:f>
        <x:v>236200</x:v>
      </x:c>
      <x:c r="F2789" s="66" t="n">
        <x:f>IF(E2789=0,0,D2789/E2789*10000)</x:f>
        <x:v>0.0846740050804403</x:v>
      </x:c>
      <x:c r="G2789" s="67" t="n">
        <x:f>VLOOKUP(C2789,'Governorate Master'!$A$2:$Q$13,7,FALSE)</x:f>
        <x:v>251.4</x:v>
      </x:c>
      <x:c r="H2789" s="20" t="n">
        <x:f>VLOOKUP(C2789,'Governorate Master'!$A$2:$Q$13,6,FALSE)</x:f>
        <x:v>0.7823878069432684</x:v>
      </x:c>
      <x:c r="I2789" s="20" t="n">
        <x:f>VLOOKUP(C2789,'Governorate Master'!$A$2:$Q$13,15,FALSE)</x:f>
        <x:v>-0.18823529411764706</x:v>
      </x:c>
      <x:c r="J2789" s="12" t="str">
        <x:v>Location model input - competition/saturation context</x:v>
      </x:c>
      <x:c r="K2789" s="12" t="str">
        <x:v>Business count is from 2018 while population/context indicators are newer; use as a historical proxy, not a current market count.</x:v>
      </x:c>
    </x:row>
    <x:row r="2790">
      <x:c r="A2790" s="12" t="str">
        <x:v>7220</x:v>
      </x:c>
      <x:c r="B2790" s="12" t="str">
        <x:v>Research and experimental development on social sciences and humanities</x:v>
      </x:c>
      <x:c r="C2790" s="12" t="str">
        <x:v>إربد</x:v>
      </x:c>
      <x:c r="D2790" s="14" t="n">
        <x:v>6</x:v>
      </x:c>
      <x:c r="E2790" s="14" t="n">
        <x:f>VLOOKUP(C2790,'Governorate Master'!$A$2:$Q$13,3,FALSE)</x:f>
        <x:v>2210500</x:v>
      </x:c>
      <x:c r="F2790" s="66" t="n">
        <x:f>IF(E2790=0,0,D2790/E2790*10000)</x:f>
        <x:v>0.027143180275955664</x:v>
      </x:c>
      <x:c r="G2790" s="67" t="n">
        <x:f>VLOOKUP(C2790,'Governorate Master'!$A$2:$Q$13,7,FALSE)</x:f>
        <x:v>1406.4</x:v>
      </x:c>
      <x:c r="H2790" s="20" t="n">
        <x:f>VLOOKUP(C2790,'Governorate Master'!$A$2:$Q$13,6,FALSE)</x:f>
        <x:v>0.9235014702555983</x:v>
      </x:c>
      <x:c r="I2790" s="20" t="n">
        <x:f>VLOOKUP(C2790,'Governorate Master'!$A$2:$Q$13,15,FALSE)</x:f>
        <x:v>0.07086922474549726</x:v>
      </x:c>
      <x:c r="J2790" s="12" t="str">
        <x:v>Location model input - competition/saturation context</x:v>
      </x:c>
      <x:c r="K2790" s="12" t="str">
        <x:v>Business count is from 2018 while population/context indicators are newer; use as a historical proxy, not a current market count.</x:v>
      </x:c>
    </x:row>
    <x:row r="2791">
      <x:c r="A2791" s="12" t="str">
        <x:v>7220</x:v>
      </x:c>
      <x:c r="B2791" s="12" t="str">
        <x:v>Research and experimental development on social sciences and humanities</x:v>
      </x:c>
      <x:c r="C2791" s="12" t="str">
        <x:v>المفرق</x:v>
      </x:c>
      <x:c r="D2791" s="14" t="n">
        <x:v>0</x:v>
      </x:c>
      <x:c r="E2791" s="14" t="n">
        <x:f>VLOOKUP(C2791,'Governorate Master'!$A$2:$Q$13,3,FALSE)</x:f>
        <x:v>686800</x:v>
      </x:c>
      <x:c r="F2791" s="66" t="n">
        <x:f>IF(E2791=0,0,D2791/E2791*10000)</x:f>
        <x:v>0</x:v>
      </x:c>
      <x:c r="G2791" s="67" t="n">
        <x:f>VLOOKUP(C2791,'Governorate Master'!$A$2:$Q$13,7,FALSE)</x:f>
        <x:v>25.9</x:v>
      </x:c>
      <x:c r="H2791" s="20" t="n">
        <x:f>VLOOKUP(C2791,'Governorate Master'!$A$2:$Q$13,6,FALSE)</x:f>
        <x:v>0.6965637740244612</x:v>
      </x:c>
      <x:c r="I2791" s="20" t="n">
        <x:f>VLOOKUP(C2791,'Governorate Master'!$A$2:$Q$13,15,FALSE)</x:f>
        <x:v>-0.016638935108153077</x:v>
      </x:c>
      <x:c r="J2791" s="12" t="str">
        <x:v>Location model input - competition/saturation context</x:v>
      </x:c>
      <x:c r="K2791" s="12" t="str">
        <x:v>Business count is from 2018 while population/context indicators are newer; use as a historical proxy, not a current market count.</x:v>
      </x:c>
    </x:row>
    <x:row r="2792">
      <x:c r="A2792" s="12" t="str">
        <x:v>7220</x:v>
      </x:c>
      <x:c r="B2792" s="12" t="str">
        <x:v>Research and experimental development on social sciences and humanities</x:v>
      </x:c>
      <x:c r="C2792" s="12" t="str">
        <x:v>جرش</x:v>
      </x:c>
      <x:c r="D2792" s="14" t="n">
        <x:v>0</x:v>
      </x:c>
      <x:c r="E2792" s="14" t="n">
        <x:f>VLOOKUP(C2792,'Governorate Master'!$A$2:$Q$13,3,FALSE)</x:f>
        <x:v>296000</x:v>
      </x:c>
      <x:c r="F2792" s="66" t="n">
        <x:f>IF(E2792=0,0,D2792/E2792*10000)</x:f>
        <x:v>0</x:v>
      </x:c>
      <x:c r="G2792" s="67" t="n">
        <x:f>VLOOKUP(C2792,'Governorate Master'!$A$2:$Q$13,7,FALSE)</x:f>
        <x:v>722.3</x:v>
      </x:c>
      <x:c r="H2792" s="20" t="n">
        <x:f>VLOOKUP(C2792,'Governorate Master'!$A$2:$Q$13,6,FALSE)</x:f>
        <x:v>0.7695945945945946</x:v>
      </x:c>
      <x:c r="I2792" s="20" t="n">
        <x:f>VLOOKUP(C2792,'Governorate Master'!$A$2:$Q$13,15,FALSE)</x:f>
        <x:v>-0.06527415143603134</x:v>
      </x:c>
      <x:c r="J2792" s="12" t="str">
        <x:v>Location model input - competition/saturation context</x:v>
      </x:c>
      <x:c r="K2792" s="12" t="str">
        <x:v>Business count is from 2018 while population/context indicators are newer; use as a historical proxy, not a current market count.</x:v>
      </x:c>
    </x:row>
    <x:row r="2793">
      <x:c r="A2793" s="12" t="str">
        <x:v>7220</x:v>
      </x:c>
      <x:c r="B2793" s="12" t="str">
        <x:v>Research and experimental development on social sciences and humanities</x:v>
      </x:c>
      <x:c r="C2793" s="12" t="str">
        <x:v>عجلون</x:v>
      </x:c>
      <x:c r="D2793" s="14" t="n">
        <x:v>2</x:v>
      </x:c>
      <x:c r="E2793" s="14" t="n">
        <x:f>VLOOKUP(C2793,'Governorate Master'!$A$2:$Q$13,3,FALSE)</x:f>
        <x:v>219900</x:v>
      </x:c>
      <x:c r="F2793" s="66" t="n">
        <x:f>IF(E2793=0,0,D2793/E2793*10000)</x:f>
        <x:v>0.09095043201455207</x:v>
      </x:c>
      <x:c r="G2793" s="67" t="n">
        <x:f>VLOOKUP(C2793,'Governorate Master'!$A$2:$Q$13,7,FALSE)</x:f>
        <x:v>524</x:v>
      </x:c>
      <x:c r="H2793" s="20" t="n">
        <x:f>VLOOKUP(C2793,'Governorate Master'!$A$2:$Q$13,6,FALSE)</x:f>
        <x:v>0.8390177353342428</x:v>
      </x:c>
      <x:c r="I2793" s="20" t="n">
        <x:f>VLOOKUP(C2793,'Governorate Master'!$A$2:$Q$13,15,FALSE)</x:f>
        <x:v>0.03614457831325301</x:v>
      </x:c>
      <x:c r="J2793" s="12" t="str">
        <x:v>Location model input - competition/saturation context</x:v>
      </x:c>
      <x:c r="K2793" s="12" t="str">
        <x:v>Business count is from 2018 while population/context indicators are newer; use as a historical proxy, not a current market count.</x:v>
      </x:c>
    </x:row>
    <x:row r="2794">
      <x:c r="A2794" s="12" t="str">
        <x:v>7220</x:v>
      </x:c>
      <x:c r="B2794" s="12" t="str">
        <x:v>Research and experimental development on social sciences and humanities</x:v>
      </x:c>
      <x:c r="C2794" s="12" t="str">
        <x:v>الكرك</x:v>
      </x:c>
      <x:c r="D2794" s="14" t="n">
        <x:v>1</x:v>
      </x:c>
      <x:c r="E2794" s="14" t="n">
        <x:f>VLOOKUP(C2794,'Governorate Master'!$A$2:$Q$13,3,FALSE)</x:f>
        <x:v>395400</x:v>
      </x:c>
      <x:c r="F2794" s="66" t="n">
        <x:f>IF(E2794=0,0,D2794/E2794*10000)</x:f>
        <x:v>0.025290844714213452</x:v>
      </x:c>
      <x:c r="G2794" s="67" t="n">
        <x:f>VLOOKUP(C2794,'Governorate Master'!$A$2:$Q$13,7,FALSE)</x:f>
        <x:v>113.1</x:v>
      </x:c>
      <x:c r="H2794" s="20" t="n">
        <x:f>VLOOKUP(C2794,'Governorate Master'!$A$2:$Q$13,6,FALSE)</x:f>
        <x:v>0.5912999494183105</x:v>
      </x:c>
      <x:c r="I2794" s="20" t="n">
        <x:f>VLOOKUP(C2794,'Governorate Master'!$A$2:$Q$13,15,FALSE)</x:f>
        <x:v>0.08710801393728224</x:v>
      </x:c>
      <x:c r="J2794" s="12" t="str">
        <x:v>Location model input - competition/saturation context</x:v>
      </x:c>
      <x:c r="K2794" s="12" t="str">
        <x:v>Business count is from 2018 while population/context indicators are newer; use as a historical proxy, not a current market count.</x:v>
      </x:c>
    </x:row>
    <x:row r="2795">
      <x:c r="A2795" s="12" t="str">
        <x:v>7220</x:v>
      </x:c>
      <x:c r="B2795" s="12" t="str">
        <x:v>Research and experimental development on social sciences and humanities</x:v>
      </x:c>
      <x:c r="C2795" s="12" t="str">
        <x:v>الطفيلة</x:v>
      </x:c>
      <x:c r="D2795" s="14" t="n">
        <x:v>1</x:v>
      </x:c>
      <x:c r="E2795" s="14" t="n">
        <x:f>VLOOKUP(C2795,'Governorate Master'!$A$2:$Q$13,3,FALSE)</x:f>
        <x:v>120300</x:v>
      </x:c>
      <x:c r="F2795" s="66" t="n">
        <x:f>IF(E2795=0,0,D2795/E2795*10000)</x:f>
        <x:v>0.0831255195344971</x:v>
      </x:c>
      <x:c r="G2795" s="67" t="n">
        <x:f>VLOOKUP(C2795,'Governorate Master'!$A$2:$Q$13,7,FALSE)</x:f>
        <x:v>54.4</x:v>
      </x:c>
      <x:c r="H2795" s="20" t="n">
        <x:f>VLOOKUP(C2795,'Governorate Master'!$A$2:$Q$13,6,FALSE)</x:f>
        <x:v>0.7797173732335827</x:v>
      </x:c>
      <x:c r="I2795" s="20" t="n">
        <x:f>VLOOKUP(C2795,'Governorate Master'!$A$2:$Q$13,15,FALSE)</x:f>
        <x:v>0.18452380952380953</x:v>
      </x:c>
      <x:c r="J2795" s="12" t="str">
        <x:v>Location model input - competition/saturation context</x:v>
      </x:c>
      <x:c r="K2795" s="12" t="str">
        <x:v>Business count is from 2018 while population/context indicators are newer; use as a historical proxy, not a current market count.</x:v>
      </x:c>
    </x:row>
    <x:row r="2796">
      <x:c r="A2796" s="12" t="str">
        <x:v>7220</x:v>
      </x:c>
      <x:c r="B2796" s="12" t="str">
        <x:v>Research and experimental development on social sciences and humanities</x:v>
      </x:c>
      <x:c r="C2796" s="12" t="str">
        <x:v>معان</x:v>
      </x:c>
      <x:c r="D2796" s="14" t="n">
        <x:v>1</x:v>
      </x:c>
      <x:c r="E2796" s="14" t="n">
        <x:f>VLOOKUP(C2796,'Governorate Master'!$A$2:$Q$13,3,FALSE)</x:f>
        <x:v>197900</x:v>
      </x:c>
      <x:c r="F2796" s="66" t="n">
        <x:f>IF(E2796=0,0,D2796/E2796*10000)</x:f>
        <x:v>0.05053057099545225</x:v>
      </x:c>
      <x:c r="G2796" s="67" t="n">
        <x:f>VLOOKUP(C2796,'Governorate Master'!$A$2:$Q$13,7,FALSE)</x:f>
        <x:v>6</x:v>
      </x:c>
      <x:c r="H2796" s="20" t="n">
        <x:f>VLOOKUP(C2796,'Governorate Master'!$A$2:$Q$13,6,FALSE)</x:f>
        <x:v>0.5406771096513391</x:v>
      </x:c>
      <x:c r="I2796" s="20" t="n">
        <x:f>VLOOKUP(C2796,'Governorate Master'!$A$2:$Q$13,15,FALSE)</x:f>
        <x:v>0.026845637583892617</x:v>
      </x:c>
      <x:c r="J2796" s="12" t="str">
        <x:v>Location model input - competition/saturation context</x:v>
      </x:c>
      <x:c r="K2796" s="12" t="str">
        <x:v>Business count is from 2018 while population/context indicators are newer; use as a historical proxy, not a current market count.</x:v>
      </x:c>
    </x:row>
    <x:row r="2797">
      <x:c r="A2797" s="12" t="str">
        <x:v>7220</x:v>
      </x:c>
      <x:c r="B2797" s="12" t="str">
        <x:v>Research and experimental development on social sciences and humanities</x:v>
      </x:c>
      <x:c r="C2797" s="12" t="str">
        <x:v>العقبة</x:v>
      </x:c>
      <x:c r="D2797" s="14" t="n">
        <x:v>0</x:v>
      </x:c>
      <x:c r="E2797" s="14" t="n">
        <x:f>VLOOKUP(C2797,'Governorate Master'!$A$2:$Q$13,3,FALSE)</x:f>
        <x:v>250900</x:v>
      </x:c>
      <x:c r="F2797" s="66" t="n">
        <x:f>IF(E2797=0,0,D2797/E2797*10000)</x:f>
        <x:v>0</x:v>
      </x:c>
      <x:c r="G2797" s="67" t="n">
        <x:f>VLOOKUP(C2797,'Governorate Master'!$A$2:$Q$13,7,FALSE)</x:f>
        <x:v>36.3</x:v>
      </x:c>
      <x:c r="H2797" s="20" t="n">
        <x:f>VLOOKUP(C2797,'Governorate Master'!$A$2:$Q$13,6,FALSE)</x:f>
        <x:v>0.882024711040255</x:v>
      </x:c>
      <x:c r="I2797" s="20" t="n">
        <x:f>VLOOKUP(C2797,'Governorate Master'!$A$2:$Q$13,15,FALSE)</x:f>
        <x:v>-0.09</x:v>
      </x:c>
      <x:c r="J2797" s="12" t="str">
        <x:v>Location model input - competition/saturation context</x:v>
      </x:c>
      <x:c r="K2797" s="12" t="str">
        <x:v>Business count is from 2018 while population/context indicators are newer; use as a historical proxy, not a current market count.</x:v>
      </x:c>
    </x:row>
    <x:row r="2798">
      <x:c r="A2798" s="12" t="str">
        <x:v>7310</x:v>
      </x:c>
      <x:c r="B2798" s="12" t="str">
        <x:v>Advertising</x:v>
      </x:c>
      <x:c r="C2798" s="12" t="str">
        <x:v>عمان</x:v>
      </x:c>
      <x:c r="D2798" s="14" t="n">
        <x:v>261</x:v>
      </x:c>
      <x:c r="E2798" s="14" t="n">
        <x:f>VLOOKUP(C2798,'Governorate Master'!$A$2:$Q$13,3,FALSE)</x:f>
        <x:v>5004600</x:v>
      </x:c>
      <x:c r="F2798" s="66" t="n">
        <x:f>IF(E2798=0,0,D2798/E2798*10000)</x:f>
        <x:v>0.5215202014146985</x:v>
      </x:c>
      <x:c r="G2798" s="67" t="n">
        <x:f>VLOOKUP(C2798,'Governorate Master'!$A$2:$Q$13,7,FALSE)</x:f>
        <x:v>660.3</x:v>
      </x:c>
      <x:c r="H2798" s="20" t="n">
        <x:f>VLOOKUP(C2798,'Governorate Master'!$A$2:$Q$13,6,FALSE)</x:f>
        <x:v>0.9721656076409703</x:v>
      </x:c>
      <x:c r="I2798" s="20" t="n">
        <x:f>VLOOKUP(C2798,'Governorate Master'!$A$2:$Q$13,15,FALSE)</x:f>
        <x:v>0.06367041198501873</x:v>
      </x:c>
      <x:c r="J2798" s="12" t="str">
        <x:v>Location model input - competition/saturation context</x:v>
      </x:c>
      <x:c r="K2798" s="12" t="str">
        <x:v>Business count is from 2018 while population/context indicators are newer; use as a historical proxy, not a current market count.</x:v>
      </x:c>
    </x:row>
    <x:row r="2799">
      <x:c r="A2799" s="12" t="str">
        <x:v>7310</x:v>
      </x:c>
      <x:c r="B2799" s="12" t="str">
        <x:v>Advertising</x:v>
      </x:c>
      <x:c r="C2799" s="12" t="str">
        <x:v>البلقاء</x:v>
      </x:c>
      <x:c r="D2799" s="14" t="n">
        <x:v>18</x:v>
      </x:c>
      <x:c r="E2799" s="14" t="n">
        <x:f>VLOOKUP(C2799,'Governorate Master'!$A$2:$Q$13,3,FALSE)</x:f>
        <x:v>614000</x:v>
      </x:c>
      <x:c r="F2799" s="66" t="n">
        <x:f>IF(E2799=0,0,D2799/E2799*10000)</x:f>
        <x:v>0.2931596091205212</x:v>
      </x:c>
      <x:c r="G2799" s="67" t="n">
        <x:f>VLOOKUP(C2799,'Governorate Master'!$A$2:$Q$13,7,FALSE)</x:f>
        <x:v>548</x:v>
      </x:c>
      <x:c r="H2799" s="20" t="n">
        <x:f>VLOOKUP(C2799,'Governorate Master'!$A$2:$Q$13,6,FALSE)</x:f>
        <x:v>0.8210097719869707</x:v>
      </x:c>
      <x:c r="I2799" s="20" t="n">
        <x:f>VLOOKUP(C2799,'Governorate Master'!$A$2:$Q$13,15,FALSE)</x:f>
        <x:v>0.10794044665012408</x:v>
      </x:c>
      <x:c r="J2799" s="12" t="str">
        <x:v>Location model input - competition/saturation context</x:v>
      </x:c>
      <x:c r="K2799" s="12" t="str">
        <x:v>Business count is from 2018 while population/context indicators are newer; use as a historical proxy, not a current market count.</x:v>
      </x:c>
    </x:row>
    <x:row r="2800">
      <x:c r="A2800" s="12" t="str">
        <x:v>7310</x:v>
      </x:c>
      <x:c r="B2800" s="12" t="str">
        <x:v>Advertising</x:v>
      </x:c>
      <x:c r="C2800" s="12" t="str">
        <x:v>الزرقاء</x:v>
      </x:c>
      <x:c r="D2800" s="14" t="n">
        <x:v>72</x:v>
      </x:c>
      <x:c r="E2800" s="14" t="n">
        <x:f>VLOOKUP(C2800,'Governorate Master'!$A$2:$Q$13,3,FALSE)</x:f>
        <x:v>1704500</x:v>
      </x:c>
      <x:c r="F2800" s="66" t="n">
        <x:f>IF(E2800=0,0,D2800/E2800*10000)</x:f>
        <x:v>0.42241126430038134</x:v>
      </x:c>
      <x:c r="G2800" s="67" t="n">
        <x:f>VLOOKUP(C2800,'Governorate Master'!$A$2:$Q$13,7,FALSE)</x:f>
        <x:v>358</x:v>
      </x:c>
      <x:c r="H2800" s="20" t="n">
        <x:f>VLOOKUP(C2800,'Governorate Master'!$A$2:$Q$13,6,FALSE)</x:f>
        <x:v>0.9636256966852449</x:v>
      </x:c>
      <x:c r="I2800" s="20" t="n">
        <x:f>VLOOKUP(C2800,'Governorate Master'!$A$2:$Q$13,15,FALSE)</x:f>
        <x:v>-0.06808762581409118</x:v>
      </x:c>
      <x:c r="J2800" s="12" t="str">
        <x:v>Location model input - competition/saturation context</x:v>
      </x:c>
      <x:c r="K2800" s="12" t="str">
        <x:v>Business count is from 2018 while population/context indicators are newer; use as a historical proxy, not a current market count.</x:v>
      </x:c>
    </x:row>
    <x:row r="2801">
      <x:c r="A2801" s="12" t="str">
        <x:v>7310</x:v>
      </x:c>
      <x:c r="B2801" s="12" t="str">
        <x:v>Advertising</x:v>
      </x:c>
      <x:c r="C2801" s="12" t="str">
        <x:v>مادبا</x:v>
      </x:c>
      <x:c r="D2801" s="14" t="n">
        <x:v>18</x:v>
      </x:c>
      <x:c r="E2801" s="14" t="n">
        <x:f>VLOOKUP(C2801,'Governorate Master'!$A$2:$Q$13,3,FALSE)</x:f>
        <x:v>236200</x:v>
      </x:c>
      <x:c r="F2801" s="66" t="n">
        <x:f>IF(E2801=0,0,D2801/E2801*10000)</x:f>
        <x:v>0.7620660457239627</x:v>
      </x:c>
      <x:c r="G2801" s="67" t="n">
        <x:f>VLOOKUP(C2801,'Governorate Master'!$A$2:$Q$13,7,FALSE)</x:f>
        <x:v>251.4</x:v>
      </x:c>
      <x:c r="H2801" s="20" t="n">
        <x:f>VLOOKUP(C2801,'Governorate Master'!$A$2:$Q$13,6,FALSE)</x:f>
        <x:v>0.7823878069432684</x:v>
      </x:c>
      <x:c r="I2801" s="20" t="n">
        <x:f>VLOOKUP(C2801,'Governorate Master'!$A$2:$Q$13,15,FALSE)</x:f>
        <x:v>-0.18823529411764706</x:v>
      </x:c>
      <x:c r="J2801" s="12" t="str">
        <x:v>Location model input - competition/saturation context</x:v>
      </x:c>
      <x:c r="K2801" s="12" t="str">
        <x:v>Business count is from 2018 while population/context indicators are newer; use as a historical proxy, not a current market count.</x:v>
      </x:c>
    </x:row>
    <x:row r="2802">
      <x:c r="A2802" s="12" t="str">
        <x:v>7310</x:v>
      </x:c>
      <x:c r="B2802" s="12" t="str">
        <x:v>Advertising</x:v>
      </x:c>
      <x:c r="C2802" s="12" t="str">
        <x:v>إربد</x:v>
      </x:c>
      <x:c r="D2802" s="14" t="n">
        <x:v>53</x:v>
      </x:c>
      <x:c r="E2802" s="14" t="n">
        <x:f>VLOOKUP(C2802,'Governorate Master'!$A$2:$Q$13,3,FALSE)</x:f>
        <x:v>2210500</x:v>
      </x:c>
      <x:c r="F2802" s="66" t="n">
        <x:f>IF(E2802=0,0,D2802/E2802*10000)</x:f>
        <x:v>0.23976475910427503</x:v>
      </x:c>
      <x:c r="G2802" s="67" t="n">
        <x:f>VLOOKUP(C2802,'Governorate Master'!$A$2:$Q$13,7,FALSE)</x:f>
        <x:v>1406.4</x:v>
      </x:c>
      <x:c r="H2802" s="20" t="n">
        <x:f>VLOOKUP(C2802,'Governorate Master'!$A$2:$Q$13,6,FALSE)</x:f>
        <x:v>0.9235014702555983</x:v>
      </x:c>
      <x:c r="I2802" s="20" t="n">
        <x:f>VLOOKUP(C2802,'Governorate Master'!$A$2:$Q$13,15,FALSE)</x:f>
        <x:v>0.07086922474549726</x:v>
      </x:c>
      <x:c r="J2802" s="12" t="str">
        <x:v>Location model input - competition/saturation context</x:v>
      </x:c>
      <x:c r="K2802" s="12" t="str">
        <x:v>Business count is from 2018 while population/context indicators are newer; use as a historical proxy, not a current market count.</x:v>
      </x:c>
    </x:row>
    <x:row r="2803">
      <x:c r="A2803" s="12" t="str">
        <x:v>7310</x:v>
      </x:c>
      <x:c r="B2803" s="12" t="str">
        <x:v>Advertising</x:v>
      </x:c>
      <x:c r="C2803" s="12" t="str">
        <x:v>المفرق</x:v>
      </x:c>
      <x:c r="D2803" s="14" t="n">
        <x:v>4</x:v>
      </x:c>
      <x:c r="E2803" s="14" t="n">
        <x:f>VLOOKUP(C2803,'Governorate Master'!$A$2:$Q$13,3,FALSE)</x:f>
        <x:v>686800</x:v>
      </x:c>
      <x:c r="F2803" s="66" t="n">
        <x:f>IF(E2803=0,0,D2803/E2803*10000)</x:f>
        <x:v>0.05824111822947001</x:v>
      </x:c>
      <x:c r="G2803" s="67" t="n">
        <x:f>VLOOKUP(C2803,'Governorate Master'!$A$2:$Q$13,7,FALSE)</x:f>
        <x:v>25.9</x:v>
      </x:c>
      <x:c r="H2803" s="20" t="n">
        <x:f>VLOOKUP(C2803,'Governorate Master'!$A$2:$Q$13,6,FALSE)</x:f>
        <x:v>0.6965637740244612</x:v>
      </x:c>
      <x:c r="I2803" s="20" t="n">
        <x:f>VLOOKUP(C2803,'Governorate Master'!$A$2:$Q$13,15,FALSE)</x:f>
        <x:v>-0.016638935108153077</x:v>
      </x:c>
      <x:c r="J2803" s="12" t="str">
        <x:v>Location model input - competition/saturation context</x:v>
      </x:c>
      <x:c r="K2803" s="12" t="str">
        <x:v>Business count is from 2018 while population/context indicators are newer; use as a historical proxy, not a current market count.</x:v>
      </x:c>
    </x:row>
    <x:row r="2804">
      <x:c r="A2804" s="12" t="str">
        <x:v>7310</x:v>
      </x:c>
      <x:c r="B2804" s="12" t="str">
        <x:v>Advertising</x:v>
      </x:c>
      <x:c r="C2804" s="12" t="str">
        <x:v>جرش</x:v>
      </x:c>
      <x:c r="D2804" s="14" t="n">
        <x:v>4</x:v>
      </x:c>
      <x:c r="E2804" s="14" t="n">
        <x:f>VLOOKUP(C2804,'Governorate Master'!$A$2:$Q$13,3,FALSE)</x:f>
        <x:v>296000</x:v>
      </x:c>
      <x:c r="F2804" s="66" t="n">
        <x:f>IF(E2804=0,0,D2804/E2804*10000)</x:f>
        <x:v>0.13513513513513514</x:v>
      </x:c>
      <x:c r="G2804" s="67" t="n">
        <x:f>VLOOKUP(C2804,'Governorate Master'!$A$2:$Q$13,7,FALSE)</x:f>
        <x:v>722.3</x:v>
      </x:c>
      <x:c r="H2804" s="20" t="n">
        <x:f>VLOOKUP(C2804,'Governorate Master'!$A$2:$Q$13,6,FALSE)</x:f>
        <x:v>0.7695945945945946</x:v>
      </x:c>
      <x:c r="I2804" s="20" t="n">
        <x:f>VLOOKUP(C2804,'Governorate Master'!$A$2:$Q$13,15,FALSE)</x:f>
        <x:v>-0.06527415143603134</x:v>
      </x:c>
      <x:c r="J2804" s="12" t="str">
        <x:v>Location model input - competition/saturation context</x:v>
      </x:c>
      <x:c r="K2804" s="12" t="str">
        <x:v>Business count is from 2018 while population/context indicators are newer; use as a historical proxy, not a current market count.</x:v>
      </x:c>
    </x:row>
    <x:row r="2805">
      <x:c r="A2805" s="12" t="str">
        <x:v>7310</x:v>
      </x:c>
      <x:c r="B2805" s="12" t="str">
        <x:v>Advertising</x:v>
      </x:c>
      <x:c r="C2805" s="12" t="str">
        <x:v>عجلون</x:v>
      </x:c>
      <x:c r="D2805" s="14" t="n">
        <x:v>3</x:v>
      </x:c>
      <x:c r="E2805" s="14" t="n">
        <x:f>VLOOKUP(C2805,'Governorate Master'!$A$2:$Q$13,3,FALSE)</x:f>
        <x:v>219900</x:v>
      </x:c>
      <x:c r="F2805" s="66" t="n">
        <x:f>IF(E2805=0,0,D2805/E2805*10000)</x:f>
        <x:v>0.1364256480218281</x:v>
      </x:c>
      <x:c r="G2805" s="67" t="n">
        <x:f>VLOOKUP(C2805,'Governorate Master'!$A$2:$Q$13,7,FALSE)</x:f>
        <x:v>524</x:v>
      </x:c>
      <x:c r="H2805" s="20" t="n">
        <x:f>VLOOKUP(C2805,'Governorate Master'!$A$2:$Q$13,6,FALSE)</x:f>
        <x:v>0.8390177353342428</x:v>
      </x:c>
      <x:c r="I2805" s="20" t="n">
        <x:f>VLOOKUP(C2805,'Governorate Master'!$A$2:$Q$13,15,FALSE)</x:f>
        <x:v>0.03614457831325301</x:v>
      </x:c>
      <x:c r="J2805" s="12" t="str">
        <x:v>Location model input - competition/saturation context</x:v>
      </x:c>
      <x:c r="K2805" s="12" t="str">
        <x:v>Business count is from 2018 while population/context indicators are newer; use as a historical proxy, not a current market count.</x:v>
      </x:c>
    </x:row>
    <x:row r="2806">
      <x:c r="A2806" s="12" t="str">
        <x:v>7310</x:v>
      </x:c>
      <x:c r="B2806" s="12" t="str">
        <x:v>Advertising</x:v>
      </x:c>
      <x:c r="C2806" s="12" t="str">
        <x:v>الكرك</x:v>
      </x:c>
      <x:c r="D2806" s="14" t="n">
        <x:v>11</x:v>
      </x:c>
      <x:c r="E2806" s="14" t="n">
        <x:f>VLOOKUP(C2806,'Governorate Master'!$A$2:$Q$13,3,FALSE)</x:f>
        <x:v>395400</x:v>
      </x:c>
      <x:c r="F2806" s="66" t="n">
        <x:f>IF(E2806=0,0,D2806/E2806*10000)</x:f>
        <x:v>0.278199291856348</x:v>
      </x:c>
      <x:c r="G2806" s="67" t="n">
        <x:f>VLOOKUP(C2806,'Governorate Master'!$A$2:$Q$13,7,FALSE)</x:f>
        <x:v>113.1</x:v>
      </x:c>
      <x:c r="H2806" s="20" t="n">
        <x:f>VLOOKUP(C2806,'Governorate Master'!$A$2:$Q$13,6,FALSE)</x:f>
        <x:v>0.5912999494183105</x:v>
      </x:c>
      <x:c r="I2806" s="20" t="n">
        <x:f>VLOOKUP(C2806,'Governorate Master'!$A$2:$Q$13,15,FALSE)</x:f>
        <x:v>0.08710801393728224</x:v>
      </x:c>
      <x:c r="J2806" s="12" t="str">
        <x:v>Location model input - competition/saturation context</x:v>
      </x:c>
      <x:c r="K2806" s="12" t="str">
        <x:v>Business count is from 2018 while population/context indicators are newer; use as a historical proxy, not a current market count.</x:v>
      </x:c>
    </x:row>
    <x:row r="2807">
      <x:c r="A2807" s="12" t="str">
        <x:v>7310</x:v>
      </x:c>
      <x:c r="B2807" s="12" t="str">
        <x:v>Advertising</x:v>
      </x:c>
      <x:c r="C2807" s="12" t="str">
        <x:v>الطفيلة</x:v>
      </x:c>
      <x:c r="D2807" s="14" t="n">
        <x:v>4</x:v>
      </x:c>
      <x:c r="E2807" s="14" t="n">
        <x:f>VLOOKUP(C2807,'Governorate Master'!$A$2:$Q$13,3,FALSE)</x:f>
        <x:v>120300</x:v>
      </x:c>
      <x:c r="F2807" s="66" t="n">
        <x:f>IF(E2807=0,0,D2807/E2807*10000)</x:f>
        <x:v>0.3325020781379884</x:v>
      </x:c>
      <x:c r="G2807" s="67" t="n">
        <x:f>VLOOKUP(C2807,'Governorate Master'!$A$2:$Q$13,7,FALSE)</x:f>
        <x:v>54.4</x:v>
      </x:c>
      <x:c r="H2807" s="20" t="n">
        <x:f>VLOOKUP(C2807,'Governorate Master'!$A$2:$Q$13,6,FALSE)</x:f>
        <x:v>0.7797173732335827</x:v>
      </x:c>
      <x:c r="I2807" s="20" t="n">
        <x:f>VLOOKUP(C2807,'Governorate Master'!$A$2:$Q$13,15,FALSE)</x:f>
        <x:v>0.18452380952380953</x:v>
      </x:c>
      <x:c r="J2807" s="12" t="str">
        <x:v>Location model input - competition/saturation context</x:v>
      </x:c>
      <x:c r="K2807" s="12" t="str">
        <x:v>Business count is from 2018 while population/context indicators are newer; use as a historical proxy, not a current market count.</x:v>
      </x:c>
    </x:row>
    <x:row r="2808">
      <x:c r="A2808" s="12" t="str">
        <x:v>7310</x:v>
      </x:c>
      <x:c r="B2808" s="12" t="str">
        <x:v>Advertising</x:v>
      </x:c>
      <x:c r="C2808" s="12" t="str">
        <x:v>معان</x:v>
      </x:c>
      <x:c r="D2808" s="14" t="n">
        <x:v>4</x:v>
      </x:c>
      <x:c r="E2808" s="14" t="n">
        <x:f>VLOOKUP(C2808,'Governorate Master'!$A$2:$Q$13,3,FALSE)</x:f>
        <x:v>197900</x:v>
      </x:c>
      <x:c r="F2808" s="66" t="n">
        <x:f>IF(E2808=0,0,D2808/E2808*10000)</x:f>
        <x:v>0.202122283981809</x:v>
      </x:c>
      <x:c r="G2808" s="67" t="n">
        <x:f>VLOOKUP(C2808,'Governorate Master'!$A$2:$Q$13,7,FALSE)</x:f>
        <x:v>6</x:v>
      </x:c>
      <x:c r="H2808" s="20" t="n">
        <x:f>VLOOKUP(C2808,'Governorate Master'!$A$2:$Q$13,6,FALSE)</x:f>
        <x:v>0.5406771096513391</x:v>
      </x:c>
      <x:c r="I2808" s="20" t="n">
        <x:f>VLOOKUP(C2808,'Governorate Master'!$A$2:$Q$13,15,FALSE)</x:f>
        <x:v>0.026845637583892617</x:v>
      </x:c>
      <x:c r="J2808" s="12" t="str">
        <x:v>Location model input - competition/saturation context</x:v>
      </x:c>
      <x:c r="K2808" s="12" t="str">
        <x:v>Business count is from 2018 while population/context indicators are newer; use as a historical proxy, not a current market count.</x:v>
      </x:c>
    </x:row>
    <x:row r="2809">
      <x:c r="A2809" s="12" t="str">
        <x:v>7310</x:v>
      </x:c>
      <x:c r="B2809" s="12" t="str">
        <x:v>Advertising</x:v>
      </x:c>
      <x:c r="C2809" s="12" t="str">
        <x:v>العقبة</x:v>
      </x:c>
      <x:c r="D2809" s="14" t="n">
        <x:v>10</x:v>
      </x:c>
      <x:c r="E2809" s="14" t="n">
        <x:f>VLOOKUP(C2809,'Governorate Master'!$A$2:$Q$13,3,FALSE)</x:f>
        <x:v>250900</x:v>
      </x:c>
      <x:c r="F2809" s="66" t="n">
        <x:f>IF(E2809=0,0,D2809/E2809*10000)</x:f>
        <x:v>0.3985651654045436</x:v>
      </x:c>
      <x:c r="G2809" s="67" t="n">
        <x:f>VLOOKUP(C2809,'Governorate Master'!$A$2:$Q$13,7,FALSE)</x:f>
        <x:v>36.3</x:v>
      </x:c>
      <x:c r="H2809" s="20" t="n">
        <x:f>VLOOKUP(C2809,'Governorate Master'!$A$2:$Q$13,6,FALSE)</x:f>
        <x:v>0.882024711040255</x:v>
      </x:c>
      <x:c r="I2809" s="20" t="n">
        <x:f>VLOOKUP(C2809,'Governorate Master'!$A$2:$Q$13,15,FALSE)</x:f>
        <x:v>-0.09</x:v>
      </x:c>
      <x:c r="J2809" s="12" t="str">
        <x:v>Location model input - competition/saturation context</x:v>
      </x:c>
      <x:c r="K2809" s="12" t="str">
        <x:v>Business count is from 2018 while population/context indicators are newer; use as a historical proxy, not a current market count.</x:v>
      </x:c>
    </x:row>
    <x:row r="2810">
      <x:c r="A2810" s="12" t="str">
        <x:v>7320</x:v>
      </x:c>
      <x:c r="B2810" s="12" t="str">
        <x:v>Market research and public opinion polling</x:v>
      </x:c>
      <x:c r="C2810" s="12" t="str">
        <x:v>عمان</x:v>
      </x:c>
      <x:c r="D2810" s="14" t="n">
        <x:v>17</x:v>
      </x:c>
      <x:c r="E2810" s="14" t="n">
        <x:f>VLOOKUP(C2810,'Governorate Master'!$A$2:$Q$13,3,FALSE)</x:f>
        <x:v>5004600</x:v>
      </x:c>
      <x:c r="F2810" s="66" t="n">
        <x:f>IF(E2810=0,0,D2810/E2810*10000)</x:f>
        <x:v>0.03396874875114894</x:v>
      </x:c>
      <x:c r="G2810" s="67" t="n">
        <x:f>VLOOKUP(C2810,'Governorate Master'!$A$2:$Q$13,7,FALSE)</x:f>
        <x:v>660.3</x:v>
      </x:c>
      <x:c r="H2810" s="20" t="n">
        <x:f>VLOOKUP(C2810,'Governorate Master'!$A$2:$Q$13,6,FALSE)</x:f>
        <x:v>0.9721656076409703</x:v>
      </x:c>
      <x:c r="I2810" s="20" t="n">
        <x:f>VLOOKUP(C2810,'Governorate Master'!$A$2:$Q$13,15,FALSE)</x:f>
        <x:v>0.06367041198501873</x:v>
      </x:c>
      <x:c r="J2810" s="12" t="str">
        <x:v>Location model input - competition/saturation context</x:v>
      </x:c>
      <x:c r="K2810" s="12" t="str">
        <x:v>Business count is from 2018 while population/context indicators are newer; use as a historical proxy, not a current market count.</x:v>
      </x:c>
    </x:row>
    <x:row r="2811">
      <x:c r="A2811" s="12" t="str">
        <x:v>7320</x:v>
      </x:c>
      <x:c r="B2811" s="12" t="str">
        <x:v>Market research and public opinion polling</x:v>
      </x:c>
      <x:c r="C2811" s="12" t="str">
        <x:v>البلقاء</x:v>
      </x:c>
      <x:c r="D2811" s="14" t="n">
        <x:v>2</x:v>
      </x:c>
      <x:c r="E2811" s="14" t="n">
        <x:f>VLOOKUP(C2811,'Governorate Master'!$A$2:$Q$13,3,FALSE)</x:f>
        <x:v>614000</x:v>
      </x:c>
      <x:c r="F2811" s="66" t="n">
        <x:f>IF(E2811=0,0,D2811/E2811*10000)</x:f>
        <x:v>0.03257328990228013</x:v>
      </x:c>
      <x:c r="G2811" s="67" t="n">
        <x:f>VLOOKUP(C2811,'Governorate Master'!$A$2:$Q$13,7,FALSE)</x:f>
        <x:v>548</x:v>
      </x:c>
      <x:c r="H2811" s="20" t="n">
        <x:f>VLOOKUP(C2811,'Governorate Master'!$A$2:$Q$13,6,FALSE)</x:f>
        <x:v>0.8210097719869707</x:v>
      </x:c>
      <x:c r="I2811" s="20" t="n">
        <x:f>VLOOKUP(C2811,'Governorate Master'!$A$2:$Q$13,15,FALSE)</x:f>
        <x:v>0.10794044665012408</x:v>
      </x:c>
      <x:c r="J2811" s="12" t="str">
        <x:v>Location model input - competition/saturation context</x:v>
      </x:c>
      <x:c r="K2811" s="12" t="str">
        <x:v>Business count is from 2018 while population/context indicators are newer; use as a historical proxy, not a current market count.</x:v>
      </x:c>
    </x:row>
    <x:row r="2812">
      <x:c r="A2812" s="12" t="str">
        <x:v>7320</x:v>
      </x:c>
      <x:c r="B2812" s="12" t="str">
        <x:v>Market research and public opinion polling</x:v>
      </x:c>
      <x:c r="C2812" s="12" t="str">
        <x:v>الزرقاء</x:v>
      </x:c>
      <x:c r="D2812" s="14" t="n">
        <x:v>1</x:v>
      </x:c>
      <x:c r="E2812" s="14" t="n">
        <x:f>VLOOKUP(C2812,'Governorate Master'!$A$2:$Q$13,3,FALSE)</x:f>
        <x:v>1704500</x:v>
      </x:c>
      <x:c r="F2812" s="66" t="n">
        <x:f>IF(E2812=0,0,D2812/E2812*10000)</x:f>
        <x:v>0.005866823115283074</x:v>
      </x:c>
      <x:c r="G2812" s="67" t="n">
        <x:f>VLOOKUP(C2812,'Governorate Master'!$A$2:$Q$13,7,FALSE)</x:f>
        <x:v>358</x:v>
      </x:c>
      <x:c r="H2812" s="20" t="n">
        <x:f>VLOOKUP(C2812,'Governorate Master'!$A$2:$Q$13,6,FALSE)</x:f>
        <x:v>0.9636256966852449</x:v>
      </x:c>
      <x:c r="I2812" s="20" t="n">
        <x:f>VLOOKUP(C2812,'Governorate Master'!$A$2:$Q$13,15,FALSE)</x:f>
        <x:v>-0.06808762581409118</x:v>
      </x:c>
      <x:c r="J2812" s="12" t="str">
        <x:v>Location model input - competition/saturation context</x:v>
      </x:c>
      <x:c r="K2812" s="12" t="str">
        <x:v>Business count is from 2018 while population/context indicators are newer; use as a historical proxy, not a current market count.</x:v>
      </x:c>
    </x:row>
    <x:row r="2813">
      <x:c r="A2813" s="12" t="str">
        <x:v>7320</x:v>
      </x:c>
      <x:c r="B2813" s="12" t="str">
        <x:v>Market research and public opinion polling</x:v>
      </x:c>
      <x:c r="C2813" s="12" t="str">
        <x:v>مادبا</x:v>
      </x:c>
      <x:c r="D2813" s="14" t="n">
        <x:v>0</x:v>
      </x:c>
      <x:c r="E2813" s="14" t="n">
        <x:f>VLOOKUP(C2813,'Governorate Master'!$A$2:$Q$13,3,FALSE)</x:f>
        <x:v>236200</x:v>
      </x:c>
      <x:c r="F2813" s="66" t="n">
        <x:f>IF(E2813=0,0,D2813/E2813*10000)</x:f>
        <x:v>0</x:v>
      </x:c>
      <x:c r="G2813" s="67" t="n">
        <x:f>VLOOKUP(C2813,'Governorate Master'!$A$2:$Q$13,7,FALSE)</x:f>
        <x:v>251.4</x:v>
      </x:c>
      <x:c r="H2813" s="20" t="n">
        <x:f>VLOOKUP(C2813,'Governorate Master'!$A$2:$Q$13,6,FALSE)</x:f>
        <x:v>0.7823878069432684</x:v>
      </x:c>
      <x:c r="I2813" s="20" t="n">
        <x:f>VLOOKUP(C2813,'Governorate Master'!$A$2:$Q$13,15,FALSE)</x:f>
        <x:v>-0.18823529411764706</x:v>
      </x:c>
      <x:c r="J2813" s="12" t="str">
        <x:v>Location model input - competition/saturation context</x:v>
      </x:c>
      <x:c r="K2813" s="12" t="str">
        <x:v>Business count is from 2018 while population/context indicators are newer; use as a historical proxy, not a current market count.</x:v>
      </x:c>
    </x:row>
    <x:row r="2814">
      <x:c r="A2814" s="12" t="str">
        <x:v>7320</x:v>
      </x:c>
      <x:c r="B2814" s="12" t="str">
        <x:v>Market research and public opinion polling</x:v>
      </x:c>
      <x:c r="C2814" s="12" t="str">
        <x:v>إربد</x:v>
      </x:c>
      <x:c r="D2814" s="14" t="n">
        <x:v>2</x:v>
      </x:c>
      <x:c r="E2814" s="14" t="n">
        <x:f>VLOOKUP(C2814,'Governorate Master'!$A$2:$Q$13,3,FALSE)</x:f>
        <x:v>2210500</x:v>
      </x:c>
      <x:c r="F2814" s="66" t="n">
        <x:f>IF(E2814=0,0,D2814/E2814*10000)</x:f>
        <x:v>0.009047726758651889</x:v>
      </x:c>
      <x:c r="G2814" s="67" t="n">
        <x:f>VLOOKUP(C2814,'Governorate Master'!$A$2:$Q$13,7,FALSE)</x:f>
        <x:v>1406.4</x:v>
      </x:c>
      <x:c r="H2814" s="20" t="n">
        <x:f>VLOOKUP(C2814,'Governorate Master'!$A$2:$Q$13,6,FALSE)</x:f>
        <x:v>0.9235014702555983</x:v>
      </x:c>
      <x:c r="I2814" s="20" t="n">
        <x:f>VLOOKUP(C2814,'Governorate Master'!$A$2:$Q$13,15,FALSE)</x:f>
        <x:v>0.07086922474549726</x:v>
      </x:c>
      <x:c r="J2814" s="12" t="str">
        <x:v>Location model input - competition/saturation context</x:v>
      </x:c>
      <x:c r="K2814" s="12" t="str">
        <x:v>Business count is from 2018 while population/context indicators are newer; use as a historical proxy, not a current market count.</x:v>
      </x:c>
    </x:row>
    <x:row r="2815">
      <x:c r="A2815" s="12" t="str">
        <x:v>7320</x:v>
      </x:c>
      <x:c r="B2815" s="12" t="str">
        <x:v>Market research and public opinion polling</x:v>
      </x:c>
      <x:c r="C2815" s="12" t="str">
        <x:v>المفرق</x:v>
      </x:c>
      <x:c r="D2815" s="14" t="n">
        <x:v>0</x:v>
      </x:c>
      <x:c r="E2815" s="14" t="n">
        <x:f>VLOOKUP(C2815,'Governorate Master'!$A$2:$Q$13,3,FALSE)</x:f>
        <x:v>686800</x:v>
      </x:c>
      <x:c r="F2815" s="66" t="n">
        <x:f>IF(E2815=0,0,D2815/E2815*10000)</x:f>
        <x:v>0</x:v>
      </x:c>
      <x:c r="G2815" s="67" t="n">
        <x:f>VLOOKUP(C2815,'Governorate Master'!$A$2:$Q$13,7,FALSE)</x:f>
        <x:v>25.9</x:v>
      </x:c>
      <x:c r="H2815" s="20" t="n">
        <x:f>VLOOKUP(C2815,'Governorate Master'!$A$2:$Q$13,6,FALSE)</x:f>
        <x:v>0.6965637740244612</x:v>
      </x:c>
      <x:c r="I2815" s="20" t="n">
        <x:f>VLOOKUP(C2815,'Governorate Master'!$A$2:$Q$13,15,FALSE)</x:f>
        <x:v>-0.016638935108153077</x:v>
      </x:c>
      <x:c r="J2815" s="12" t="str">
        <x:v>Location model input - competition/saturation context</x:v>
      </x:c>
      <x:c r="K2815" s="12" t="str">
        <x:v>Business count is from 2018 while population/context indicators are newer; use as a historical proxy, not a current market count.</x:v>
      </x:c>
    </x:row>
    <x:row r="2816">
      <x:c r="A2816" s="12" t="str">
        <x:v>7320</x:v>
      </x:c>
      <x:c r="B2816" s="12" t="str">
        <x:v>Market research and public opinion polling</x:v>
      </x:c>
      <x:c r="C2816" s="12" t="str">
        <x:v>جرش</x:v>
      </x:c>
      <x:c r="D2816" s="14" t="n">
        <x:v>0</x:v>
      </x:c>
      <x:c r="E2816" s="14" t="n">
        <x:f>VLOOKUP(C2816,'Governorate Master'!$A$2:$Q$13,3,FALSE)</x:f>
        <x:v>296000</x:v>
      </x:c>
      <x:c r="F2816" s="66" t="n">
        <x:f>IF(E2816=0,0,D2816/E2816*10000)</x:f>
        <x:v>0</x:v>
      </x:c>
      <x:c r="G2816" s="67" t="n">
        <x:f>VLOOKUP(C2816,'Governorate Master'!$A$2:$Q$13,7,FALSE)</x:f>
        <x:v>722.3</x:v>
      </x:c>
      <x:c r="H2816" s="20" t="n">
        <x:f>VLOOKUP(C2816,'Governorate Master'!$A$2:$Q$13,6,FALSE)</x:f>
        <x:v>0.7695945945945946</x:v>
      </x:c>
      <x:c r="I2816" s="20" t="n">
        <x:f>VLOOKUP(C2816,'Governorate Master'!$A$2:$Q$13,15,FALSE)</x:f>
        <x:v>-0.06527415143603134</x:v>
      </x:c>
      <x:c r="J2816" s="12" t="str">
        <x:v>Location model input - competition/saturation context</x:v>
      </x:c>
      <x:c r="K2816" s="12" t="str">
        <x:v>Business count is from 2018 while population/context indicators are newer; use as a historical proxy, not a current market count.</x:v>
      </x:c>
    </x:row>
    <x:row r="2817">
      <x:c r="A2817" s="12" t="str">
        <x:v>7320</x:v>
      </x:c>
      <x:c r="B2817" s="12" t="str">
        <x:v>Market research and public opinion polling</x:v>
      </x:c>
      <x:c r="C2817" s="12" t="str">
        <x:v>عجلون</x:v>
      </x:c>
      <x:c r="D2817" s="14" t="n">
        <x:v>0</x:v>
      </x:c>
      <x:c r="E2817" s="14" t="n">
        <x:f>VLOOKUP(C2817,'Governorate Master'!$A$2:$Q$13,3,FALSE)</x:f>
        <x:v>219900</x:v>
      </x:c>
      <x:c r="F2817" s="66" t="n">
        <x:f>IF(E2817=0,0,D2817/E2817*10000)</x:f>
        <x:v>0</x:v>
      </x:c>
      <x:c r="G2817" s="67" t="n">
        <x:f>VLOOKUP(C2817,'Governorate Master'!$A$2:$Q$13,7,FALSE)</x:f>
        <x:v>524</x:v>
      </x:c>
      <x:c r="H2817" s="20" t="n">
        <x:f>VLOOKUP(C2817,'Governorate Master'!$A$2:$Q$13,6,FALSE)</x:f>
        <x:v>0.8390177353342428</x:v>
      </x:c>
      <x:c r="I2817" s="20" t="n">
        <x:f>VLOOKUP(C2817,'Governorate Master'!$A$2:$Q$13,15,FALSE)</x:f>
        <x:v>0.03614457831325301</x:v>
      </x:c>
      <x:c r="J2817" s="12" t="str">
        <x:v>Location model input - competition/saturation context</x:v>
      </x:c>
      <x:c r="K2817" s="12" t="str">
        <x:v>Business count is from 2018 while population/context indicators are newer; use as a historical proxy, not a current market count.</x:v>
      </x:c>
    </x:row>
    <x:row r="2818">
      <x:c r="A2818" s="12" t="str">
        <x:v>7320</x:v>
      </x:c>
      <x:c r="B2818" s="12" t="str">
        <x:v>Market research and public opinion polling</x:v>
      </x:c>
      <x:c r="C2818" s="12" t="str">
        <x:v>الكرك</x:v>
      </x:c>
      <x:c r="D2818" s="14" t="n">
        <x:v>0</x:v>
      </x:c>
      <x:c r="E2818" s="14" t="n">
        <x:f>VLOOKUP(C2818,'Governorate Master'!$A$2:$Q$13,3,FALSE)</x:f>
        <x:v>395400</x:v>
      </x:c>
      <x:c r="F2818" s="66" t="n">
        <x:f>IF(E2818=0,0,D2818/E2818*10000)</x:f>
        <x:v>0</x:v>
      </x:c>
      <x:c r="G2818" s="67" t="n">
        <x:f>VLOOKUP(C2818,'Governorate Master'!$A$2:$Q$13,7,FALSE)</x:f>
        <x:v>113.1</x:v>
      </x:c>
      <x:c r="H2818" s="20" t="n">
        <x:f>VLOOKUP(C2818,'Governorate Master'!$A$2:$Q$13,6,FALSE)</x:f>
        <x:v>0.5912999494183105</x:v>
      </x:c>
      <x:c r="I2818" s="20" t="n">
        <x:f>VLOOKUP(C2818,'Governorate Master'!$A$2:$Q$13,15,FALSE)</x:f>
        <x:v>0.08710801393728224</x:v>
      </x:c>
      <x:c r="J2818" s="12" t="str">
        <x:v>Location model input - competition/saturation context</x:v>
      </x:c>
      <x:c r="K2818" s="12" t="str">
        <x:v>Business count is from 2018 while population/context indicators are newer; use as a historical proxy, not a current market count.</x:v>
      </x:c>
    </x:row>
    <x:row r="2819">
      <x:c r="A2819" s="12" t="str">
        <x:v>7320</x:v>
      </x:c>
      <x:c r="B2819" s="12" t="str">
        <x:v>Market research and public opinion polling</x:v>
      </x:c>
      <x:c r="C2819" s="12" t="str">
        <x:v>الطفيلة</x:v>
      </x:c>
      <x:c r="D2819" s="14" t="n">
        <x:v>0</x:v>
      </x:c>
      <x:c r="E2819" s="14" t="n">
        <x:f>VLOOKUP(C2819,'Governorate Master'!$A$2:$Q$13,3,FALSE)</x:f>
        <x:v>120300</x:v>
      </x:c>
      <x:c r="F2819" s="66" t="n">
        <x:f>IF(E2819=0,0,D2819/E2819*10000)</x:f>
        <x:v>0</x:v>
      </x:c>
      <x:c r="G2819" s="67" t="n">
        <x:f>VLOOKUP(C2819,'Governorate Master'!$A$2:$Q$13,7,FALSE)</x:f>
        <x:v>54.4</x:v>
      </x:c>
      <x:c r="H2819" s="20" t="n">
        <x:f>VLOOKUP(C2819,'Governorate Master'!$A$2:$Q$13,6,FALSE)</x:f>
        <x:v>0.7797173732335827</x:v>
      </x:c>
      <x:c r="I2819" s="20" t="n">
        <x:f>VLOOKUP(C2819,'Governorate Master'!$A$2:$Q$13,15,FALSE)</x:f>
        <x:v>0.18452380952380953</x:v>
      </x:c>
      <x:c r="J2819" s="12" t="str">
        <x:v>Location model input - competition/saturation context</x:v>
      </x:c>
      <x:c r="K2819" s="12" t="str">
        <x:v>Business count is from 2018 while population/context indicators are newer; use as a historical proxy, not a current market count.</x:v>
      </x:c>
    </x:row>
    <x:row r="2820">
      <x:c r="A2820" s="12" t="str">
        <x:v>7320</x:v>
      </x:c>
      <x:c r="B2820" s="12" t="str">
        <x:v>Market research and public opinion polling</x:v>
      </x:c>
      <x:c r="C2820" s="12" t="str">
        <x:v>معان</x:v>
      </x:c>
      <x:c r="D2820" s="14" t="n">
        <x:v>0</x:v>
      </x:c>
      <x:c r="E2820" s="14" t="n">
        <x:f>VLOOKUP(C2820,'Governorate Master'!$A$2:$Q$13,3,FALSE)</x:f>
        <x:v>197900</x:v>
      </x:c>
      <x:c r="F2820" s="66" t="n">
        <x:f>IF(E2820=0,0,D2820/E2820*10000)</x:f>
        <x:v>0</x:v>
      </x:c>
      <x:c r="G2820" s="67" t="n">
        <x:f>VLOOKUP(C2820,'Governorate Master'!$A$2:$Q$13,7,FALSE)</x:f>
        <x:v>6</x:v>
      </x:c>
      <x:c r="H2820" s="20" t="n">
        <x:f>VLOOKUP(C2820,'Governorate Master'!$A$2:$Q$13,6,FALSE)</x:f>
        <x:v>0.5406771096513391</x:v>
      </x:c>
      <x:c r="I2820" s="20" t="n">
        <x:f>VLOOKUP(C2820,'Governorate Master'!$A$2:$Q$13,15,FALSE)</x:f>
        <x:v>0.026845637583892617</x:v>
      </x:c>
      <x:c r="J2820" s="12" t="str">
        <x:v>Location model input - competition/saturation context</x:v>
      </x:c>
      <x:c r="K2820" s="12" t="str">
        <x:v>Business count is from 2018 while population/context indicators are newer; use as a historical proxy, not a current market count.</x:v>
      </x:c>
    </x:row>
    <x:row r="2821">
      <x:c r="A2821" s="12" t="str">
        <x:v>7320</x:v>
      </x:c>
      <x:c r="B2821" s="12" t="str">
        <x:v>Market research and public opinion polling</x:v>
      </x:c>
      <x:c r="C2821" s="12" t="str">
        <x:v>العقبة</x:v>
      </x:c>
      <x:c r="D2821" s="14" t="n">
        <x:v>0</x:v>
      </x:c>
      <x:c r="E2821" s="14" t="n">
        <x:f>VLOOKUP(C2821,'Governorate Master'!$A$2:$Q$13,3,FALSE)</x:f>
        <x:v>250900</x:v>
      </x:c>
      <x:c r="F2821" s="66" t="n">
        <x:f>IF(E2821=0,0,D2821/E2821*10000)</x:f>
        <x:v>0</x:v>
      </x:c>
      <x:c r="G2821" s="67" t="n">
        <x:f>VLOOKUP(C2821,'Governorate Master'!$A$2:$Q$13,7,FALSE)</x:f>
        <x:v>36.3</x:v>
      </x:c>
      <x:c r="H2821" s="20" t="n">
        <x:f>VLOOKUP(C2821,'Governorate Master'!$A$2:$Q$13,6,FALSE)</x:f>
        <x:v>0.882024711040255</x:v>
      </x:c>
      <x:c r="I2821" s="20" t="n">
        <x:f>VLOOKUP(C2821,'Governorate Master'!$A$2:$Q$13,15,FALSE)</x:f>
        <x:v>-0.09</x:v>
      </x:c>
      <x:c r="J2821" s="12" t="str">
        <x:v>Location model input - competition/saturation context</x:v>
      </x:c>
      <x:c r="K2821" s="12" t="str">
        <x:v>Business count is from 2018 while population/context indicators are newer; use as a historical proxy, not a current market count.</x:v>
      </x:c>
    </x:row>
    <x:row r="2822">
      <x:c r="A2822" s="12" t="str">
        <x:v>7410</x:v>
      </x:c>
      <x:c r="B2822" s="12" t="str">
        <x:v>Specialized design activities</x:v>
      </x:c>
      <x:c r="C2822" s="12" t="str">
        <x:v>عمان</x:v>
      </x:c>
      <x:c r="D2822" s="14" t="n">
        <x:v>46</x:v>
      </x:c>
      <x:c r="E2822" s="14" t="n">
        <x:f>VLOOKUP(C2822,'Governorate Master'!$A$2:$Q$13,3,FALSE)</x:f>
        <x:v>5004600</x:v>
      </x:c>
      <x:c r="F2822" s="66" t="n">
        <x:f>IF(E2822=0,0,D2822/E2822*10000)</x:f>
        <x:v>0.09191543779722655</x:v>
      </x:c>
      <x:c r="G2822" s="67" t="n">
        <x:f>VLOOKUP(C2822,'Governorate Master'!$A$2:$Q$13,7,FALSE)</x:f>
        <x:v>660.3</x:v>
      </x:c>
      <x:c r="H2822" s="20" t="n">
        <x:f>VLOOKUP(C2822,'Governorate Master'!$A$2:$Q$13,6,FALSE)</x:f>
        <x:v>0.9721656076409703</x:v>
      </x:c>
      <x:c r="I2822" s="20" t="n">
        <x:f>VLOOKUP(C2822,'Governorate Master'!$A$2:$Q$13,15,FALSE)</x:f>
        <x:v>0.06367041198501873</x:v>
      </x:c>
      <x:c r="J2822" s="12" t="str">
        <x:v>Location model input - competition/saturation context</x:v>
      </x:c>
      <x:c r="K2822" s="12" t="str">
        <x:v>Business count is from 2018 while population/context indicators are newer; use as a historical proxy, not a current market count.</x:v>
      </x:c>
    </x:row>
    <x:row r="2823">
      <x:c r="A2823" s="12" t="str">
        <x:v>7410</x:v>
      </x:c>
      <x:c r="B2823" s="12" t="str">
        <x:v>Specialized design activities</x:v>
      </x:c>
      <x:c r="C2823" s="12" t="str">
        <x:v>البلقاء</x:v>
      </x:c>
      <x:c r="D2823" s="14" t="n">
        <x:v>0</x:v>
      </x:c>
      <x:c r="E2823" s="14" t="n">
        <x:f>VLOOKUP(C2823,'Governorate Master'!$A$2:$Q$13,3,FALSE)</x:f>
        <x:v>614000</x:v>
      </x:c>
      <x:c r="F2823" s="66" t="n">
        <x:f>IF(E2823=0,0,D2823/E2823*10000)</x:f>
        <x:v>0</x:v>
      </x:c>
      <x:c r="G2823" s="67" t="n">
        <x:f>VLOOKUP(C2823,'Governorate Master'!$A$2:$Q$13,7,FALSE)</x:f>
        <x:v>548</x:v>
      </x:c>
      <x:c r="H2823" s="20" t="n">
        <x:f>VLOOKUP(C2823,'Governorate Master'!$A$2:$Q$13,6,FALSE)</x:f>
        <x:v>0.8210097719869707</x:v>
      </x:c>
      <x:c r="I2823" s="20" t="n">
        <x:f>VLOOKUP(C2823,'Governorate Master'!$A$2:$Q$13,15,FALSE)</x:f>
        <x:v>0.10794044665012408</x:v>
      </x:c>
      <x:c r="J2823" s="12" t="str">
        <x:v>Location model input - competition/saturation context</x:v>
      </x:c>
      <x:c r="K2823" s="12" t="str">
        <x:v>Business count is from 2018 while population/context indicators are newer; use as a historical proxy, not a current market count.</x:v>
      </x:c>
    </x:row>
    <x:row r="2824">
      <x:c r="A2824" s="12" t="str">
        <x:v>7410</x:v>
      </x:c>
      <x:c r="B2824" s="12" t="str">
        <x:v>Specialized design activities</x:v>
      </x:c>
      <x:c r="C2824" s="12" t="str">
        <x:v>الزرقاء</x:v>
      </x:c>
      <x:c r="D2824" s="14" t="n">
        <x:v>1</x:v>
      </x:c>
      <x:c r="E2824" s="14" t="n">
        <x:f>VLOOKUP(C2824,'Governorate Master'!$A$2:$Q$13,3,FALSE)</x:f>
        <x:v>1704500</x:v>
      </x:c>
      <x:c r="F2824" s="66" t="n">
        <x:f>IF(E2824=0,0,D2824/E2824*10000)</x:f>
        <x:v>0.005866823115283074</x:v>
      </x:c>
      <x:c r="G2824" s="67" t="n">
        <x:f>VLOOKUP(C2824,'Governorate Master'!$A$2:$Q$13,7,FALSE)</x:f>
        <x:v>358</x:v>
      </x:c>
      <x:c r="H2824" s="20" t="n">
        <x:f>VLOOKUP(C2824,'Governorate Master'!$A$2:$Q$13,6,FALSE)</x:f>
        <x:v>0.9636256966852449</x:v>
      </x:c>
      <x:c r="I2824" s="20" t="n">
        <x:f>VLOOKUP(C2824,'Governorate Master'!$A$2:$Q$13,15,FALSE)</x:f>
        <x:v>-0.06808762581409118</x:v>
      </x:c>
      <x:c r="J2824" s="12" t="str">
        <x:v>Location model input - competition/saturation context</x:v>
      </x:c>
      <x:c r="K2824" s="12" t="str">
        <x:v>Business count is from 2018 while population/context indicators are newer; use as a historical proxy, not a current market count.</x:v>
      </x:c>
    </x:row>
    <x:row r="2825">
      <x:c r="A2825" s="12" t="str">
        <x:v>7410</x:v>
      </x:c>
      <x:c r="B2825" s="12" t="str">
        <x:v>Specialized design activities</x:v>
      </x:c>
      <x:c r="C2825" s="12" t="str">
        <x:v>مادبا</x:v>
      </x:c>
      <x:c r="D2825" s="14" t="n">
        <x:v>0</x:v>
      </x:c>
      <x:c r="E2825" s="14" t="n">
        <x:f>VLOOKUP(C2825,'Governorate Master'!$A$2:$Q$13,3,FALSE)</x:f>
        <x:v>236200</x:v>
      </x:c>
      <x:c r="F2825" s="66" t="n">
        <x:f>IF(E2825=0,0,D2825/E2825*10000)</x:f>
        <x:v>0</x:v>
      </x:c>
      <x:c r="G2825" s="67" t="n">
        <x:f>VLOOKUP(C2825,'Governorate Master'!$A$2:$Q$13,7,FALSE)</x:f>
        <x:v>251.4</x:v>
      </x:c>
      <x:c r="H2825" s="20" t="n">
        <x:f>VLOOKUP(C2825,'Governorate Master'!$A$2:$Q$13,6,FALSE)</x:f>
        <x:v>0.7823878069432684</x:v>
      </x:c>
      <x:c r="I2825" s="20" t="n">
        <x:f>VLOOKUP(C2825,'Governorate Master'!$A$2:$Q$13,15,FALSE)</x:f>
        <x:v>-0.18823529411764706</x:v>
      </x:c>
      <x:c r="J2825" s="12" t="str">
        <x:v>Location model input - competition/saturation context</x:v>
      </x:c>
      <x:c r="K2825" s="12" t="str">
        <x:v>Business count is from 2018 while population/context indicators are newer; use as a historical proxy, not a current market count.</x:v>
      </x:c>
    </x:row>
    <x:row r="2826">
      <x:c r="A2826" s="12" t="str">
        <x:v>7410</x:v>
      </x:c>
      <x:c r="B2826" s="12" t="str">
        <x:v>Specialized design activities</x:v>
      </x:c>
      <x:c r="C2826" s="12" t="str">
        <x:v>إربد</x:v>
      </x:c>
      <x:c r="D2826" s="14" t="n">
        <x:v>8</x:v>
      </x:c>
      <x:c r="E2826" s="14" t="n">
        <x:f>VLOOKUP(C2826,'Governorate Master'!$A$2:$Q$13,3,FALSE)</x:f>
        <x:v>2210500</x:v>
      </x:c>
      <x:c r="F2826" s="66" t="n">
        <x:f>IF(E2826=0,0,D2826/E2826*10000)</x:f>
        <x:v>0.036190907034607554</x:v>
      </x:c>
      <x:c r="G2826" s="67" t="n">
        <x:f>VLOOKUP(C2826,'Governorate Master'!$A$2:$Q$13,7,FALSE)</x:f>
        <x:v>1406.4</x:v>
      </x:c>
      <x:c r="H2826" s="20" t="n">
        <x:f>VLOOKUP(C2826,'Governorate Master'!$A$2:$Q$13,6,FALSE)</x:f>
        <x:v>0.9235014702555983</x:v>
      </x:c>
      <x:c r="I2826" s="20" t="n">
        <x:f>VLOOKUP(C2826,'Governorate Master'!$A$2:$Q$13,15,FALSE)</x:f>
        <x:v>0.07086922474549726</x:v>
      </x:c>
      <x:c r="J2826" s="12" t="str">
        <x:v>Location model input - competition/saturation context</x:v>
      </x:c>
      <x:c r="K2826" s="12" t="str">
        <x:v>Business count is from 2018 while population/context indicators are newer; use as a historical proxy, not a current market count.</x:v>
      </x:c>
    </x:row>
    <x:row r="2827">
      <x:c r="A2827" s="12" t="str">
        <x:v>7410</x:v>
      </x:c>
      <x:c r="B2827" s="12" t="str">
        <x:v>Specialized design activities</x:v>
      </x:c>
      <x:c r="C2827" s="12" t="str">
        <x:v>المفرق</x:v>
      </x:c>
      <x:c r="D2827" s="14" t="n">
        <x:v>0</x:v>
      </x:c>
      <x:c r="E2827" s="14" t="n">
        <x:f>VLOOKUP(C2827,'Governorate Master'!$A$2:$Q$13,3,FALSE)</x:f>
        <x:v>686800</x:v>
      </x:c>
      <x:c r="F2827" s="66" t="n">
        <x:f>IF(E2827=0,0,D2827/E2827*10000)</x:f>
        <x:v>0</x:v>
      </x:c>
      <x:c r="G2827" s="67" t="n">
        <x:f>VLOOKUP(C2827,'Governorate Master'!$A$2:$Q$13,7,FALSE)</x:f>
        <x:v>25.9</x:v>
      </x:c>
      <x:c r="H2827" s="20" t="n">
        <x:f>VLOOKUP(C2827,'Governorate Master'!$A$2:$Q$13,6,FALSE)</x:f>
        <x:v>0.6965637740244612</x:v>
      </x:c>
      <x:c r="I2827" s="20" t="n">
        <x:f>VLOOKUP(C2827,'Governorate Master'!$A$2:$Q$13,15,FALSE)</x:f>
        <x:v>-0.016638935108153077</x:v>
      </x:c>
      <x:c r="J2827" s="12" t="str">
        <x:v>Location model input - competition/saturation context</x:v>
      </x:c>
      <x:c r="K2827" s="12" t="str">
        <x:v>Business count is from 2018 while population/context indicators are newer; use as a historical proxy, not a current market count.</x:v>
      </x:c>
    </x:row>
    <x:row r="2828">
      <x:c r="A2828" s="12" t="str">
        <x:v>7410</x:v>
      </x:c>
      <x:c r="B2828" s="12" t="str">
        <x:v>Specialized design activities</x:v>
      </x:c>
      <x:c r="C2828" s="12" t="str">
        <x:v>جرش</x:v>
      </x:c>
      <x:c r="D2828" s="14" t="n">
        <x:v>0</x:v>
      </x:c>
      <x:c r="E2828" s="14" t="n">
        <x:f>VLOOKUP(C2828,'Governorate Master'!$A$2:$Q$13,3,FALSE)</x:f>
        <x:v>296000</x:v>
      </x:c>
      <x:c r="F2828" s="66" t="n">
        <x:f>IF(E2828=0,0,D2828/E2828*10000)</x:f>
        <x:v>0</x:v>
      </x:c>
      <x:c r="G2828" s="67" t="n">
        <x:f>VLOOKUP(C2828,'Governorate Master'!$A$2:$Q$13,7,FALSE)</x:f>
        <x:v>722.3</x:v>
      </x:c>
      <x:c r="H2828" s="20" t="n">
        <x:f>VLOOKUP(C2828,'Governorate Master'!$A$2:$Q$13,6,FALSE)</x:f>
        <x:v>0.7695945945945946</x:v>
      </x:c>
      <x:c r="I2828" s="20" t="n">
        <x:f>VLOOKUP(C2828,'Governorate Master'!$A$2:$Q$13,15,FALSE)</x:f>
        <x:v>-0.06527415143603134</x:v>
      </x:c>
      <x:c r="J2828" s="12" t="str">
        <x:v>Location model input - competition/saturation context</x:v>
      </x:c>
      <x:c r="K2828" s="12" t="str">
        <x:v>Business count is from 2018 while population/context indicators are newer; use as a historical proxy, not a current market count.</x:v>
      </x:c>
    </x:row>
    <x:row r="2829">
      <x:c r="A2829" s="12" t="str">
        <x:v>7410</x:v>
      </x:c>
      <x:c r="B2829" s="12" t="str">
        <x:v>Specialized design activities</x:v>
      </x:c>
      <x:c r="C2829" s="12" t="str">
        <x:v>عجلون</x:v>
      </x:c>
      <x:c r="D2829" s="14" t="n">
        <x:v>0</x:v>
      </x:c>
      <x:c r="E2829" s="14" t="n">
        <x:f>VLOOKUP(C2829,'Governorate Master'!$A$2:$Q$13,3,FALSE)</x:f>
        <x:v>219900</x:v>
      </x:c>
      <x:c r="F2829" s="66" t="n">
        <x:f>IF(E2829=0,0,D2829/E2829*10000)</x:f>
        <x:v>0</x:v>
      </x:c>
      <x:c r="G2829" s="67" t="n">
        <x:f>VLOOKUP(C2829,'Governorate Master'!$A$2:$Q$13,7,FALSE)</x:f>
        <x:v>524</x:v>
      </x:c>
      <x:c r="H2829" s="20" t="n">
        <x:f>VLOOKUP(C2829,'Governorate Master'!$A$2:$Q$13,6,FALSE)</x:f>
        <x:v>0.8390177353342428</x:v>
      </x:c>
      <x:c r="I2829" s="20" t="n">
        <x:f>VLOOKUP(C2829,'Governorate Master'!$A$2:$Q$13,15,FALSE)</x:f>
        <x:v>0.03614457831325301</x:v>
      </x:c>
      <x:c r="J2829" s="12" t="str">
        <x:v>Location model input - competition/saturation context</x:v>
      </x:c>
      <x:c r="K2829" s="12" t="str">
        <x:v>Business count is from 2018 while population/context indicators are newer; use as a historical proxy, not a current market count.</x:v>
      </x:c>
    </x:row>
    <x:row r="2830">
      <x:c r="A2830" s="12" t="str">
        <x:v>7410</x:v>
      </x:c>
      <x:c r="B2830" s="12" t="str">
        <x:v>Specialized design activities</x:v>
      </x:c>
      <x:c r="C2830" s="12" t="str">
        <x:v>الكرك</x:v>
      </x:c>
      <x:c r="D2830" s="14" t="n">
        <x:v>0</x:v>
      </x:c>
      <x:c r="E2830" s="14" t="n">
        <x:f>VLOOKUP(C2830,'Governorate Master'!$A$2:$Q$13,3,FALSE)</x:f>
        <x:v>395400</x:v>
      </x:c>
      <x:c r="F2830" s="66" t="n">
        <x:f>IF(E2830=0,0,D2830/E2830*10000)</x:f>
        <x:v>0</x:v>
      </x:c>
      <x:c r="G2830" s="67" t="n">
        <x:f>VLOOKUP(C2830,'Governorate Master'!$A$2:$Q$13,7,FALSE)</x:f>
        <x:v>113.1</x:v>
      </x:c>
      <x:c r="H2830" s="20" t="n">
        <x:f>VLOOKUP(C2830,'Governorate Master'!$A$2:$Q$13,6,FALSE)</x:f>
        <x:v>0.5912999494183105</x:v>
      </x:c>
      <x:c r="I2830" s="20" t="n">
        <x:f>VLOOKUP(C2830,'Governorate Master'!$A$2:$Q$13,15,FALSE)</x:f>
        <x:v>0.08710801393728224</x:v>
      </x:c>
      <x:c r="J2830" s="12" t="str">
        <x:v>Location model input - competition/saturation context</x:v>
      </x:c>
      <x:c r="K2830" s="12" t="str">
        <x:v>Business count is from 2018 while population/context indicators are newer; use as a historical proxy, not a current market count.</x:v>
      </x:c>
    </x:row>
    <x:row r="2831">
      <x:c r="A2831" s="12" t="str">
        <x:v>7410</x:v>
      </x:c>
      <x:c r="B2831" s="12" t="str">
        <x:v>Specialized design activities</x:v>
      </x:c>
      <x:c r="C2831" s="12" t="str">
        <x:v>الطفيلة</x:v>
      </x:c>
      <x:c r="D2831" s="14" t="n">
        <x:v>1</x:v>
      </x:c>
      <x:c r="E2831" s="14" t="n">
        <x:f>VLOOKUP(C2831,'Governorate Master'!$A$2:$Q$13,3,FALSE)</x:f>
        <x:v>120300</x:v>
      </x:c>
      <x:c r="F2831" s="66" t="n">
        <x:f>IF(E2831=0,0,D2831/E2831*10000)</x:f>
        <x:v>0.0831255195344971</x:v>
      </x:c>
      <x:c r="G2831" s="67" t="n">
        <x:f>VLOOKUP(C2831,'Governorate Master'!$A$2:$Q$13,7,FALSE)</x:f>
        <x:v>54.4</x:v>
      </x:c>
      <x:c r="H2831" s="20" t="n">
        <x:f>VLOOKUP(C2831,'Governorate Master'!$A$2:$Q$13,6,FALSE)</x:f>
        <x:v>0.7797173732335827</x:v>
      </x:c>
      <x:c r="I2831" s="20" t="n">
        <x:f>VLOOKUP(C2831,'Governorate Master'!$A$2:$Q$13,15,FALSE)</x:f>
        <x:v>0.18452380952380953</x:v>
      </x:c>
      <x:c r="J2831" s="12" t="str">
        <x:v>Location model input - competition/saturation context</x:v>
      </x:c>
      <x:c r="K2831" s="12" t="str">
        <x:v>Business count is from 2018 while population/context indicators are newer; use as a historical proxy, not a current market count.</x:v>
      </x:c>
    </x:row>
    <x:row r="2832">
      <x:c r="A2832" s="12" t="str">
        <x:v>7410</x:v>
      </x:c>
      <x:c r="B2832" s="12" t="str">
        <x:v>Specialized design activities</x:v>
      </x:c>
      <x:c r="C2832" s="12" t="str">
        <x:v>معان</x:v>
      </x:c>
      <x:c r="D2832" s="14" t="n">
        <x:v>0</x:v>
      </x:c>
      <x:c r="E2832" s="14" t="n">
        <x:f>VLOOKUP(C2832,'Governorate Master'!$A$2:$Q$13,3,FALSE)</x:f>
        <x:v>197900</x:v>
      </x:c>
      <x:c r="F2832" s="66" t="n">
        <x:f>IF(E2832=0,0,D2832/E2832*10000)</x:f>
        <x:v>0</x:v>
      </x:c>
      <x:c r="G2832" s="67" t="n">
        <x:f>VLOOKUP(C2832,'Governorate Master'!$A$2:$Q$13,7,FALSE)</x:f>
        <x:v>6</x:v>
      </x:c>
      <x:c r="H2832" s="20" t="n">
        <x:f>VLOOKUP(C2832,'Governorate Master'!$A$2:$Q$13,6,FALSE)</x:f>
        <x:v>0.5406771096513391</x:v>
      </x:c>
      <x:c r="I2832" s="20" t="n">
        <x:f>VLOOKUP(C2832,'Governorate Master'!$A$2:$Q$13,15,FALSE)</x:f>
        <x:v>0.026845637583892617</x:v>
      </x:c>
      <x:c r="J2832" s="12" t="str">
        <x:v>Location model input - competition/saturation context</x:v>
      </x:c>
      <x:c r="K2832" s="12" t="str">
        <x:v>Business count is from 2018 while population/context indicators are newer; use as a historical proxy, not a current market count.</x:v>
      </x:c>
    </x:row>
    <x:row r="2833">
      <x:c r="A2833" s="12" t="str">
        <x:v>7410</x:v>
      </x:c>
      <x:c r="B2833" s="12" t="str">
        <x:v>Specialized design activities</x:v>
      </x:c>
      <x:c r="C2833" s="12" t="str">
        <x:v>العقبة</x:v>
      </x:c>
      <x:c r="D2833" s="14" t="n">
        <x:v>1</x:v>
      </x:c>
      <x:c r="E2833" s="14" t="n">
        <x:f>VLOOKUP(C2833,'Governorate Master'!$A$2:$Q$13,3,FALSE)</x:f>
        <x:v>250900</x:v>
      </x:c>
      <x:c r="F2833" s="66" t="n">
        <x:f>IF(E2833=0,0,D2833/E2833*10000)</x:f>
        <x:v>0.03985651654045436</x:v>
      </x:c>
      <x:c r="G2833" s="67" t="n">
        <x:f>VLOOKUP(C2833,'Governorate Master'!$A$2:$Q$13,7,FALSE)</x:f>
        <x:v>36.3</x:v>
      </x:c>
      <x:c r="H2833" s="20" t="n">
        <x:f>VLOOKUP(C2833,'Governorate Master'!$A$2:$Q$13,6,FALSE)</x:f>
        <x:v>0.882024711040255</x:v>
      </x:c>
      <x:c r="I2833" s="20" t="n">
        <x:f>VLOOKUP(C2833,'Governorate Master'!$A$2:$Q$13,15,FALSE)</x:f>
        <x:v>-0.09</x:v>
      </x:c>
      <x:c r="J2833" s="12" t="str">
        <x:v>Location model input - competition/saturation context</x:v>
      </x:c>
      <x:c r="K2833" s="12" t="str">
        <x:v>Business count is from 2018 while population/context indicators are newer; use as a historical proxy, not a current market count.</x:v>
      </x:c>
    </x:row>
    <x:row r="2834">
      <x:c r="A2834" s="12" t="str">
        <x:v>7420</x:v>
      </x:c>
      <x:c r="B2834" s="12" t="str">
        <x:v>Photographic activities</x:v>
      </x:c>
      <x:c r="C2834" s="12" t="str">
        <x:v>عمان</x:v>
      </x:c>
      <x:c r="D2834" s="14" t="n">
        <x:v>168</x:v>
      </x:c>
      <x:c r="E2834" s="14" t="n">
        <x:f>VLOOKUP(C2834,'Governorate Master'!$A$2:$Q$13,3,FALSE)</x:f>
        <x:v>5004600</x:v>
      </x:c>
      <x:c r="F2834" s="66" t="n">
        <x:f>IF(E2834=0,0,D2834/E2834*10000)</x:f>
        <x:v>0.3356911641290013</x:v>
      </x:c>
      <x:c r="G2834" s="67" t="n">
        <x:f>VLOOKUP(C2834,'Governorate Master'!$A$2:$Q$13,7,FALSE)</x:f>
        <x:v>660.3</x:v>
      </x:c>
      <x:c r="H2834" s="20" t="n">
        <x:f>VLOOKUP(C2834,'Governorate Master'!$A$2:$Q$13,6,FALSE)</x:f>
        <x:v>0.9721656076409703</x:v>
      </x:c>
      <x:c r="I2834" s="20" t="n">
        <x:f>VLOOKUP(C2834,'Governorate Master'!$A$2:$Q$13,15,FALSE)</x:f>
        <x:v>0.06367041198501873</x:v>
      </x:c>
      <x:c r="J2834" s="12" t="str">
        <x:v>Location model input - competition/saturation context</x:v>
      </x:c>
      <x:c r="K2834" s="12" t="str">
        <x:v>Business count is from 2018 while population/context indicators are newer; use as a historical proxy, not a current market count.</x:v>
      </x:c>
    </x:row>
    <x:row r="2835">
      <x:c r="A2835" s="12" t="str">
        <x:v>7420</x:v>
      </x:c>
      <x:c r="B2835" s="12" t="str">
        <x:v>Photographic activities</x:v>
      </x:c>
      <x:c r="C2835" s="12" t="str">
        <x:v>البلقاء</x:v>
      </x:c>
      <x:c r="D2835" s="14" t="n">
        <x:v>29</x:v>
      </x:c>
      <x:c r="E2835" s="14" t="n">
        <x:f>VLOOKUP(C2835,'Governorate Master'!$A$2:$Q$13,3,FALSE)</x:f>
        <x:v>614000</x:v>
      </x:c>
      <x:c r="F2835" s="66" t="n">
        <x:f>IF(E2835=0,0,D2835/E2835*10000)</x:f>
        <x:v>0.4723127035830619</x:v>
      </x:c>
      <x:c r="G2835" s="67" t="n">
        <x:f>VLOOKUP(C2835,'Governorate Master'!$A$2:$Q$13,7,FALSE)</x:f>
        <x:v>548</x:v>
      </x:c>
      <x:c r="H2835" s="20" t="n">
        <x:f>VLOOKUP(C2835,'Governorate Master'!$A$2:$Q$13,6,FALSE)</x:f>
        <x:v>0.8210097719869707</x:v>
      </x:c>
      <x:c r="I2835" s="20" t="n">
        <x:f>VLOOKUP(C2835,'Governorate Master'!$A$2:$Q$13,15,FALSE)</x:f>
        <x:v>0.10794044665012408</x:v>
      </x:c>
      <x:c r="J2835" s="12" t="str">
        <x:v>Location model input - competition/saturation context</x:v>
      </x:c>
      <x:c r="K2835" s="12" t="str">
        <x:v>Business count is from 2018 while population/context indicators are newer; use as a historical proxy, not a current market count.</x:v>
      </x:c>
    </x:row>
    <x:row r="2836">
      <x:c r="A2836" s="12" t="str">
        <x:v>7420</x:v>
      </x:c>
      <x:c r="B2836" s="12" t="str">
        <x:v>Photographic activities</x:v>
      </x:c>
      <x:c r="C2836" s="12" t="str">
        <x:v>الزرقاء</x:v>
      </x:c>
      <x:c r="D2836" s="14" t="n">
        <x:v>40</x:v>
      </x:c>
      <x:c r="E2836" s="14" t="n">
        <x:f>VLOOKUP(C2836,'Governorate Master'!$A$2:$Q$13,3,FALSE)</x:f>
        <x:v>1704500</x:v>
      </x:c>
      <x:c r="F2836" s="66" t="n">
        <x:f>IF(E2836=0,0,D2836/E2836*10000)</x:f>
        <x:v>0.234672924611323</x:v>
      </x:c>
      <x:c r="G2836" s="67" t="n">
        <x:f>VLOOKUP(C2836,'Governorate Master'!$A$2:$Q$13,7,FALSE)</x:f>
        <x:v>358</x:v>
      </x:c>
      <x:c r="H2836" s="20" t="n">
        <x:f>VLOOKUP(C2836,'Governorate Master'!$A$2:$Q$13,6,FALSE)</x:f>
        <x:v>0.9636256966852449</x:v>
      </x:c>
      <x:c r="I2836" s="20" t="n">
        <x:f>VLOOKUP(C2836,'Governorate Master'!$A$2:$Q$13,15,FALSE)</x:f>
        <x:v>-0.06808762581409118</x:v>
      </x:c>
      <x:c r="J2836" s="12" t="str">
        <x:v>Location model input - competition/saturation context</x:v>
      </x:c>
      <x:c r="K2836" s="12" t="str">
        <x:v>Business count is from 2018 while population/context indicators are newer; use as a historical proxy, not a current market count.</x:v>
      </x:c>
    </x:row>
    <x:row r="2837">
      <x:c r="A2837" s="12" t="str">
        <x:v>7420</x:v>
      </x:c>
      <x:c r="B2837" s="12" t="str">
        <x:v>Photographic activities</x:v>
      </x:c>
      <x:c r="C2837" s="12" t="str">
        <x:v>مادبا</x:v>
      </x:c>
      <x:c r="D2837" s="14" t="n">
        <x:v>17</x:v>
      </x:c>
      <x:c r="E2837" s="14" t="n">
        <x:f>VLOOKUP(C2837,'Governorate Master'!$A$2:$Q$13,3,FALSE)</x:f>
        <x:v>236200</x:v>
      </x:c>
      <x:c r="F2837" s="66" t="n">
        <x:f>IF(E2837=0,0,D2837/E2837*10000)</x:f>
        <x:v>0.7197290431837426</x:v>
      </x:c>
      <x:c r="G2837" s="67" t="n">
        <x:f>VLOOKUP(C2837,'Governorate Master'!$A$2:$Q$13,7,FALSE)</x:f>
        <x:v>251.4</x:v>
      </x:c>
      <x:c r="H2837" s="20" t="n">
        <x:f>VLOOKUP(C2837,'Governorate Master'!$A$2:$Q$13,6,FALSE)</x:f>
        <x:v>0.7823878069432684</x:v>
      </x:c>
      <x:c r="I2837" s="20" t="n">
        <x:f>VLOOKUP(C2837,'Governorate Master'!$A$2:$Q$13,15,FALSE)</x:f>
        <x:v>-0.18823529411764706</x:v>
      </x:c>
      <x:c r="J2837" s="12" t="str">
        <x:v>Location model input - competition/saturation context</x:v>
      </x:c>
      <x:c r="K2837" s="12" t="str">
        <x:v>Business count is from 2018 while population/context indicators are newer; use as a historical proxy, not a current market count.</x:v>
      </x:c>
    </x:row>
    <x:row r="2838">
      <x:c r="A2838" s="12" t="str">
        <x:v>7420</x:v>
      </x:c>
      <x:c r="B2838" s="12" t="str">
        <x:v>Photographic activities</x:v>
      </x:c>
      <x:c r="C2838" s="12" t="str">
        <x:v>إربد</x:v>
      </x:c>
      <x:c r="D2838" s="14" t="n">
        <x:v>56</x:v>
      </x:c>
      <x:c r="E2838" s="14" t="n">
        <x:f>VLOOKUP(C2838,'Governorate Master'!$A$2:$Q$13,3,FALSE)</x:f>
        <x:v>2210500</x:v>
      </x:c>
      <x:c r="F2838" s="66" t="n">
        <x:f>IF(E2838=0,0,D2838/E2838*10000)</x:f>
        <x:v>0.2533363492422529</x:v>
      </x:c>
      <x:c r="G2838" s="67" t="n">
        <x:f>VLOOKUP(C2838,'Governorate Master'!$A$2:$Q$13,7,FALSE)</x:f>
        <x:v>1406.4</x:v>
      </x:c>
      <x:c r="H2838" s="20" t="n">
        <x:f>VLOOKUP(C2838,'Governorate Master'!$A$2:$Q$13,6,FALSE)</x:f>
        <x:v>0.9235014702555983</x:v>
      </x:c>
      <x:c r="I2838" s="20" t="n">
        <x:f>VLOOKUP(C2838,'Governorate Master'!$A$2:$Q$13,15,FALSE)</x:f>
        <x:v>0.07086922474549726</x:v>
      </x:c>
      <x:c r="J2838" s="12" t="str">
        <x:v>Location model input - competition/saturation context</x:v>
      </x:c>
      <x:c r="K2838" s="12" t="str">
        <x:v>Business count is from 2018 while population/context indicators are newer; use as a historical proxy, not a current market count.</x:v>
      </x:c>
    </x:row>
    <x:row r="2839">
      <x:c r="A2839" s="12" t="str">
        <x:v>7420</x:v>
      </x:c>
      <x:c r="B2839" s="12" t="str">
        <x:v>Photographic activities</x:v>
      </x:c>
      <x:c r="C2839" s="12" t="str">
        <x:v>المفرق</x:v>
      </x:c>
      <x:c r="D2839" s="14" t="n">
        <x:v>8</x:v>
      </x:c>
      <x:c r="E2839" s="14" t="n">
        <x:f>VLOOKUP(C2839,'Governorate Master'!$A$2:$Q$13,3,FALSE)</x:f>
        <x:v>686800</x:v>
      </x:c>
      <x:c r="F2839" s="66" t="n">
        <x:f>IF(E2839=0,0,D2839/E2839*10000)</x:f>
        <x:v>0.11648223645894001</x:v>
      </x:c>
      <x:c r="G2839" s="67" t="n">
        <x:f>VLOOKUP(C2839,'Governorate Master'!$A$2:$Q$13,7,FALSE)</x:f>
        <x:v>25.9</x:v>
      </x:c>
      <x:c r="H2839" s="20" t="n">
        <x:f>VLOOKUP(C2839,'Governorate Master'!$A$2:$Q$13,6,FALSE)</x:f>
        <x:v>0.6965637740244612</x:v>
      </x:c>
      <x:c r="I2839" s="20" t="n">
        <x:f>VLOOKUP(C2839,'Governorate Master'!$A$2:$Q$13,15,FALSE)</x:f>
        <x:v>-0.016638935108153077</x:v>
      </x:c>
      <x:c r="J2839" s="12" t="str">
        <x:v>Location model input - competition/saturation context</x:v>
      </x:c>
      <x:c r="K2839" s="12" t="str">
        <x:v>Business count is from 2018 while population/context indicators are newer; use as a historical proxy, not a current market count.</x:v>
      </x:c>
    </x:row>
    <x:row r="2840">
      <x:c r="A2840" s="12" t="str">
        <x:v>7420</x:v>
      </x:c>
      <x:c r="B2840" s="12" t="str">
        <x:v>Photographic activities</x:v>
      </x:c>
      <x:c r="C2840" s="12" t="str">
        <x:v>جرش</x:v>
      </x:c>
      <x:c r="D2840" s="14" t="n">
        <x:v>11</x:v>
      </x:c>
      <x:c r="E2840" s="14" t="n">
        <x:f>VLOOKUP(C2840,'Governorate Master'!$A$2:$Q$13,3,FALSE)</x:f>
        <x:v>296000</x:v>
      </x:c>
      <x:c r="F2840" s="66" t="n">
        <x:f>IF(E2840=0,0,D2840/E2840*10000)</x:f>
        <x:v>0.37162162162162166</x:v>
      </x:c>
      <x:c r="G2840" s="67" t="n">
        <x:f>VLOOKUP(C2840,'Governorate Master'!$A$2:$Q$13,7,FALSE)</x:f>
        <x:v>722.3</x:v>
      </x:c>
      <x:c r="H2840" s="20" t="n">
        <x:f>VLOOKUP(C2840,'Governorate Master'!$A$2:$Q$13,6,FALSE)</x:f>
        <x:v>0.7695945945945946</x:v>
      </x:c>
      <x:c r="I2840" s="20" t="n">
        <x:f>VLOOKUP(C2840,'Governorate Master'!$A$2:$Q$13,15,FALSE)</x:f>
        <x:v>-0.06527415143603134</x:v>
      </x:c>
      <x:c r="J2840" s="12" t="str">
        <x:v>Location model input - competition/saturation context</x:v>
      </x:c>
      <x:c r="K2840" s="12" t="str">
        <x:v>Business count is from 2018 while population/context indicators are newer; use as a historical proxy, not a current market count.</x:v>
      </x:c>
    </x:row>
    <x:row r="2841">
      <x:c r="A2841" s="12" t="str">
        <x:v>7420</x:v>
      </x:c>
      <x:c r="B2841" s="12" t="str">
        <x:v>Photographic activities</x:v>
      </x:c>
      <x:c r="C2841" s="12" t="str">
        <x:v>عجلون</x:v>
      </x:c>
      <x:c r="D2841" s="14" t="n">
        <x:v>8</x:v>
      </x:c>
      <x:c r="E2841" s="14" t="n">
        <x:f>VLOOKUP(C2841,'Governorate Master'!$A$2:$Q$13,3,FALSE)</x:f>
        <x:v>219900</x:v>
      </x:c>
      <x:c r="F2841" s="66" t="n">
        <x:f>IF(E2841=0,0,D2841/E2841*10000)</x:f>
        <x:v>0.36380172805820826</x:v>
      </x:c>
      <x:c r="G2841" s="67" t="n">
        <x:f>VLOOKUP(C2841,'Governorate Master'!$A$2:$Q$13,7,FALSE)</x:f>
        <x:v>524</x:v>
      </x:c>
      <x:c r="H2841" s="20" t="n">
        <x:f>VLOOKUP(C2841,'Governorate Master'!$A$2:$Q$13,6,FALSE)</x:f>
        <x:v>0.8390177353342428</x:v>
      </x:c>
      <x:c r="I2841" s="20" t="n">
        <x:f>VLOOKUP(C2841,'Governorate Master'!$A$2:$Q$13,15,FALSE)</x:f>
        <x:v>0.03614457831325301</x:v>
      </x:c>
      <x:c r="J2841" s="12" t="str">
        <x:v>Location model input - competition/saturation context</x:v>
      </x:c>
      <x:c r="K2841" s="12" t="str">
        <x:v>Business count is from 2018 while population/context indicators are newer; use as a historical proxy, not a current market count.</x:v>
      </x:c>
    </x:row>
    <x:row r="2842">
      <x:c r="A2842" s="12" t="str">
        <x:v>7420</x:v>
      </x:c>
      <x:c r="B2842" s="12" t="str">
        <x:v>Photographic activities</x:v>
      </x:c>
      <x:c r="C2842" s="12" t="str">
        <x:v>الكرك</x:v>
      </x:c>
      <x:c r="D2842" s="14" t="n">
        <x:v>17</x:v>
      </x:c>
      <x:c r="E2842" s="14" t="n">
        <x:f>VLOOKUP(C2842,'Governorate Master'!$A$2:$Q$13,3,FALSE)</x:f>
        <x:v>395400</x:v>
      </x:c>
      <x:c r="F2842" s="66" t="n">
        <x:f>IF(E2842=0,0,D2842/E2842*10000)</x:f>
        <x:v>0.42994436014162873</x:v>
      </x:c>
      <x:c r="G2842" s="67" t="n">
        <x:f>VLOOKUP(C2842,'Governorate Master'!$A$2:$Q$13,7,FALSE)</x:f>
        <x:v>113.1</x:v>
      </x:c>
      <x:c r="H2842" s="20" t="n">
        <x:f>VLOOKUP(C2842,'Governorate Master'!$A$2:$Q$13,6,FALSE)</x:f>
        <x:v>0.5912999494183105</x:v>
      </x:c>
      <x:c r="I2842" s="20" t="n">
        <x:f>VLOOKUP(C2842,'Governorate Master'!$A$2:$Q$13,15,FALSE)</x:f>
        <x:v>0.08710801393728224</x:v>
      </x:c>
      <x:c r="J2842" s="12" t="str">
        <x:v>Location model input - competition/saturation context</x:v>
      </x:c>
      <x:c r="K2842" s="12" t="str">
        <x:v>Business count is from 2018 while population/context indicators are newer; use as a historical proxy, not a current market count.</x:v>
      </x:c>
    </x:row>
    <x:row r="2843">
      <x:c r="A2843" s="12" t="str">
        <x:v>7420</x:v>
      </x:c>
      <x:c r="B2843" s="12" t="str">
        <x:v>Photographic activities</x:v>
      </x:c>
      <x:c r="C2843" s="12" t="str">
        <x:v>الطفيلة</x:v>
      </x:c>
      <x:c r="D2843" s="14" t="n">
        <x:v>4</x:v>
      </x:c>
      <x:c r="E2843" s="14" t="n">
        <x:f>VLOOKUP(C2843,'Governorate Master'!$A$2:$Q$13,3,FALSE)</x:f>
        <x:v>120300</x:v>
      </x:c>
      <x:c r="F2843" s="66" t="n">
        <x:f>IF(E2843=0,0,D2843/E2843*10000)</x:f>
        <x:v>0.3325020781379884</x:v>
      </x:c>
      <x:c r="G2843" s="67" t="n">
        <x:f>VLOOKUP(C2843,'Governorate Master'!$A$2:$Q$13,7,FALSE)</x:f>
        <x:v>54.4</x:v>
      </x:c>
      <x:c r="H2843" s="20" t="n">
        <x:f>VLOOKUP(C2843,'Governorate Master'!$A$2:$Q$13,6,FALSE)</x:f>
        <x:v>0.7797173732335827</x:v>
      </x:c>
      <x:c r="I2843" s="20" t="n">
        <x:f>VLOOKUP(C2843,'Governorate Master'!$A$2:$Q$13,15,FALSE)</x:f>
        <x:v>0.18452380952380953</x:v>
      </x:c>
      <x:c r="J2843" s="12" t="str">
        <x:v>Location model input - competition/saturation context</x:v>
      </x:c>
      <x:c r="K2843" s="12" t="str">
        <x:v>Business count is from 2018 while population/context indicators are newer; use as a historical proxy, not a current market count.</x:v>
      </x:c>
    </x:row>
    <x:row r="2844">
      <x:c r="A2844" s="12" t="str">
        <x:v>7420</x:v>
      </x:c>
      <x:c r="B2844" s="12" t="str">
        <x:v>Photographic activities</x:v>
      </x:c>
      <x:c r="C2844" s="12" t="str">
        <x:v>معان</x:v>
      </x:c>
      <x:c r="D2844" s="14" t="n">
        <x:v>7</x:v>
      </x:c>
      <x:c r="E2844" s="14" t="n">
        <x:f>VLOOKUP(C2844,'Governorate Master'!$A$2:$Q$13,3,FALSE)</x:f>
        <x:v>197900</x:v>
      </x:c>
      <x:c r="F2844" s="66" t="n">
        <x:f>IF(E2844=0,0,D2844/E2844*10000)</x:f>
        <x:v>0.35371399696816574</x:v>
      </x:c>
      <x:c r="G2844" s="67" t="n">
        <x:f>VLOOKUP(C2844,'Governorate Master'!$A$2:$Q$13,7,FALSE)</x:f>
        <x:v>6</x:v>
      </x:c>
      <x:c r="H2844" s="20" t="n">
        <x:f>VLOOKUP(C2844,'Governorate Master'!$A$2:$Q$13,6,FALSE)</x:f>
        <x:v>0.5406771096513391</x:v>
      </x:c>
      <x:c r="I2844" s="20" t="n">
        <x:f>VLOOKUP(C2844,'Governorate Master'!$A$2:$Q$13,15,FALSE)</x:f>
        <x:v>0.026845637583892617</x:v>
      </x:c>
      <x:c r="J2844" s="12" t="str">
        <x:v>Location model input - competition/saturation context</x:v>
      </x:c>
      <x:c r="K2844" s="12" t="str">
        <x:v>Business count is from 2018 while population/context indicators are newer; use as a historical proxy, not a current market count.</x:v>
      </x:c>
    </x:row>
    <x:row r="2845">
      <x:c r="A2845" s="12" t="str">
        <x:v>7420</x:v>
      </x:c>
      <x:c r="B2845" s="12" t="str">
        <x:v>Photographic activities</x:v>
      </x:c>
      <x:c r="C2845" s="12" t="str">
        <x:v>العقبة</x:v>
      </x:c>
      <x:c r="D2845" s="14" t="n">
        <x:v>7</x:v>
      </x:c>
      <x:c r="E2845" s="14" t="n">
        <x:f>VLOOKUP(C2845,'Governorate Master'!$A$2:$Q$13,3,FALSE)</x:f>
        <x:v>250900</x:v>
      </x:c>
      <x:c r="F2845" s="66" t="n">
        <x:f>IF(E2845=0,0,D2845/E2845*10000)</x:f>
        <x:v>0.27899561578318055</x:v>
      </x:c>
      <x:c r="G2845" s="67" t="n">
        <x:f>VLOOKUP(C2845,'Governorate Master'!$A$2:$Q$13,7,FALSE)</x:f>
        <x:v>36.3</x:v>
      </x:c>
      <x:c r="H2845" s="20" t="n">
        <x:f>VLOOKUP(C2845,'Governorate Master'!$A$2:$Q$13,6,FALSE)</x:f>
        <x:v>0.882024711040255</x:v>
      </x:c>
      <x:c r="I2845" s="20" t="n">
        <x:f>VLOOKUP(C2845,'Governorate Master'!$A$2:$Q$13,15,FALSE)</x:f>
        <x:v>-0.09</x:v>
      </x:c>
      <x:c r="J2845" s="12" t="str">
        <x:v>Location model input - competition/saturation context</x:v>
      </x:c>
      <x:c r="K2845" s="12" t="str">
        <x:v>Business count is from 2018 while population/context indicators are newer; use as a historical proxy, not a current market count.</x:v>
      </x:c>
    </x:row>
    <x:row r="2846">
      <x:c r="A2846" s="12" t="str">
        <x:v>7500</x:v>
      </x:c>
      <x:c r="B2846" s="12" t="str">
        <x:v>Veterinary activities</x:v>
      </x:c>
      <x:c r="C2846" s="12" t="str">
        <x:v>عمان</x:v>
      </x:c>
      <x:c r="D2846" s="14" t="n">
        <x:v>30</x:v>
      </x:c>
      <x:c r="E2846" s="14" t="n">
        <x:f>VLOOKUP(C2846,'Governorate Master'!$A$2:$Q$13,3,FALSE)</x:f>
        <x:v>5004600</x:v>
      </x:c>
      <x:c r="F2846" s="66" t="n">
        <x:f>IF(E2846=0,0,D2846/E2846*10000)</x:f>
        <x:v>0.05994485073732166</x:v>
      </x:c>
      <x:c r="G2846" s="67" t="n">
        <x:f>VLOOKUP(C2846,'Governorate Master'!$A$2:$Q$13,7,FALSE)</x:f>
        <x:v>660.3</x:v>
      </x:c>
      <x:c r="H2846" s="20" t="n">
        <x:f>VLOOKUP(C2846,'Governorate Master'!$A$2:$Q$13,6,FALSE)</x:f>
        <x:v>0.9721656076409703</x:v>
      </x:c>
      <x:c r="I2846" s="20" t="n">
        <x:f>VLOOKUP(C2846,'Governorate Master'!$A$2:$Q$13,15,FALSE)</x:f>
        <x:v>0.06367041198501873</x:v>
      </x:c>
      <x:c r="J2846" s="12" t="str">
        <x:v>Location model input - competition/saturation context</x:v>
      </x:c>
      <x:c r="K2846" s="12" t="str">
        <x:v>Business count is from 2018 while population/context indicators are newer; use as a historical proxy, not a current market count.</x:v>
      </x:c>
    </x:row>
    <x:row r="2847">
      <x:c r="A2847" s="12" t="str">
        <x:v>7500</x:v>
      </x:c>
      <x:c r="B2847" s="12" t="str">
        <x:v>Veterinary activities</x:v>
      </x:c>
      <x:c r="C2847" s="12" t="str">
        <x:v>البلقاء</x:v>
      </x:c>
      <x:c r="D2847" s="14" t="n">
        <x:v>6</x:v>
      </x:c>
      <x:c r="E2847" s="14" t="n">
        <x:f>VLOOKUP(C2847,'Governorate Master'!$A$2:$Q$13,3,FALSE)</x:f>
        <x:v>614000</x:v>
      </x:c>
      <x:c r="F2847" s="66" t="n">
        <x:f>IF(E2847=0,0,D2847/E2847*10000)</x:f>
        <x:v>0.09771986970684039</x:v>
      </x:c>
      <x:c r="G2847" s="67" t="n">
        <x:f>VLOOKUP(C2847,'Governorate Master'!$A$2:$Q$13,7,FALSE)</x:f>
        <x:v>548</x:v>
      </x:c>
      <x:c r="H2847" s="20" t="n">
        <x:f>VLOOKUP(C2847,'Governorate Master'!$A$2:$Q$13,6,FALSE)</x:f>
        <x:v>0.8210097719869707</x:v>
      </x:c>
      <x:c r="I2847" s="20" t="n">
        <x:f>VLOOKUP(C2847,'Governorate Master'!$A$2:$Q$13,15,FALSE)</x:f>
        <x:v>0.10794044665012408</x:v>
      </x:c>
      <x:c r="J2847" s="12" t="str">
        <x:v>Location model input - competition/saturation context</x:v>
      </x:c>
      <x:c r="K2847" s="12" t="str">
        <x:v>Business count is from 2018 while population/context indicators are newer; use as a historical proxy, not a current market count.</x:v>
      </x:c>
    </x:row>
    <x:row r="2848">
      <x:c r="A2848" s="12" t="str">
        <x:v>7500</x:v>
      </x:c>
      <x:c r="B2848" s="12" t="str">
        <x:v>Veterinary activities</x:v>
      </x:c>
      <x:c r="C2848" s="12" t="str">
        <x:v>الزرقاء</x:v>
      </x:c>
      <x:c r="D2848" s="14" t="n">
        <x:v>2</x:v>
      </x:c>
      <x:c r="E2848" s="14" t="n">
        <x:f>VLOOKUP(C2848,'Governorate Master'!$A$2:$Q$13,3,FALSE)</x:f>
        <x:v>1704500</x:v>
      </x:c>
      <x:c r="F2848" s="66" t="n">
        <x:f>IF(E2848=0,0,D2848/E2848*10000)</x:f>
        <x:v>0.011733646230566148</x:v>
      </x:c>
      <x:c r="G2848" s="67" t="n">
        <x:f>VLOOKUP(C2848,'Governorate Master'!$A$2:$Q$13,7,FALSE)</x:f>
        <x:v>358</x:v>
      </x:c>
      <x:c r="H2848" s="20" t="n">
        <x:f>VLOOKUP(C2848,'Governorate Master'!$A$2:$Q$13,6,FALSE)</x:f>
        <x:v>0.9636256966852449</x:v>
      </x:c>
      <x:c r="I2848" s="20" t="n">
        <x:f>VLOOKUP(C2848,'Governorate Master'!$A$2:$Q$13,15,FALSE)</x:f>
        <x:v>-0.06808762581409118</x:v>
      </x:c>
      <x:c r="J2848" s="12" t="str">
        <x:v>Location model input - competition/saturation context</x:v>
      </x:c>
      <x:c r="K2848" s="12" t="str">
        <x:v>Business count is from 2018 while population/context indicators are newer; use as a historical proxy, not a current market count.</x:v>
      </x:c>
    </x:row>
    <x:row r="2849">
      <x:c r="A2849" s="12" t="str">
        <x:v>7500</x:v>
      </x:c>
      <x:c r="B2849" s="12" t="str">
        <x:v>Veterinary activities</x:v>
      </x:c>
      <x:c r="C2849" s="12" t="str">
        <x:v>مادبا</x:v>
      </x:c>
      <x:c r="D2849" s="14" t="n">
        <x:v>0</x:v>
      </x:c>
      <x:c r="E2849" s="14" t="n">
        <x:f>VLOOKUP(C2849,'Governorate Master'!$A$2:$Q$13,3,FALSE)</x:f>
        <x:v>236200</x:v>
      </x:c>
      <x:c r="F2849" s="66" t="n">
        <x:f>IF(E2849=0,0,D2849/E2849*10000)</x:f>
        <x:v>0</x:v>
      </x:c>
      <x:c r="G2849" s="67" t="n">
        <x:f>VLOOKUP(C2849,'Governorate Master'!$A$2:$Q$13,7,FALSE)</x:f>
        <x:v>251.4</x:v>
      </x:c>
      <x:c r="H2849" s="20" t="n">
        <x:f>VLOOKUP(C2849,'Governorate Master'!$A$2:$Q$13,6,FALSE)</x:f>
        <x:v>0.7823878069432684</x:v>
      </x:c>
      <x:c r="I2849" s="20" t="n">
        <x:f>VLOOKUP(C2849,'Governorate Master'!$A$2:$Q$13,15,FALSE)</x:f>
        <x:v>-0.18823529411764706</x:v>
      </x:c>
      <x:c r="J2849" s="12" t="str">
        <x:v>Location model input - competition/saturation context</x:v>
      </x:c>
      <x:c r="K2849" s="12" t="str">
        <x:v>Business count is from 2018 while population/context indicators are newer; use as a historical proxy, not a current market count.</x:v>
      </x:c>
    </x:row>
    <x:row r="2850">
      <x:c r="A2850" s="12" t="str">
        <x:v>7500</x:v>
      </x:c>
      <x:c r="B2850" s="12" t="str">
        <x:v>Veterinary activities</x:v>
      </x:c>
      <x:c r="C2850" s="12" t="str">
        <x:v>إربد</x:v>
      </x:c>
      <x:c r="D2850" s="14" t="n">
        <x:v>3</x:v>
      </x:c>
      <x:c r="E2850" s="14" t="n">
        <x:f>VLOOKUP(C2850,'Governorate Master'!$A$2:$Q$13,3,FALSE)</x:f>
        <x:v>2210500</x:v>
      </x:c>
      <x:c r="F2850" s="66" t="n">
        <x:f>IF(E2850=0,0,D2850/E2850*10000)</x:f>
        <x:v>0.013571590137977832</x:v>
      </x:c>
      <x:c r="G2850" s="67" t="n">
        <x:f>VLOOKUP(C2850,'Governorate Master'!$A$2:$Q$13,7,FALSE)</x:f>
        <x:v>1406.4</x:v>
      </x:c>
      <x:c r="H2850" s="20" t="n">
        <x:f>VLOOKUP(C2850,'Governorate Master'!$A$2:$Q$13,6,FALSE)</x:f>
        <x:v>0.9235014702555983</x:v>
      </x:c>
      <x:c r="I2850" s="20" t="n">
        <x:f>VLOOKUP(C2850,'Governorate Master'!$A$2:$Q$13,15,FALSE)</x:f>
        <x:v>0.07086922474549726</x:v>
      </x:c>
      <x:c r="J2850" s="12" t="str">
        <x:v>Location model input - competition/saturation context</x:v>
      </x:c>
      <x:c r="K2850" s="12" t="str">
        <x:v>Business count is from 2018 while population/context indicators are newer; use as a historical proxy, not a current market count.</x:v>
      </x:c>
    </x:row>
    <x:row r="2851">
      <x:c r="A2851" s="12" t="str">
        <x:v>7500</x:v>
      </x:c>
      <x:c r="B2851" s="12" t="str">
        <x:v>Veterinary activities</x:v>
      </x:c>
      <x:c r="C2851" s="12" t="str">
        <x:v>المفرق</x:v>
      </x:c>
      <x:c r="D2851" s="14" t="n">
        <x:v>1</x:v>
      </x:c>
      <x:c r="E2851" s="14" t="n">
        <x:f>VLOOKUP(C2851,'Governorate Master'!$A$2:$Q$13,3,FALSE)</x:f>
        <x:v>686800</x:v>
      </x:c>
      <x:c r="F2851" s="66" t="n">
        <x:f>IF(E2851=0,0,D2851/E2851*10000)</x:f>
        <x:v>0.014560279557367502</x:v>
      </x:c>
      <x:c r="G2851" s="67" t="n">
        <x:f>VLOOKUP(C2851,'Governorate Master'!$A$2:$Q$13,7,FALSE)</x:f>
        <x:v>25.9</x:v>
      </x:c>
      <x:c r="H2851" s="20" t="n">
        <x:f>VLOOKUP(C2851,'Governorate Master'!$A$2:$Q$13,6,FALSE)</x:f>
        <x:v>0.6965637740244612</x:v>
      </x:c>
      <x:c r="I2851" s="20" t="n">
        <x:f>VLOOKUP(C2851,'Governorate Master'!$A$2:$Q$13,15,FALSE)</x:f>
        <x:v>-0.016638935108153077</x:v>
      </x:c>
      <x:c r="J2851" s="12" t="str">
        <x:v>Location model input - competition/saturation context</x:v>
      </x:c>
      <x:c r="K2851" s="12" t="str">
        <x:v>Business count is from 2018 while population/context indicators are newer; use as a historical proxy, not a current market count.</x:v>
      </x:c>
    </x:row>
    <x:row r="2852">
      <x:c r="A2852" s="12" t="str">
        <x:v>7500</x:v>
      </x:c>
      <x:c r="B2852" s="12" t="str">
        <x:v>Veterinary activities</x:v>
      </x:c>
      <x:c r="C2852" s="12" t="str">
        <x:v>جرش</x:v>
      </x:c>
      <x:c r="D2852" s="14" t="n">
        <x:v>2</x:v>
      </x:c>
      <x:c r="E2852" s="14" t="n">
        <x:f>VLOOKUP(C2852,'Governorate Master'!$A$2:$Q$13,3,FALSE)</x:f>
        <x:v>296000</x:v>
      </x:c>
      <x:c r="F2852" s="66" t="n">
        <x:f>IF(E2852=0,0,D2852/E2852*10000)</x:f>
        <x:v>0.06756756756756757</x:v>
      </x:c>
      <x:c r="G2852" s="67" t="n">
        <x:f>VLOOKUP(C2852,'Governorate Master'!$A$2:$Q$13,7,FALSE)</x:f>
        <x:v>722.3</x:v>
      </x:c>
      <x:c r="H2852" s="20" t="n">
        <x:f>VLOOKUP(C2852,'Governorate Master'!$A$2:$Q$13,6,FALSE)</x:f>
        <x:v>0.7695945945945946</x:v>
      </x:c>
      <x:c r="I2852" s="20" t="n">
        <x:f>VLOOKUP(C2852,'Governorate Master'!$A$2:$Q$13,15,FALSE)</x:f>
        <x:v>-0.06527415143603134</x:v>
      </x:c>
      <x:c r="J2852" s="12" t="str">
        <x:v>Location model input - competition/saturation context</x:v>
      </x:c>
      <x:c r="K2852" s="12" t="str">
        <x:v>Business count is from 2018 while population/context indicators are newer; use as a historical proxy, not a current market count.</x:v>
      </x:c>
    </x:row>
    <x:row r="2853">
      <x:c r="A2853" s="12" t="str">
        <x:v>7500</x:v>
      </x:c>
      <x:c r="B2853" s="12" t="str">
        <x:v>Veterinary activities</x:v>
      </x:c>
      <x:c r="C2853" s="12" t="str">
        <x:v>عجلون</x:v>
      </x:c>
      <x:c r="D2853" s="14" t="n">
        <x:v>0</x:v>
      </x:c>
      <x:c r="E2853" s="14" t="n">
        <x:f>VLOOKUP(C2853,'Governorate Master'!$A$2:$Q$13,3,FALSE)</x:f>
        <x:v>219900</x:v>
      </x:c>
      <x:c r="F2853" s="66" t="n">
        <x:f>IF(E2853=0,0,D2853/E2853*10000)</x:f>
        <x:v>0</x:v>
      </x:c>
      <x:c r="G2853" s="67" t="n">
        <x:f>VLOOKUP(C2853,'Governorate Master'!$A$2:$Q$13,7,FALSE)</x:f>
        <x:v>524</x:v>
      </x:c>
      <x:c r="H2853" s="20" t="n">
        <x:f>VLOOKUP(C2853,'Governorate Master'!$A$2:$Q$13,6,FALSE)</x:f>
        <x:v>0.8390177353342428</x:v>
      </x:c>
      <x:c r="I2853" s="20" t="n">
        <x:f>VLOOKUP(C2853,'Governorate Master'!$A$2:$Q$13,15,FALSE)</x:f>
        <x:v>0.03614457831325301</x:v>
      </x:c>
      <x:c r="J2853" s="12" t="str">
        <x:v>Location model input - competition/saturation context</x:v>
      </x:c>
      <x:c r="K2853" s="12" t="str">
        <x:v>Business count is from 2018 while population/context indicators are newer; use as a historical proxy, not a current market count.</x:v>
      </x:c>
    </x:row>
    <x:row r="2854">
      <x:c r="A2854" s="12" t="str">
        <x:v>7500</x:v>
      </x:c>
      <x:c r="B2854" s="12" t="str">
        <x:v>Veterinary activities</x:v>
      </x:c>
      <x:c r="C2854" s="12" t="str">
        <x:v>الكرك</x:v>
      </x:c>
      <x:c r="D2854" s="14" t="n">
        <x:v>0</x:v>
      </x:c>
      <x:c r="E2854" s="14" t="n">
        <x:f>VLOOKUP(C2854,'Governorate Master'!$A$2:$Q$13,3,FALSE)</x:f>
        <x:v>395400</x:v>
      </x:c>
      <x:c r="F2854" s="66" t="n">
        <x:f>IF(E2854=0,0,D2854/E2854*10000)</x:f>
        <x:v>0</x:v>
      </x:c>
      <x:c r="G2854" s="67" t="n">
        <x:f>VLOOKUP(C2854,'Governorate Master'!$A$2:$Q$13,7,FALSE)</x:f>
        <x:v>113.1</x:v>
      </x:c>
      <x:c r="H2854" s="20" t="n">
        <x:f>VLOOKUP(C2854,'Governorate Master'!$A$2:$Q$13,6,FALSE)</x:f>
        <x:v>0.5912999494183105</x:v>
      </x:c>
      <x:c r="I2854" s="20" t="n">
        <x:f>VLOOKUP(C2854,'Governorate Master'!$A$2:$Q$13,15,FALSE)</x:f>
        <x:v>0.08710801393728224</x:v>
      </x:c>
      <x:c r="J2854" s="12" t="str">
        <x:v>Location model input - competition/saturation context</x:v>
      </x:c>
      <x:c r="K2854" s="12" t="str">
        <x:v>Business count is from 2018 while population/context indicators are newer; use as a historical proxy, not a current market count.</x:v>
      </x:c>
    </x:row>
    <x:row r="2855">
      <x:c r="A2855" s="12" t="str">
        <x:v>7500</x:v>
      </x:c>
      <x:c r="B2855" s="12" t="str">
        <x:v>Veterinary activities</x:v>
      </x:c>
      <x:c r="C2855" s="12" t="str">
        <x:v>الطفيلة</x:v>
      </x:c>
      <x:c r="D2855" s="14" t="n">
        <x:v>1</x:v>
      </x:c>
      <x:c r="E2855" s="14" t="n">
        <x:f>VLOOKUP(C2855,'Governorate Master'!$A$2:$Q$13,3,FALSE)</x:f>
        <x:v>120300</x:v>
      </x:c>
      <x:c r="F2855" s="66" t="n">
        <x:f>IF(E2855=0,0,D2855/E2855*10000)</x:f>
        <x:v>0.0831255195344971</x:v>
      </x:c>
      <x:c r="G2855" s="67" t="n">
        <x:f>VLOOKUP(C2855,'Governorate Master'!$A$2:$Q$13,7,FALSE)</x:f>
        <x:v>54.4</x:v>
      </x:c>
      <x:c r="H2855" s="20" t="n">
        <x:f>VLOOKUP(C2855,'Governorate Master'!$A$2:$Q$13,6,FALSE)</x:f>
        <x:v>0.7797173732335827</x:v>
      </x:c>
      <x:c r="I2855" s="20" t="n">
        <x:f>VLOOKUP(C2855,'Governorate Master'!$A$2:$Q$13,15,FALSE)</x:f>
        <x:v>0.18452380952380953</x:v>
      </x:c>
      <x:c r="J2855" s="12" t="str">
        <x:v>Location model input - competition/saturation context</x:v>
      </x:c>
      <x:c r="K2855" s="12" t="str">
        <x:v>Business count is from 2018 while population/context indicators are newer; use as a historical proxy, not a current market count.</x:v>
      </x:c>
    </x:row>
    <x:row r="2856">
      <x:c r="A2856" s="12" t="str">
        <x:v>7500</x:v>
      </x:c>
      <x:c r="B2856" s="12" t="str">
        <x:v>Veterinary activities</x:v>
      </x:c>
      <x:c r="C2856" s="12" t="str">
        <x:v>معان</x:v>
      </x:c>
      <x:c r="D2856" s="14" t="n">
        <x:v>1</x:v>
      </x:c>
      <x:c r="E2856" s="14" t="n">
        <x:f>VLOOKUP(C2856,'Governorate Master'!$A$2:$Q$13,3,FALSE)</x:f>
        <x:v>197900</x:v>
      </x:c>
      <x:c r="F2856" s="66" t="n">
        <x:f>IF(E2856=0,0,D2856/E2856*10000)</x:f>
        <x:v>0.05053057099545225</x:v>
      </x:c>
      <x:c r="G2856" s="67" t="n">
        <x:f>VLOOKUP(C2856,'Governorate Master'!$A$2:$Q$13,7,FALSE)</x:f>
        <x:v>6</x:v>
      </x:c>
      <x:c r="H2856" s="20" t="n">
        <x:f>VLOOKUP(C2856,'Governorate Master'!$A$2:$Q$13,6,FALSE)</x:f>
        <x:v>0.5406771096513391</x:v>
      </x:c>
      <x:c r="I2856" s="20" t="n">
        <x:f>VLOOKUP(C2856,'Governorate Master'!$A$2:$Q$13,15,FALSE)</x:f>
        <x:v>0.026845637583892617</x:v>
      </x:c>
      <x:c r="J2856" s="12" t="str">
        <x:v>Location model input - competition/saturation context</x:v>
      </x:c>
      <x:c r="K2856" s="12" t="str">
        <x:v>Business count is from 2018 while population/context indicators are newer; use as a historical proxy, not a current market count.</x:v>
      </x:c>
    </x:row>
    <x:row r="2857">
      <x:c r="A2857" s="12" t="str">
        <x:v>7500</x:v>
      </x:c>
      <x:c r="B2857" s="12" t="str">
        <x:v>Veterinary activities</x:v>
      </x:c>
      <x:c r="C2857" s="12" t="str">
        <x:v>العقبة</x:v>
      </x:c>
      <x:c r="D2857" s="14" t="n">
        <x:v>3</x:v>
      </x:c>
      <x:c r="E2857" s="14" t="n">
        <x:f>VLOOKUP(C2857,'Governorate Master'!$A$2:$Q$13,3,FALSE)</x:f>
        <x:v>250900</x:v>
      </x:c>
      <x:c r="F2857" s="66" t="n">
        <x:f>IF(E2857=0,0,D2857/E2857*10000)</x:f>
        <x:v>0.11956954962136308</x:v>
      </x:c>
      <x:c r="G2857" s="67" t="n">
        <x:f>VLOOKUP(C2857,'Governorate Master'!$A$2:$Q$13,7,FALSE)</x:f>
        <x:v>36.3</x:v>
      </x:c>
      <x:c r="H2857" s="20" t="n">
        <x:f>VLOOKUP(C2857,'Governorate Master'!$A$2:$Q$13,6,FALSE)</x:f>
        <x:v>0.882024711040255</x:v>
      </x:c>
      <x:c r="I2857" s="20" t="n">
        <x:f>VLOOKUP(C2857,'Governorate Master'!$A$2:$Q$13,15,FALSE)</x:f>
        <x:v>-0.09</x:v>
      </x:c>
      <x:c r="J2857" s="12" t="str">
        <x:v>Location model input - competition/saturation context</x:v>
      </x:c>
      <x:c r="K2857" s="12" t="str">
        <x:v>Business count is from 2018 while population/context indicators are newer; use as a historical proxy, not a current market count.</x:v>
      </x:c>
    </x:row>
    <x:row r="2858">
      <x:c r="A2858" s="12" t="str">
        <x:v>7710</x:v>
      </x:c>
      <x:c r="B2858" s="12" t="str">
        <x:v>Renting and leasing of motor vehicles</x:v>
      </x:c>
      <x:c r="C2858" s="12" t="str">
        <x:v>عمان</x:v>
      </x:c>
      <x:c r="D2858" s="14" t="n">
        <x:v>142</x:v>
      </x:c>
      <x:c r="E2858" s="14" t="n">
        <x:f>VLOOKUP(C2858,'Governorate Master'!$A$2:$Q$13,3,FALSE)</x:f>
        <x:v>5004600</x:v>
      </x:c>
      <x:c r="F2858" s="66" t="n">
        <x:f>IF(E2858=0,0,D2858/E2858*10000)</x:f>
        <x:v>0.2837389601566559</x:v>
      </x:c>
      <x:c r="G2858" s="67" t="n">
        <x:f>VLOOKUP(C2858,'Governorate Master'!$A$2:$Q$13,7,FALSE)</x:f>
        <x:v>660.3</x:v>
      </x:c>
      <x:c r="H2858" s="20" t="n">
        <x:f>VLOOKUP(C2858,'Governorate Master'!$A$2:$Q$13,6,FALSE)</x:f>
        <x:v>0.9721656076409703</x:v>
      </x:c>
      <x:c r="I2858" s="20" t="n">
        <x:f>VLOOKUP(C2858,'Governorate Master'!$A$2:$Q$13,15,FALSE)</x:f>
        <x:v>0.06367041198501873</x:v>
      </x:c>
      <x:c r="J2858" s="12" t="str">
        <x:v>Location model input - competition/saturation context</x:v>
      </x:c>
      <x:c r="K2858" s="12" t="str">
        <x:v>Business count is from 2018 while population/context indicators are newer; use as a historical proxy, not a current market count.</x:v>
      </x:c>
    </x:row>
    <x:row r="2859">
      <x:c r="A2859" s="12" t="str">
        <x:v>7710</x:v>
      </x:c>
      <x:c r="B2859" s="12" t="str">
        <x:v>Renting and leasing of motor vehicles</x:v>
      </x:c>
      <x:c r="C2859" s="12" t="str">
        <x:v>البلقاء</x:v>
      </x:c>
      <x:c r="D2859" s="14" t="n">
        <x:v>14</x:v>
      </x:c>
      <x:c r="E2859" s="14" t="n">
        <x:f>VLOOKUP(C2859,'Governorate Master'!$A$2:$Q$13,3,FALSE)</x:f>
        <x:v>614000</x:v>
      </x:c>
      <x:c r="F2859" s="66" t="n">
        <x:f>IF(E2859=0,0,D2859/E2859*10000)</x:f>
        <x:v>0.22801302931596093</x:v>
      </x:c>
      <x:c r="G2859" s="67" t="n">
        <x:f>VLOOKUP(C2859,'Governorate Master'!$A$2:$Q$13,7,FALSE)</x:f>
        <x:v>548</x:v>
      </x:c>
      <x:c r="H2859" s="20" t="n">
        <x:f>VLOOKUP(C2859,'Governorate Master'!$A$2:$Q$13,6,FALSE)</x:f>
        <x:v>0.8210097719869707</x:v>
      </x:c>
      <x:c r="I2859" s="20" t="n">
        <x:f>VLOOKUP(C2859,'Governorate Master'!$A$2:$Q$13,15,FALSE)</x:f>
        <x:v>0.10794044665012408</x:v>
      </x:c>
      <x:c r="J2859" s="12" t="str">
        <x:v>Location model input - competition/saturation context</x:v>
      </x:c>
      <x:c r="K2859" s="12" t="str">
        <x:v>Business count is from 2018 while population/context indicators are newer; use as a historical proxy, not a current market count.</x:v>
      </x:c>
    </x:row>
    <x:row r="2860">
      <x:c r="A2860" s="12" t="str">
        <x:v>7710</x:v>
      </x:c>
      <x:c r="B2860" s="12" t="str">
        <x:v>Renting and leasing of motor vehicles</x:v>
      </x:c>
      <x:c r="C2860" s="12" t="str">
        <x:v>الزرقاء</x:v>
      </x:c>
      <x:c r="D2860" s="14" t="n">
        <x:v>7</x:v>
      </x:c>
      <x:c r="E2860" s="14" t="n">
        <x:f>VLOOKUP(C2860,'Governorate Master'!$A$2:$Q$13,3,FALSE)</x:f>
        <x:v>1704500</x:v>
      </x:c>
      <x:c r="F2860" s="66" t="n">
        <x:f>IF(E2860=0,0,D2860/E2860*10000)</x:f>
        <x:v>0.041067761806981525</x:v>
      </x:c>
      <x:c r="G2860" s="67" t="n">
        <x:f>VLOOKUP(C2860,'Governorate Master'!$A$2:$Q$13,7,FALSE)</x:f>
        <x:v>358</x:v>
      </x:c>
      <x:c r="H2860" s="20" t="n">
        <x:f>VLOOKUP(C2860,'Governorate Master'!$A$2:$Q$13,6,FALSE)</x:f>
        <x:v>0.9636256966852449</x:v>
      </x:c>
      <x:c r="I2860" s="20" t="n">
        <x:f>VLOOKUP(C2860,'Governorate Master'!$A$2:$Q$13,15,FALSE)</x:f>
        <x:v>-0.06808762581409118</x:v>
      </x:c>
      <x:c r="J2860" s="12" t="str">
        <x:v>Location model input - competition/saturation context</x:v>
      </x:c>
      <x:c r="K2860" s="12" t="str">
        <x:v>Business count is from 2018 while population/context indicators are newer; use as a historical proxy, not a current market count.</x:v>
      </x:c>
    </x:row>
    <x:row r="2861">
      <x:c r="A2861" s="12" t="str">
        <x:v>7710</x:v>
      </x:c>
      <x:c r="B2861" s="12" t="str">
        <x:v>Renting and leasing of motor vehicles</x:v>
      </x:c>
      <x:c r="C2861" s="12" t="str">
        <x:v>مادبا</x:v>
      </x:c>
      <x:c r="D2861" s="14" t="n">
        <x:v>1</x:v>
      </x:c>
      <x:c r="E2861" s="14" t="n">
        <x:f>VLOOKUP(C2861,'Governorate Master'!$A$2:$Q$13,3,FALSE)</x:f>
        <x:v>236200</x:v>
      </x:c>
      <x:c r="F2861" s="66" t="n">
        <x:f>IF(E2861=0,0,D2861/E2861*10000)</x:f>
        <x:v>0.04233700254022015</x:v>
      </x:c>
      <x:c r="G2861" s="67" t="n">
        <x:f>VLOOKUP(C2861,'Governorate Master'!$A$2:$Q$13,7,FALSE)</x:f>
        <x:v>251.4</x:v>
      </x:c>
      <x:c r="H2861" s="20" t="n">
        <x:f>VLOOKUP(C2861,'Governorate Master'!$A$2:$Q$13,6,FALSE)</x:f>
        <x:v>0.7823878069432684</x:v>
      </x:c>
      <x:c r="I2861" s="20" t="n">
        <x:f>VLOOKUP(C2861,'Governorate Master'!$A$2:$Q$13,15,FALSE)</x:f>
        <x:v>-0.18823529411764706</x:v>
      </x:c>
      <x:c r="J2861" s="12" t="str">
        <x:v>Location model input - competition/saturation context</x:v>
      </x:c>
      <x:c r="K2861" s="12" t="str">
        <x:v>Business count is from 2018 while population/context indicators are newer; use as a historical proxy, not a current market count.</x:v>
      </x:c>
    </x:row>
    <x:row r="2862">
      <x:c r="A2862" s="12" t="str">
        <x:v>7710</x:v>
      </x:c>
      <x:c r="B2862" s="12" t="str">
        <x:v>Renting and leasing of motor vehicles</x:v>
      </x:c>
      <x:c r="C2862" s="12" t="str">
        <x:v>إربد</x:v>
      </x:c>
      <x:c r="D2862" s="14" t="n">
        <x:v>15</x:v>
      </x:c>
      <x:c r="E2862" s="14" t="n">
        <x:f>VLOOKUP(C2862,'Governorate Master'!$A$2:$Q$13,3,FALSE)</x:f>
        <x:v>2210500</x:v>
      </x:c>
      <x:c r="F2862" s="66" t="n">
        <x:f>IF(E2862=0,0,D2862/E2862*10000)</x:f>
        <x:v>0.06785795068988917</x:v>
      </x:c>
      <x:c r="G2862" s="67" t="n">
        <x:f>VLOOKUP(C2862,'Governorate Master'!$A$2:$Q$13,7,FALSE)</x:f>
        <x:v>1406.4</x:v>
      </x:c>
      <x:c r="H2862" s="20" t="n">
        <x:f>VLOOKUP(C2862,'Governorate Master'!$A$2:$Q$13,6,FALSE)</x:f>
        <x:v>0.9235014702555983</x:v>
      </x:c>
      <x:c r="I2862" s="20" t="n">
        <x:f>VLOOKUP(C2862,'Governorate Master'!$A$2:$Q$13,15,FALSE)</x:f>
        <x:v>0.07086922474549726</x:v>
      </x:c>
      <x:c r="J2862" s="12" t="str">
        <x:v>Location model input - competition/saturation context</x:v>
      </x:c>
      <x:c r="K2862" s="12" t="str">
        <x:v>Business count is from 2018 while population/context indicators are newer; use as a historical proxy, not a current market count.</x:v>
      </x:c>
    </x:row>
    <x:row r="2863">
      <x:c r="A2863" s="12" t="str">
        <x:v>7710</x:v>
      </x:c>
      <x:c r="B2863" s="12" t="str">
        <x:v>Renting and leasing of motor vehicles</x:v>
      </x:c>
      <x:c r="C2863" s="12" t="str">
        <x:v>المفرق</x:v>
      </x:c>
      <x:c r="D2863" s="14" t="n">
        <x:v>0</x:v>
      </x:c>
      <x:c r="E2863" s="14" t="n">
        <x:f>VLOOKUP(C2863,'Governorate Master'!$A$2:$Q$13,3,FALSE)</x:f>
        <x:v>686800</x:v>
      </x:c>
      <x:c r="F2863" s="66" t="n">
        <x:f>IF(E2863=0,0,D2863/E2863*10000)</x:f>
        <x:v>0</x:v>
      </x:c>
      <x:c r="G2863" s="67" t="n">
        <x:f>VLOOKUP(C2863,'Governorate Master'!$A$2:$Q$13,7,FALSE)</x:f>
        <x:v>25.9</x:v>
      </x:c>
      <x:c r="H2863" s="20" t="n">
        <x:f>VLOOKUP(C2863,'Governorate Master'!$A$2:$Q$13,6,FALSE)</x:f>
        <x:v>0.6965637740244612</x:v>
      </x:c>
      <x:c r="I2863" s="20" t="n">
        <x:f>VLOOKUP(C2863,'Governorate Master'!$A$2:$Q$13,15,FALSE)</x:f>
        <x:v>-0.016638935108153077</x:v>
      </x:c>
      <x:c r="J2863" s="12" t="str">
        <x:v>Location model input - competition/saturation context</x:v>
      </x:c>
      <x:c r="K2863" s="12" t="str">
        <x:v>Business count is from 2018 while population/context indicators are newer; use as a historical proxy, not a current market count.</x:v>
      </x:c>
    </x:row>
    <x:row r="2864">
      <x:c r="A2864" s="12" t="str">
        <x:v>7710</x:v>
      </x:c>
      <x:c r="B2864" s="12" t="str">
        <x:v>Renting and leasing of motor vehicles</x:v>
      </x:c>
      <x:c r="C2864" s="12" t="str">
        <x:v>جرش</x:v>
      </x:c>
      <x:c r="D2864" s="14" t="n">
        <x:v>0</x:v>
      </x:c>
      <x:c r="E2864" s="14" t="n">
        <x:f>VLOOKUP(C2864,'Governorate Master'!$A$2:$Q$13,3,FALSE)</x:f>
        <x:v>296000</x:v>
      </x:c>
      <x:c r="F2864" s="66" t="n">
        <x:f>IF(E2864=0,0,D2864/E2864*10000)</x:f>
        <x:v>0</x:v>
      </x:c>
      <x:c r="G2864" s="67" t="n">
        <x:f>VLOOKUP(C2864,'Governorate Master'!$A$2:$Q$13,7,FALSE)</x:f>
        <x:v>722.3</x:v>
      </x:c>
      <x:c r="H2864" s="20" t="n">
        <x:f>VLOOKUP(C2864,'Governorate Master'!$A$2:$Q$13,6,FALSE)</x:f>
        <x:v>0.7695945945945946</x:v>
      </x:c>
      <x:c r="I2864" s="20" t="n">
        <x:f>VLOOKUP(C2864,'Governorate Master'!$A$2:$Q$13,15,FALSE)</x:f>
        <x:v>-0.06527415143603134</x:v>
      </x:c>
      <x:c r="J2864" s="12" t="str">
        <x:v>Location model input - competition/saturation context</x:v>
      </x:c>
      <x:c r="K2864" s="12" t="str">
        <x:v>Business count is from 2018 while population/context indicators are newer; use as a historical proxy, not a current market count.</x:v>
      </x:c>
    </x:row>
    <x:row r="2865">
      <x:c r="A2865" s="12" t="str">
        <x:v>7710</x:v>
      </x:c>
      <x:c r="B2865" s="12" t="str">
        <x:v>Renting and leasing of motor vehicles</x:v>
      </x:c>
      <x:c r="C2865" s="12" t="str">
        <x:v>عجلون</x:v>
      </x:c>
      <x:c r="D2865" s="14" t="n">
        <x:v>1</x:v>
      </x:c>
      <x:c r="E2865" s="14" t="n">
        <x:f>VLOOKUP(C2865,'Governorate Master'!$A$2:$Q$13,3,FALSE)</x:f>
        <x:v>219900</x:v>
      </x:c>
      <x:c r="F2865" s="66" t="n">
        <x:f>IF(E2865=0,0,D2865/E2865*10000)</x:f>
        <x:v>0.04547521600727603</x:v>
      </x:c>
      <x:c r="G2865" s="67" t="n">
        <x:f>VLOOKUP(C2865,'Governorate Master'!$A$2:$Q$13,7,FALSE)</x:f>
        <x:v>524</x:v>
      </x:c>
      <x:c r="H2865" s="20" t="n">
        <x:f>VLOOKUP(C2865,'Governorate Master'!$A$2:$Q$13,6,FALSE)</x:f>
        <x:v>0.8390177353342428</x:v>
      </x:c>
      <x:c r="I2865" s="20" t="n">
        <x:f>VLOOKUP(C2865,'Governorate Master'!$A$2:$Q$13,15,FALSE)</x:f>
        <x:v>0.03614457831325301</x:v>
      </x:c>
      <x:c r="J2865" s="12" t="str">
        <x:v>Location model input - competition/saturation context</x:v>
      </x:c>
      <x:c r="K2865" s="12" t="str">
        <x:v>Business count is from 2018 while population/context indicators are newer; use as a historical proxy, not a current market count.</x:v>
      </x:c>
    </x:row>
    <x:row r="2866">
      <x:c r="A2866" s="12" t="str">
        <x:v>7710</x:v>
      </x:c>
      <x:c r="B2866" s="12" t="str">
        <x:v>Renting and leasing of motor vehicles</x:v>
      </x:c>
      <x:c r="C2866" s="12" t="str">
        <x:v>الكرك</x:v>
      </x:c>
      <x:c r="D2866" s="14" t="n">
        <x:v>0</x:v>
      </x:c>
      <x:c r="E2866" s="14" t="n">
        <x:f>VLOOKUP(C2866,'Governorate Master'!$A$2:$Q$13,3,FALSE)</x:f>
        <x:v>395400</x:v>
      </x:c>
      <x:c r="F2866" s="66" t="n">
        <x:f>IF(E2866=0,0,D2866/E2866*10000)</x:f>
        <x:v>0</x:v>
      </x:c>
      <x:c r="G2866" s="67" t="n">
        <x:f>VLOOKUP(C2866,'Governorate Master'!$A$2:$Q$13,7,FALSE)</x:f>
        <x:v>113.1</x:v>
      </x:c>
      <x:c r="H2866" s="20" t="n">
        <x:f>VLOOKUP(C2866,'Governorate Master'!$A$2:$Q$13,6,FALSE)</x:f>
        <x:v>0.5912999494183105</x:v>
      </x:c>
      <x:c r="I2866" s="20" t="n">
        <x:f>VLOOKUP(C2866,'Governorate Master'!$A$2:$Q$13,15,FALSE)</x:f>
        <x:v>0.08710801393728224</x:v>
      </x:c>
      <x:c r="J2866" s="12" t="str">
        <x:v>Location model input - competition/saturation context</x:v>
      </x:c>
      <x:c r="K2866" s="12" t="str">
        <x:v>Business count is from 2018 while population/context indicators are newer; use as a historical proxy, not a current market count.</x:v>
      </x:c>
    </x:row>
    <x:row r="2867">
      <x:c r="A2867" s="12" t="str">
        <x:v>7710</x:v>
      </x:c>
      <x:c r="B2867" s="12" t="str">
        <x:v>Renting and leasing of motor vehicles</x:v>
      </x:c>
      <x:c r="C2867" s="12" t="str">
        <x:v>الطفيلة</x:v>
      </x:c>
      <x:c r="D2867" s="14" t="n">
        <x:v>0</x:v>
      </x:c>
      <x:c r="E2867" s="14" t="n">
        <x:f>VLOOKUP(C2867,'Governorate Master'!$A$2:$Q$13,3,FALSE)</x:f>
        <x:v>120300</x:v>
      </x:c>
      <x:c r="F2867" s="66" t="n">
        <x:f>IF(E2867=0,0,D2867/E2867*10000)</x:f>
        <x:v>0</x:v>
      </x:c>
      <x:c r="G2867" s="67" t="n">
        <x:f>VLOOKUP(C2867,'Governorate Master'!$A$2:$Q$13,7,FALSE)</x:f>
        <x:v>54.4</x:v>
      </x:c>
      <x:c r="H2867" s="20" t="n">
        <x:f>VLOOKUP(C2867,'Governorate Master'!$A$2:$Q$13,6,FALSE)</x:f>
        <x:v>0.7797173732335827</x:v>
      </x:c>
      <x:c r="I2867" s="20" t="n">
        <x:f>VLOOKUP(C2867,'Governorate Master'!$A$2:$Q$13,15,FALSE)</x:f>
        <x:v>0.18452380952380953</x:v>
      </x:c>
      <x:c r="J2867" s="12" t="str">
        <x:v>Location model input - competition/saturation context</x:v>
      </x:c>
      <x:c r="K2867" s="12" t="str">
        <x:v>Business count is from 2018 while population/context indicators are newer; use as a historical proxy, not a current market count.</x:v>
      </x:c>
    </x:row>
    <x:row r="2868">
      <x:c r="A2868" s="12" t="str">
        <x:v>7710</x:v>
      </x:c>
      <x:c r="B2868" s="12" t="str">
        <x:v>Renting and leasing of motor vehicles</x:v>
      </x:c>
      <x:c r="C2868" s="12" t="str">
        <x:v>معان</x:v>
      </x:c>
      <x:c r="D2868" s="14" t="n">
        <x:v>0</x:v>
      </x:c>
      <x:c r="E2868" s="14" t="n">
        <x:f>VLOOKUP(C2868,'Governorate Master'!$A$2:$Q$13,3,FALSE)</x:f>
        <x:v>197900</x:v>
      </x:c>
      <x:c r="F2868" s="66" t="n">
        <x:f>IF(E2868=0,0,D2868/E2868*10000)</x:f>
        <x:v>0</x:v>
      </x:c>
      <x:c r="G2868" s="67" t="n">
        <x:f>VLOOKUP(C2868,'Governorate Master'!$A$2:$Q$13,7,FALSE)</x:f>
        <x:v>6</x:v>
      </x:c>
      <x:c r="H2868" s="20" t="n">
        <x:f>VLOOKUP(C2868,'Governorate Master'!$A$2:$Q$13,6,FALSE)</x:f>
        <x:v>0.5406771096513391</x:v>
      </x:c>
      <x:c r="I2868" s="20" t="n">
        <x:f>VLOOKUP(C2868,'Governorate Master'!$A$2:$Q$13,15,FALSE)</x:f>
        <x:v>0.026845637583892617</x:v>
      </x:c>
      <x:c r="J2868" s="12" t="str">
        <x:v>Location model input - competition/saturation context</x:v>
      </x:c>
      <x:c r="K2868" s="12" t="str">
        <x:v>Business count is from 2018 while population/context indicators are newer; use as a historical proxy, not a current market count.</x:v>
      </x:c>
    </x:row>
    <x:row r="2869">
      <x:c r="A2869" s="12" t="str">
        <x:v>7710</x:v>
      </x:c>
      <x:c r="B2869" s="12" t="str">
        <x:v>Renting and leasing of motor vehicles</x:v>
      </x:c>
      <x:c r="C2869" s="12" t="str">
        <x:v>العقبة</x:v>
      </x:c>
      <x:c r="D2869" s="14" t="n">
        <x:v>7</x:v>
      </x:c>
      <x:c r="E2869" s="14" t="n">
        <x:f>VLOOKUP(C2869,'Governorate Master'!$A$2:$Q$13,3,FALSE)</x:f>
        <x:v>250900</x:v>
      </x:c>
      <x:c r="F2869" s="66" t="n">
        <x:f>IF(E2869=0,0,D2869/E2869*10000)</x:f>
        <x:v>0.27899561578318055</x:v>
      </x:c>
      <x:c r="G2869" s="67" t="n">
        <x:f>VLOOKUP(C2869,'Governorate Master'!$A$2:$Q$13,7,FALSE)</x:f>
        <x:v>36.3</x:v>
      </x:c>
      <x:c r="H2869" s="20" t="n">
        <x:f>VLOOKUP(C2869,'Governorate Master'!$A$2:$Q$13,6,FALSE)</x:f>
        <x:v>0.882024711040255</x:v>
      </x:c>
      <x:c r="I2869" s="20" t="n">
        <x:f>VLOOKUP(C2869,'Governorate Master'!$A$2:$Q$13,15,FALSE)</x:f>
        <x:v>-0.09</x:v>
      </x:c>
      <x:c r="J2869" s="12" t="str">
        <x:v>Location model input - competition/saturation context</x:v>
      </x:c>
      <x:c r="K2869" s="12" t="str">
        <x:v>Business count is from 2018 while population/context indicators are newer; use as a historical proxy, not a current market count.</x:v>
      </x:c>
    </x:row>
    <x:row r="2870">
      <x:c r="A2870" s="12" t="str">
        <x:v>7721</x:v>
      </x:c>
      <x:c r="B2870" s="12" t="str">
        <x:v>Renting and leasing of recreational and sports goods</x:v>
      </x:c>
      <x:c r="C2870" s="12" t="str">
        <x:v>عمان</x:v>
      </x:c>
      <x:c r="D2870" s="14" t="n">
        <x:v>3</x:v>
      </x:c>
      <x:c r="E2870" s="14" t="n">
        <x:f>VLOOKUP(C2870,'Governorate Master'!$A$2:$Q$13,3,FALSE)</x:f>
        <x:v>5004600</x:v>
      </x:c>
      <x:c r="F2870" s="66" t="n">
        <x:f>IF(E2870=0,0,D2870/E2870*10000)</x:f>
        <x:v>0.005994485073732166</x:v>
      </x:c>
      <x:c r="G2870" s="67" t="n">
        <x:f>VLOOKUP(C2870,'Governorate Master'!$A$2:$Q$13,7,FALSE)</x:f>
        <x:v>660.3</x:v>
      </x:c>
      <x:c r="H2870" s="20" t="n">
        <x:f>VLOOKUP(C2870,'Governorate Master'!$A$2:$Q$13,6,FALSE)</x:f>
        <x:v>0.9721656076409703</x:v>
      </x:c>
      <x:c r="I2870" s="20" t="n">
        <x:f>VLOOKUP(C2870,'Governorate Master'!$A$2:$Q$13,15,FALSE)</x:f>
        <x:v>0.06367041198501873</x:v>
      </x:c>
      <x:c r="J2870" s="12" t="str">
        <x:v>Location model input - competition/saturation context</x:v>
      </x:c>
      <x:c r="K2870" s="12" t="str">
        <x:v>Business count is from 2018 while population/context indicators are newer; use as a historical proxy, not a current market count.</x:v>
      </x:c>
    </x:row>
    <x:row r="2871">
      <x:c r="A2871" s="12" t="str">
        <x:v>7721</x:v>
      </x:c>
      <x:c r="B2871" s="12" t="str">
        <x:v>Renting and leasing of recreational and sports goods</x:v>
      </x:c>
      <x:c r="C2871" s="12" t="str">
        <x:v>البلقاء</x:v>
      </x:c>
      <x:c r="D2871" s="14" t="n">
        <x:v>1</x:v>
      </x:c>
      <x:c r="E2871" s="14" t="n">
        <x:f>VLOOKUP(C2871,'Governorate Master'!$A$2:$Q$13,3,FALSE)</x:f>
        <x:v>614000</x:v>
      </x:c>
      <x:c r="F2871" s="66" t="n">
        <x:f>IF(E2871=0,0,D2871/E2871*10000)</x:f>
        <x:v>0.016286644951140065</x:v>
      </x:c>
      <x:c r="G2871" s="67" t="n">
        <x:f>VLOOKUP(C2871,'Governorate Master'!$A$2:$Q$13,7,FALSE)</x:f>
        <x:v>548</x:v>
      </x:c>
      <x:c r="H2871" s="20" t="n">
        <x:f>VLOOKUP(C2871,'Governorate Master'!$A$2:$Q$13,6,FALSE)</x:f>
        <x:v>0.8210097719869707</x:v>
      </x:c>
      <x:c r="I2871" s="20" t="n">
        <x:f>VLOOKUP(C2871,'Governorate Master'!$A$2:$Q$13,15,FALSE)</x:f>
        <x:v>0.10794044665012408</x:v>
      </x:c>
      <x:c r="J2871" s="12" t="str">
        <x:v>Location model input - competition/saturation context</x:v>
      </x:c>
      <x:c r="K2871" s="12" t="str">
        <x:v>Business count is from 2018 while population/context indicators are newer; use as a historical proxy, not a current market count.</x:v>
      </x:c>
    </x:row>
    <x:row r="2872">
      <x:c r="A2872" s="12" t="str">
        <x:v>7721</x:v>
      </x:c>
      <x:c r="B2872" s="12" t="str">
        <x:v>Renting and leasing of recreational and sports goods</x:v>
      </x:c>
      <x:c r="C2872" s="12" t="str">
        <x:v>الزرقاء</x:v>
      </x:c>
      <x:c r="D2872" s="14" t="n">
        <x:v>3</x:v>
      </x:c>
      <x:c r="E2872" s="14" t="n">
        <x:f>VLOOKUP(C2872,'Governorate Master'!$A$2:$Q$13,3,FALSE)</x:f>
        <x:v>1704500</x:v>
      </x:c>
      <x:c r="F2872" s="66" t="n">
        <x:f>IF(E2872=0,0,D2872/E2872*10000)</x:f>
        <x:v>0.01760046934584922</x:v>
      </x:c>
      <x:c r="G2872" s="67" t="n">
        <x:f>VLOOKUP(C2872,'Governorate Master'!$A$2:$Q$13,7,FALSE)</x:f>
        <x:v>358</x:v>
      </x:c>
      <x:c r="H2872" s="20" t="n">
        <x:f>VLOOKUP(C2872,'Governorate Master'!$A$2:$Q$13,6,FALSE)</x:f>
        <x:v>0.9636256966852449</x:v>
      </x:c>
      <x:c r="I2872" s="20" t="n">
        <x:f>VLOOKUP(C2872,'Governorate Master'!$A$2:$Q$13,15,FALSE)</x:f>
        <x:v>-0.06808762581409118</x:v>
      </x:c>
      <x:c r="J2872" s="12" t="str">
        <x:v>Location model input - competition/saturation context</x:v>
      </x:c>
      <x:c r="K2872" s="12" t="str">
        <x:v>Business count is from 2018 while population/context indicators are newer; use as a historical proxy, not a current market count.</x:v>
      </x:c>
    </x:row>
    <x:row r="2873">
      <x:c r="A2873" s="12" t="str">
        <x:v>7721</x:v>
      </x:c>
      <x:c r="B2873" s="12" t="str">
        <x:v>Renting and leasing of recreational and sports goods</x:v>
      </x:c>
      <x:c r="C2873" s="12" t="str">
        <x:v>مادبا</x:v>
      </x:c>
      <x:c r="D2873" s="14" t="n">
        <x:v>1</x:v>
      </x:c>
      <x:c r="E2873" s="14" t="n">
        <x:f>VLOOKUP(C2873,'Governorate Master'!$A$2:$Q$13,3,FALSE)</x:f>
        <x:v>236200</x:v>
      </x:c>
      <x:c r="F2873" s="66" t="n">
        <x:f>IF(E2873=0,0,D2873/E2873*10000)</x:f>
        <x:v>0.04233700254022015</x:v>
      </x:c>
      <x:c r="G2873" s="67" t="n">
        <x:f>VLOOKUP(C2873,'Governorate Master'!$A$2:$Q$13,7,FALSE)</x:f>
        <x:v>251.4</x:v>
      </x:c>
      <x:c r="H2873" s="20" t="n">
        <x:f>VLOOKUP(C2873,'Governorate Master'!$A$2:$Q$13,6,FALSE)</x:f>
        <x:v>0.7823878069432684</x:v>
      </x:c>
      <x:c r="I2873" s="20" t="n">
        <x:f>VLOOKUP(C2873,'Governorate Master'!$A$2:$Q$13,15,FALSE)</x:f>
        <x:v>-0.18823529411764706</x:v>
      </x:c>
      <x:c r="J2873" s="12" t="str">
        <x:v>Location model input - competition/saturation context</x:v>
      </x:c>
      <x:c r="K2873" s="12" t="str">
        <x:v>Business count is from 2018 while population/context indicators are newer; use as a historical proxy, not a current market count.</x:v>
      </x:c>
    </x:row>
    <x:row r="2874">
      <x:c r="A2874" s="12" t="str">
        <x:v>7721</x:v>
      </x:c>
      <x:c r="B2874" s="12" t="str">
        <x:v>Renting and leasing of recreational and sports goods</x:v>
      </x:c>
      <x:c r="C2874" s="12" t="str">
        <x:v>إربد</x:v>
      </x:c>
      <x:c r="D2874" s="14" t="n">
        <x:v>8</x:v>
      </x:c>
      <x:c r="E2874" s="14" t="n">
        <x:f>VLOOKUP(C2874,'Governorate Master'!$A$2:$Q$13,3,FALSE)</x:f>
        <x:v>2210500</x:v>
      </x:c>
      <x:c r="F2874" s="66" t="n">
        <x:f>IF(E2874=0,0,D2874/E2874*10000)</x:f>
        <x:v>0.036190907034607554</x:v>
      </x:c>
      <x:c r="G2874" s="67" t="n">
        <x:f>VLOOKUP(C2874,'Governorate Master'!$A$2:$Q$13,7,FALSE)</x:f>
        <x:v>1406.4</x:v>
      </x:c>
      <x:c r="H2874" s="20" t="n">
        <x:f>VLOOKUP(C2874,'Governorate Master'!$A$2:$Q$13,6,FALSE)</x:f>
        <x:v>0.9235014702555983</x:v>
      </x:c>
      <x:c r="I2874" s="20" t="n">
        <x:f>VLOOKUP(C2874,'Governorate Master'!$A$2:$Q$13,15,FALSE)</x:f>
        <x:v>0.07086922474549726</x:v>
      </x:c>
      <x:c r="J2874" s="12" t="str">
        <x:v>Location model input - competition/saturation context</x:v>
      </x:c>
      <x:c r="K2874" s="12" t="str">
        <x:v>Business count is from 2018 while population/context indicators are newer; use as a historical proxy, not a current market count.</x:v>
      </x:c>
    </x:row>
    <x:row r="2875">
      <x:c r="A2875" s="12" t="str">
        <x:v>7721</x:v>
      </x:c>
      <x:c r="B2875" s="12" t="str">
        <x:v>Renting and leasing of recreational and sports goods</x:v>
      </x:c>
      <x:c r="C2875" s="12" t="str">
        <x:v>المفرق</x:v>
      </x:c>
      <x:c r="D2875" s="14" t="n">
        <x:v>0</x:v>
      </x:c>
      <x:c r="E2875" s="14" t="n">
        <x:f>VLOOKUP(C2875,'Governorate Master'!$A$2:$Q$13,3,FALSE)</x:f>
        <x:v>686800</x:v>
      </x:c>
      <x:c r="F2875" s="66" t="n">
        <x:f>IF(E2875=0,0,D2875/E2875*10000)</x:f>
        <x:v>0</x:v>
      </x:c>
      <x:c r="G2875" s="67" t="n">
        <x:f>VLOOKUP(C2875,'Governorate Master'!$A$2:$Q$13,7,FALSE)</x:f>
        <x:v>25.9</x:v>
      </x:c>
      <x:c r="H2875" s="20" t="n">
        <x:f>VLOOKUP(C2875,'Governorate Master'!$A$2:$Q$13,6,FALSE)</x:f>
        <x:v>0.6965637740244612</x:v>
      </x:c>
      <x:c r="I2875" s="20" t="n">
        <x:f>VLOOKUP(C2875,'Governorate Master'!$A$2:$Q$13,15,FALSE)</x:f>
        <x:v>-0.016638935108153077</x:v>
      </x:c>
      <x:c r="J2875" s="12" t="str">
        <x:v>Location model input - competition/saturation context</x:v>
      </x:c>
      <x:c r="K2875" s="12" t="str">
        <x:v>Business count is from 2018 while population/context indicators are newer; use as a historical proxy, not a current market count.</x:v>
      </x:c>
    </x:row>
    <x:row r="2876">
      <x:c r="A2876" s="12" t="str">
        <x:v>7721</x:v>
      </x:c>
      <x:c r="B2876" s="12" t="str">
        <x:v>Renting and leasing of recreational and sports goods</x:v>
      </x:c>
      <x:c r="C2876" s="12" t="str">
        <x:v>جرش</x:v>
      </x:c>
      <x:c r="D2876" s="14" t="n">
        <x:v>2</x:v>
      </x:c>
      <x:c r="E2876" s="14" t="n">
        <x:f>VLOOKUP(C2876,'Governorate Master'!$A$2:$Q$13,3,FALSE)</x:f>
        <x:v>296000</x:v>
      </x:c>
      <x:c r="F2876" s="66" t="n">
        <x:f>IF(E2876=0,0,D2876/E2876*10000)</x:f>
        <x:v>0.06756756756756757</x:v>
      </x:c>
      <x:c r="G2876" s="67" t="n">
        <x:f>VLOOKUP(C2876,'Governorate Master'!$A$2:$Q$13,7,FALSE)</x:f>
        <x:v>722.3</x:v>
      </x:c>
      <x:c r="H2876" s="20" t="n">
        <x:f>VLOOKUP(C2876,'Governorate Master'!$A$2:$Q$13,6,FALSE)</x:f>
        <x:v>0.7695945945945946</x:v>
      </x:c>
      <x:c r="I2876" s="20" t="n">
        <x:f>VLOOKUP(C2876,'Governorate Master'!$A$2:$Q$13,15,FALSE)</x:f>
        <x:v>-0.06527415143603134</x:v>
      </x:c>
      <x:c r="J2876" s="12" t="str">
        <x:v>Location model input - competition/saturation context</x:v>
      </x:c>
      <x:c r="K2876" s="12" t="str">
        <x:v>Business count is from 2018 while population/context indicators are newer; use as a historical proxy, not a current market count.</x:v>
      </x:c>
    </x:row>
    <x:row r="2877">
      <x:c r="A2877" s="12" t="str">
        <x:v>7721</x:v>
      </x:c>
      <x:c r="B2877" s="12" t="str">
        <x:v>Renting and leasing of recreational and sports goods</x:v>
      </x:c>
      <x:c r="C2877" s="12" t="str">
        <x:v>عجلون</x:v>
      </x:c>
      <x:c r="D2877" s="14" t="n">
        <x:v>1</x:v>
      </x:c>
      <x:c r="E2877" s="14" t="n">
        <x:f>VLOOKUP(C2877,'Governorate Master'!$A$2:$Q$13,3,FALSE)</x:f>
        <x:v>219900</x:v>
      </x:c>
      <x:c r="F2877" s="66" t="n">
        <x:f>IF(E2877=0,0,D2877/E2877*10000)</x:f>
        <x:v>0.04547521600727603</x:v>
      </x:c>
      <x:c r="G2877" s="67" t="n">
        <x:f>VLOOKUP(C2877,'Governorate Master'!$A$2:$Q$13,7,FALSE)</x:f>
        <x:v>524</x:v>
      </x:c>
      <x:c r="H2877" s="20" t="n">
        <x:f>VLOOKUP(C2877,'Governorate Master'!$A$2:$Q$13,6,FALSE)</x:f>
        <x:v>0.8390177353342428</x:v>
      </x:c>
      <x:c r="I2877" s="20" t="n">
        <x:f>VLOOKUP(C2877,'Governorate Master'!$A$2:$Q$13,15,FALSE)</x:f>
        <x:v>0.03614457831325301</x:v>
      </x:c>
      <x:c r="J2877" s="12" t="str">
        <x:v>Location model input - competition/saturation context</x:v>
      </x:c>
      <x:c r="K2877" s="12" t="str">
        <x:v>Business count is from 2018 while population/context indicators are newer; use as a historical proxy, not a current market count.</x:v>
      </x:c>
    </x:row>
    <x:row r="2878">
      <x:c r="A2878" s="12" t="str">
        <x:v>7721</x:v>
      </x:c>
      <x:c r="B2878" s="12" t="str">
        <x:v>Renting and leasing of recreational and sports goods</x:v>
      </x:c>
      <x:c r="C2878" s="12" t="str">
        <x:v>الكرك</x:v>
      </x:c>
      <x:c r="D2878" s="14" t="n">
        <x:v>1</x:v>
      </x:c>
      <x:c r="E2878" s="14" t="n">
        <x:f>VLOOKUP(C2878,'Governorate Master'!$A$2:$Q$13,3,FALSE)</x:f>
        <x:v>395400</x:v>
      </x:c>
      <x:c r="F2878" s="66" t="n">
        <x:f>IF(E2878=0,0,D2878/E2878*10000)</x:f>
        <x:v>0.025290844714213452</x:v>
      </x:c>
      <x:c r="G2878" s="67" t="n">
        <x:f>VLOOKUP(C2878,'Governorate Master'!$A$2:$Q$13,7,FALSE)</x:f>
        <x:v>113.1</x:v>
      </x:c>
      <x:c r="H2878" s="20" t="n">
        <x:f>VLOOKUP(C2878,'Governorate Master'!$A$2:$Q$13,6,FALSE)</x:f>
        <x:v>0.5912999494183105</x:v>
      </x:c>
      <x:c r="I2878" s="20" t="n">
        <x:f>VLOOKUP(C2878,'Governorate Master'!$A$2:$Q$13,15,FALSE)</x:f>
        <x:v>0.08710801393728224</x:v>
      </x:c>
      <x:c r="J2878" s="12" t="str">
        <x:v>Location model input - competition/saturation context</x:v>
      </x:c>
      <x:c r="K2878" s="12" t="str">
        <x:v>Business count is from 2018 while population/context indicators are newer; use as a historical proxy, not a current market count.</x:v>
      </x:c>
    </x:row>
    <x:row r="2879">
      <x:c r="A2879" s="12" t="str">
        <x:v>7721</x:v>
      </x:c>
      <x:c r="B2879" s="12" t="str">
        <x:v>Renting and leasing of recreational and sports goods</x:v>
      </x:c>
      <x:c r="C2879" s="12" t="str">
        <x:v>الطفيلة</x:v>
      </x:c>
      <x:c r="D2879" s="14" t="n">
        <x:v>0</x:v>
      </x:c>
      <x:c r="E2879" s="14" t="n">
        <x:f>VLOOKUP(C2879,'Governorate Master'!$A$2:$Q$13,3,FALSE)</x:f>
        <x:v>120300</x:v>
      </x:c>
      <x:c r="F2879" s="66" t="n">
        <x:f>IF(E2879=0,0,D2879/E2879*10000)</x:f>
        <x:v>0</x:v>
      </x:c>
      <x:c r="G2879" s="67" t="n">
        <x:f>VLOOKUP(C2879,'Governorate Master'!$A$2:$Q$13,7,FALSE)</x:f>
        <x:v>54.4</x:v>
      </x:c>
      <x:c r="H2879" s="20" t="n">
        <x:f>VLOOKUP(C2879,'Governorate Master'!$A$2:$Q$13,6,FALSE)</x:f>
        <x:v>0.7797173732335827</x:v>
      </x:c>
      <x:c r="I2879" s="20" t="n">
        <x:f>VLOOKUP(C2879,'Governorate Master'!$A$2:$Q$13,15,FALSE)</x:f>
        <x:v>0.18452380952380953</x:v>
      </x:c>
      <x:c r="J2879" s="12" t="str">
        <x:v>Location model input - competition/saturation context</x:v>
      </x:c>
      <x:c r="K2879" s="12" t="str">
        <x:v>Business count is from 2018 while population/context indicators are newer; use as a historical proxy, not a current market count.</x:v>
      </x:c>
    </x:row>
    <x:row r="2880">
      <x:c r="A2880" s="12" t="str">
        <x:v>7721</x:v>
      </x:c>
      <x:c r="B2880" s="12" t="str">
        <x:v>Renting and leasing of recreational and sports goods</x:v>
      </x:c>
      <x:c r="C2880" s="12" t="str">
        <x:v>معان</x:v>
      </x:c>
      <x:c r="D2880" s="14" t="n">
        <x:v>0</x:v>
      </x:c>
      <x:c r="E2880" s="14" t="n">
        <x:f>VLOOKUP(C2880,'Governorate Master'!$A$2:$Q$13,3,FALSE)</x:f>
        <x:v>197900</x:v>
      </x:c>
      <x:c r="F2880" s="66" t="n">
        <x:f>IF(E2880=0,0,D2880/E2880*10000)</x:f>
        <x:v>0</x:v>
      </x:c>
      <x:c r="G2880" s="67" t="n">
        <x:f>VLOOKUP(C2880,'Governorate Master'!$A$2:$Q$13,7,FALSE)</x:f>
        <x:v>6</x:v>
      </x:c>
      <x:c r="H2880" s="20" t="n">
        <x:f>VLOOKUP(C2880,'Governorate Master'!$A$2:$Q$13,6,FALSE)</x:f>
        <x:v>0.5406771096513391</x:v>
      </x:c>
      <x:c r="I2880" s="20" t="n">
        <x:f>VLOOKUP(C2880,'Governorate Master'!$A$2:$Q$13,15,FALSE)</x:f>
        <x:v>0.026845637583892617</x:v>
      </x:c>
      <x:c r="J2880" s="12" t="str">
        <x:v>Location model input - competition/saturation context</x:v>
      </x:c>
      <x:c r="K2880" s="12" t="str">
        <x:v>Business count is from 2018 while population/context indicators are newer; use as a historical proxy, not a current market count.</x:v>
      </x:c>
    </x:row>
    <x:row r="2881">
      <x:c r="A2881" s="12" t="str">
        <x:v>7721</x:v>
      </x:c>
      <x:c r="B2881" s="12" t="str">
        <x:v>Renting and leasing of recreational and sports goods</x:v>
      </x:c>
      <x:c r="C2881" s="12" t="str">
        <x:v>العقبة</x:v>
      </x:c>
      <x:c r="D2881" s="14" t="n">
        <x:v>1</x:v>
      </x:c>
      <x:c r="E2881" s="14" t="n">
        <x:f>VLOOKUP(C2881,'Governorate Master'!$A$2:$Q$13,3,FALSE)</x:f>
        <x:v>250900</x:v>
      </x:c>
      <x:c r="F2881" s="66" t="n">
        <x:f>IF(E2881=0,0,D2881/E2881*10000)</x:f>
        <x:v>0.03985651654045436</x:v>
      </x:c>
      <x:c r="G2881" s="67" t="n">
        <x:f>VLOOKUP(C2881,'Governorate Master'!$A$2:$Q$13,7,FALSE)</x:f>
        <x:v>36.3</x:v>
      </x:c>
      <x:c r="H2881" s="20" t="n">
        <x:f>VLOOKUP(C2881,'Governorate Master'!$A$2:$Q$13,6,FALSE)</x:f>
        <x:v>0.882024711040255</x:v>
      </x:c>
      <x:c r="I2881" s="20" t="n">
        <x:f>VLOOKUP(C2881,'Governorate Master'!$A$2:$Q$13,15,FALSE)</x:f>
        <x:v>-0.09</x:v>
      </x:c>
      <x:c r="J2881" s="12" t="str">
        <x:v>Location model input - competition/saturation context</x:v>
      </x:c>
      <x:c r="K2881" s="12" t="str">
        <x:v>Business count is from 2018 while population/context indicators are newer; use as a historical proxy, not a current market count.</x:v>
      </x:c>
    </x:row>
    <x:row r="2882">
      <x:c r="A2882" s="12" t="str">
        <x:v>7722</x:v>
      </x:c>
      <x:c r="B2882" s="12" t="str">
        <x:v>Renting of video tapes and disks</x:v>
      </x:c>
      <x:c r="C2882" s="12" t="str">
        <x:v>عمان</x:v>
      </x:c>
      <x:c r="D2882" s="14" t="n">
        <x:v>13</x:v>
      </x:c>
      <x:c r="E2882" s="14" t="n">
        <x:f>VLOOKUP(C2882,'Governorate Master'!$A$2:$Q$13,3,FALSE)</x:f>
        <x:v>5004600</x:v>
      </x:c>
      <x:c r="F2882" s="66" t="n">
        <x:f>IF(E2882=0,0,D2882/E2882*10000)</x:f>
        <x:v>0.02597610198617272</x:v>
      </x:c>
      <x:c r="G2882" s="67" t="n">
        <x:f>VLOOKUP(C2882,'Governorate Master'!$A$2:$Q$13,7,FALSE)</x:f>
        <x:v>660.3</x:v>
      </x:c>
      <x:c r="H2882" s="20" t="n">
        <x:f>VLOOKUP(C2882,'Governorate Master'!$A$2:$Q$13,6,FALSE)</x:f>
        <x:v>0.9721656076409703</x:v>
      </x:c>
      <x:c r="I2882" s="20" t="n">
        <x:f>VLOOKUP(C2882,'Governorate Master'!$A$2:$Q$13,15,FALSE)</x:f>
        <x:v>0.06367041198501873</x:v>
      </x:c>
      <x:c r="J2882" s="12" t="str">
        <x:v>Location model input - competition/saturation context</x:v>
      </x:c>
      <x:c r="K2882" s="12" t="str">
        <x:v>Business count is from 2018 while population/context indicators are newer; use as a historical proxy, not a current market count.</x:v>
      </x:c>
    </x:row>
    <x:row r="2883">
      <x:c r="A2883" s="12" t="str">
        <x:v>7722</x:v>
      </x:c>
      <x:c r="B2883" s="12" t="str">
        <x:v>Renting of video tapes and disks</x:v>
      </x:c>
      <x:c r="C2883" s="12" t="str">
        <x:v>البلقاء</x:v>
      </x:c>
      <x:c r="D2883" s="14" t="n">
        <x:v>6</x:v>
      </x:c>
      <x:c r="E2883" s="14" t="n">
        <x:f>VLOOKUP(C2883,'Governorate Master'!$A$2:$Q$13,3,FALSE)</x:f>
        <x:v>614000</x:v>
      </x:c>
      <x:c r="F2883" s="66" t="n">
        <x:f>IF(E2883=0,0,D2883/E2883*10000)</x:f>
        <x:v>0.09771986970684039</x:v>
      </x:c>
      <x:c r="G2883" s="67" t="n">
        <x:f>VLOOKUP(C2883,'Governorate Master'!$A$2:$Q$13,7,FALSE)</x:f>
        <x:v>548</x:v>
      </x:c>
      <x:c r="H2883" s="20" t="n">
        <x:f>VLOOKUP(C2883,'Governorate Master'!$A$2:$Q$13,6,FALSE)</x:f>
        <x:v>0.8210097719869707</x:v>
      </x:c>
      <x:c r="I2883" s="20" t="n">
        <x:f>VLOOKUP(C2883,'Governorate Master'!$A$2:$Q$13,15,FALSE)</x:f>
        <x:v>0.10794044665012408</x:v>
      </x:c>
      <x:c r="J2883" s="12" t="str">
        <x:v>Location model input - competition/saturation context</x:v>
      </x:c>
      <x:c r="K2883" s="12" t="str">
        <x:v>Business count is from 2018 while population/context indicators are newer; use as a historical proxy, not a current market count.</x:v>
      </x:c>
    </x:row>
    <x:row r="2884">
      <x:c r="A2884" s="12" t="str">
        <x:v>7722</x:v>
      </x:c>
      <x:c r="B2884" s="12" t="str">
        <x:v>Renting of video tapes and disks</x:v>
      </x:c>
      <x:c r="C2884" s="12" t="str">
        <x:v>الزرقاء</x:v>
      </x:c>
      <x:c r="D2884" s="14" t="n">
        <x:v>3</x:v>
      </x:c>
      <x:c r="E2884" s="14" t="n">
        <x:f>VLOOKUP(C2884,'Governorate Master'!$A$2:$Q$13,3,FALSE)</x:f>
        <x:v>1704500</x:v>
      </x:c>
      <x:c r="F2884" s="66" t="n">
        <x:f>IF(E2884=0,0,D2884/E2884*10000)</x:f>
        <x:v>0.01760046934584922</x:v>
      </x:c>
      <x:c r="G2884" s="67" t="n">
        <x:f>VLOOKUP(C2884,'Governorate Master'!$A$2:$Q$13,7,FALSE)</x:f>
        <x:v>358</x:v>
      </x:c>
      <x:c r="H2884" s="20" t="n">
        <x:f>VLOOKUP(C2884,'Governorate Master'!$A$2:$Q$13,6,FALSE)</x:f>
        <x:v>0.9636256966852449</x:v>
      </x:c>
      <x:c r="I2884" s="20" t="n">
        <x:f>VLOOKUP(C2884,'Governorate Master'!$A$2:$Q$13,15,FALSE)</x:f>
        <x:v>-0.06808762581409118</x:v>
      </x:c>
      <x:c r="J2884" s="12" t="str">
        <x:v>Location model input - competition/saturation context</x:v>
      </x:c>
      <x:c r="K2884" s="12" t="str">
        <x:v>Business count is from 2018 while population/context indicators are newer; use as a historical proxy, not a current market count.</x:v>
      </x:c>
    </x:row>
    <x:row r="2885">
      <x:c r="A2885" s="12" t="str">
        <x:v>7722</x:v>
      </x:c>
      <x:c r="B2885" s="12" t="str">
        <x:v>Renting of video tapes and disks</x:v>
      </x:c>
      <x:c r="C2885" s="12" t="str">
        <x:v>مادبا</x:v>
      </x:c>
      <x:c r="D2885" s="14" t="n">
        <x:v>3</x:v>
      </x:c>
      <x:c r="E2885" s="14" t="n">
        <x:f>VLOOKUP(C2885,'Governorate Master'!$A$2:$Q$13,3,FALSE)</x:f>
        <x:v>236200</x:v>
      </x:c>
      <x:c r="F2885" s="66" t="n">
        <x:f>IF(E2885=0,0,D2885/E2885*10000)</x:f>
        <x:v>0.12701100762066045</x:v>
      </x:c>
      <x:c r="G2885" s="67" t="n">
        <x:f>VLOOKUP(C2885,'Governorate Master'!$A$2:$Q$13,7,FALSE)</x:f>
        <x:v>251.4</x:v>
      </x:c>
      <x:c r="H2885" s="20" t="n">
        <x:f>VLOOKUP(C2885,'Governorate Master'!$A$2:$Q$13,6,FALSE)</x:f>
        <x:v>0.7823878069432684</x:v>
      </x:c>
      <x:c r="I2885" s="20" t="n">
        <x:f>VLOOKUP(C2885,'Governorate Master'!$A$2:$Q$13,15,FALSE)</x:f>
        <x:v>-0.18823529411764706</x:v>
      </x:c>
      <x:c r="J2885" s="12" t="str">
        <x:v>Location model input - competition/saturation context</x:v>
      </x:c>
      <x:c r="K2885" s="12" t="str">
        <x:v>Business count is from 2018 while population/context indicators are newer; use as a historical proxy, not a current market count.</x:v>
      </x:c>
    </x:row>
    <x:row r="2886">
      <x:c r="A2886" s="12" t="str">
        <x:v>7722</x:v>
      </x:c>
      <x:c r="B2886" s="12" t="str">
        <x:v>Renting of video tapes and disks</x:v>
      </x:c>
      <x:c r="C2886" s="12" t="str">
        <x:v>إربد</x:v>
      </x:c>
      <x:c r="D2886" s="14" t="n">
        <x:v>1</x:v>
      </x:c>
      <x:c r="E2886" s="14" t="n">
        <x:f>VLOOKUP(C2886,'Governorate Master'!$A$2:$Q$13,3,FALSE)</x:f>
        <x:v>2210500</x:v>
      </x:c>
      <x:c r="F2886" s="66" t="n">
        <x:f>IF(E2886=0,0,D2886/E2886*10000)</x:f>
        <x:v>0.004523863379325944</x:v>
      </x:c>
      <x:c r="G2886" s="67" t="n">
        <x:f>VLOOKUP(C2886,'Governorate Master'!$A$2:$Q$13,7,FALSE)</x:f>
        <x:v>1406.4</x:v>
      </x:c>
      <x:c r="H2886" s="20" t="n">
        <x:f>VLOOKUP(C2886,'Governorate Master'!$A$2:$Q$13,6,FALSE)</x:f>
        <x:v>0.9235014702555983</x:v>
      </x:c>
      <x:c r="I2886" s="20" t="n">
        <x:f>VLOOKUP(C2886,'Governorate Master'!$A$2:$Q$13,15,FALSE)</x:f>
        <x:v>0.07086922474549726</x:v>
      </x:c>
      <x:c r="J2886" s="12" t="str">
        <x:v>Location model input - competition/saturation context</x:v>
      </x:c>
      <x:c r="K2886" s="12" t="str">
        <x:v>Business count is from 2018 while population/context indicators are newer; use as a historical proxy, not a current market count.</x:v>
      </x:c>
    </x:row>
    <x:row r="2887">
      <x:c r="A2887" s="12" t="str">
        <x:v>7722</x:v>
      </x:c>
      <x:c r="B2887" s="12" t="str">
        <x:v>Renting of video tapes and disks</x:v>
      </x:c>
      <x:c r="C2887" s="12" t="str">
        <x:v>المفرق</x:v>
      </x:c>
      <x:c r="D2887" s="14" t="n">
        <x:v>0</x:v>
      </x:c>
      <x:c r="E2887" s="14" t="n">
        <x:f>VLOOKUP(C2887,'Governorate Master'!$A$2:$Q$13,3,FALSE)</x:f>
        <x:v>686800</x:v>
      </x:c>
      <x:c r="F2887" s="66" t="n">
        <x:f>IF(E2887=0,0,D2887/E2887*10000)</x:f>
        <x:v>0</x:v>
      </x:c>
      <x:c r="G2887" s="67" t="n">
        <x:f>VLOOKUP(C2887,'Governorate Master'!$A$2:$Q$13,7,FALSE)</x:f>
        <x:v>25.9</x:v>
      </x:c>
      <x:c r="H2887" s="20" t="n">
        <x:f>VLOOKUP(C2887,'Governorate Master'!$A$2:$Q$13,6,FALSE)</x:f>
        <x:v>0.6965637740244612</x:v>
      </x:c>
      <x:c r="I2887" s="20" t="n">
        <x:f>VLOOKUP(C2887,'Governorate Master'!$A$2:$Q$13,15,FALSE)</x:f>
        <x:v>-0.016638935108153077</x:v>
      </x:c>
      <x:c r="J2887" s="12" t="str">
        <x:v>Location model input - competition/saturation context</x:v>
      </x:c>
      <x:c r="K2887" s="12" t="str">
        <x:v>Business count is from 2018 while population/context indicators are newer; use as a historical proxy, not a current market count.</x:v>
      </x:c>
    </x:row>
    <x:row r="2888">
      <x:c r="A2888" s="12" t="str">
        <x:v>7722</x:v>
      </x:c>
      <x:c r="B2888" s="12" t="str">
        <x:v>Renting of video tapes and disks</x:v>
      </x:c>
      <x:c r="C2888" s="12" t="str">
        <x:v>جرش</x:v>
      </x:c>
      <x:c r="D2888" s="14" t="n">
        <x:v>0</x:v>
      </x:c>
      <x:c r="E2888" s="14" t="n">
        <x:f>VLOOKUP(C2888,'Governorate Master'!$A$2:$Q$13,3,FALSE)</x:f>
        <x:v>296000</x:v>
      </x:c>
      <x:c r="F2888" s="66" t="n">
        <x:f>IF(E2888=0,0,D2888/E2888*10000)</x:f>
        <x:v>0</x:v>
      </x:c>
      <x:c r="G2888" s="67" t="n">
        <x:f>VLOOKUP(C2888,'Governorate Master'!$A$2:$Q$13,7,FALSE)</x:f>
        <x:v>722.3</x:v>
      </x:c>
      <x:c r="H2888" s="20" t="n">
        <x:f>VLOOKUP(C2888,'Governorate Master'!$A$2:$Q$13,6,FALSE)</x:f>
        <x:v>0.7695945945945946</x:v>
      </x:c>
      <x:c r="I2888" s="20" t="n">
        <x:f>VLOOKUP(C2888,'Governorate Master'!$A$2:$Q$13,15,FALSE)</x:f>
        <x:v>-0.06527415143603134</x:v>
      </x:c>
      <x:c r="J2888" s="12" t="str">
        <x:v>Location model input - competition/saturation context</x:v>
      </x:c>
      <x:c r="K2888" s="12" t="str">
        <x:v>Business count is from 2018 while population/context indicators are newer; use as a historical proxy, not a current market count.</x:v>
      </x:c>
    </x:row>
    <x:row r="2889">
      <x:c r="A2889" s="12" t="str">
        <x:v>7722</x:v>
      </x:c>
      <x:c r="B2889" s="12" t="str">
        <x:v>Renting of video tapes and disks</x:v>
      </x:c>
      <x:c r="C2889" s="12" t="str">
        <x:v>عجلون</x:v>
      </x:c>
      <x:c r="D2889" s="14" t="n">
        <x:v>0</x:v>
      </x:c>
      <x:c r="E2889" s="14" t="n">
        <x:f>VLOOKUP(C2889,'Governorate Master'!$A$2:$Q$13,3,FALSE)</x:f>
        <x:v>219900</x:v>
      </x:c>
      <x:c r="F2889" s="66" t="n">
        <x:f>IF(E2889=0,0,D2889/E2889*10000)</x:f>
        <x:v>0</x:v>
      </x:c>
      <x:c r="G2889" s="67" t="n">
        <x:f>VLOOKUP(C2889,'Governorate Master'!$A$2:$Q$13,7,FALSE)</x:f>
        <x:v>524</x:v>
      </x:c>
      <x:c r="H2889" s="20" t="n">
        <x:f>VLOOKUP(C2889,'Governorate Master'!$A$2:$Q$13,6,FALSE)</x:f>
        <x:v>0.8390177353342428</x:v>
      </x:c>
      <x:c r="I2889" s="20" t="n">
        <x:f>VLOOKUP(C2889,'Governorate Master'!$A$2:$Q$13,15,FALSE)</x:f>
        <x:v>0.03614457831325301</x:v>
      </x:c>
      <x:c r="J2889" s="12" t="str">
        <x:v>Location model input - competition/saturation context</x:v>
      </x:c>
      <x:c r="K2889" s="12" t="str">
        <x:v>Business count is from 2018 while population/context indicators are newer; use as a historical proxy, not a current market count.</x:v>
      </x:c>
    </x:row>
    <x:row r="2890">
      <x:c r="A2890" s="12" t="str">
        <x:v>7722</x:v>
      </x:c>
      <x:c r="B2890" s="12" t="str">
        <x:v>Renting of video tapes and disks</x:v>
      </x:c>
      <x:c r="C2890" s="12" t="str">
        <x:v>الكرك</x:v>
      </x:c>
      <x:c r="D2890" s="14" t="n">
        <x:v>5</x:v>
      </x:c>
      <x:c r="E2890" s="14" t="n">
        <x:f>VLOOKUP(C2890,'Governorate Master'!$A$2:$Q$13,3,FALSE)</x:f>
        <x:v>395400</x:v>
      </x:c>
      <x:c r="F2890" s="66" t="n">
        <x:f>IF(E2890=0,0,D2890/E2890*10000)</x:f>
        <x:v>0.12645422357106728</x:v>
      </x:c>
      <x:c r="G2890" s="67" t="n">
        <x:f>VLOOKUP(C2890,'Governorate Master'!$A$2:$Q$13,7,FALSE)</x:f>
        <x:v>113.1</x:v>
      </x:c>
      <x:c r="H2890" s="20" t="n">
        <x:f>VLOOKUP(C2890,'Governorate Master'!$A$2:$Q$13,6,FALSE)</x:f>
        <x:v>0.5912999494183105</x:v>
      </x:c>
      <x:c r="I2890" s="20" t="n">
        <x:f>VLOOKUP(C2890,'Governorate Master'!$A$2:$Q$13,15,FALSE)</x:f>
        <x:v>0.08710801393728224</x:v>
      </x:c>
      <x:c r="J2890" s="12" t="str">
        <x:v>Location model input - competition/saturation context</x:v>
      </x:c>
      <x:c r="K2890" s="12" t="str">
        <x:v>Business count is from 2018 while population/context indicators are newer; use as a historical proxy, not a current market count.</x:v>
      </x:c>
    </x:row>
    <x:row r="2891">
      <x:c r="A2891" s="12" t="str">
        <x:v>7722</x:v>
      </x:c>
      <x:c r="B2891" s="12" t="str">
        <x:v>Renting of video tapes and disks</x:v>
      </x:c>
      <x:c r="C2891" s="12" t="str">
        <x:v>الطفيلة</x:v>
      </x:c>
      <x:c r="D2891" s="14" t="n">
        <x:v>0</x:v>
      </x:c>
      <x:c r="E2891" s="14" t="n">
        <x:f>VLOOKUP(C2891,'Governorate Master'!$A$2:$Q$13,3,FALSE)</x:f>
        <x:v>120300</x:v>
      </x:c>
      <x:c r="F2891" s="66" t="n">
        <x:f>IF(E2891=0,0,D2891/E2891*10000)</x:f>
        <x:v>0</x:v>
      </x:c>
      <x:c r="G2891" s="67" t="n">
        <x:f>VLOOKUP(C2891,'Governorate Master'!$A$2:$Q$13,7,FALSE)</x:f>
        <x:v>54.4</x:v>
      </x:c>
      <x:c r="H2891" s="20" t="n">
        <x:f>VLOOKUP(C2891,'Governorate Master'!$A$2:$Q$13,6,FALSE)</x:f>
        <x:v>0.7797173732335827</x:v>
      </x:c>
      <x:c r="I2891" s="20" t="n">
        <x:f>VLOOKUP(C2891,'Governorate Master'!$A$2:$Q$13,15,FALSE)</x:f>
        <x:v>0.18452380952380953</x:v>
      </x:c>
      <x:c r="J2891" s="12" t="str">
        <x:v>Location model input - competition/saturation context</x:v>
      </x:c>
      <x:c r="K2891" s="12" t="str">
        <x:v>Business count is from 2018 while population/context indicators are newer; use as a historical proxy, not a current market count.</x:v>
      </x:c>
    </x:row>
    <x:row r="2892">
      <x:c r="A2892" s="12" t="str">
        <x:v>7722</x:v>
      </x:c>
      <x:c r="B2892" s="12" t="str">
        <x:v>Renting of video tapes and disks</x:v>
      </x:c>
      <x:c r="C2892" s="12" t="str">
        <x:v>معان</x:v>
      </x:c>
      <x:c r="D2892" s="14" t="n">
        <x:v>0</x:v>
      </x:c>
      <x:c r="E2892" s="14" t="n">
        <x:f>VLOOKUP(C2892,'Governorate Master'!$A$2:$Q$13,3,FALSE)</x:f>
        <x:v>197900</x:v>
      </x:c>
      <x:c r="F2892" s="66" t="n">
        <x:f>IF(E2892=0,0,D2892/E2892*10000)</x:f>
        <x:v>0</x:v>
      </x:c>
      <x:c r="G2892" s="67" t="n">
        <x:f>VLOOKUP(C2892,'Governorate Master'!$A$2:$Q$13,7,FALSE)</x:f>
        <x:v>6</x:v>
      </x:c>
      <x:c r="H2892" s="20" t="n">
        <x:f>VLOOKUP(C2892,'Governorate Master'!$A$2:$Q$13,6,FALSE)</x:f>
        <x:v>0.5406771096513391</x:v>
      </x:c>
      <x:c r="I2892" s="20" t="n">
        <x:f>VLOOKUP(C2892,'Governorate Master'!$A$2:$Q$13,15,FALSE)</x:f>
        <x:v>0.026845637583892617</x:v>
      </x:c>
      <x:c r="J2892" s="12" t="str">
        <x:v>Location model input - competition/saturation context</x:v>
      </x:c>
      <x:c r="K2892" s="12" t="str">
        <x:v>Business count is from 2018 while population/context indicators are newer; use as a historical proxy, not a current market count.</x:v>
      </x:c>
    </x:row>
    <x:row r="2893">
      <x:c r="A2893" s="12" t="str">
        <x:v>7722</x:v>
      </x:c>
      <x:c r="B2893" s="12" t="str">
        <x:v>Renting of video tapes and disks</x:v>
      </x:c>
      <x:c r="C2893" s="12" t="str">
        <x:v>العقبة</x:v>
      </x:c>
      <x:c r="D2893" s="14" t="n">
        <x:v>1</x:v>
      </x:c>
      <x:c r="E2893" s="14" t="n">
        <x:f>VLOOKUP(C2893,'Governorate Master'!$A$2:$Q$13,3,FALSE)</x:f>
        <x:v>250900</x:v>
      </x:c>
      <x:c r="F2893" s="66" t="n">
        <x:f>IF(E2893=0,0,D2893/E2893*10000)</x:f>
        <x:v>0.03985651654045436</x:v>
      </x:c>
      <x:c r="G2893" s="67" t="n">
        <x:f>VLOOKUP(C2893,'Governorate Master'!$A$2:$Q$13,7,FALSE)</x:f>
        <x:v>36.3</x:v>
      </x:c>
      <x:c r="H2893" s="20" t="n">
        <x:f>VLOOKUP(C2893,'Governorate Master'!$A$2:$Q$13,6,FALSE)</x:f>
        <x:v>0.882024711040255</x:v>
      </x:c>
      <x:c r="I2893" s="20" t="n">
        <x:f>VLOOKUP(C2893,'Governorate Master'!$A$2:$Q$13,15,FALSE)</x:f>
        <x:v>-0.09</x:v>
      </x:c>
      <x:c r="J2893" s="12" t="str">
        <x:v>Location model input - competition/saturation context</x:v>
      </x:c>
      <x:c r="K2893" s="12" t="str">
        <x:v>Business count is from 2018 while population/context indicators are newer; use as a historical proxy, not a current market count.</x:v>
      </x:c>
    </x:row>
    <x:row r="2894">
      <x:c r="A2894" s="12" t="str">
        <x:v>7729</x:v>
      </x:c>
      <x:c r="B2894" s="12" t="str">
        <x:v>Renting and leasing of other personal and household goods</x:v>
      </x:c>
      <x:c r="C2894" s="12" t="str">
        <x:v>عمان</x:v>
      </x:c>
      <x:c r="D2894" s="14" t="n">
        <x:v>302</x:v>
      </x:c>
      <x:c r="E2894" s="14" t="n">
        <x:f>VLOOKUP(C2894,'Governorate Master'!$A$2:$Q$13,3,FALSE)</x:f>
        <x:v>5004600</x:v>
      </x:c>
      <x:c r="F2894" s="66" t="n">
        <x:f>IF(E2894=0,0,D2894/E2894*10000)</x:f>
        <x:v>0.6034448307557048</x:v>
      </x:c>
      <x:c r="G2894" s="67" t="n">
        <x:f>VLOOKUP(C2894,'Governorate Master'!$A$2:$Q$13,7,FALSE)</x:f>
        <x:v>660.3</x:v>
      </x:c>
      <x:c r="H2894" s="20" t="n">
        <x:f>VLOOKUP(C2894,'Governorate Master'!$A$2:$Q$13,6,FALSE)</x:f>
        <x:v>0.9721656076409703</x:v>
      </x:c>
      <x:c r="I2894" s="20" t="n">
        <x:f>VLOOKUP(C2894,'Governorate Master'!$A$2:$Q$13,15,FALSE)</x:f>
        <x:v>0.06367041198501873</x:v>
      </x:c>
      <x:c r="J2894" s="12" t="str">
        <x:v>Location model input - competition/saturation context</x:v>
      </x:c>
      <x:c r="K2894" s="12" t="str">
        <x:v>Business count is from 2018 while population/context indicators are newer; use as a historical proxy, not a current market count.</x:v>
      </x:c>
    </x:row>
    <x:row r="2895">
      <x:c r="A2895" s="12" t="str">
        <x:v>7729</x:v>
      </x:c>
      <x:c r="B2895" s="12" t="str">
        <x:v>Renting and leasing of other personal and household goods</x:v>
      </x:c>
      <x:c r="C2895" s="12" t="str">
        <x:v>البلقاء</x:v>
      </x:c>
      <x:c r="D2895" s="14" t="n">
        <x:v>101</x:v>
      </x:c>
      <x:c r="E2895" s="14" t="n">
        <x:f>VLOOKUP(C2895,'Governorate Master'!$A$2:$Q$13,3,FALSE)</x:f>
        <x:v>614000</x:v>
      </x:c>
      <x:c r="F2895" s="66" t="n">
        <x:f>IF(E2895=0,0,D2895/E2895*10000)</x:f>
        <x:v>1.6449511400651466</x:v>
      </x:c>
      <x:c r="G2895" s="67" t="n">
        <x:f>VLOOKUP(C2895,'Governorate Master'!$A$2:$Q$13,7,FALSE)</x:f>
        <x:v>548</x:v>
      </x:c>
      <x:c r="H2895" s="20" t="n">
        <x:f>VLOOKUP(C2895,'Governorate Master'!$A$2:$Q$13,6,FALSE)</x:f>
        <x:v>0.8210097719869707</x:v>
      </x:c>
      <x:c r="I2895" s="20" t="n">
        <x:f>VLOOKUP(C2895,'Governorate Master'!$A$2:$Q$13,15,FALSE)</x:f>
        <x:v>0.10794044665012408</x:v>
      </x:c>
      <x:c r="J2895" s="12" t="str">
        <x:v>Location model input - competition/saturation context</x:v>
      </x:c>
      <x:c r="K2895" s="12" t="str">
        <x:v>Business count is from 2018 while population/context indicators are newer; use as a historical proxy, not a current market count.</x:v>
      </x:c>
    </x:row>
    <x:row r="2896">
      <x:c r="A2896" s="12" t="str">
        <x:v>7729</x:v>
      </x:c>
      <x:c r="B2896" s="12" t="str">
        <x:v>Renting and leasing of other personal and household goods</x:v>
      </x:c>
      <x:c r="C2896" s="12" t="str">
        <x:v>الزرقاء</x:v>
      </x:c>
      <x:c r="D2896" s="14" t="n">
        <x:v>155</x:v>
      </x:c>
      <x:c r="E2896" s="14" t="n">
        <x:f>VLOOKUP(C2896,'Governorate Master'!$A$2:$Q$13,3,FALSE)</x:f>
        <x:v>1704500</x:v>
      </x:c>
      <x:c r="F2896" s="66" t="n">
        <x:f>IF(E2896=0,0,D2896/E2896*10000)</x:f>
        <x:v>0.9093575828688765</x:v>
      </x:c>
      <x:c r="G2896" s="67" t="n">
        <x:f>VLOOKUP(C2896,'Governorate Master'!$A$2:$Q$13,7,FALSE)</x:f>
        <x:v>358</x:v>
      </x:c>
      <x:c r="H2896" s="20" t="n">
        <x:f>VLOOKUP(C2896,'Governorate Master'!$A$2:$Q$13,6,FALSE)</x:f>
        <x:v>0.9636256966852449</x:v>
      </x:c>
      <x:c r="I2896" s="20" t="n">
        <x:f>VLOOKUP(C2896,'Governorate Master'!$A$2:$Q$13,15,FALSE)</x:f>
        <x:v>-0.06808762581409118</x:v>
      </x:c>
      <x:c r="J2896" s="12" t="str">
        <x:v>Location model input - competition/saturation context</x:v>
      </x:c>
      <x:c r="K2896" s="12" t="str">
        <x:v>Business count is from 2018 while population/context indicators are newer; use as a historical proxy, not a current market count.</x:v>
      </x:c>
    </x:row>
    <x:row r="2897">
      <x:c r="A2897" s="12" t="str">
        <x:v>7729</x:v>
      </x:c>
      <x:c r="B2897" s="12" t="str">
        <x:v>Renting and leasing of other personal and household goods</x:v>
      </x:c>
      <x:c r="C2897" s="12" t="str">
        <x:v>مادبا</x:v>
      </x:c>
      <x:c r="D2897" s="14" t="n">
        <x:v>39</x:v>
      </x:c>
      <x:c r="E2897" s="14" t="n">
        <x:f>VLOOKUP(C2897,'Governorate Master'!$A$2:$Q$13,3,FALSE)</x:f>
        <x:v>236200</x:v>
      </x:c>
      <x:c r="F2897" s="66" t="n">
        <x:f>IF(E2897=0,0,D2897/E2897*10000)</x:f>
        <x:v>1.6511430990685858</x:v>
      </x:c>
      <x:c r="G2897" s="67" t="n">
        <x:f>VLOOKUP(C2897,'Governorate Master'!$A$2:$Q$13,7,FALSE)</x:f>
        <x:v>251.4</x:v>
      </x:c>
      <x:c r="H2897" s="20" t="n">
        <x:f>VLOOKUP(C2897,'Governorate Master'!$A$2:$Q$13,6,FALSE)</x:f>
        <x:v>0.7823878069432684</x:v>
      </x:c>
      <x:c r="I2897" s="20" t="n">
        <x:f>VLOOKUP(C2897,'Governorate Master'!$A$2:$Q$13,15,FALSE)</x:f>
        <x:v>-0.18823529411764706</x:v>
      </x:c>
      <x:c r="J2897" s="12" t="str">
        <x:v>Location model input - competition/saturation context</x:v>
      </x:c>
      <x:c r="K2897" s="12" t="str">
        <x:v>Business count is from 2018 while population/context indicators are newer; use as a historical proxy, not a current market count.</x:v>
      </x:c>
    </x:row>
    <x:row r="2898">
      <x:c r="A2898" s="12" t="str">
        <x:v>7729</x:v>
      </x:c>
      <x:c r="B2898" s="12" t="str">
        <x:v>Renting and leasing of other personal and household goods</x:v>
      </x:c>
      <x:c r="C2898" s="12" t="str">
        <x:v>إربد</x:v>
      </x:c>
      <x:c r="D2898" s="14" t="n">
        <x:v>116</x:v>
      </x:c>
      <x:c r="E2898" s="14" t="n">
        <x:f>VLOOKUP(C2898,'Governorate Master'!$A$2:$Q$13,3,FALSE)</x:f>
        <x:v>2210500</x:v>
      </x:c>
      <x:c r="F2898" s="66" t="n">
        <x:f>IF(E2898=0,0,D2898/E2898*10000)</x:f>
        <x:v>0.5247681520018096</x:v>
      </x:c>
      <x:c r="G2898" s="67" t="n">
        <x:f>VLOOKUP(C2898,'Governorate Master'!$A$2:$Q$13,7,FALSE)</x:f>
        <x:v>1406.4</x:v>
      </x:c>
      <x:c r="H2898" s="20" t="n">
        <x:f>VLOOKUP(C2898,'Governorate Master'!$A$2:$Q$13,6,FALSE)</x:f>
        <x:v>0.9235014702555983</x:v>
      </x:c>
      <x:c r="I2898" s="20" t="n">
        <x:f>VLOOKUP(C2898,'Governorate Master'!$A$2:$Q$13,15,FALSE)</x:f>
        <x:v>0.07086922474549726</x:v>
      </x:c>
      <x:c r="J2898" s="12" t="str">
        <x:v>Location model input - competition/saturation context</x:v>
      </x:c>
      <x:c r="K2898" s="12" t="str">
        <x:v>Business count is from 2018 while population/context indicators are newer; use as a historical proxy, not a current market count.</x:v>
      </x:c>
    </x:row>
    <x:row r="2899">
      <x:c r="A2899" s="12" t="str">
        <x:v>7729</x:v>
      </x:c>
      <x:c r="B2899" s="12" t="str">
        <x:v>Renting and leasing of other personal and household goods</x:v>
      </x:c>
      <x:c r="C2899" s="12" t="str">
        <x:v>المفرق</x:v>
      </x:c>
      <x:c r="D2899" s="14" t="n">
        <x:v>26</x:v>
      </x:c>
      <x:c r="E2899" s="14" t="n">
        <x:f>VLOOKUP(C2899,'Governorate Master'!$A$2:$Q$13,3,FALSE)</x:f>
        <x:v>686800</x:v>
      </x:c>
      <x:c r="F2899" s="66" t="n">
        <x:f>IF(E2899=0,0,D2899/E2899*10000)</x:f>
        <x:v>0.37856726849155503</x:v>
      </x:c>
      <x:c r="G2899" s="67" t="n">
        <x:f>VLOOKUP(C2899,'Governorate Master'!$A$2:$Q$13,7,FALSE)</x:f>
        <x:v>25.9</x:v>
      </x:c>
      <x:c r="H2899" s="20" t="n">
        <x:f>VLOOKUP(C2899,'Governorate Master'!$A$2:$Q$13,6,FALSE)</x:f>
        <x:v>0.6965637740244612</x:v>
      </x:c>
      <x:c r="I2899" s="20" t="n">
        <x:f>VLOOKUP(C2899,'Governorate Master'!$A$2:$Q$13,15,FALSE)</x:f>
        <x:v>-0.016638935108153077</x:v>
      </x:c>
      <x:c r="J2899" s="12" t="str">
        <x:v>Location model input - competition/saturation context</x:v>
      </x:c>
      <x:c r="K2899" s="12" t="str">
        <x:v>Business count is from 2018 while population/context indicators are newer; use as a historical proxy, not a current market count.</x:v>
      </x:c>
    </x:row>
    <x:row r="2900">
      <x:c r="A2900" s="12" t="str">
        <x:v>7729</x:v>
      </x:c>
      <x:c r="B2900" s="12" t="str">
        <x:v>Renting and leasing of other personal and household goods</x:v>
      </x:c>
      <x:c r="C2900" s="12" t="str">
        <x:v>جرش</x:v>
      </x:c>
      <x:c r="D2900" s="14" t="n">
        <x:v>21</x:v>
      </x:c>
      <x:c r="E2900" s="14" t="n">
        <x:f>VLOOKUP(C2900,'Governorate Master'!$A$2:$Q$13,3,FALSE)</x:f>
        <x:v>296000</x:v>
      </x:c>
      <x:c r="F2900" s="66" t="n">
        <x:f>IF(E2900=0,0,D2900/E2900*10000)</x:f>
        <x:v>0.7094594594594594</x:v>
      </x:c>
      <x:c r="G2900" s="67" t="n">
        <x:f>VLOOKUP(C2900,'Governorate Master'!$A$2:$Q$13,7,FALSE)</x:f>
        <x:v>722.3</x:v>
      </x:c>
      <x:c r="H2900" s="20" t="n">
        <x:f>VLOOKUP(C2900,'Governorate Master'!$A$2:$Q$13,6,FALSE)</x:f>
        <x:v>0.7695945945945946</x:v>
      </x:c>
      <x:c r="I2900" s="20" t="n">
        <x:f>VLOOKUP(C2900,'Governorate Master'!$A$2:$Q$13,15,FALSE)</x:f>
        <x:v>-0.06527415143603134</x:v>
      </x:c>
      <x:c r="J2900" s="12" t="str">
        <x:v>Location model input - competition/saturation context</x:v>
      </x:c>
      <x:c r="K2900" s="12" t="str">
        <x:v>Business count is from 2018 while population/context indicators are newer; use as a historical proxy, not a current market count.</x:v>
      </x:c>
    </x:row>
    <x:row r="2901">
      <x:c r="A2901" s="12" t="str">
        <x:v>7729</x:v>
      </x:c>
      <x:c r="B2901" s="12" t="str">
        <x:v>Renting and leasing of other personal and household goods</x:v>
      </x:c>
      <x:c r="C2901" s="12" t="str">
        <x:v>عجلون</x:v>
      </x:c>
      <x:c r="D2901" s="14" t="n">
        <x:v>17</x:v>
      </x:c>
      <x:c r="E2901" s="14" t="n">
        <x:f>VLOOKUP(C2901,'Governorate Master'!$A$2:$Q$13,3,FALSE)</x:f>
        <x:v>219900</x:v>
      </x:c>
      <x:c r="F2901" s="66" t="n">
        <x:f>IF(E2901=0,0,D2901/E2901*10000)</x:f>
        <x:v>0.7730786721236925</x:v>
      </x:c>
      <x:c r="G2901" s="67" t="n">
        <x:f>VLOOKUP(C2901,'Governorate Master'!$A$2:$Q$13,7,FALSE)</x:f>
        <x:v>524</x:v>
      </x:c>
      <x:c r="H2901" s="20" t="n">
        <x:f>VLOOKUP(C2901,'Governorate Master'!$A$2:$Q$13,6,FALSE)</x:f>
        <x:v>0.8390177353342428</x:v>
      </x:c>
      <x:c r="I2901" s="20" t="n">
        <x:f>VLOOKUP(C2901,'Governorate Master'!$A$2:$Q$13,15,FALSE)</x:f>
        <x:v>0.03614457831325301</x:v>
      </x:c>
      <x:c r="J2901" s="12" t="str">
        <x:v>Location model input - competition/saturation context</x:v>
      </x:c>
      <x:c r="K2901" s="12" t="str">
        <x:v>Business count is from 2018 while population/context indicators are newer; use as a historical proxy, not a current market count.</x:v>
      </x:c>
    </x:row>
    <x:row r="2902">
      <x:c r="A2902" s="12" t="str">
        <x:v>7729</x:v>
      </x:c>
      <x:c r="B2902" s="12" t="str">
        <x:v>Renting and leasing of other personal and household goods</x:v>
      </x:c>
      <x:c r="C2902" s="12" t="str">
        <x:v>الكرك</x:v>
      </x:c>
      <x:c r="D2902" s="14" t="n">
        <x:v>42</x:v>
      </x:c>
      <x:c r="E2902" s="14" t="n">
        <x:f>VLOOKUP(C2902,'Governorate Master'!$A$2:$Q$13,3,FALSE)</x:f>
        <x:v>395400</x:v>
      </x:c>
      <x:c r="F2902" s="66" t="n">
        <x:f>IF(E2902=0,0,D2902/E2902*10000)</x:f>
        <x:v>1.062215477996965</x:v>
      </x:c>
      <x:c r="G2902" s="67" t="n">
        <x:f>VLOOKUP(C2902,'Governorate Master'!$A$2:$Q$13,7,FALSE)</x:f>
        <x:v>113.1</x:v>
      </x:c>
      <x:c r="H2902" s="20" t="n">
        <x:f>VLOOKUP(C2902,'Governorate Master'!$A$2:$Q$13,6,FALSE)</x:f>
        <x:v>0.5912999494183105</x:v>
      </x:c>
      <x:c r="I2902" s="20" t="n">
        <x:f>VLOOKUP(C2902,'Governorate Master'!$A$2:$Q$13,15,FALSE)</x:f>
        <x:v>0.08710801393728224</x:v>
      </x:c>
      <x:c r="J2902" s="12" t="str">
        <x:v>Location model input - competition/saturation context</x:v>
      </x:c>
      <x:c r="K2902" s="12" t="str">
        <x:v>Business count is from 2018 while population/context indicators are newer; use as a historical proxy, not a current market count.</x:v>
      </x:c>
    </x:row>
    <x:row r="2903">
      <x:c r="A2903" s="12" t="str">
        <x:v>7729</x:v>
      </x:c>
      <x:c r="B2903" s="12" t="str">
        <x:v>Renting and leasing of other personal and household goods</x:v>
      </x:c>
      <x:c r="C2903" s="12" t="str">
        <x:v>الطفيلة</x:v>
      </x:c>
      <x:c r="D2903" s="14" t="n">
        <x:v>12</x:v>
      </x:c>
      <x:c r="E2903" s="14" t="n">
        <x:f>VLOOKUP(C2903,'Governorate Master'!$A$2:$Q$13,3,FALSE)</x:f>
        <x:v>120300</x:v>
      </x:c>
      <x:c r="F2903" s="66" t="n">
        <x:f>IF(E2903=0,0,D2903/E2903*10000)</x:f>
        <x:v>0.9975062344139651</x:v>
      </x:c>
      <x:c r="G2903" s="67" t="n">
        <x:f>VLOOKUP(C2903,'Governorate Master'!$A$2:$Q$13,7,FALSE)</x:f>
        <x:v>54.4</x:v>
      </x:c>
      <x:c r="H2903" s="20" t="n">
        <x:f>VLOOKUP(C2903,'Governorate Master'!$A$2:$Q$13,6,FALSE)</x:f>
        <x:v>0.7797173732335827</x:v>
      </x:c>
      <x:c r="I2903" s="20" t="n">
        <x:f>VLOOKUP(C2903,'Governorate Master'!$A$2:$Q$13,15,FALSE)</x:f>
        <x:v>0.18452380952380953</x:v>
      </x:c>
      <x:c r="J2903" s="12" t="str">
        <x:v>Location model input - competition/saturation context</x:v>
      </x:c>
      <x:c r="K2903" s="12" t="str">
        <x:v>Business count is from 2018 while population/context indicators are newer; use as a historical proxy, not a current market count.</x:v>
      </x:c>
    </x:row>
    <x:row r="2904">
      <x:c r="A2904" s="12" t="str">
        <x:v>7729</x:v>
      </x:c>
      <x:c r="B2904" s="12" t="str">
        <x:v>Renting and leasing of other personal and household goods</x:v>
      </x:c>
      <x:c r="C2904" s="12" t="str">
        <x:v>معان</x:v>
      </x:c>
      <x:c r="D2904" s="14" t="n">
        <x:v>15</x:v>
      </x:c>
      <x:c r="E2904" s="14" t="n">
        <x:f>VLOOKUP(C2904,'Governorate Master'!$A$2:$Q$13,3,FALSE)</x:f>
        <x:v>197900</x:v>
      </x:c>
      <x:c r="F2904" s="66" t="n">
        <x:f>IF(E2904=0,0,D2904/E2904*10000)</x:f>
        <x:v>0.7579585649317837</x:v>
      </x:c>
      <x:c r="G2904" s="67" t="n">
        <x:f>VLOOKUP(C2904,'Governorate Master'!$A$2:$Q$13,7,FALSE)</x:f>
        <x:v>6</x:v>
      </x:c>
      <x:c r="H2904" s="20" t="n">
        <x:f>VLOOKUP(C2904,'Governorate Master'!$A$2:$Q$13,6,FALSE)</x:f>
        <x:v>0.5406771096513391</x:v>
      </x:c>
      <x:c r="I2904" s="20" t="n">
        <x:f>VLOOKUP(C2904,'Governorate Master'!$A$2:$Q$13,15,FALSE)</x:f>
        <x:v>0.026845637583892617</x:v>
      </x:c>
      <x:c r="J2904" s="12" t="str">
        <x:v>Location model input - competition/saturation context</x:v>
      </x:c>
      <x:c r="K2904" s="12" t="str">
        <x:v>Business count is from 2018 while population/context indicators are newer; use as a historical proxy, not a current market count.</x:v>
      </x:c>
    </x:row>
    <x:row r="2905">
      <x:c r="A2905" s="12" t="str">
        <x:v>7729</x:v>
      </x:c>
      <x:c r="B2905" s="12" t="str">
        <x:v>Renting and leasing of other personal and household goods</x:v>
      </x:c>
      <x:c r="C2905" s="12" t="str">
        <x:v>العقبة</x:v>
      </x:c>
      <x:c r="D2905" s="14" t="n">
        <x:v>23</x:v>
      </x:c>
      <x:c r="E2905" s="14" t="n">
        <x:f>VLOOKUP(C2905,'Governorate Master'!$A$2:$Q$13,3,FALSE)</x:f>
        <x:v>250900</x:v>
      </x:c>
      <x:c r="F2905" s="66" t="n">
        <x:f>IF(E2905=0,0,D2905/E2905*10000)</x:f>
        <x:v>0.9166998804304504</x:v>
      </x:c>
      <x:c r="G2905" s="67" t="n">
        <x:f>VLOOKUP(C2905,'Governorate Master'!$A$2:$Q$13,7,FALSE)</x:f>
        <x:v>36.3</x:v>
      </x:c>
      <x:c r="H2905" s="20" t="n">
        <x:f>VLOOKUP(C2905,'Governorate Master'!$A$2:$Q$13,6,FALSE)</x:f>
        <x:v>0.882024711040255</x:v>
      </x:c>
      <x:c r="I2905" s="20" t="n">
        <x:f>VLOOKUP(C2905,'Governorate Master'!$A$2:$Q$13,15,FALSE)</x:f>
        <x:v>-0.09</x:v>
      </x:c>
      <x:c r="J2905" s="12" t="str">
        <x:v>Location model input - competition/saturation context</x:v>
      </x:c>
      <x:c r="K2905" s="12" t="str">
        <x:v>Business count is from 2018 while population/context indicators are newer; use as a historical proxy, not a current market count.</x:v>
      </x:c>
    </x:row>
    <x:row r="2906">
      <x:c r="A2906" s="12" t="str">
        <x:v>7730</x:v>
      </x:c>
      <x:c r="B2906" s="12" t="str">
        <x:v>Renting and leasing of other machinery, equipment and tangible goods</x:v>
      </x:c>
      <x:c r="C2906" s="12" t="str">
        <x:v>عمان</x:v>
      </x:c>
      <x:c r="D2906" s="14" t="n">
        <x:v>102</x:v>
      </x:c>
      <x:c r="E2906" s="14" t="n">
        <x:f>VLOOKUP(C2906,'Governorate Master'!$A$2:$Q$13,3,FALSE)</x:f>
        <x:v>5004600</x:v>
      </x:c>
      <x:c r="F2906" s="66" t="n">
        <x:f>IF(E2906=0,0,D2906/E2906*10000)</x:f>
        <x:v>0.20381249250689368</x:v>
      </x:c>
      <x:c r="G2906" s="67" t="n">
        <x:f>VLOOKUP(C2906,'Governorate Master'!$A$2:$Q$13,7,FALSE)</x:f>
        <x:v>660.3</x:v>
      </x:c>
      <x:c r="H2906" s="20" t="n">
        <x:f>VLOOKUP(C2906,'Governorate Master'!$A$2:$Q$13,6,FALSE)</x:f>
        <x:v>0.9721656076409703</x:v>
      </x:c>
      <x:c r="I2906" s="20" t="n">
        <x:f>VLOOKUP(C2906,'Governorate Master'!$A$2:$Q$13,15,FALSE)</x:f>
        <x:v>0.06367041198501873</x:v>
      </x:c>
      <x:c r="J2906" s="12" t="str">
        <x:v>Location model input - competition/saturation context</x:v>
      </x:c>
      <x:c r="K2906" s="12" t="str">
        <x:v>Business count is from 2018 while population/context indicators are newer; use as a historical proxy, not a current market count.</x:v>
      </x:c>
    </x:row>
    <x:row r="2907">
      <x:c r="A2907" s="12" t="str">
        <x:v>7730</x:v>
      </x:c>
      <x:c r="B2907" s="12" t="str">
        <x:v>Renting and leasing of other machinery, equipment and tangible goods</x:v>
      </x:c>
      <x:c r="C2907" s="12" t="str">
        <x:v>البلقاء</x:v>
      </x:c>
      <x:c r="D2907" s="14" t="n">
        <x:v>32</x:v>
      </x:c>
      <x:c r="E2907" s="14" t="n">
        <x:f>VLOOKUP(C2907,'Governorate Master'!$A$2:$Q$13,3,FALSE)</x:f>
        <x:v>614000</x:v>
      </x:c>
      <x:c r="F2907" s="66" t="n">
        <x:f>IF(E2907=0,0,D2907/E2907*10000)</x:f>
        <x:v>0.5211726384364821</x:v>
      </x:c>
      <x:c r="G2907" s="67" t="n">
        <x:f>VLOOKUP(C2907,'Governorate Master'!$A$2:$Q$13,7,FALSE)</x:f>
        <x:v>548</x:v>
      </x:c>
      <x:c r="H2907" s="20" t="n">
        <x:f>VLOOKUP(C2907,'Governorate Master'!$A$2:$Q$13,6,FALSE)</x:f>
        <x:v>0.8210097719869707</x:v>
      </x:c>
      <x:c r="I2907" s="20" t="n">
        <x:f>VLOOKUP(C2907,'Governorate Master'!$A$2:$Q$13,15,FALSE)</x:f>
        <x:v>0.10794044665012408</x:v>
      </x:c>
      <x:c r="J2907" s="12" t="str">
        <x:v>Location model input - competition/saturation context</x:v>
      </x:c>
      <x:c r="K2907" s="12" t="str">
        <x:v>Business count is from 2018 while population/context indicators are newer; use as a historical proxy, not a current market count.</x:v>
      </x:c>
    </x:row>
    <x:row r="2908">
      <x:c r="A2908" s="12" t="str">
        <x:v>7730</x:v>
      </x:c>
      <x:c r="B2908" s="12" t="str">
        <x:v>Renting and leasing of other machinery, equipment and tangible goods</x:v>
      </x:c>
      <x:c r="C2908" s="12" t="str">
        <x:v>الزرقاء</x:v>
      </x:c>
      <x:c r="D2908" s="14" t="n">
        <x:v>63</x:v>
      </x:c>
      <x:c r="E2908" s="14" t="n">
        <x:f>VLOOKUP(C2908,'Governorate Master'!$A$2:$Q$13,3,FALSE)</x:f>
        <x:v>1704500</x:v>
      </x:c>
      <x:c r="F2908" s="66" t="n">
        <x:f>IF(E2908=0,0,D2908/E2908*10000)</x:f>
        <x:v>0.36960985626283366</x:v>
      </x:c>
      <x:c r="G2908" s="67" t="n">
        <x:f>VLOOKUP(C2908,'Governorate Master'!$A$2:$Q$13,7,FALSE)</x:f>
        <x:v>358</x:v>
      </x:c>
      <x:c r="H2908" s="20" t="n">
        <x:f>VLOOKUP(C2908,'Governorate Master'!$A$2:$Q$13,6,FALSE)</x:f>
        <x:v>0.9636256966852449</x:v>
      </x:c>
      <x:c r="I2908" s="20" t="n">
        <x:f>VLOOKUP(C2908,'Governorate Master'!$A$2:$Q$13,15,FALSE)</x:f>
        <x:v>-0.06808762581409118</x:v>
      </x:c>
      <x:c r="J2908" s="12" t="str">
        <x:v>Location model input - competition/saturation context</x:v>
      </x:c>
      <x:c r="K2908" s="12" t="str">
        <x:v>Business count is from 2018 while population/context indicators are newer; use as a historical proxy, not a current market count.</x:v>
      </x:c>
    </x:row>
    <x:row r="2909">
      <x:c r="A2909" s="12" t="str">
        <x:v>7730</x:v>
      </x:c>
      <x:c r="B2909" s="12" t="str">
        <x:v>Renting and leasing of other machinery, equipment and tangible goods</x:v>
      </x:c>
      <x:c r="C2909" s="12" t="str">
        <x:v>مادبا</x:v>
      </x:c>
      <x:c r="D2909" s="14" t="n">
        <x:v>7</x:v>
      </x:c>
      <x:c r="E2909" s="14" t="n">
        <x:f>VLOOKUP(C2909,'Governorate Master'!$A$2:$Q$13,3,FALSE)</x:f>
        <x:v>236200</x:v>
      </x:c>
      <x:c r="F2909" s="66" t="n">
        <x:f>IF(E2909=0,0,D2909/E2909*10000)</x:f>
        <x:v>0.29635901778154106</x:v>
      </x:c>
      <x:c r="G2909" s="67" t="n">
        <x:f>VLOOKUP(C2909,'Governorate Master'!$A$2:$Q$13,7,FALSE)</x:f>
        <x:v>251.4</x:v>
      </x:c>
      <x:c r="H2909" s="20" t="n">
        <x:f>VLOOKUP(C2909,'Governorate Master'!$A$2:$Q$13,6,FALSE)</x:f>
        <x:v>0.7823878069432684</x:v>
      </x:c>
      <x:c r="I2909" s="20" t="n">
        <x:f>VLOOKUP(C2909,'Governorate Master'!$A$2:$Q$13,15,FALSE)</x:f>
        <x:v>-0.18823529411764706</x:v>
      </x:c>
      <x:c r="J2909" s="12" t="str">
        <x:v>Location model input - competition/saturation context</x:v>
      </x:c>
      <x:c r="K2909" s="12" t="str">
        <x:v>Business count is from 2018 while population/context indicators are newer; use as a historical proxy, not a current market count.</x:v>
      </x:c>
    </x:row>
    <x:row r="2910">
      <x:c r="A2910" s="12" t="str">
        <x:v>7730</x:v>
      </x:c>
      <x:c r="B2910" s="12" t="str">
        <x:v>Renting and leasing of other machinery, equipment and tangible goods</x:v>
      </x:c>
      <x:c r="C2910" s="12" t="str">
        <x:v>إربد</x:v>
      </x:c>
      <x:c r="D2910" s="14" t="n">
        <x:v>31</x:v>
      </x:c>
      <x:c r="E2910" s="14" t="n">
        <x:f>VLOOKUP(C2910,'Governorate Master'!$A$2:$Q$13,3,FALSE)</x:f>
        <x:v>2210500</x:v>
      </x:c>
      <x:c r="F2910" s="66" t="n">
        <x:f>IF(E2910=0,0,D2910/E2910*10000)</x:f>
        <x:v>0.14023976475910427</x:v>
      </x:c>
      <x:c r="G2910" s="67" t="n">
        <x:f>VLOOKUP(C2910,'Governorate Master'!$A$2:$Q$13,7,FALSE)</x:f>
        <x:v>1406.4</x:v>
      </x:c>
      <x:c r="H2910" s="20" t="n">
        <x:f>VLOOKUP(C2910,'Governorate Master'!$A$2:$Q$13,6,FALSE)</x:f>
        <x:v>0.9235014702555983</x:v>
      </x:c>
      <x:c r="I2910" s="20" t="n">
        <x:f>VLOOKUP(C2910,'Governorate Master'!$A$2:$Q$13,15,FALSE)</x:f>
        <x:v>0.07086922474549726</x:v>
      </x:c>
      <x:c r="J2910" s="12" t="str">
        <x:v>Location model input - competition/saturation context</x:v>
      </x:c>
      <x:c r="K2910" s="12" t="str">
        <x:v>Business count is from 2018 while population/context indicators are newer; use as a historical proxy, not a current market count.</x:v>
      </x:c>
    </x:row>
    <x:row r="2911">
      <x:c r="A2911" s="12" t="str">
        <x:v>7730</x:v>
      </x:c>
      <x:c r="B2911" s="12" t="str">
        <x:v>Renting and leasing of other machinery, equipment and tangible goods</x:v>
      </x:c>
      <x:c r="C2911" s="12" t="str">
        <x:v>المفرق</x:v>
      </x:c>
      <x:c r="D2911" s="14" t="n">
        <x:v>6</x:v>
      </x:c>
      <x:c r="E2911" s="14" t="n">
        <x:f>VLOOKUP(C2911,'Governorate Master'!$A$2:$Q$13,3,FALSE)</x:f>
        <x:v>686800</x:v>
      </x:c>
      <x:c r="F2911" s="66" t="n">
        <x:f>IF(E2911=0,0,D2911/E2911*10000)</x:f>
        <x:v>0.08736167734420501</x:v>
      </x:c>
      <x:c r="G2911" s="67" t="n">
        <x:f>VLOOKUP(C2911,'Governorate Master'!$A$2:$Q$13,7,FALSE)</x:f>
        <x:v>25.9</x:v>
      </x:c>
      <x:c r="H2911" s="20" t="n">
        <x:f>VLOOKUP(C2911,'Governorate Master'!$A$2:$Q$13,6,FALSE)</x:f>
        <x:v>0.6965637740244612</x:v>
      </x:c>
      <x:c r="I2911" s="20" t="n">
        <x:f>VLOOKUP(C2911,'Governorate Master'!$A$2:$Q$13,15,FALSE)</x:f>
        <x:v>-0.016638935108153077</x:v>
      </x:c>
      <x:c r="J2911" s="12" t="str">
        <x:v>Location model input - competition/saturation context</x:v>
      </x:c>
      <x:c r="K2911" s="12" t="str">
        <x:v>Business count is from 2018 while population/context indicators are newer; use as a historical proxy, not a current market count.</x:v>
      </x:c>
    </x:row>
    <x:row r="2912">
      <x:c r="A2912" s="12" t="str">
        <x:v>7730</x:v>
      </x:c>
      <x:c r="B2912" s="12" t="str">
        <x:v>Renting and leasing of other machinery, equipment and tangible goods</x:v>
      </x:c>
      <x:c r="C2912" s="12" t="str">
        <x:v>جرش</x:v>
      </x:c>
      <x:c r="D2912" s="14" t="n">
        <x:v>5</x:v>
      </x:c>
      <x:c r="E2912" s="14" t="n">
        <x:f>VLOOKUP(C2912,'Governorate Master'!$A$2:$Q$13,3,FALSE)</x:f>
        <x:v>296000</x:v>
      </x:c>
      <x:c r="F2912" s="66" t="n">
        <x:f>IF(E2912=0,0,D2912/E2912*10000)</x:f>
        <x:v>0.16891891891891891</x:v>
      </x:c>
      <x:c r="G2912" s="67" t="n">
        <x:f>VLOOKUP(C2912,'Governorate Master'!$A$2:$Q$13,7,FALSE)</x:f>
        <x:v>722.3</x:v>
      </x:c>
      <x:c r="H2912" s="20" t="n">
        <x:f>VLOOKUP(C2912,'Governorate Master'!$A$2:$Q$13,6,FALSE)</x:f>
        <x:v>0.7695945945945946</x:v>
      </x:c>
      <x:c r="I2912" s="20" t="n">
        <x:f>VLOOKUP(C2912,'Governorate Master'!$A$2:$Q$13,15,FALSE)</x:f>
        <x:v>-0.06527415143603134</x:v>
      </x:c>
      <x:c r="J2912" s="12" t="str">
        <x:v>Location model input - competition/saturation context</x:v>
      </x:c>
      <x:c r="K2912" s="12" t="str">
        <x:v>Business count is from 2018 while population/context indicators are newer; use as a historical proxy, not a current market count.</x:v>
      </x:c>
    </x:row>
    <x:row r="2913">
      <x:c r="A2913" s="12" t="str">
        <x:v>7730</x:v>
      </x:c>
      <x:c r="B2913" s="12" t="str">
        <x:v>Renting and leasing of other machinery, equipment and tangible goods</x:v>
      </x:c>
      <x:c r="C2913" s="12" t="str">
        <x:v>عجلون</x:v>
      </x:c>
      <x:c r="D2913" s="14" t="n">
        <x:v>4</x:v>
      </x:c>
      <x:c r="E2913" s="14" t="n">
        <x:f>VLOOKUP(C2913,'Governorate Master'!$A$2:$Q$13,3,FALSE)</x:f>
        <x:v>219900</x:v>
      </x:c>
      <x:c r="F2913" s="66" t="n">
        <x:f>IF(E2913=0,0,D2913/E2913*10000)</x:f>
        <x:v>0.18190086402910413</x:v>
      </x:c>
      <x:c r="G2913" s="67" t="n">
        <x:f>VLOOKUP(C2913,'Governorate Master'!$A$2:$Q$13,7,FALSE)</x:f>
        <x:v>524</x:v>
      </x:c>
      <x:c r="H2913" s="20" t="n">
        <x:f>VLOOKUP(C2913,'Governorate Master'!$A$2:$Q$13,6,FALSE)</x:f>
        <x:v>0.8390177353342428</x:v>
      </x:c>
      <x:c r="I2913" s="20" t="n">
        <x:f>VLOOKUP(C2913,'Governorate Master'!$A$2:$Q$13,15,FALSE)</x:f>
        <x:v>0.03614457831325301</x:v>
      </x:c>
      <x:c r="J2913" s="12" t="str">
        <x:v>Location model input - competition/saturation context</x:v>
      </x:c>
      <x:c r="K2913" s="12" t="str">
        <x:v>Business count is from 2018 while population/context indicators are newer; use as a historical proxy, not a current market count.</x:v>
      </x:c>
    </x:row>
    <x:row r="2914">
      <x:c r="A2914" s="12" t="str">
        <x:v>7730</x:v>
      </x:c>
      <x:c r="B2914" s="12" t="str">
        <x:v>Renting and leasing of other machinery, equipment and tangible goods</x:v>
      </x:c>
      <x:c r="C2914" s="12" t="str">
        <x:v>الكرك</x:v>
      </x:c>
      <x:c r="D2914" s="14" t="n">
        <x:v>8</x:v>
      </x:c>
      <x:c r="E2914" s="14" t="n">
        <x:f>VLOOKUP(C2914,'Governorate Master'!$A$2:$Q$13,3,FALSE)</x:f>
        <x:v>395400</x:v>
      </x:c>
      <x:c r="F2914" s="66" t="n">
        <x:f>IF(E2914=0,0,D2914/E2914*10000)</x:f>
        <x:v>0.20232675771370762</x:v>
      </x:c>
      <x:c r="G2914" s="67" t="n">
        <x:f>VLOOKUP(C2914,'Governorate Master'!$A$2:$Q$13,7,FALSE)</x:f>
        <x:v>113.1</x:v>
      </x:c>
      <x:c r="H2914" s="20" t="n">
        <x:f>VLOOKUP(C2914,'Governorate Master'!$A$2:$Q$13,6,FALSE)</x:f>
        <x:v>0.5912999494183105</x:v>
      </x:c>
      <x:c r="I2914" s="20" t="n">
        <x:f>VLOOKUP(C2914,'Governorate Master'!$A$2:$Q$13,15,FALSE)</x:f>
        <x:v>0.08710801393728224</x:v>
      </x:c>
      <x:c r="J2914" s="12" t="str">
        <x:v>Location model input - competition/saturation context</x:v>
      </x:c>
      <x:c r="K2914" s="12" t="str">
        <x:v>Business count is from 2018 while population/context indicators are newer; use as a historical proxy, not a current market count.</x:v>
      </x:c>
    </x:row>
    <x:row r="2915">
      <x:c r="A2915" s="12" t="str">
        <x:v>7730</x:v>
      </x:c>
      <x:c r="B2915" s="12" t="str">
        <x:v>Renting and leasing of other machinery, equipment and tangible goods</x:v>
      </x:c>
      <x:c r="C2915" s="12" t="str">
        <x:v>الطفيلة</x:v>
      </x:c>
      <x:c r="D2915" s="14" t="n">
        <x:v>5</x:v>
      </x:c>
      <x:c r="E2915" s="14" t="n">
        <x:f>VLOOKUP(C2915,'Governorate Master'!$A$2:$Q$13,3,FALSE)</x:f>
        <x:v>120300</x:v>
      </x:c>
      <x:c r="F2915" s="66" t="n">
        <x:f>IF(E2915=0,0,D2915/E2915*10000)</x:f>
        <x:v>0.41562759767248547</x:v>
      </x:c>
      <x:c r="G2915" s="67" t="n">
        <x:f>VLOOKUP(C2915,'Governorate Master'!$A$2:$Q$13,7,FALSE)</x:f>
        <x:v>54.4</x:v>
      </x:c>
      <x:c r="H2915" s="20" t="n">
        <x:f>VLOOKUP(C2915,'Governorate Master'!$A$2:$Q$13,6,FALSE)</x:f>
        <x:v>0.7797173732335827</x:v>
      </x:c>
      <x:c r="I2915" s="20" t="n">
        <x:f>VLOOKUP(C2915,'Governorate Master'!$A$2:$Q$13,15,FALSE)</x:f>
        <x:v>0.18452380952380953</x:v>
      </x:c>
      <x:c r="J2915" s="12" t="str">
        <x:v>Location model input - competition/saturation context</x:v>
      </x:c>
      <x:c r="K2915" s="12" t="str">
        <x:v>Business count is from 2018 while population/context indicators are newer; use as a historical proxy, not a current market count.</x:v>
      </x:c>
    </x:row>
    <x:row r="2916">
      <x:c r="A2916" s="12" t="str">
        <x:v>7730</x:v>
      </x:c>
      <x:c r="B2916" s="12" t="str">
        <x:v>Renting and leasing of other machinery, equipment and tangible goods</x:v>
      </x:c>
      <x:c r="C2916" s="12" t="str">
        <x:v>معان</x:v>
      </x:c>
      <x:c r="D2916" s="14" t="n">
        <x:v>1</x:v>
      </x:c>
      <x:c r="E2916" s="14" t="n">
        <x:f>VLOOKUP(C2916,'Governorate Master'!$A$2:$Q$13,3,FALSE)</x:f>
        <x:v>197900</x:v>
      </x:c>
      <x:c r="F2916" s="66" t="n">
        <x:f>IF(E2916=0,0,D2916/E2916*10000)</x:f>
        <x:v>0.05053057099545225</x:v>
      </x:c>
      <x:c r="G2916" s="67" t="n">
        <x:f>VLOOKUP(C2916,'Governorate Master'!$A$2:$Q$13,7,FALSE)</x:f>
        <x:v>6</x:v>
      </x:c>
      <x:c r="H2916" s="20" t="n">
        <x:f>VLOOKUP(C2916,'Governorate Master'!$A$2:$Q$13,6,FALSE)</x:f>
        <x:v>0.5406771096513391</x:v>
      </x:c>
      <x:c r="I2916" s="20" t="n">
        <x:f>VLOOKUP(C2916,'Governorate Master'!$A$2:$Q$13,15,FALSE)</x:f>
        <x:v>0.026845637583892617</x:v>
      </x:c>
      <x:c r="J2916" s="12" t="str">
        <x:v>Location model input - competition/saturation context</x:v>
      </x:c>
      <x:c r="K2916" s="12" t="str">
        <x:v>Business count is from 2018 while population/context indicators are newer; use as a historical proxy, not a current market count.</x:v>
      </x:c>
    </x:row>
    <x:row r="2917">
      <x:c r="A2917" s="12" t="str">
        <x:v>7730</x:v>
      </x:c>
      <x:c r="B2917" s="12" t="str">
        <x:v>Renting and leasing of other machinery, equipment and tangible goods</x:v>
      </x:c>
      <x:c r="C2917" s="12" t="str">
        <x:v>العقبة</x:v>
      </x:c>
      <x:c r="D2917" s="14" t="n">
        <x:v>12</x:v>
      </x:c>
      <x:c r="E2917" s="14" t="n">
        <x:f>VLOOKUP(C2917,'Governorate Master'!$A$2:$Q$13,3,FALSE)</x:f>
        <x:v>250900</x:v>
      </x:c>
      <x:c r="F2917" s="66" t="n">
        <x:f>IF(E2917=0,0,D2917/E2917*10000)</x:f>
        <x:v>0.47827819848545233</x:v>
      </x:c>
      <x:c r="G2917" s="67" t="n">
        <x:f>VLOOKUP(C2917,'Governorate Master'!$A$2:$Q$13,7,FALSE)</x:f>
        <x:v>36.3</x:v>
      </x:c>
      <x:c r="H2917" s="20" t="n">
        <x:f>VLOOKUP(C2917,'Governorate Master'!$A$2:$Q$13,6,FALSE)</x:f>
        <x:v>0.882024711040255</x:v>
      </x:c>
      <x:c r="I2917" s="20" t="n">
        <x:f>VLOOKUP(C2917,'Governorate Master'!$A$2:$Q$13,15,FALSE)</x:f>
        <x:v>-0.09</x:v>
      </x:c>
      <x:c r="J2917" s="12" t="str">
        <x:v>Location model input - competition/saturation context</x:v>
      </x:c>
      <x:c r="K2917" s="12" t="str">
        <x:v>Business count is from 2018 while population/context indicators are newer; use as a historical proxy, not a current market count.</x:v>
      </x:c>
    </x:row>
    <x:row r="2918">
      <x:c r="A2918" s="12" t="str">
        <x:v>7740</x:v>
      </x:c>
      <x:c r="B2918" s="12" t="str">
        <x:v>Leasing of intellectual property and similar products, except copyrighted works</x:v>
      </x:c>
      <x:c r="C2918" s="12" t="str">
        <x:v>عمان</x:v>
      </x:c>
      <x:c r="D2918" s="14" t="n">
        <x:v>6</x:v>
      </x:c>
      <x:c r="E2918" s="14" t="n">
        <x:f>VLOOKUP(C2918,'Governorate Master'!$A$2:$Q$13,3,FALSE)</x:f>
        <x:v>5004600</x:v>
      </x:c>
      <x:c r="F2918" s="66" t="n">
        <x:f>IF(E2918=0,0,D2918/E2918*10000)</x:f>
        <x:v>0.011988970147464332</x:v>
      </x:c>
      <x:c r="G2918" s="67" t="n">
        <x:f>VLOOKUP(C2918,'Governorate Master'!$A$2:$Q$13,7,FALSE)</x:f>
        <x:v>660.3</x:v>
      </x:c>
      <x:c r="H2918" s="20" t="n">
        <x:f>VLOOKUP(C2918,'Governorate Master'!$A$2:$Q$13,6,FALSE)</x:f>
        <x:v>0.9721656076409703</x:v>
      </x:c>
      <x:c r="I2918" s="20" t="n">
        <x:f>VLOOKUP(C2918,'Governorate Master'!$A$2:$Q$13,15,FALSE)</x:f>
        <x:v>0.06367041198501873</x:v>
      </x:c>
      <x:c r="J2918" s="12" t="str">
        <x:v>Location model input - competition/saturation context</x:v>
      </x:c>
      <x:c r="K2918" s="12" t="str">
        <x:v>Business count is from 2018 while population/context indicators are newer; use as a historical proxy, not a current market count.</x:v>
      </x:c>
    </x:row>
    <x:row r="2919">
      <x:c r="A2919" s="12" t="str">
        <x:v>7740</x:v>
      </x:c>
      <x:c r="B2919" s="12" t="str">
        <x:v>Leasing of intellectual property and similar products, except copyrighted works</x:v>
      </x:c>
      <x:c r="C2919" s="12" t="str">
        <x:v>البلقاء</x:v>
      </x:c>
      <x:c r="D2919" s="14" t="n">
        <x:v>0</x:v>
      </x:c>
      <x:c r="E2919" s="14" t="n">
        <x:f>VLOOKUP(C2919,'Governorate Master'!$A$2:$Q$13,3,FALSE)</x:f>
        <x:v>614000</x:v>
      </x:c>
      <x:c r="F2919" s="66" t="n">
        <x:f>IF(E2919=0,0,D2919/E2919*10000)</x:f>
        <x:v>0</x:v>
      </x:c>
      <x:c r="G2919" s="67" t="n">
        <x:f>VLOOKUP(C2919,'Governorate Master'!$A$2:$Q$13,7,FALSE)</x:f>
        <x:v>548</x:v>
      </x:c>
      <x:c r="H2919" s="20" t="n">
        <x:f>VLOOKUP(C2919,'Governorate Master'!$A$2:$Q$13,6,FALSE)</x:f>
        <x:v>0.8210097719869707</x:v>
      </x:c>
      <x:c r="I2919" s="20" t="n">
        <x:f>VLOOKUP(C2919,'Governorate Master'!$A$2:$Q$13,15,FALSE)</x:f>
        <x:v>0.10794044665012408</x:v>
      </x:c>
      <x:c r="J2919" s="12" t="str">
        <x:v>Location model input - competition/saturation context</x:v>
      </x:c>
      <x:c r="K2919" s="12" t="str">
        <x:v>Business count is from 2018 while population/context indicators are newer; use as a historical proxy, not a current market count.</x:v>
      </x:c>
    </x:row>
    <x:row r="2920">
      <x:c r="A2920" s="12" t="str">
        <x:v>7740</x:v>
      </x:c>
      <x:c r="B2920" s="12" t="str">
        <x:v>Leasing of intellectual property and similar products, except copyrighted works</x:v>
      </x:c>
      <x:c r="C2920" s="12" t="str">
        <x:v>الزرقاء</x:v>
      </x:c>
      <x:c r="D2920" s="14" t="n">
        <x:v>0</x:v>
      </x:c>
      <x:c r="E2920" s="14" t="n">
        <x:f>VLOOKUP(C2920,'Governorate Master'!$A$2:$Q$13,3,FALSE)</x:f>
        <x:v>1704500</x:v>
      </x:c>
      <x:c r="F2920" s="66" t="n">
        <x:f>IF(E2920=0,0,D2920/E2920*10000)</x:f>
        <x:v>0</x:v>
      </x:c>
      <x:c r="G2920" s="67" t="n">
        <x:f>VLOOKUP(C2920,'Governorate Master'!$A$2:$Q$13,7,FALSE)</x:f>
        <x:v>358</x:v>
      </x:c>
      <x:c r="H2920" s="20" t="n">
        <x:f>VLOOKUP(C2920,'Governorate Master'!$A$2:$Q$13,6,FALSE)</x:f>
        <x:v>0.9636256966852449</x:v>
      </x:c>
      <x:c r="I2920" s="20" t="n">
        <x:f>VLOOKUP(C2920,'Governorate Master'!$A$2:$Q$13,15,FALSE)</x:f>
        <x:v>-0.06808762581409118</x:v>
      </x:c>
      <x:c r="J2920" s="12" t="str">
        <x:v>Location model input - competition/saturation context</x:v>
      </x:c>
      <x:c r="K2920" s="12" t="str">
        <x:v>Business count is from 2018 while population/context indicators are newer; use as a historical proxy, not a current market count.</x:v>
      </x:c>
    </x:row>
    <x:row r="2921">
      <x:c r="A2921" s="12" t="str">
        <x:v>7740</x:v>
      </x:c>
      <x:c r="B2921" s="12" t="str">
        <x:v>Leasing of intellectual property and similar products, except copyrighted works</x:v>
      </x:c>
      <x:c r="C2921" s="12" t="str">
        <x:v>مادبا</x:v>
      </x:c>
      <x:c r="D2921" s="14" t="n">
        <x:v>0</x:v>
      </x:c>
      <x:c r="E2921" s="14" t="n">
        <x:f>VLOOKUP(C2921,'Governorate Master'!$A$2:$Q$13,3,FALSE)</x:f>
        <x:v>236200</x:v>
      </x:c>
      <x:c r="F2921" s="66" t="n">
        <x:f>IF(E2921=0,0,D2921/E2921*10000)</x:f>
        <x:v>0</x:v>
      </x:c>
      <x:c r="G2921" s="67" t="n">
        <x:f>VLOOKUP(C2921,'Governorate Master'!$A$2:$Q$13,7,FALSE)</x:f>
        <x:v>251.4</x:v>
      </x:c>
      <x:c r="H2921" s="20" t="n">
        <x:f>VLOOKUP(C2921,'Governorate Master'!$A$2:$Q$13,6,FALSE)</x:f>
        <x:v>0.7823878069432684</x:v>
      </x:c>
      <x:c r="I2921" s="20" t="n">
        <x:f>VLOOKUP(C2921,'Governorate Master'!$A$2:$Q$13,15,FALSE)</x:f>
        <x:v>-0.18823529411764706</x:v>
      </x:c>
      <x:c r="J2921" s="12" t="str">
        <x:v>Location model input - competition/saturation context</x:v>
      </x:c>
      <x:c r="K2921" s="12" t="str">
        <x:v>Business count is from 2018 while population/context indicators are newer; use as a historical proxy, not a current market count.</x:v>
      </x:c>
    </x:row>
    <x:row r="2922">
      <x:c r="A2922" s="12" t="str">
        <x:v>7740</x:v>
      </x:c>
      <x:c r="B2922" s="12" t="str">
        <x:v>Leasing of intellectual property and similar products, except copyrighted works</x:v>
      </x:c>
      <x:c r="C2922" s="12" t="str">
        <x:v>إربد</x:v>
      </x:c>
      <x:c r="D2922" s="14" t="n">
        <x:v>0</x:v>
      </x:c>
      <x:c r="E2922" s="14" t="n">
        <x:f>VLOOKUP(C2922,'Governorate Master'!$A$2:$Q$13,3,FALSE)</x:f>
        <x:v>2210500</x:v>
      </x:c>
      <x:c r="F2922" s="66" t="n">
        <x:f>IF(E2922=0,0,D2922/E2922*10000)</x:f>
        <x:v>0</x:v>
      </x:c>
      <x:c r="G2922" s="67" t="n">
        <x:f>VLOOKUP(C2922,'Governorate Master'!$A$2:$Q$13,7,FALSE)</x:f>
        <x:v>1406.4</x:v>
      </x:c>
      <x:c r="H2922" s="20" t="n">
        <x:f>VLOOKUP(C2922,'Governorate Master'!$A$2:$Q$13,6,FALSE)</x:f>
        <x:v>0.9235014702555983</x:v>
      </x:c>
      <x:c r="I2922" s="20" t="n">
        <x:f>VLOOKUP(C2922,'Governorate Master'!$A$2:$Q$13,15,FALSE)</x:f>
        <x:v>0.07086922474549726</x:v>
      </x:c>
      <x:c r="J2922" s="12" t="str">
        <x:v>Location model input - competition/saturation context</x:v>
      </x:c>
      <x:c r="K2922" s="12" t="str">
        <x:v>Business count is from 2018 while population/context indicators are newer; use as a historical proxy, not a current market count.</x:v>
      </x:c>
    </x:row>
    <x:row r="2923">
      <x:c r="A2923" s="12" t="str">
        <x:v>7740</x:v>
      </x:c>
      <x:c r="B2923" s="12" t="str">
        <x:v>Leasing of intellectual property and similar products, except copyrighted works</x:v>
      </x:c>
      <x:c r="C2923" s="12" t="str">
        <x:v>المفرق</x:v>
      </x:c>
      <x:c r="D2923" s="14" t="n">
        <x:v>0</x:v>
      </x:c>
      <x:c r="E2923" s="14" t="n">
        <x:f>VLOOKUP(C2923,'Governorate Master'!$A$2:$Q$13,3,FALSE)</x:f>
        <x:v>686800</x:v>
      </x:c>
      <x:c r="F2923" s="66" t="n">
        <x:f>IF(E2923=0,0,D2923/E2923*10000)</x:f>
        <x:v>0</x:v>
      </x:c>
      <x:c r="G2923" s="67" t="n">
        <x:f>VLOOKUP(C2923,'Governorate Master'!$A$2:$Q$13,7,FALSE)</x:f>
        <x:v>25.9</x:v>
      </x:c>
      <x:c r="H2923" s="20" t="n">
        <x:f>VLOOKUP(C2923,'Governorate Master'!$A$2:$Q$13,6,FALSE)</x:f>
        <x:v>0.6965637740244612</x:v>
      </x:c>
      <x:c r="I2923" s="20" t="n">
        <x:f>VLOOKUP(C2923,'Governorate Master'!$A$2:$Q$13,15,FALSE)</x:f>
        <x:v>-0.016638935108153077</x:v>
      </x:c>
      <x:c r="J2923" s="12" t="str">
        <x:v>Location model input - competition/saturation context</x:v>
      </x:c>
      <x:c r="K2923" s="12" t="str">
        <x:v>Business count is from 2018 while population/context indicators are newer; use as a historical proxy, not a current market count.</x:v>
      </x:c>
    </x:row>
    <x:row r="2924">
      <x:c r="A2924" s="12" t="str">
        <x:v>7740</x:v>
      </x:c>
      <x:c r="B2924" s="12" t="str">
        <x:v>Leasing of intellectual property and similar products, except copyrighted works</x:v>
      </x:c>
      <x:c r="C2924" s="12" t="str">
        <x:v>جرش</x:v>
      </x:c>
      <x:c r="D2924" s="14" t="n">
        <x:v>0</x:v>
      </x:c>
      <x:c r="E2924" s="14" t="n">
        <x:f>VLOOKUP(C2924,'Governorate Master'!$A$2:$Q$13,3,FALSE)</x:f>
        <x:v>296000</x:v>
      </x:c>
      <x:c r="F2924" s="66" t="n">
        <x:f>IF(E2924=0,0,D2924/E2924*10000)</x:f>
        <x:v>0</x:v>
      </x:c>
      <x:c r="G2924" s="67" t="n">
        <x:f>VLOOKUP(C2924,'Governorate Master'!$A$2:$Q$13,7,FALSE)</x:f>
        <x:v>722.3</x:v>
      </x:c>
      <x:c r="H2924" s="20" t="n">
        <x:f>VLOOKUP(C2924,'Governorate Master'!$A$2:$Q$13,6,FALSE)</x:f>
        <x:v>0.7695945945945946</x:v>
      </x:c>
      <x:c r="I2924" s="20" t="n">
        <x:f>VLOOKUP(C2924,'Governorate Master'!$A$2:$Q$13,15,FALSE)</x:f>
        <x:v>-0.06527415143603134</x:v>
      </x:c>
      <x:c r="J2924" s="12" t="str">
        <x:v>Location model input - competition/saturation context</x:v>
      </x:c>
      <x:c r="K2924" s="12" t="str">
        <x:v>Business count is from 2018 while population/context indicators are newer; use as a historical proxy, not a current market count.</x:v>
      </x:c>
    </x:row>
    <x:row r="2925">
      <x:c r="A2925" s="12" t="str">
        <x:v>7740</x:v>
      </x:c>
      <x:c r="B2925" s="12" t="str">
        <x:v>Leasing of intellectual property and similar products, except copyrighted works</x:v>
      </x:c>
      <x:c r="C2925" s="12" t="str">
        <x:v>عجلون</x:v>
      </x:c>
      <x:c r="D2925" s="14" t="n">
        <x:v>0</x:v>
      </x:c>
      <x:c r="E2925" s="14" t="n">
        <x:f>VLOOKUP(C2925,'Governorate Master'!$A$2:$Q$13,3,FALSE)</x:f>
        <x:v>219900</x:v>
      </x:c>
      <x:c r="F2925" s="66" t="n">
        <x:f>IF(E2925=0,0,D2925/E2925*10000)</x:f>
        <x:v>0</x:v>
      </x:c>
      <x:c r="G2925" s="67" t="n">
        <x:f>VLOOKUP(C2925,'Governorate Master'!$A$2:$Q$13,7,FALSE)</x:f>
        <x:v>524</x:v>
      </x:c>
      <x:c r="H2925" s="20" t="n">
        <x:f>VLOOKUP(C2925,'Governorate Master'!$A$2:$Q$13,6,FALSE)</x:f>
        <x:v>0.8390177353342428</x:v>
      </x:c>
      <x:c r="I2925" s="20" t="n">
        <x:f>VLOOKUP(C2925,'Governorate Master'!$A$2:$Q$13,15,FALSE)</x:f>
        <x:v>0.03614457831325301</x:v>
      </x:c>
      <x:c r="J2925" s="12" t="str">
        <x:v>Location model input - competition/saturation context</x:v>
      </x:c>
      <x:c r="K2925" s="12" t="str">
        <x:v>Business count is from 2018 while population/context indicators are newer; use as a historical proxy, not a current market count.</x:v>
      </x:c>
    </x:row>
    <x:row r="2926">
      <x:c r="A2926" s="12" t="str">
        <x:v>7740</x:v>
      </x:c>
      <x:c r="B2926" s="12" t="str">
        <x:v>Leasing of intellectual property and similar products, except copyrighted works</x:v>
      </x:c>
      <x:c r="C2926" s="12" t="str">
        <x:v>الكرك</x:v>
      </x:c>
      <x:c r="D2926" s="14" t="n">
        <x:v>0</x:v>
      </x:c>
      <x:c r="E2926" s="14" t="n">
        <x:f>VLOOKUP(C2926,'Governorate Master'!$A$2:$Q$13,3,FALSE)</x:f>
        <x:v>395400</x:v>
      </x:c>
      <x:c r="F2926" s="66" t="n">
        <x:f>IF(E2926=0,0,D2926/E2926*10000)</x:f>
        <x:v>0</x:v>
      </x:c>
      <x:c r="G2926" s="67" t="n">
        <x:f>VLOOKUP(C2926,'Governorate Master'!$A$2:$Q$13,7,FALSE)</x:f>
        <x:v>113.1</x:v>
      </x:c>
      <x:c r="H2926" s="20" t="n">
        <x:f>VLOOKUP(C2926,'Governorate Master'!$A$2:$Q$13,6,FALSE)</x:f>
        <x:v>0.5912999494183105</x:v>
      </x:c>
      <x:c r="I2926" s="20" t="n">
        <x:f>VLOOKUP(C2926,'Governorate Master'!$A$2:$Q$13,15,FALSE)</x:f>
        <x:v>0.08710801393728224</x:v>
      </x:c>
      <x:c r="J2926" s="12" t="str">
        <x:v>Location model input - competition/saturation context</x:v>
      </x:c>
      <x:c r="K2926" s="12" t="str">
        <x:v>Business count is from 2018 while population/context indicators are newer; use as a historical proxy, not a current market count.</x:v>
      </x:c>
    </x:row>
    <x:row r="2927">
      <x:c r="A2927" s="12" t="str">
        <x:v>7740</x:v>
      </x:c>
      <x:c r="B2927" s="12" t="str">
        <x:v>Leasing of intellectual property and similar products, except copyrighted works</x:v>
      </x:c>
      <x:c r="C2927" s="12" t="str">
        <x:v>الطفيلة</x:v>
      </x:c>
      <x:c r="D2927" s="14" t="n">
        <x:v>0</x:v>
      </x:c>
      <x:c r="E2927" s="14" t="n">
        <x:f>VLOOKUP(C2927,'Governorate Master'!$A$2:$Q$13,3,FALSE)</x:f>
        <x:v>120300</x:v>
      </x:c>
      <x:c r="F2927" s="66" t="n">
        <x:f>IF(E2927=0,0,D2927/E2927*10000)</x:f>
        <x:v>0</x:v>
      </x:c>
      <x:c r="G2927" s="67" t="n">
        <x:f>VLOOKUP(C2927,'Governorate Master'!$A$2:$Q$13,7,FALSE)</x:f>
        <x:v>54.4</x:v>
      </x:c>
      <x:c r="H2927" s="20" t="n">
        <x:f>VLOOKUP(C2927,'Governorate Master'!$A$2:$Q$13,6,FALSE)</x:f>
        <x:v>0.7797173732335827</x:v>
      </x:c>
      <x:c r="I2927" s="20" t="n">
        <x:f>VLOOKUP(C2927,'Governorate Master'!$A$2:$Q$13,15,FALSE)</x:f>
        <x:v>0.18452380952380953</x:v>
      </x:c>
      <x:c r="J2927" s="12" t="str">
        <x:v>Location model input - competition/saturation context</x:v>
      </x:c>
      <x:c r="K2927" s="12" t="str">
        <x:v>Business count is from 2018 while population/context indicators are newer; use as a historical proxy, not a current market count.</x:v>
      </x:c>
    </x:row>
    <x:row r="2928">
      <x:c r="A2928" s="12" t="str">
        <x:v>7740</x:v>
      </x:c>
      <x:c r="B2928" s="12" t="str">
        <x:v>Leasing of intellectual property and similar products, except copyrighted works</x:v>
      </x:c>
      <x:c r="C2928" s="12" t="str">
        <x:v>معان</x:v>
      </x:c>
      <x:c r="D2928" s="14" t="n">
        <x:v>0</x:v>
      </x:c>
      <x:c r="E2928" s="14" t="n">
        <x:f>VLOOKUP(C2928,'Governorate Master'!$A$2:$Q$13,3,FALSE)</x:f>
        <x:v>197900</x:v>
      </x:c>
      <x:c r="F2928" s="66" t="n">
        <x:f>IF(E2928=0,0,D2928/E2928*10000)</x:f>
        <x:v>0</x:v>
      </x:c>
      <x:c r="G2928" s="67" t="n">
        <x:f>VLOOKUP(C2928,'Governorate Master'!$A$2:$Q$13,7,FALSE)</x:f>
        <x:v>6</x:v>
      </x:c>
      <x:c r="H2928" s="20" t="n">
        <x:f>VLOOKUP(C2928,'Governorate Master'!$A$2:$Q$13,6,FALSE)</x:f>
        <x:v>0.5406771096513391</x:v>
      </x:c>
      <x:c r="I2928" s="20" t="n">
        <x:f>VLOOKUP(C2928,'Governorate Master'!$A$2:$Q$13,15,FALSE)</x:f>
        <x:v>0.026845637583892617</x:v>
      </x:c>
      <x:c r="J2928" s="12" t="str">
        <x:v>Location model input - competition/saturation context</x:v>
      </x:c>
      <x:c r="K2928" s="12" t="str">
        <x:v>Business count is from 2018 while population/context indicators are newer; use as a historical proxy, not a current market count.</x:v>
      </x:c>
    </x:row>
    <x:row r="2929">
      <x:c r="A2929" s="12" t="str">
        <x:v>7740</x:v>
      </x:c>
      <x:c r="B2929" s="12" t="str">
        <x:v>Leasing of intellectual property and similar products, except copyrighted works</x:v>
      </x:c>
      <x:c r="C2929" s="12" t="str">
        <x:v>العقبة</x:v>
      </x:c>
      <x:c r="D2929" s="14" t="n">
        <x:v>0</x:v>
      </x:c>
      <x:c r="E2929" s="14" t="n">
        <x:f>VLOOKUP(C2929,'Governorate Master'!$A$2:$Q$13,3,FALSE)</x:f>
        <x:v>250900</x:v>
      </x:c>
      <x:c r="F2929" s="66" t="n">
        <x:f>IF(E2929=0,0,D2929/E2929*10000)</x:f>
        <x:v>0</x:v>
      </x:c>
      <x:c r="G2929" s="67" t="n">
        <x:f>VLOOKUP(C2929,'Governorate Master'!$A$2:$Q$13,7,FALSE)</x:f>
        <x:v>36.3</x:v>
      </x:c>
      <x:c r="H2929" s="20" t="n">
        <x:f>VLOOKUP(C2929,'Governorate Master'!$A$2:$Q$13,6,FALSE)</x:f>
        <x:v>0.882024711040255</x:v>
      </x:c>
      <x:c r="I2929" s="20" t="n">
        <x:f>VLOOKUP(C2929,'Governorate Master'!$A$2:$Q$13,15,FALSE)</x:f>
        <x:v>-0.09</x:v>
      </x:c>
      <x:c r="J2929" s="12" t="str">
        <x:v>Location model input - competition/saturation context</x:v>
      </x:c>
      <x:c r="K2929" s="12" t="str">
        <x:v>Business count is from 2018 while population/context indicators are newer; use as a historical proxy, not a current market count.</x:v>
      </x:c>
    </x:row>
    <x:row r="2930">
      <x:c r="A2930" s="12" t="str">
        <x:v>7810</x:v>
      </x:c>
      <x:c r="B2930" s="12" t="str">
        <x:v>Activities of employment placement agencies</x:v>
      </x:c>
      <x:c r="C2930" s="12" t="str">
        <x:v>عمان</x:v>
      </x:c>
      <x:c r="D2930" s="14" t="n">
        <x:v>107</x:v>
      </x:c>
      <x:c r="E2930" s="14" t="n">
        <x:f>VLOOKUP(C2930,'Governorate Master'!$A$2:$Q$13,3,FALSE)</x:f>
        <x:v>5004600</x:v>
      </x:c>
      <x:c r="F2930" s="66" t="n">
        <x:f>IF(E2930=0,0,D2930/E2930*10000)</x:f>
        <x:v>0.21380330096311395</x:v>
      </x:c>
      <x:c r="G2930" s="67" t="n">
        <x:f>VLOOKUP(C2930,'Governorate Master'!$A$2:$Q$13,7,FALSE)</x:f>
        <x:v>660.3</x:v>
      </x:c>
      <x:c r="H2930" s="20" t="n">
        <x:f>VLOOKUP(C2930,'Governorate Master'!$A$2:$Q$13,6,FALSE)</x:f>
        <x:v>0.9721656076409703</x:v>
      </x:c>
      <x:c r="I2930" s="20" t="n">
        <x:f>VLOOKUP(C2930,'Governorate Master'!$A$2:$Q$13,15,FALSE)</x:f>
        <x:v>0.06367041198501873</x:v>
      </x:c>
      <x:c r="J2930" s="12" t="str">
        <x:v>Location model input - competition/saturation context</x:v>
      </x:c>
      <x:c r="K2930" s="12" t="str">
        <x:v>Business count is from 2018 while population/context indicators are newer; use as a historical proxy, not a current market count.</x:v>
      </x:c>
    </x:row>
    <x:row r="2931">
      <x:c r="A2931" s="12" t="str">
        <x:v>7810</x:v>
      </x:c>
      <x:c r="B2931" s="12" t="str">
        <x:v>Activities of employment placement agencies</x:v>
      </x:c>
      <x:c r="C2931" s="12" t="str">
        <x:v>البلقاء</x:v>
      </x:c>
      <x:c r="D2931" s="14" t="n">
        <x:v>0</x:v>
      </x:c>
      <x:c r="E2931" s="14" t="n">
        <x:f>VLOOKUP(C2931,'Governorate Master'!$A$2:$Q$13,3,FALSE)</x:f>
        <x:v>614000</x:v>
      </x:c>
      <x:c r="F2931" s="66" t="n">
        <x:f>IF(E2931=0,0,D2931/E2931*10000)</x:f>
        <x:v>0</x:v>
      </x:c>
      <x:c r="G2931" s="67" t="n">
        <x:f>VLOOKUP(C2931,'Governorate Master'!$A$2:$Q$13,7,FALSE)</x:f>
        <x:v>548</x:v>
      </x:c>
      <x:c r="H2931" s="20" t="n">
        <x:f>VLOOKUP(C2931,'Governorate Master'!$A$2:$Q$13,6,FALSE)</x:f>
        <x:v>0.8210097719869707</x:v>
      </x:c>
      <x:c r="I2931" s="20" t="n">
        <x:f>VLOOKUP(C2931,'Governorate Master'!$A$2:$Q$13,15,FALSE)</x:f>
        <x:v>0.10794044665012408</x:v>
      </x:c>
      <x:c r="J2931" s="12" t="str">
        <x:v>Location model input - competition/saturation context</x:v>
      </x:c>
      <x:c r="K2931" s="12" t="str">
        <x:v>Business count is from 2018 while population/context indicators are newer; use as a historical proxy, not a current market count.</x:v>
      </x:c>
    </x:row>
    <x:row r="2932">
      <x:c r="A2932" s="12" t="str">
        <x:v>7810</x:v>
      </x:c>
      <x:c r="B2932" s="12" t="str">
        <x:v>Activities of employment placement agencies</x:v>
      </x:c>
      <x:c r="C2932" s="12" t="str">
        <x:v>الزرقاء</x:v>
      </x:c>
      <x:c r="D2932" s="14" t="n">
        <x:v>0</x:v>
      </x:c>
      <x:c r="E2932" s="14" t="n">
        <x:f>VLOOKUP(C2932,'Governorate Master'!$A$2:$Q$13,3,FALSE)</x:f>
        <x:v>1704500</x:v>
      </x:c>
      <x:c r="F2932" s="66" t="n">
        <x:f>IF(E2932=0,0,D2932/E2932*10000)</x:f>
        <x:v>0</x:v>
      </x:c>
      <x:c r="G2932" s="67" t="n">
        <x:f>VLOOKUP(C2932,'Governorate Master'!$A$2:$Q$13,7,FALSE)</x:f>
        <x:v>358</x:v>
      </x:c>
      <x:c r="H2932" s="20" t="n">
        <x:f>VLOOKUP(C2932,'Governorate Master'!$A$2:$Q$13,6,FALSE)</x:f>
        <x:v>0.9636256966852449</x:v>
      </x:c>
      <x:c r="I2932" s="20" t="n">
        <x:f>VLOOKUP(C2932,'Governorate Master'!$A$2:$Q$13,15,FALSE)</x:f>
        <x:v>-0.06808762581409118</x:v>
      </x:c>
      <x:c r="J2932" s="12" t="str">
        <x:v>Location model input - competition/saturation context</x:v>
      </x:c>
      <x:c r="K2932" s="12" t="str">
        <x:v>Business count is from 2018 while population/context indicators are newer; use as a historical proxy, not a current market count.</x:v>
      </x:c>
    </x:row>
    <x:row r="2933">
      <x:c r="A2933" s="12" t="str">
        <x:v>7810</x:v>
      </x:c>
      <x:c r="B2933" s="12" t="str">
        <x:v>Activities of employment placement agencies</x:v>
      </x:c>
      <x:c r="C2933" s="12" t="str">
        <x:v>مادبا</x:v>
      </x:c>
      <x:c r="D2933" s="14" t="n">
        <x:v>0</x:v>
      </x:c>
      <x:c r="E2933" s="14" t="n">
        <x:f>VLOOKUP(C2933,'Governorate Master'!$A$2:$Q$13,3,FALSE)</x:f>
        <x:v>236200</x:v>
      </x:c>
      <x:c r="F2933" s="66" t="n">
        <x:f>IF(E2933=0,0,D2933/E2933*10000)</x:f>
        <x:v>0</x:v>
      </x:c>
      <x:c r="G2933" s="67" t="n">
        <x:f>VLOOKUP(C2933,'Governorate Master'!$A$2:$Q$13,7,FALSE)</x:f>
        <x:v>251.4</x:v>
      </x:c>
      <x:c r="H2933" s="20" t="n">
        <x:f>VLOOKUP(C2933,'Governorate Master'!$A$2:$Q$13,6,FALSE)</x:f>
        <x:v>0.7823878069432684</x:v>
      </x:c>
      <x:c r="I2933" s="20" t="n">
        <x:f>VLOOKUP(C2933,'Governorate Master'!$A$2:$Q$13,15,FALSE)</x:f>
        <x:v>-0.18823529411764706</x:v>
      </x:c>
      <x:c r="J2933" s="12" t="str">
        <x:v>Location model input - competition/saturation context</x:v>
      </x:c>
      <x:c r="K2933" s="12" t="str">
        <x:v>Business count is from 2018 while population/context indicators are newer; use as a historical proxy, not a current market count.</x:v>
      </x:c>
    </x:row>
    <x:row r="2934">
      <x:c r="A2934" s="12" t="str">
        <x:v>7810</x:v>
      </x:c>
      <x:c r="B2934" s="12" t="str">
        <x:v>Activities of employment placement agencies</x:v>
      </x:c>
      <x:c r="C2934" s="12" t="str">
        <x:v>إربد</x:v>
      </x:c>
      <x:c r="D2934" s="14" t="n">
        <x:v>5</x:v>
      </x:c>
      <x:c r="E2934" s="14" t="n">
        <x:f>VLOOKUP(C2934,'Governorate Master'!$A$2:$Q$13,3,FALSE)</x:f>
        <x:v>2210500</x:v>
      </x:c>
      <x:c r="F2934" s="66" t="n">
        <x:f>IF(E2934=0,0,D2934/E2934*10000)</x:f>
        <x:v>0.022619316896629722</x:v>
      </x:c>
      <x:c r="G2934" s="67" t="n">
        <x:f>VLOOKUP(C2934,'Governorate Master'!$A$2:$Q$13,7,FALSE)</x:f>
        <x:v>1406.4</x:v>
      </x:c>
      <x:c r="H2934" s="20" t="n">
        <x:f>VLOOKUP(C2934,'Governorate Master'!$A$2:$Q$13,6,FALSE)</x:f>
        <x:v>0.9235014702555983</x:v>
      </x:c>
      <x:c r="I2934" s="20" t="n">
        <x:f>VLOOKUP(C2934,'Governorate Master'!$A$2:$Q$13,15,FALSE)</x:f>
        <x:v>0.07086922474549726</x:v>
      </x:c>
      <x:c r="J2934" s="12" t="str">
        <x:v>Location model input - competition/saturation context</x:v>
      </x:c>
      <x:c r="K2934" s="12" t="str">
        <x:v>Business count is from 2018 while population/context indicators are newer; use as a historical proxy, not a current market count.</x:v>
      </x:c>
    </x:row>
    <x:row r="2935">
      <x:c r="A2935" s="12" t="str">
        <x:v>7810</x:v>
      </x:c>
      <x:c r="B2935" s="12" t="str">
        <x:v>Activities of employment placement agencies</x:v>
      </x:c>
      <x:c r="C2935" s="12" t="str">
        <x:v>المفرق</x:v>
      </x:c>
      <x:c r="D2935" s="14" t="n">
        <x:v>0</x:v>
      </x:c>
      <x:c r="E2935" s="14" t="n">
        <x:f>VLOOKUP(C2935,'Governorate Master'!$A$2:$Q$13,3,FALSE)</x:f>
        <x:v>686800</x:v>
      </x:c>
      <x:c r="F2935" s="66" t="n">
        <x:f>IF(E2935=0,0,D2935/E2935*10000)</x:f>
        <x:v>0</x:v>
      </x:c>
      <x:c r="G2935" s="67" t="n">
        <x:f>VLOOKUP(C2935,'Governorate Master'!$A$2:$Q$13,7,FALSE)</x:f>
        <x:v>25.9</x:v>
      </x:c>
      <x:c r="H2935" s="20" t="n">
        <x:f>VLOOKUP(C2935,'Governorate Master'!$A$2:$Q$13,6,FALSE)</x:f>
        <x:v>0.6965637740244612</x:v>
      </x:c>
      <x:c r="I2935" s="20" t="n">
        <x:f>VLOOKUP(C2935,'Governorate Master'!$A$2:$Q$13,15,FALSE)</x:f>
        <x:v>-0.016638935108153077</x:v>
      </x:c>
      <x:c r="J2935" s="12" t="str">
        <x:v>Location model input - competition/saturation context</x:v>
      </x:c>
      <x:c r="K2935" s="12" t="str">
        <x:v>Business count is from 2018 while population/context indicators are newer; use as a historical proxy, not a current market count.</x:v>
      </x:c>
    </x:row>
    <x:row r="2936">
      <x:c r="A2936" s="12" t="str">
        <x:v>7810</x:v>
      </x:c>
      <x:c r="B2936" s="12" t="str">
        <x:v>Activities of employment placement agencies</x:v>
      </x:c>
      <x:c r="C2936" s="12" t="str">
        <x:v>جرش</x:v>
      </x:c>
      <x:c r="D2936" s="14" t="n">
        <x:v>0</x:v>
      </x:c>
      <x:c r="E2936" s="14" t="n">
        <x:f>VLOOKUP(C2936,'Governorate Master'!$A$2:$Q$13,3,FALSE)</x:f>
        <x:v>296000</x:v>
      </x:c>
      <x:c r="F2936" s="66" t="n">
        <x:f>IF(E2936=0,0,D2936/E2936*10000)</x:f>
        <x:v>0</x:v>
      </x:c>
      <x:c r="G2936" s="67" t="n">
        <x:f>VLOOKUP(C2936,'Governorate Master'!$A$2:$Q$13,7,FALSE)</x:f>
        <x:v>722.3</x:v>
      </x:c>
      <x:c r="H2936" s="20" t="n">
        <x:f>VLOOKUP(C2936,'Governorate Master'!$A$2:$Q$13,6,FALSE)</x:f>
        <x:v>0.7695945945945946</x:v>
      </x:c>
      <x:c r="I2936" s="20" t="n">
        <x:f>VLOOKUP(C2936,'Governorate Master'!$A$2:$Q$13,15,FALSE)</x:f>
        <x:v>-0.06527415143603134</x:v>
      </x:c>
      <x:c r="J2936" s="12" t="str">
        <x:v>Location model input - competition/saturation context</x:v>
      </x:c>
      <x:c r="K2936" s="12" t="str">
        <x:v>Business count is from 2018 while population/context indicators are newer; use as a historical proxy, not a current market count.</x:v>
      </x:c>
    </x:row>
    <x:row r="2937">
      <x:c r="A2937" s="12" t="str">
        <x:v>7810</x:v>
      </x:c>
      <x:c r="B2937" s="12" t="str">
        <x:v>Activities of employment placement agencies</x:v>
      </x:c>
      <x:c r="C2937" s="12" t="str">
        <x:v>عجلون</x:v>
      </x:c>
      <x:c r="D2937" s="14" t="n">
        <x:v>0</x:v>
      </x:c>
      <x:c r="E2937" s="14" t="n">
        <x:f>VLOOKUP(C2937,'Governorate Master'!$A$2:$Q$13,3,FALSE)</x:f>
        <x:v>219900</x:v>
      </x:c>
      <x:c r="F2937" s="66" t="n">
        <x:f>IF(E2937=0,0,D2937/E2937*10000)</x:f>
        <x:v>0</x:v>
      </x:c>
      <x:c r="G2937" s="67" t="n">
        <x:f>VLOOKUP(C2937,'Governorate Master'!$A$2:$Q$13,7,FALSE)</x:f>
        <x:v>524</x:v>
      </x:c>
      <x:c r="H2937" s="20" t="n">
        <x:f>VLOOKUP(C2937,'Governorate Master'!$A$2:$Q$13,6,FALSE)</x:f>
        <x:v>0.8390177353342428</x:v>
      </x:c>
      <x:c r="I2937" s="20" t="n">
        <x:f>VLOOKUP(C2937,'Governorate Master'!$A$2:$Q$13,15,FALSE)</x:f>
        <x:v>0.03614457831325301</x:v>
      </x:c>
      <x:c r="J2937" s="12" t="str">
        <x:v>Location model input - competition/saturation context</x:v>
      </x:c>
      <x:c r="K2937" s="12" t="str">
        <x:v>Business count is from 2018 while population/context indicators are newer; use as a historical proxy, not a current market count.</x:v>
      </x:c>
    </x:row>
    <x:row r="2938">
      <x:c r="A2938" s="12" t="str">
        <x:v>7810</x:v>
      </x:c>
      <x:c r="B2938" s="12" t="str">
        <x:v>Activities of employment placement agencies</x:v>
      </x:c>
      <x:c r="C2938" s="12" t="str">
        <x:v>الكرك</x:v>
      </x:c>
      <x:c r="D2938" s="14" t="n">
        <x:v>0</x:v>
      </x:c>
      <x:c r="E2938" s="14" t="n">
        <x:f>VLOOKUP(C2938,'Governorate Master'!$A$2:$Q$13,3,FALSE)</x:f>
        <x:v>395400</x:v>
      </x:c>
      <x:c r="F2938" s="66" t="n">
        <x:f>IF(E2938=0,0,D2938/E2938*10000)</x:f>
        <x:v>0</x:v>
      </x:c>
      <x:c r="G2938" s="67" t="n">
        <x:f>VLOOKUP(C2938,'Governorate Master'!$A$2:$Q$13,7,FALSE)</x:f>
        <x:v>113.1</x:v>
      </x:c>
      <x:c r="H2938" s="20" t="n">
        <x:f>VLOOKUP(C2938,'Governorate Master'!$A$2:$Q$13,6,FALSE)</x:f>
        <x:v>0.5912999494183105</x:v>
      </x:c>
      <x:c r="I2938" s="20" t="n">
        <x:f>VLOOKUP(C2938,'Governorate Master'!$A$2:$Q$13,15,FALSE)</x:f>
        <x:v>0.08710801393728224</x:v>
      </x:c>
      <x:c r="J2938" s="12" t="str">
        <x:v>Location model input - competition/saturation context</x:v>
      </x:c>
      <x:c r="K2938" s="12" t="str">
        <x:v>Business count is from 2018 while population/context indicators are newer; use as a historical proxy, not a current market count.</x:v>
      </x:c>
    </x:row>
    <x:row r="2939">
      <x:c r="A2939" s="12" t="str">
        <x:v>7810</x:v>
      </x:c>
      <x:c r="B2939" s="12" t="str">
        <x:v>Activities of employment placement agencies</x:v>
      </x:c>
      <x:c r="C2939" s="12" t="str">
        <x:v>الطفيلة</x:v>
      </x:c>
      <x:c r="D2939" s="14" t="n">
        <x:v>0</x:v>
      </x:c>
      <x:c r="E2939" s="14" t="n">
        <x:f>VLOOKUP(C2939,'Governorate Master'!$A$2:$Q$13,3,FALSE)</x:f>
        <x:v>120300</x:v>
      </x:c>
      <x:c r="F2939" s="66" t="n">
        <x:f>IF(E2939=0,0,D2939/E2939*10000)</x:f>
        <x:v>0</x:v>
      </x:c>
      <x:c r="G2939" s="67" t="n">
        <x:f>VLOOKUP(C2939,'Governorate Master'!$A$2:$Q$13,7,FALSE)</x:f>
        <x:v>54.4</x:v>
      </x:c>
      <x:c r="H2939" s="20" t="n">
        <x:f>VLOOKUP(C2939,'Governorate Master'!$A$2:$Q$13,6,FALSE)</x:f>
        <x:v>0.7797173732335827</x:v>
      </x:c>
      <x:c r="I2939" s="20" t="n">
        <x:f>VLOOKUP(C2939,'Governorate Master'!$A$2:$Q$13,15,FALSE)</x:f>
        <x:v>0.18452380952380953</x:v>
      </x:c>
      <x:c r="J2939" s="12" t="str">
        <x:v>Location model input - competition/saturation context</x:v>
      </x:c>
      <x:c r="K2939" s="12" t="str">
        <x:v>Business count is from 2018 while population/context indicators are newer; use as a historical proxy, not a current market count.</x:v>
      </x:c>
    </x:row>
    <x:row r="2940">
      <x:c r="A2940" s="12" t="str">
        <x:v>7810</x:v>
      </x:c>
      <x:c r="B2940" s="12" t="str">
        <x:v>Activities of employment placement agencies</x:v>
      </x:c>
      <x:c r="C2940" s="12" t="str">
        <x:v>معان</x:v>
      </x:c>
      <x:c r="D2940" s="14" t="n">
        <x:v>0</x:v>
      </x:c>
      <x:c r="E2940" s="14" t="n">
        <x:f>VLOOKUP(C2940,'Governorate Master'!$A$2:$Q$13,3,FALSE)</x:f>
        <x:v>197900</x:v>
      </x:c>
      <x:c r="F2940" s="66" t="n">
        <x:f>IF(E2940=0,0,D2940/E2940*10000)</x:f>
        <x:v>0</x:v>
      </x:c>
      <x:c r="G2940" s="67" t="n">
        <x:f>VLOOKUP(C2940,'Governorate Master'!$A$2:$Q$13,7,FALSE)</x:f>
        <x:v>6</x:v>
      </x:c>
      <x:c r="H2940" s="20" t="n">
        <x:f>VLOOKUP(C2940,'Governorate Master'!$A$2:$Q$13,6,FALSE)</x:f>
        <x:v>0.5406771096513391</x:v>
      </x:c>
      <x:c r="I2940" s="20" t="n">
        <x:f>VLOOKUP(C2940,'Governorate Master'!$A$2:$Q$13,15,FALSE)</x:f>
        <x:v>0.026845637583892617</x:v>
      </x:c>
      <x:c r="J2940" s="12" t="str">
        <x:v>Location model input - competition/saturation context</x:v>
      </x:c>
      <x:c r="K2940" s="12" t="str">
        <x:v>Business count is from 2018 while population/context indicators are newer; use as a historical proxy, not a current market count.</x:v>
      </x:c>
    </x:row>
    <x:row r="2941">
      <x:c r="A2941" s="12" t="str">
        <x:v>7810</x:v>
      </x:c>
      <x:c r="B2941" s="12" t="str">
        <x:v>Activities of employment placement agencies</x:v>
      </x:c>
      <x:c r="C2941" s="12" t="str">
        <x:v>العقبة</x:v>
      </x:c>
      <x:c r="D2941" s="14" t="n">
        <x:v>9</x:v>
      </x:c>
      <x:c r="E2941" s="14" t="n">
        <x:f>VLOOKUP(C2941,'Governorate Master'!$A$2:$Q$13,3,FALSE)</x:f>
        <x:v>250900</x:v>
      </x:c>
      <x:c r="F2941" s="66" t="n">
        <x:f>IF(E2941=0,0,D2941/E2941*10000)</x:f>
        <x:v>0.3587086488640893</x:v>
      </x:c>
      <x:c r="G2941" s="67" t="n">
        <x:f>VLOOKUP(C2941,'Governorate Master'!$A$2:$Q$13,7,FALSE)</x:f>
        <x:v>36.3</x:v>
      </x:c>
      <x:c r="H2941" s="20" t="n">
        <x:f>VLOOKUP(C2941,'Governorate Master'!$A$2:$Q$13,6,FALSE)</x:f>
        <x:v>0.882024711040255</x:v>
      </x:c>
      <x:c r="I2941" s="20" t="n">
        <x:f>VLOOKUP(C2941,'Governorate Master'!$A$2:$Q$13,15,FALSE)</x:f>
        <x:v>-0.09</x:v>
      </x:c>
      <x:c r="J2941" s="12" t="str">
        <x:v>Location model input - competition/saturation context</x:v>
      </x:c>
      <x:c r="K2941" s="12" t="str">
        <x:v>Business count is from 2018 while population/context indicators are newer; use as a historical proxy, not a current market count.</x:v>
      </x:c>
    </x:row>
    <x:row r="2942">
      <x:c r="A2942" s="12" t="str">
        <x:v>7820</x:v>
      </x:c>
      <x:c r="B2942" s="12" t="str">
        <x:v>Temporary employment agency activities</x:v>
      </x:c>
      <x:c r="C2942" s="12" t="str">
        <x:v>عمان</x:v>
      </x:c>
      <x:c r="D2942" s="14" t="n">
        <x:v>66</x:v>
      </x:c>
      <x:c r="E2942" s="14" t="n">
        <x:f>VLOOKUP(C2942,'Governorate Master'!$A$2:$Q$13,3,FALSE)</x:f>
        <x:v>5004600</x:v>
      </x:c>
      <x:c r="F2942" s="66" t="n">
        <x:f>IF(E2942=0,0,D2942/E2942*10000)</x:f>
        <x:v>0.13187867162210767</x:v>
      </x:c>
      <x:c r="G2942" s="67" t="n">
        <x:f>VLOOKUP(C2942,'Governorate Master'!$A$2:$Q$13,7,FALSE)</x:f>
        <x:v>660.3</x:v>
      </x:c>
      <x:c r="H2942" s="20" t="n">
        <x:f>VLOOKUP(C2942,'Governorate Master'!$A$2:$Q$13,6,FALSE)</x:f>
        <x:v>0.9721656076409703</x:v>
      </x:c>
      <x:c r="I2942" s="20" t="n">
        <x:f>VLOOKUP(C2942,'Governorate Master'!$A$2:$Q$13,15,FALSE)</x:f>
        <x:v>0.06367041198501873</x:v>
      </x:c>
      <x:c r="J2942" s="12" t="str">
        <x:v>Location model input - competition/saturation context</x:v>
      </x:c>
      <x:c r="K2942" s="12" t="str">
        <x:v>Business count is from 2018 while population/context indicators are newer; use as a historical proxy, not a current market count.</x:v>
      </x:c>
    </x:row>
    <x:row r="2943">
      <x:c r="A2943" s="12" t="str">
        <x:v>7820</x:v>
      </x:c>
      <x:c r="B2943" s="12" t="str">
        <x:v>Temporary employment agency activities</x:v>
      </x:c>
      <x:c r="C2943" s="12" t="str">
        <x:v>البلقاء</x:v>
      </x:c>
      <x:c r="D2943" s="14" t="n">
        <x:v>0</x:v>
      </x:c>
      <x:c r="E2943" s="14" t="n">
        <x:f>VLOOKUP(C2943,'Governorate Master'!$A$2:$Q$13,3,FALSE)</x:f>
        <x:v>614000</x:v>
      </x:c>
      <x:c r="F2943" s="66" t="n">
        <x:f>IF(E2943=0,0,D2943/E2943*10000)</x:f>
        <x:v>0</x:v>
      </x:c>
      <x:c r="G2943" s="67" t="n">
        <x:f>VLOOKUP(C2943,'Governorate Master'!$A$2:$Q$13,7,FALSE)</x:f>
        <x:v>548</x:v>
      </x:c>
      <x:c r="H2943" s="20" t="n">
        <x:f>VLOOKUP(C2943,'Governorate Master'!$A$2:$Q$13,6,FALSE)</x:f>
        <x:v>0.8210097719869707</x:v>
      </x:c>
      <x:c r="I2943" s="20" t="n">
        <x:f>VLOOKUP(C2943,'Governorate Master'!$A$2:$Q$13,15,FALSE)</x:f>
        <x:v>0.10794044665012408</x:v>
      </x:c>
      <x:c r="J2943" s="12" t="str">
        <x:v>Location model input - competition/saturation context</x:v>
      </x:c>
      <x:c r="K2943" s="12" t="str">
        <x:v>Business count is from 2018 while population/context indicators are newer; use as a historical proxy, not a current market count.</x:v>
      </x:c>
    </x:row>
    <x:row r="2944">
      <x:c r="A2944" s="12" t="str">
        <x:v>7820</x:v>
      </x:c>
      <x:c r="B2944" s="12" t="str">
        <x:v>Temporary employment agency activities</x:v>
      </x:c>
      <x:c r="C2944" s="12" t="str">
        <x:v>الزرقاء</x:v>
      </x:c>
      <x:c r="D2944" s="14" t="n">
        <x:v>0</x:v>
      </x:c>
      <x:c r="E2944" s="14" t="n">
        <x:f>VLOOKUP(C2944,'Governorate Master'!$A$2:$Q$13,3,FALSE)</x:f>
        <x:v>1704500</x:v>
      </x:c>
      <x:c r="F2944" s="66" t="n">
        <x:f>IF(E2944=0,0,D2944/E2944*10000)</x:f>
        <x:v>0</x:v>
      </x:c>
      <x:c r="G2944" s="67" t="n">
        <x:f>VLOOKUP(C2944,'Governorate Master'!$A$2:$Q$13,7,FALSE)</x:f>
        <x:v>358</x:v>
      </x:c>
      <x:c r="H2944" s="20" t="n">
        <x:f>VLOOKUP(C2944,'Governorate Master'!$A$2:$Q$13,6,FALSE)</x:f>
        <x:v>0.9636256966852449</x:v>
      </x:c>
      <x:c r="I2944" s="20" t="n">
        <x:f>VLOOKUP(C2944,'Governorate Master'!$A$2:$Q$13,15,FALSE)</x:f>
        <x:v>-0.06808762581409118</x:v>
      </x:c>
      <x:c r="J2944" s="12" t="str">
        <x:v>Location model input - competition/saturation context</x:v>
      </x:c>
      <x:c r="K2944" s="12" t="str">
        <x:v>Business count is from 2018 while population/context indicators are newer; use as a historical proxy, not a current market count.</x:v>
      </x:c>
    </x:row>
    <x:row r="2945">
      <x:c r="A2945" s="12" t="str">
        <x:v>7820</x:v>
      </x:c>
      <x:c r="B2945" s="12" t="str">
        <x:v>Temporary employment agency activities</x:v>
      </x:c>
      <x:c r="C2945" s="12" t="str">
        <x:v>مادبا</x:v>
      </x:c>
      <x:c r="D2945" s="14" t="n">
        <x:v>0</x:v>
      </x:c>
      <x:c r="E2945" s="14" t="n">
        <x:f>VLOOKUP(C2945,'Governorate Master'!$A$2:$Q$13,3,FALSE)</x:f>
        <x:v>236200</x:v>
      </x:c>
      <x:c r="F2945" s="66" t="n">
        <x:f>IF(E2945=0,0,D2945/E2945*10000)</x:f>
        <x:v>0</x:v>
      </x:c>
      <x:c r="G2945" s="67" t="n">
        <x:f>VLOOKUP(C2945,'Governorate Master'!$A$2:$Q$13,7,FALSE)</x:f>
        <x:v>251.4</x:v>
      </x:c>
      <x:c r="H2945" s="20" t="n">
        <x:f>VLOOKUP(C2945,'Governorate Master'!$A$2:$Q$13,6,FALSE)</x:f>
        <x:v>0.7823878069432684</x:v>
      </x:c>
      <x:c r="I2945" s="20" t="n">
        <x:f>VLOOKUP(C2945,'Governorate Master'!$A$2:$Q$13,15,FALSE)</x:f>
        <x:v>-0.18823529411764706</x:v>
      </x:c>
      <x:c r="J2945" s="12" t="str">
        <x:v>Location model input - competition/saturation context</x:v>
      </x:c>
      <x:c r="K2945" s="12" t="str">
        <x:v>Business count is from 2018 while population/context indicators are newer; use as a historical proxy, not a current market count.</x:v>
      </x:c>
    </x:row>
    <x:row r="2946">
      <x:c r="A2946" s="12" t="str">
        <x:v>7820</x:v>
      </x:c>
      <x:c r="B2946" s="12" t="str">
        <x:v>Temporary employment agency activities</x:v>
      </x:c>
      <x:c r="C2946" s="12" t="str">
        <x:v>إربد</x:v>
      </x:c>
      <x:c r="D2946" s="14" t="n">
        <x:v>1</x:v>
      </x:c>
      <x:c r="E2946" s="14" t="n">
        <x:f>VLOOKUP(C2946,'Governorate Master'!$A$2:$Q$13,3,FALSE)</x:f>
        <x:v>2210500</x:v>
      </x:c>
      <x:c r="F2946" s="66" t="n">
        <x:f>IF(E2946=0,0,D2946/E2946*10000)</x:f>
        <x:v>0.004523863379325944</x:v>
      </x:c>
      <x:c r="G2946" s="67" t="n">
        <x:f>VLOOKUP(C2946,'Governorate Master'!$A$2:$Q$13,7,FALSE)</x:f>
        <x:v>1406.4</x:v>
      </x:c>
      <x:c r="H2946" s="20" t="n">
        <x:f>VLOOKUP(C2946,'Governorate Master'!$A$2:$Q$13,6,FALSE)</x:f>
        <x:v>0.9235014702555983</x:v>
      </x:c>
      <x:c r="I2946" s="20" t="n">
        <x:f>VLOOKUP(C2946,'Governorate Master'!$A$2:$Q$13,15,FALSE)</x:f>
        <x:v>0.07086922474549726</x:v>
      </x:c>
      <x:c r="J2946" s="12" t="str">
        <x:v>Location model input - competition/saturation context</x:v>
      </x:c>
      <x:c r="K2946" s="12" t="str">
        <x:v>Business count is from 2018 while population/context indicators are newer; use as a historical proxy, not a current market count.</x:v>
      </x:c>
    </x:row>
    <x:row r="2947">
      <x:c r="A2947" s="12" t="str">
        <x:v>7820</x:v>
      </x:c>
      <x:c r="B2947" s="12" t="str">
        <x:v>Temporary employment agency activities</x:v>
      </x:c>
      <x:c r="C2947" s="12" t="str">
        <x:v>المفرق</x:v>
      </x:c>
      <x:c r="D2947" s="14" t="n">
        <x:v>0</x:v>
      </x:c>
      <x:c r="E2947" s="14" t="n">
        <x:f>VLOOKUP(C2947,'Governorate Master'!$A$2:$Q$13,3,FALSE)</x:f>
        <x:v>686800</x:v>
      </x:c>
      <x:c r="F2947" s="66" t="n">
        <x:f>IF(E2947=0,0,D2947/E2947*10000)</x:f>
        <x:v>0</x:v>
      </x:c>
      <x:c r="G2947" s="67" t="n">
        <x:f>VLOOKUP(C2947,'Governorate Master'!$A$2:$Q$13,7,FALSE)</x:f>
        <x:v>25.9</x:v>
      </x:c>
      <x:c r="H2947" s="20" t="n">
        <x:f>VLOOKUP(C2947,'Governorate Master'!$A$2:$Q$13,6,FALSE)</x:f>
        <x:v>0.6965637740244612</x:v>
      </x:c>
      <x:c r="I2947" s="20" t="n">
        <x:f>VLOOKUP(C2947,'Governorate Master'!$A$2:$Q$13,15,FALSE)</x:f>
        <x:v>-0.016638935108153077</x:v>
      </x:c>
      <x:c r="J2947" s="12" t="str">
        <x:v>Location model input - competition/saturation context</x:v>
      </x:c>
      <x:c r="K2947" s="12" t="str">
        <x:v>Business count is from 2018 while population/context indicators are newer; use as a historical proxy, not a current market count.</x:v>
      </x:c>
    </x:row>
    <x:row r="2948">
      <x:c r="A2948" s="12" t="str">
        <x:v>7820</x:v>
      </x:c>
      <x:c r="B2948" s="12" t="str">
        <x:v>Temporary employment agency activities</x:v>
      </x:c>
      <x:c r="C2948" s="12" t="str">
        <x:v>جرش</x:v>
      </x:c>
      <x:c r="D2948" s="14" t="n">
        <x:v>0</x:v>
      </x:c>
      <x:c r="E2948" s="14" t="n">
        <x:f>VLOOKUP(C2948,'Governorate Master'!$A$2:$Q$13,3,FALSE)</x:f>
        <x:v>296000</x:v>
      </x:c>
      <x:c r="F2948" s="66" t="n">
        <x:f>IF(E2948=0,0,D2948/E2948*10000)</x:f>
        <x:v>0</x:v>
      </x:c>
      <x:c r="G2948" s="67" t="n">
        <x:f>VLOOKUP(C2948,'Governorate Master'!$A$2:$Q$13,7,FALSE)</x:f>
        <x:v>722.3</x:v>
      </x:c>
      <x:c r="H2948" s="20" t="n">
        <x:f>VLOOKUP(C2948,'Governorate Master'!$A$2:$Q$13,6,FALSE)</x:f>
        <x:v>0.7695945945945946</x:v>
      </x:c>
      <x:c r="I2948" s="20" t="n">
        <x:f>VLOOKUP(C2948,'Governorate Master'!$A$2:$Q$13,15,FALSE)</x:f>
        <x:v>-0.06527415143603134</x:v>
      </x:c>
      <x:c r="J2948" s="12" t="str">
        <x:v>Location model input - competition/saturation context</x:v>
      </x:c>
      <x:c r="K2948" s="12" t="str">
        <x:v>Business count is from 2018 while population/context indicators are newer; use as a historical proxy, not a current market count.</x:v>
      </x:c>
    </x:row>
    <x:row r="2949">
      <x:c r="A2949" s="12" t="str">
        <x:v>7820</x:v>
      </x:c>
      <x:c r="B2949" s="12" t="str">
        <x:v>Temporary employment agency activities</x:v>
      </x:c>
      <x:c r="C2949" s="12" t="str">
        <x:v>عجلون</x:v>
      </x:c>
      <x:c r="D2949" s="14" t="n">
        <x:v>0</x:v>
      </x:c>
      <x:c r="E2949" s="14" t="n">
        <x:f>VLOOKUP(C2949,'Governorate Master'!$A$2:$Q$13,3,FALSE)</x:f>
        <x:v>219900</x:v>
      </x:c>
      <x:c r="F2949" s="66" t="n">
        <x:f>IF(E2949=0,0,D2949/E2949*10000)</x:f>
        <x:v>0</x:v>
      </x:c>
      <x:c r="G2949" s="67" t="n">
        <x:f>VLOOKUP(C2949,'Governorate Master'!$A$2:$Q$13,7,FALSE)</x:f>
        <x:v>524</x:v>
      </x:c>
      <x:c r="H2949" s="20" t="n">
        <x:f>VLOOKUP(C2949,'Governorate Master'!$A$2:$Q$13,6,FALSE)</x:f>
        <x:v>0.8390177353342428</x:v>
      </x:c>
      <x:c r="I2949" s="20" t="n">
        <x:f>VLOOKUP(C2949,'Governorate Master'!$A$2:$Q$13,15,FALSE)</x:f>
        <x:v>0.03614457831325301</x:v>
      </x:c>
      <x:c r="J2949" s="12" t="str">
        <x:v>Location model input - competition/saturation context</x:v>
      </x:c>
      <x:c r="K2949" s="12" t="str">
        <x:v>Business count is from 2018 while population/context indicators are newer; use as a historical proxy, not a current market count.</x:v>
      </x:c>
    </x:row>
    <x:row r="2950">
      <x:c r="A2950" s="12" t="str">
        <x:v>7820</x:v>
      </x:c>
      <x:c r="B2950" s="12" t="str">
        <x:v>Temporary employment agency activities</x:v>
      </x:c>
      <x:c r="C2950" s="12" t="str">
        <x:v>الكرك</x:v>
      </x:c>
      <x:c r="D2950" s="14" t="n">
        <x:v>0</x:v>
      </x:c>
      <x:c r="E2950" s="14" t="n">
        <x:f>VLOOKUP(C2950,'Governorate Master'!$A$2:$Q$13,3,FALSE)</x:f>
        <x:v>395400</x:v>
      </x:c>
      <x:c r="F2950" s="66" t="n">
        <x:f>IF(E2950=0,0,D2950/E2950*10000)</x:f>
        <x:v>0</x:v>
      </x:c>
      <x:c r="G2950" s="67" t="n">
        <x:f>VLOOKUP(C2950,'Governorate Master'!$A$2:$Q$13,7,FALSE)</x:f>
        <x:v>113.1</x:v>
      </x:c>
      <x:c r="H2950" s="20" t="n">
        <x:f>VLOOKUP(C2950,'Governorate Master'!$A$2:$Q$13,6,FALSE)</x:f>
        <x:v>0.5912999494183105</x:v>
      </x:c>
      <x:c r="I2950" s="20" t="n">
        <x:f>VLOOKUP(C2950,'Governorate Master'!$A$2:$Q$13,15,FALSE)</x:f>
        <x:v>0.08710801393728224</x:v>
      </x:c>
      <x:c r="J2950" s="12" t="str">
        <x:v>Location model input - competition/saturation context</x:v>
      </x:c>
      <x:c r="K2950" s="12" t="str">
        <x:v>Business count is from 2018 while population/context indicators are newer; use as a historical proxy, not a current market count.</x:v>
      </x:c>
    </x:row>
    <x:row r="2951">
      <x:c r="A2951" s="12" t="str">
        <x:v>7820</x:v>
      </x:c>
      <x:c r="B2951" s="12" t="str">
        <x:v>Temporary employment agency activities</x:v>
      </x:c>
      <x:c r="C2951" s="12" t="str">
        <x:v>الطفيلة</x:v>
      </x:c>
      <x:c r="D2951" s="14" t="n">
        <x:v>0</x:v>
      </x:c>
      <x:c r="E2951" s="14" t="n">
        <x:f>VLOOKUP(C2951,'Governorate Master'!$A$2:$Q$13,3,FALSE)</x:f>
        <x:v>120300</x:v>
      </x:c>
      <x:c r="F2951" s="66" t="n">
        <x:f>IF(E2951=0,0,D2951/E2951*10000)</x:f>
        <x:v>0</x:v>
      </x:c>
      <x:c r="G2951" s="67" t="n">
        <x:f>VLOOKUP(C2951,'Governorate Master'!$A$2:$Q$13,7,FALSE)</x:f>
        <x:v>54.4</x:v>
      </x:c>
      <x:c r="H2951" s="20" t="n">
        <x:f>VLOOKUP(C2951,'Governorate Master'!$A$2:$Q$13,6,FALSE)</x:f>
        <x:v>0.7797173732335827</x:v>
      </x:c>
      <x:c r="I2951" s="20" t="n">
        <x:f>VLOOKUP(C2951,'Governorate Master'!$A$2:$Q$13,15,FALSE)</x:f>
        <x:v>0.18452380952380953</x:v>
      </x:c>
      <x:c r="J2951" s="12" t="str">
        <x:v>Location model input - competition/saturation context</x:v>
      </x:c>
      <x:c r="K2951" s="12" t="str">
        <x:v>Business count is from 2018 while population/context indicators are newer; use as a historical proxy, not a current market count.</x:v>
      </x:c>
    </x:row>
    <x:row r="2952">
      <x:c r="A2952" s="12" t="str">
        <x:v>7820</x:v>
      </x:c>
      <x:c r="B2952" s="12" t="str">
        <x:v>Temporary employment agency activities</x:v>
      </x:c>
      <x:c r="C2952" s="12" t="str">
        <x:v>معان</x:v>
      </x:c>
      <x:c r="D2952" s="14" t="n">
        <x:v>0</x:v>
      </x:c>
      <x:c r="E2952" s="14" t="n">
        <x:f>VLOOKUP(C2952,'Governorate Master'!$A$2:$Q$13,3,FALSE)</x:f>
        <x:v>197900</x:v>
      </x:c>
      <x:c r="F2952" s="66" t="n">
        <x:f>IF(E2952=0,0,D2952/E2952*10000)</x:f>
        <x:v>0</x:v>
      </x:c>
      <x:c r="G2952" s="67" t="n">
        <x:f>VLOOKUP(C2952,'Governorate Master'!$A$2:$Q$13,7,FALSE)</x:f>
        <x:v>6</x:v>
      </x:c>
      <x:c r="H2952" s="20" t="n">
        <x:f>VLOOKUP(C2952,'Governorate Master'!$A$2:$Q$13,6,FALSE)</x:f>
        <x:v>0.5406771096513391</x:v>
      </x:c>
      <x:c r="I2952" s="20" t="n">
        <x:f>VLOOKUP(C2952,'Governorate Master'!$A$2:$Q$13,15,FALSE)</x:f>
        <x:v>0.026845637583892617</x:v>
      </x:c>
      <x:c r="J2952" s="12" t="str">
        <x:v>Location model input - competition/saturation context</x:v>
      </x:c>
      <x:c r="K2952" s="12" t="str">
        <x:v>Business count is from 2018 while population/context indicators are newer; use as a historical proxy, not a current market count.</x:v>
      </x:c>
    </x:row>
    <x:row r="2953">
      <x:c r="A2953" s="12" t="str">
        <x:v>7820</x:v>
      </x:c>
      <x:c r="B2953" s="12" t="str">
        <x:v>Temporary employment agency activities</x:v>
      </x:c>
      <x:c r="C2953" s="12" t="str">
        <x:v>العقبة</x:v>
      </x:c>
      <x:c r="D2953" s="14" t="n">
        <x:v>1</x:v>
      </x:c>
      <x:c r="E2953" s="14" t="n">
        <x:f>VLOOKUP(C2953,'Governorate Master'!$A$2:$Q$13,3,FALSE)</x:f>
        <x:v>250900</x:v>
      </x:c>
      <x:c r="F2953" s="66" t="n">
        <x:f>IF(E2953=0,0,D2953/E2953*10000)</x:f>
        <x:v>0.03985651654045436</x:v>
      </x:c>
      <x:c r="G2953" s="67" t="n">
        <x:f>VLOOKUP(C2953,'Governorate Master'!$A$2:$Q$13,7,FALSE)</x:f>
        <x:v>36.3</x:v>
      </x:c>
      <x:c r="H2953" s="20" t="n">
        <x:f>VLOOKUP(C2953,'Governorate Master'!$A$2:$Q$13,6,FALSE)</x:f>
        <x:v>0.882024711040255</x:v>
      </x:c>
      <x:c r="I2953" s="20" t="n">
        <x:f>VLOOKUP(C2953,'Governorate Master'!$A$2:$Q$13,15,FALSE)</x:f>
        <x:v>-0.09</x:v>
      </x:c>
      <x:c r="J2953" s="12" t="str">
        <x:v>Location model input - competition/saturation context</x:v>
      </x:c>
      <x:c r="K2953" s="12" t="str">
        <x:v>Business count is from 2018 while population/context indicators are newer; use as a historical proxy, not a current market count.</x:v>
      </x:c>
    </x:row>
    <x:row r="2954">
      <x:c r="A2954" s="12" t="str">
        <x:v>7830</x:v>
      </x:c>
      <x:c r="B2954" s="12" t="str">
        <x:v>Other human resources provision</x:v>
      </x:c>
      <x:c r="C2954" s="12" t="str">
        <x:v>عمان</x:v>
      </x:c>
      <x:c r="D2954" s="14" t="n">
        <x:v>4</x:v>
      </x:c>
      <x:c r="E2954" s="14" t="n">
        <x:f>VLOOKUP(C2954,'Governorate Master'!$A$2:$Q$13,3,FALSE)</x:f>
        <x:v>5004600</x:v>
      </x:c>
      <x:c r="F2954" s="66" t="n">
        <x:f>IF(E2954=0,0,D2954/E2954*10000)</x:f>
        <x:v>0.007992646764976222</x:v>
      </x:c>
      <x:c r="G2954" s="67" t="n">
        <x:f>VLOOKUP(C2954,'Governorate Master'!$A$2:$Q$13,7,FALSE)</x:f>
        <x:v>660.3</x:v>
      </x:c>
      <x:c r="H2954" s="20" t="n">
        <x:f>VLOOKUP(C2954,'Governorate Master'!$A$2:$Q$13,6,FALSE)</x:f>
        <x:v>0.9721656076409703</x:v>
      </x:c>
      <x:c r="I2954" s="20" t="n">
        <x:f>VLOOKUP(C2954,'Governorate Master'!$A$2:$Q$13,15,FALSE)</x:f>
        <x:v>0.06367041198501873</x:v>
      </x:c>
      <x:c r="J2954" s="12" t="str">
        <x:v>Location model input - competition/saturation context</x:v>
      </x:c>
      <x:c r="K2954" s="12" t="str">
        <x:v>Business count is from 2018 while population/context indicators are newer; use as a historical proxy, not a current market count.</x:v>
      </x:c>
    </x:row>
    <x:row r="2955">
      <x:c r="A2955" s="12" t="str">
        <x:v>7830</x:v>
      </x:c>
      <x:c r="B2955" s="12" t="str">
        <x:v>Other human resources provision</x:v>
      </x:c>
      <x:c r="C2955" s="12" t="str">
        <x:v>البلقاء</x:v>
      </x:c>
      <x:c r="D2955" s="14" t="n">
        <x:v>0</x:v>
      </x:c>
      <x:c r="E2955" s="14" t="n">
        <x:f>VLOOKUP(C2955,'Governorate Master'!$A$2:$Q$13,3,FALSE)</x:f>
        <x:v>614000</x:v>
      </x:c>
      <x:c r="F2955" s="66" t="n">
        <x:f>IF(E2955=0,0,D2955/E2955*10000)</x:f>
        <x:v>0</x:v>
      </x:c>
      <x:c r="G2955" s="67" t="n">
        <x:f>VLOOKUP(C2955,'Governorate Master'!$A$2:$Q$13,7,FALSE)</x:f>
        <x:v>548</x:v>
      </x:c>
      <x:c r="H2955" s="20" t="n">
        <x:f>VLOOKUP(C2955,'Governorate Master'!$A$2:$Q$13,6,FALSE)</x:f>
        <x:v>0.8210097719869707</x:v>
      </x:c>
      <x:c r="I2955" s="20" t="n">
        <x:f>VLOOKUP(C2955,'Governorate Master'!$A$2:$Q$13,15,FALSE)</x:f>
        <x:v>0.10794044665012408</x:v>
      </x:c>
      <x:c r="J2955" s="12" t="str">
        <x:v>Location model input - competition/saturation context</x:v>
      </x:c>
      <x:c r="K2955" s="12" t="str">
        <x:v>Business count is from 2018 while population/context indicators are newer; use as a historical proxy, not a current market count.</x:v>
      </x:c>
    </x:row>
    <x:row r="2956">
      <x:c r="A2956" s="12" t="str">
        <x:v>7830</x:v>
      </x:c>
      <x:c r="B2956" s="12" t="str">
        <x:v>Other human resources provision</x:v>
      </x:c>
      <x:c r="C2956" s="12" t="str">
        <x:v>الزرقاء</x:v>
      </x:c>
      <x:c r="D2956" s="14" t="n">
        <x:v>0</x:v>
      </x:c>
      <x:c r="E2956" s="14" t="n">
        <x:f>VLOOKUP(C2956,'Governorate Master'!$A$2:$Q$13,3,FALSE)</x:f>
        <x:v>1704500</x:v>
      </x:c>
      <x:c r="F2956" s="66" t="n">
        <x:f>IF(E2956=0,0,D2956/E2956*10000)</x:f>
        <x:v>0</x:v>
      </x:c>
      <x:c r="G2956" s="67" t="n">
        <x:f>VLOOKUP(C2956,'Governorate Master'!$A$2:$Q$13,7,FALSE)</x:f>
        <x:v>358</x:v>
      </x:c>
      <x:c r="H2956" s="20" t="n">
        <x:f>VLOOKUP(C2956,'Governorate Master'!$A$2:$Q$13,6,FALSE)</x:f>
        <x:v>0.9636256966852449</x:v>
      </x:c>
      <x:c r="I2956" s="20" t="n">
        <x:f>VLOOKUP(C2956,'Governorate Master'!$A$2:$Q$13,15,FALSE)</x:f>
        <x:v>-0.06808762581409118</x:v>
      </x:c>
      <x:c r="J2956" s="12" t="str">
        <x:v>Location model input - competition/saturation context</x:v>
      </x:c>
      <x:c r="K2956" s="12" t="str">
        <x:v>Business count is from 2018 while population/context indicators are newer; use as a historical proxy, not a current market count.</x:v>
      </x:c>
    </x:row>
    <x:row r="2957">
      <x:c r="A2957" s="12" t="str">
        <x:v>7830</x:v>
      </x:c>
      <x:c r="B2957" s="12" t="str">
        <x:v>Other human resources provision</x:v>
      </x:c>
      <x:c r="C2957" s="12" t="str">
        <x:v>مادبا</x:v>
      </x:c>
      <x:c r="D2957" s="14" t="n">
        <x:v>0</x:v>
      </x:c>
      <x:c r="E2957" s="14" t="n">
        <x:f>VLOOKUP(C2957,'Governorate Master'!$A$2:$Q$13,3,FALSE)</x:f>
        <x:v>236200</x:v>
      </x:c>
      <x:c r="F2957" s="66" t="n">
        <x:f>IF(E2957=0,0,D2957/E2957*10000)</x:f>
        <x:v>0</x:v>
      </x:c>
      <x:c r="G2957" s="67" t="n">
        <x:f>VLOOKUP(C2957,'Governorate Master'!$A$2:$Q$13,7,FALSE)</x:f>
        <x:v>251.4</x:v>
      </x:c>
      <x:c r="H2957" s="20" t="n">
        <x:f>VLOOKUP(C2957,'Governorate Master'!$A$2:$Q$13,6,FALSE)</x:f>
        <x:v>0.7823878069432684</x:v>
      </x:c>
      <x:c r="I2957" s="20" t="n">
        <x:f>VLOOKUP(C2957,'Governorate Master'!$A$2:$Q$13,15,FALSE)</x:f>
        <x:v>-0.18823529411764706</x:v>
      </x:c>
      <x:c r="J2957" s="12" t="str">
        <x:v>Location model input - competition/saturation context</x:v>
      </x:c>
      <x:c r="K2957" s="12" t="str">
        <x:v>Business count is from 2018 while population/context indicators are newer; use as a historical proxy, not a current market count.</x:v>
      </x:c>
    </x:row>
    <x:row r="2958">
      <x:c r="A2958" s="12" t="str">
        <x:v>7830</x:v>
      </x:c>
      <x:c r="B2958" s="12" t="str">
        <x:v>Other human resources provision</x:v>
      </x:c>
      <x:c r="C2958" s="12" t="str">
        <x:v>إربد</x:v>
      </x:c>
      <x:c r="D2958" s="14" t="n">
        <x:v>1</x:v>
      </x:c>
      <x:c r="E2958" s="14" t="n">
        <x:f>VLOOKUP(C2958,'Governorate Master'!$A$2:$Q$13,3,FALSE)</x:f>
        <x:v>2210500</x:v>
      </x:c>
      <x:c r="F2958" s="66" t="n">
        <x:f>IF(E2958=0,0,D2958/E2958*10000)</x:f>
        <x:v>0.004523863379325944</x:v>
      </x:c>
      <x:c r="G2958" s="67" t="n">
        <x:f>VLOOKUP(C2958,'Governorate Master'!$A$2:$Q$13,7,FALSE)</x:f>
        <x:v>1406.4</x:v>
      </x:c>
      <x:c r="H2958" s="20" t="n">
        <x:f>VLOOKUP(C2958,'Governorate Master'!$A$2:$Q$13,6,FALSE)</x:f>
        <x:v>0.9235014702555983</x:v>
      </x:c>
      <x:c r="I2958" s="20" t="n">
        <x:f>VLOOKUP(C2958,'Governorate Master'!$A$2:$Q$13,15,FALSE)</x:f>
        <x:v>0.07086922474549726</x:v>
      </x:c>
      <x:c r="J2958" s="12" t="str">
        <x:v>Location model input - competition/saturation context</x:v>
      </x:c>
      <x:c r="K2958" s="12" t="str">
        <x:v>Business count is from 2018 while population/context indicators are newer; use as a historical proxy, not a current market count.</x:v>
      </x:c>
    </x:row>
    <x:row r="2959">
      <x:c r="A2959" s="12" t="str">
        <x:v>7830</x:v>
      </x:c>
      <x:c r="B2959" s="12" t="str">
        <x:v>Other human resources provision</x:v>
      </x:c>
      <x:c r="C2959" s="12" t="str">
        <x:v>المفرق</x:v>
      </x:c>
      <x:c r="D2959" s="14" t="n">
        <x:v>0</x:v>
      </x:c>
      <x:c r="E2959" s="14" t="n">
        <x:f>VLOOKUP(C2959,'Governorate Master'!$A$2:$Q$13,3,FALSE)</x:f>
        <x:v>686800</x:v>
      </x:c>
      <x:c r="F2959" s="66" t="n">
        <x:f>IF(E2959=0,0,D2959/E2959*10000)</x:f>
        <x:v>0</x:v>
      </x:c>
      <x:c r="G2959" s="67" t="n">
        <x:f>VLOOKUP(C2959,'Governorate Master'!$A$2:$Q$13,7,FALSE)</x:f>
        <x:v>25.9</x:v>
      </x:c>
      <x:c r="H2959" s="20" t="n">
        <x:f>VLOOKUP(C2959,'Governorate Master'!$A$2:$Q$13,6,FALSE)</x:f>
        <x:v>0.6965637740244612</x:v>
      </x:c>
      <x:c r="I2959" s="20" t="n">
        <x:f>VLOOKUP(C2959,'Governorate Master'!$A$2:$Q$13,15,FALSE)</x:f>
        <x:v>-0.016638935108153077</x:v>
      </x:c>
      <x:c r="J2959" s="12" t="str">
        <x:v>Location model input - competition/saturation context</x:v>
      </x:c>
      <x:c r="K2959" s="12" t="str">
        <x:v>Business count is from 2018 while population/context indicators are newer; use as a historical proxy, not a current market count.</x:v>
      </x:c>
    </x:row>
    <x:row r="2960">
      <x:c r="A2960" s="12" t="str">
        <x:v>7830</x:v>
      </x:c>
      <x:c r="B2960" s="12" t="str">
        <x:v>Other human resources provision</x:v>
      </x:c>
      <x:c r="C2960" s="12" t="str">
        <x:v>جرش</x:v>
      </x:c>
      <x:c r="D2960" s="14" t="n">
        <x:v>0</x:v>
      </x:c>
      <x:c r="E2960" s="14" t="n">
        <x:f>VLOOKUP(C2960,'Governorate Master'!$A$2:$Q$13,3,FALSE)</x:f>
        <x:v>296000</x:v>
      </x:c>
      <x:c r="F2960" s="66" t="n">
        <x:f>IF(E2960=0,0,D2960/E2960*10000)</x:f>
        <x:v>0</x:v>
      </x:c>
      <x:c r="G2960" s="67" t="n">
        <x:f>VLOOKUP(C2960,'Governorate Master'!$A$2:$Q$13,7,FALSE)</x:f>
        <x:v>722.3</x:v>
      </x:c>
      <x:c r="H2960" s="20" t="n">
        <x:f>VLOOKUP(C2960,'Governorate Master'!$A$2:$Q$13,6,FALSE)</x:f>
        <x:v>0.7695945945945946</x:v>
      </x:c>
      <x:c r="I2960" s="20" t="n">
        <x:f>VLOOKUP(C2960,'Governorate Master'!$A$2:$Q$13,15,FALSE)</x:f>
        <x:v>-0.06527415143603134</x:v>
      </x:c>
      <x:c r="J2960" s="12" t="str">
        <x:v>Location model input - competition/saturation context</x:v>
      </x:c>
      <x:c r="K2960" s="12" t="str">
        <x:v>Business count is from 2018 while population/context indicators are newer; use as a historical proxy, not a current market count.</x:v>
      </x:c>
    </x:row>
    <x:row r="2961">
      <x:c r="A2961" s="12" t="str">
        <x:v>7830</x:v>
      </x:c>
      <x:c r="B2961" s="12" t="str">
        <x:v>Other human resources provision</x:v>
      </x:c>
      <x:c r="C2961" s="12" t="str">
        <x:v>عجلون</x:v>
      </x:c>
      <x:c r="D2961" s="14" t="n">
        <x:v>0</x:v>
      </x:c>
      <x:c r="E2961" s="14" t="n">
        <x:f>VLOOKUP(C2961,'Governorate Master'!$A$2:$Q$13,3,FALSE)</x:f>
        <x:v>219900</x:v>
      </x:c>
      <x:c r="F2961" s="66" t="n">
        <x:f>IF(E2961=0,0,D2961/E2961*10000)</x:f>
        <x:v>0</x:v>
      </x:c>
      <x:c r="G2961" s="67" t="n">
        <x:f>VLOOKUP(C2961,'Governorate Master'!$A$2:$Q$13,7,FALSE)</x:f>
        <x:v>524</x:v>
      </x:c>
      <x:c r="H2961" s="20" t="n">
        <x:f>VLOOKUP(C2961,'Governorate Master'!$A$2:$Q$13,6,FALSE)</x:f>
        <x:v>0.8390177353342428</x:v>
      </x:c>
      <x:c r="I2961" s="20" t="n">
        <x:f>VLOOKUP(C2961,'Governorate Master'!$A$2:$Q$13,15,FALSE)</x:f>
        <x:v>0.03614457831325301</x:v>
      </x:c>
      <x:c r="J2961" s="12" t="str">
        <x:v>Location model input - competition/saturation context</x:v>
      </x:c>
      <x:c r="K2961" s="12" t="str">
        <x:v>Business count is from 2018 while population/context indicators are newer; use as a historical proxy, not a current market count.</x:v>
      </x:c>
    </x:row>
    <x:row r="2962">
      <x:c r="A2962" s="12" t="str">
        <x:v>7830</x:v>
      </x:c>
      <x:c r="B2962" s="12" t="str">
        <x:v>Other human resources provision</x:v>
      </x:c>
      <x:c r="C2962" s="12" t="str">
        <x:v>الكرك</x:v>
      </x:c>
      <x:c r="D2962" s="14" t="n">
        <x:v>0</x:v>
      </x:c>
      <x:c r="E2962" s="14" t="n">
        <x:f>VLOOKUP(C2962,'Governorate Master'!$A$2:$Q$13,3,FALSE)</x:f>
        <x:v>395400</x:v>
      </x:c>
      <x:c r="F2962" s="66" t="n">
        <x:f>IF(E2962=0,0,D2962/E2962*10000)</x:f>
        <x:v>0</x:v>
      </x:c>
      <x:c r="G2962" s="67" t="n">
        <x:f>VLOOKUP(C2962,'Governorate Master'!$A$2:$Q$13,7,FALSE)</x:f>
        <x:v>113.1</x:v>
      </x:c>
      <x:c r="H2962" s="20" t="n">
        <x:f>VLOOKUP(C2962,'Governorate Master'!$A$2:$Q$13,6,FALSE)</x:f>
        <x:v>0.5912999494183105</x:v>
      </x:c>
      <x:c r="I2962" s="20" t="n">
        <x:f>VLOOKUP(C2962,'Governorate Master'!$A$2:$Q$13,15,FALSE)</x:f>
        <x:v>0.08710801393728224</x:v>
      </x:c>
      <x:c r="J2962" s="12" t="str">
        <x:v>Location model input - competition/saturation context</x:v>
      </x:c>
      <x:c r="K2962" s="12" t="str">
        <x:v>Business count is from 2018 while population/context indicators are newer; use as a historical proxy, not a current market count.</x:v>
      </x:c>
    </x:row>
    <x:row r="2963">
      <x:c r="A2963" s="12" t="str">
        <x:v>7830</x:v>
      </x:c>
      <x:c r="B2963" s="12" t="str">
        <x:v>Other human resources provision</x:v>
      </x:c>
      <x:c r="C2963" s="12" t="str">
        <x:v>الطفيلة</x:v>
      </x:c>
      <x:c r="D2963" s="14" t="n">
        <x:v>0</x:v>
      </x:c>
      <x:c r="E2963" s="14" t="n">
        <x:f>VLOOKUP(C2963,'Governorate Master'!$A$2:$Q$13,3,FALSE)</x:f>
        <x:v>120300</x:v>
      </x:c>
      <x:c r="F2963" s="66" t="n">
        <x:f>IF(E2963=0,0,D2963/E2963*10000)</x:f>
        <x:v>0</x:v>
      </x:c>
      <x:c r="G2963" s="67" t="n">
        <x:f>VLOOKUP(C2963,'Governorate Master'!$A$2:$Q$13,7,FALSE)</x:f>
        <x:v>54.4</x:v>
      </x:c>
      <x:c r="H2963" s="20" t="n">
        <x:f>VLOOKUP(C2963,'Governorate Master'!$A$2:$Q$13,6,FALSE)</x:f>
        <x:v>0.7797173732335827</x:v>
      </x:c>
      <x:c r="I2963" s="20" t="n">
        <x:f>VLOOKUP(C2963,'Governorate Master'!$A$2:$Q$13,15,FALSE)</x:f>
        <x:v>0.18452380952380953</x:v>
      </x:c>
      <x:c r="J2963" s="12" t="str">
        <x:v>Location model input - competition/saturation context</x:v>
      </x:c>
      <x:c r="K2963" s="12" t="str">
        <x:v>Business count is from 2018 while population/context indicators are newer; use as a historical proxy, not a current market count.</x:v>
      </x:c>
    </x:row>
    <x:row r="2964">
      <x:c r="A2964" s="12" t="str">
        <x:v>7830</x:v>
      </x:c>
      <x:c r="B2964" s="12" t="str">
        <x:v>Other human resources provision</x:v>
      </x:c>
      <x:c r="C2964" s="12" t="str">
        <x:v>معان</x:v>
      </x:c>
      <x:c r="D2964" s="14" t="n">
        <x:v>1</x:v>
      </x:c>
      <x:c r="E2964" s="14" t="n">
        <x:f>VLOOKUP(C2964,'Governorate Master'!$A$2:$Q$13,3,FALSE)</x:f>
        <x:v>197900</x:v>
      </x:c>
      <x:c r="F2964" s="66" t="n">
        <x:f>IF(E2964=0,0,D2964/E2964*10000)</x:f>
        <x:v>0.05053057099545225</x:v>
      </x:c>
      <x:c r="G2964" s="67" t="n">
        <x:f>VLOOKUP(C2964,'Governorate Master'!$A$2:$Q$13,7,FALSE)</x:f>
        <x:v>6</x:v>
      </x:c>
      <x:c r="H2964" s="20" t="n">
        <x:f>VLOOKUP(C2964,'Governorate Master'!$A$2:$Q$13,6,FALSE)</x:f>
        <x:v>0.5406771096513391</x:v>
      </x:c>
      <x:c r="I2964" s="20" t="n">
        <x:f>VLOOKUP(C2964,'Governorate Master'!$A$2:$Q$13,15,FALSE)</x:f>
        <x:v>0.026845637583892617</x:v>
      </x:c>
      <x:c r="J2964" s="12" t="str">
        <x:v>Location model input - competition/saturation context</x:v>
      </x:c>
      <x:c r="K2964" s="12" t="str">
        <x:v>Business count is from 2018 while population/context indicators are newer; use as a historical proxy, not a current market count.</x:v>
      </x:c>
    </x:row>
    <x:row r="2965">
      <x:c r="A2965" s="12" t="str">
        <x:v>7830</x:v>
      </x:c>
      <x:c r="B2965" s="12" t="str">
        <x:v>Other human resources provision</x:v>
      </x:c>
      <x:c r="C2965" s="12" t="str">
        <x:v>العقبة</x:v>
      </x:c>
      <x:c r="D2965" s="14" t="n">
        <x:v>0</x:v>
      </x:c>
      <x:c r="E2965" s="14" t="n">
        <x:f>VLOOKUP(C2965,'Governorate Master'!$A$2:$Q$13,3,FALSE)</x:f>
        <x:v>250900</x:v>
      </x:c>
      <x:c r="F2965" s="66" t="n">
        <x:f>IF(E2965=0,0,D2965/E2965*10000)</x:f>
        <x:v>0</x:v>
      </x:c>
      <x:c r="G2965" s="67" t="n">
        <x:f>VLOOKUP(C2965,'Governorate Master'!$A$2:$Q$13,7,FALSE)</x:f>
        <x:v>36.3</x:v>
      </x:c>
      <x:c r="H2965" s="20" t="n">
        <x:f>VLOOKUP(C2965,'Governorate Master'!$A$2:$Q$13,6,FALSE)</x:f>
        <x:v>0.882024711040255</x:v>
      </x:c>
      <x:c r="I2965" s="20" t="n">
        <x:f>VLOOKUP(C2965,'Governorate Master'!$A$2:$Q$13,15,FALSE)</x:f>
        <x:v>-0.09</x:v>
      </x:c>
      <x:c r="J2965" s="12" t="str">
        <x:v>Location model input - competition/saturation context</x:v>
      </x:c>
      <x:c r="K2965" s="12" t="str">
        <x:v>Business count is from 2018 while population/context indicators are newer; use as a historical proxy, not a current market count.</x:v>
      </x:c>
    </x:row>
    <x:row r="2966">
      <x:c r="A2966" s="12" t="str">
        <x:v>7911</x:v>
      </x:c>
      <x:c r="B2966" s="12" t="str">
        <x:v>Travel agency activities</x:v>
      </x:c>
      <x:c r="C2966" s="12" t="str">
        <x:v>عمان</x:v>
      </x:c>
      <x:c r="D2966" s="14" t="n">
        <x:v>392</x:v>
      </x:c>
      <x:c r="E2966" s="14" t="n">
        <x:f>VLOOKUP(C2966,'Governorate Master'!$A$2:$Q$13,3,FALSE)</x:f>
        <x:v>5004600</x:v>
      </x:c>
      <x:c r="F2966" s="66" t="n">
        <x:f>IF(E2966=0,0,D2966/E2966*10000)</x:f>
        <x:v>0.7832793829676696</x:v>
      </x:c>
      <x:c r="G2966" s="67" t="n">
        <x:f>VLOOKUP(C2966,'Governorate Master'!$A$2:$Q$13,7,FALSE)</x:f>
        <x:v>660.3</x:v>
      </x:c>
      <x:c r="H2966" s="20" t="n">
        <x:f>VLOOKUP(C2966,'Governorate Master'!$A$2:$Q$13,6,FALSE)</x:f>
        <x:v>0.9721656076409703</x:v>
      </x:c>
      <x:c r="I2966" s="20" t="n">
        <x:f>VLOOKUP(C2966,'Governorate Master'!$A$2:$Q$13,15,FALSE)</x:f>
        <x:v>0.06367041198501873</x:v>
      </x:c>
      <x:c r="J2966" s="12" t="str">
        <x:v>Location model input - competition/saturation context</x:v>
      </x:c>
      <x:c r="K2966" s="12" t="str">
        <x:v>Business count is from 2018 while population/context indicators are newer; use as a historical proxy, not a current market count.</x:v>
      </x:c>
    </x:row>
    <x:row r="2967">
      <x:c r="A2967" s="12" t="str">
        <x:v>7911</x:v>
      </x:c>
      <x:c r="B2967" s="12" t="str">
        <x:v>Travel agency activities</x:v>
      </x:c>
      <x:c r="C2967" s="12" t="str">
        <x:v>البلقاء</x:v>
      </x:c>
      <x:c r="D2967" s="14" t="n">
        <x:v>11</x:v>
      </x:c>
      <x:c r="E2967" s="14" t="n">
        <x:f>VLOOKUP(C2967,'Governorate Master'!$A$2:$Q$13,3,FALSE)</x:f>
        <x:v>614000</x:v>
      </x:c>
      <x:c r="F2967" s="66" t="n">
        <x:f>IF(E2967=0,0,D2967/E2967*10000)</x:f>
        <x:v>0.1791530944625407</x:v>
      </x:c>
      <x:c r="G2967" s="67" t="n">
        <x:f>VLOOKUP(C2967,'Governorate Master'!$A$2:$Q$13,7,FALSE)</x:f>
        <x:v>548</x:v>
      </x:c>
      <x:c r="H2967" s="20" t="n">
        <x:f>VLOOKUP(C2967,'Governorate Master'!$A$2:$Q$13,6,FALSE)</x:f>
        <x:v>0.8210097719869707</x:v>
      </x:c>
      <x:c r="I2967" s="20" t="n">
        <x:f>VLOOKUP(C2967,'Governorate Master'!$A$2:$Q$13,15,FALSE)</x:f>
        <x:v>0.10794044665012408</x:v>
      </x:c>
      <x:c r="J2967" s="12" t="str">
        <x:v>Location model input - competition/saturation context</x:v>
      </x:c>
      <x:c r="K2967" s="12" t="str">
        <x:v>Business count is from 2018 while population/context indicators are newer; use as a historical proxy, not a current market count.</x:v>
      </x:c>
    </x:row>
    <x:row r="2968">
      <x:c r="A2968" s="12" t="str">
        <x:v>7911</x:v>
      </x:c>
      <x:c r="B2968" s="12" t="str">
        <x:v>Travel agency activities</x:v>
      </x:c>
      <x:c r="C2968" s="12" t="str">
        <x:v>الزرقاء</x:v>
      </x:c>
      <x:c r="D2968" s="14" t="n">
        <x:v>38</x:v>
      </x:c>
      <x:c r="E2968" s="14" t="n">
        <x:f>VLOOKUP(C2968,'Governorate Master'!$A$2:$Q$13,3,FALSE)</x:f>
        <x:v>1704500</x:v>
      </x:c>
      <x:c r="F2968" s="66" t="n">
        <x:f>IF(E2968=0,0,D2968/E2968*10000)</x:f>
        <x:v>0.22293927838075683</x:v>
      </x:c>
      <x:c r="G2968" s="67" t="n">
        <x:f>VLOOKUP(C2968,'Governorate Master'!$A$2:$Q$13,7,FALSE)</x:f>
        <x:v>358</x:v>
      </x:c>
      <x:c r="H2968" s="20" t="n">
        <x:f>VLOOKUP(C2968,'Governorate Master'!$A$2:$Q$13,6,FALSE)</x:f>
        <x:v>0.9636256966852449</x:v>
      </x:c>
      <x:c r="I2968" s="20" t="n">
        <x:f>VLOOKUP(C2968,'Governorate Master'!$A$2:$Q$13,15,FALSE)</x:f>
        <x:v>-0.06808762581409118</x:v>
      </x:c>
      <x:c r="J2968" s="12" t="str">
        <x:v>Location model input - competition/saturation context</x:v>
      </x:c>
      <x:c r="K2968" s="12" t="str">
        <x:v>Business count is from 2018 while population/context indicators are newer; use as a historical proxy, not a current market count.</x:v>
      </x:c>
    </x:row>
    <x:row r="2969">
      <x:c r="A2969" s="12" t="str">
        <x:v>7911</x:v>
      </x:c>
      <x:c r="B2969" s="12" t="str">
        <x:v>Travel agency activities</x:v>
      </x:c>
      <x:c r="C2969" s="12" t="str">
        <x:v>مادبا</x:v>
      </x:c>
      <x:c r="D2969" s="14" t="n">
        <x:v>3</x:v>
      </x:c>
      <x:c r="E2969" s="14" t="n">
        <x:f>VLOOKUP(C2969,'Governorate Master'!$A$2:$Q$13,3,FALSE)</x:f>
        <x:v>236200</x:v>
      </x:c>
      <x:c r="F2969" s="66" t="n">
        <x:f>IF(E2969=0,0,D2969/E2969*10000)</x:f>
        <x:v>0.12701100762066045</x:v>
      </x:c>
      <x:c r="G2969" s="67" t="n">
        <x:f>VLOOKUP(C2969,'Governorate Master'!$A$2:$Q$13,7,FALSE)</x:f>
        <x:v>251.4</x:v>
      </x:c>
      <x:c r="H2969" s="20" t="n">
        <x:f>VLOOKUP(C2969,'Governorate Master'!$A$2:$Q$13,6,FALSE)</x:f>
        <x:v>0.7823878069432684</x:v>
      </x:c>
      <x:c r="I2969" s="20" t="n">
        <x:f>VLOOKUP(C2969,'Governorate Master'!$A$2:$Q$13,15,FALSE)</x:f>
        <x:v>-0.18823529411764706</x:v>
      </x:c>
      <x:c r="J2969" s="12" t="str">
        <x:v>Location model input - competition/saturation context</x:v>
      </x:c>
      <x:c r="K2969" s="12" t="str">
        <x:v>Business count is from 2018 while population/context indicators are newer; use as a historical proxy, not a current market count.</x:v>
      </x:c>
    </x:row>
    <x:row r="2970">
      <x:c r="A2970" s="12" t="str">
        <x:v>7911</x:v>
      </x:c>
      <x:c r="B2970" s="12" t="str">
        <x:v>Travel agency activities</x:v>
      </x:c>
      <x:c r="C2970" s="12" t="str">
        <x:v>إربد</x:v>
      </x:c>
      <x:c r="D2970" s="14" t="n">
        <x:v>45</x:v>
      </x:c>
      <x:c r="E2970" s="14" t="n">
        <x:f>VLOOKUP(C2970,'Governorate Master'!$A$2:$Q$13,3,FALSE)</x:f>
        <x:v>2210500</x:v>
      </x:c>
      <x:c r="F2970" s="66" t="n">
        <x:f>IF(E2970=0,0,D2970/E2970*10000)</x:f>
        <x:v>0.2035738520696675</x:v>
      </x:c>
      <x:c r="G2970" s="67" t="n">
        <x:f>VLOOKUP(C2970,'Governorate Master'!$A$2:$Q$13,7,FALSE)</x:f>
        <x:v>1406.4</x:v>
      </x:c>
      <x:c r="H2970" s="20" t="n">
        <x:f>VLOOKUP(C2970,'Governorate Master'!$A$2:$Q$13,6,FALSE)</x:f>
        <x:v>0.9235014702555983</x:v>
      </x:c>
      <x:c r="I2970" s="20" t="n">
        <x:f>VLOOKUP(C2970,'Governorate Master'!$A$2:$Q$13,15,FALSE)</x:f>
        <x:v>0.07086922474549726</x:v>
      </x:c>
      <x:c r="J2970" s="12" t="str">
        <x:v>Location model input - competition/saturation context</x:v>
      </x:c>
      <x:c r="K2970" s="12" t="str">
        <x:v>Business count is from 2018 while population/context indicators are newer; use as a historical proxy, not a current market count.</x:v>
      </x:c>
    </x:row>
    <x:row r="2971">
      <x:c r="A2971" s="12" t="str">
        <x:v>7911</x:v>
      </x:c>
      <x:c r="B2971" s="12" t="str">
        <x:v>Travel agency activities</x:v>
      </x:c>
      <x:c r="C2971" s="12" t="str">
        <x:v>المفرق</x:v>
      </x:c>
      <x:c r="D2971" s="14" t="n">
        <x:v>2</x:v>
      </x:c>
      <x:c r="E2971" s="14" t="n">
        <x:f>VLOOKUP(C2971,'Governorate Master'!$A$2:$Q$13,3,FALSE)</x:f>
        <x:v>686800</x:v>
      </x:c>
      <x:c r="F2971" s="66" t="n">
        <x:f>IF(E2971=0,0,D2971/E2971*10000)</x:f>
        <x:v>0.029120559114735003</x:v>
      </x:c>
      <x:c r="G2971" s="67" t="n">
        <x:f>VLOOKUP(C2971,'Governorate Master'!$A$2:$Q$13,7,FALSE)</x:f>
        <x:v>25.9</x:v>
      </x:c>
      <x:c r="H2971" s="20" t="n">
        <x:f>VLOOKUP(C2971,'Governorate Master'!$A$2:$Q$13,6,FALSE)</x:f>
        <x:v>0.6965637740244612</x:v>
      </x:c>
      <x:c r="I2971" s="20" t="n">
        <x:f>VLOOKUP(C2971,'Governorate Master'!$A$2:$Q$13,15,FALSE)</x:f>
        <x:v>-0.016638935108153077</x:v>
      </x:c>
      <x:c r="J2971" s="12" t="str">
        <x:v>Location model input - competition/saturation context</x:v>
      </x:c>
      <x:c r="K2971" s="12" t="str">
        <x:v>Business count is from 2018 while population/context indicators are newer; use as a historical proxy, not a current market count.</x:v>
      </x:c>
    </x:row>
    <x:row r="2972">
      <x:c r="A2972" s="12" t="str">
        <x:v>7911</x:v>
      </x:c>
      <x:c r="B2972" s="12" t="str">
        <x:v>Travel agency activities</x:v>
      </x:c>
      <x:c r="C2972" s="12" t="str">
        <x:v>جرش</x:v>
      </x:c>
      <x:c r="D2972" s="14" t="n">
        <x:v>3</x:v>
      </x:c>
      <x:c r="E2972" s="14" t="n">
        <x:f>VLOOKUP(C2972,'Governorate Master'!$A$2:$Q$13,3,FALSE)</x:f>
        <x:v>296000</x:v>
      </x:c>
      <x:c r="F2972" s="66" t="n">
        <x:f>IF(E2972=0,0,D2972/E2972*10000)</x:f>
        <x:v>0.10135135135135134</x:v>
      </x:c>
      <x:c r="G2972" s="67" t="n">
        <x:f>VLOOKUP(C2972,'Governorate Master'!$A$2:$Q$13,7,FALSE)</x:f>
        <x:v>722.3</x:v>
      </x:c>
      <x:c r="H2972" s="20" t="n">
        <x:f>VLOOKUP(C2972,'Governorate Master'!$A$2:$Q$13,6,FALSE)</x:f>
        <x:v>0.7695945945945946</x:v>
      </x:c>
      <x:c r="I2972" s="20" t="n">
        <x:f>VLOOKUP(C2972,'Governorate Master'!$A$2:$Q$13,15,FALSE)</x:f>
        <x:v>-0.06527415143603134</x:v>
      </x:c>
      <x:c r="J2972" s="12" t="str">
        <x:v>Location model input - competition/saturation context</x:v>
      </x:c>
      <x:c r="K2972" s="12" t="str">
        <x:v>Business count is from 2018 while population/context indicators are newer; use as a historical proxy, not a current market count.</x:v>
      </x:c>
    </x:row>
    <x:row r="2973">
      <x:c r="A2973" s="12" t="str">
        <x:v>7911</x:v>
      </x:c>
      <x:c r="B2973" s="12" t="str">
        <x:v>Travel agency activities</x:v>
      </x:c>
      <x:c r="C2973" s="12" t="str">
        <x:v>عجلون</x:v>
      </x:c>
      <x:c r="D2973" s="14" t="n">
        <x:v>3</x:v>
      </x:c>
      <x:c r="E2973" s="14" t="n">
        <x:f>VLOOKUP(C2973,'Governorate Master'!$A$2:$Q$13,3,FALSE)</x:f>
        <x:v>219900</x:v>
      </x:c>
      <x:c r="F2973" s="66" t="n">
        <x:f>IF(E2973=0,0,D2973/E2973*10000)</x:f>
        <x:v>0.1364256480218281</x:v>
      </x:c>
      <x:c r="G2973" s="67" t="n">
        <x:f>VLOOKUP(C2973,'Governorate Master'!$A$2:$Q$13,7,FALSE)</x:f>
        <x:v>524</x:v>
      </x:c>
      <x:c r="H2973" s="20" t="n">
        <x:f>VLOOKUP(C2973,'Governorate Master'!$A$2:$Q$13,6,FALSE)</x:f>
        <x:v>0.8390177353342428</x:v>
      </x:c>
      <x:c r="I2973" s="20" t="n">
        <x:f>VLOOKUP(C2973,'Governorate Master'!$A$2:$Q$13,15,FALSE)</x:f>
        <x:v>0.03614457831325301</x:v>
      </x:c>
      <x:c r="J2973" s="12" t="str">
        <x:v>Location model input - competition/saturation context</x:v>
      </x:c>
      <x:c r="K2973" s="12" t="str">
        <x:v>Business count is from 2018 while population/context indicators are newer; use as a historical proxy, not a current market count.</x:v>
      </x:c>
    </x:row>
    <x:row r="2974">
      <x:c r="A2974" s="12" t="str">
        <x:v>7911</x:v>
      </x:c>
      <x:c r="B2974" s="12" t="str">
        <x:v>Travel agency activities</x:v>
      </x:c>
      <x:c r="C2974" s="12" t="str">
        <x:v>الكرك</x:v>
      </x:c>
      <x:c r="D2974" s="14" t="n">
        <x:v>4</x:v>
      </x:c>
      <x:c r="E2974" s="14" t="n">
        <x:f>VLOOKUP(C2974,'Governorate Master'!$A$2:$Q$13,3,FALSE)</x:f>
        <x:v>395400</x:v>
      </x:c>
      <x:c r="F2974" s="66" t="n">
        <x:f>IF(E2974=0,0,D2974/E2974*10000)</x:f>
        <x:v>0.10116337885685381</x:v>
      </x:c>
      <x:c r="G2974" s="67" t="n">
        <x:f>VLOOKUP(C2974,'Governorate Master'!$A$2:$Q$13,7,FALSE)</x:f>
        <x:v>113.1</x:v>
      </x:c>
      <x:c r="H2974" s="20" t="n">
        <x:f>VLOOKUP(C2974,'Governorate Master'!$A$2:$Q$13,6,FALSE)</x:f>
        <x:v>0.5912999494183105</x:v>
      </x:c>
      <x:c r="I2974" s="20" t="n">
        <x:f>VLOOKUP(C2974,'Governorate Master'!$A$2:$Q$13,15,FALSE)</x:f>
        <x:v>0.08710801393728224</x:v>
      </x:c>
      <x:c r="J2974" s="12" t="str">
        <x:v>Location model input - competition/saturation context</x:v>
      </x:c>
      <x:c r="K2974" s="12" t="str">
        <x:v>Business count is from 2018 while population/context indicators are newer; use as a historical proxy, not a current market count.</x:v>
      </x:c>
    </x:row>
    <x:row r="2975">
      <x:c r="A2975" s="12" t="str">
        <x:v>7911</x:v>
      </x:c>
      <x:c r="B2975" s="12" t="str">
        <x:v>Travel agency activities</x:v>
      </x:c>
      <x:c r="C2975" s="12" t="str">
        <x:v>الطفيلة</x:v>
      </x:c>
      <x:c r="D2975" s="14" t="n">
        <x:v>4</x:v>
      </x:c>
      <x:c r="E2975" s="14" t="n">
        <x:f>VLOOKUP(C2975,'Governorate Master'!$A$2:$Q$13,3,FALSE)</x:f>
        <x:v>120300</x:v>
      </x:c>
      <x:c r="F2975" s="66" t="n">
        <x:f>IF(E2975=0,0,D2975/E2975*10000)</x:f>
        <x:v>0.3325020781379884</x:v>
      </x:c>
      <x:c r="G2975" s="67" t="n">
        <x:f>VLOOKUP(C2975,'Governorate Master'!$A$2:$Q$13,7,FALSE)</x:f>
        <x:v>54.4</x:v>
      </x:c>
      <x:c r="H2975" s="20" t="n">
        <x:f>VLOOKUP(C2975,'Governorate Master'!$A$2:$Q$13,6,FALSE)</x:f>
        <x:v>0.7797173732335827</x:v>
      </x:c>
      <x:c r="I2975" s="20" t="n">
        <x:f>VLOOKUP(C2975,'Governorate Master'!$A$2:$Q$13,15,FALSE)</x:f>
        <x:v>0.18452380952380953</x:v>
      </x:c>
      <x:c r="J2975" s="12" t="str">
        <x:v>Location model input - competition/saturation context</x:v>
      </x:c>
      <x:c r="K2975" s="12" t="str">
        <x:v>Business count is from 2018 while population/context indicators are newer; use as a historical proxy, not a current market count.</x:v>
      </x:c>
    </x:row>
    <x:row r="2976">
      <x:c r="A2976" s="12" t="str">
        <x:v>7911</x:v>
      </x:c>
      <x:c r="B2976" s="12" t="str">
        <x:v>Travel agency activities</x:v>
      </x:c>
      <x:c r="C2976" s="12" t="str">
        <x:v>معان</x:v>
      </x:c>
      <x:c r="D2976" s="14" t="n">
        <x:v>11</x:v>
      </x:c>
      <x:c r="E2976" s="14" t="n">
        <x:f>VLOOKUP(C2976,'Governorate Master'!$A$2:$Q$13,3,FALSE)</x:f>
        <x:v>197900</x:v>
      </x:c>
      <x:c r="F2976" s="66" t="n">
        <x:f>IF(E2976=0,0,D2976/E2976*10000)</x:f>
        <x:v>0.5558362809499747</x:v>
      </x:c>
      <x:c r="G2976" s="67" t="n">
        <x:f>VLOOKUP(C2976,'Governorate Master'!$A$2:$Q$13,7,FALSE)</x:f>
        <x:v>6</x:v>
      </x:c>
      <x:c r="H2976" s="20" t="n">
        <x:f>VLOOKUP(C2976,'Governorate Master'!$A$2:$Q$13,6,FALSE)</x:f>
        <x:v>0.5406771096513391</x:v>
      </x:c>
      <x:c r="I2976" s="20" t="n">
        <x:f>VLOOKUP(C2976,'Governorate Master'!$A$2:$Q$13,15,FALSE)</x:f>
        <x:v>0.026845637583892617</x:v>
      </x:c>
      <x:c r="J2976" s="12" t="str">
        <x:v>Location model input - competition/saturation context</x:v>
      </x:c>
      <x:c r="K2976" s="12" t="str">
        <x:v>Business count is from 2018 while population/context indicators are newer; use as a historical proxy, not a current market count.</x:v>
      </x:c>
    </x:row>
    <x:row r="2977">
      <x:c r="A2977" s="12" t="str">
        <x:v>7911</x:v>
      </x:c>
      <x:c r="B2977" s="12" t="str">
        <x:v>Travel agency activities</x:v>
      </x:c>
      <x:c r="C2977" s="12" t="str">
        <x:v>العقبة</x:v>
      </x:c>
      <x:c r="D2977" s="14" t="n">
        <x:v>22</x:v>
      </x:c>
      <x:c r="E2977" s="14" t="n">
        <x:f>VLOOKUP(C2977,'Governorate Master'!$A$2:$Q$13,3,FALSE)</x:f>
        <x:v>250900</x:v>
      </x:c>
      <x:c r="F2977" s="66" t="n">
        <x:f>IF(E2977=0,0,D2977/E2977*10000)</x:f>
        <x:v>0.8768433638899961</x:v>
      </x:c>
      <x:c r="G2977" s="67" t="n">
        <x:f>VLOOKUP(C2977,'Governorate Master'!$A$2:$Q$13,7,FALSE)</x:f>
        <x:v>36.3</x:v>
      </x:c>
      <x:c r="H2977" s="20" t="n">
        <x:f>VLOOKUP(C2977,'Governorate Master'!$A$2:$Q$13,6,FALSE)</x:f>
        <x:v>0.882024711040255</x:v>
      </x:c>
      <x:c r="I2977" s="20" t="n">
        <x:f>VLOOKUP(C2977,'Governorate Master'!$A$2:$Q$13,15,FALSE)</x:f>
        <x:v>-0.09</x:v>
      </x:c>
      <x:c r="J2977" s="12" t="str">
        <x:v>Location model input - competition/saturation context</x:v>
      </x:c>
      <x:c r="K2977" s="12" t="str">
        <x:v>Business count is from 2018 while population/context indicators are newer; use as a historical proxy, not a current market count.</x:v>
      </x:c>
    </x:row>
    <x:row r="2978">
      <x:c r="A2978" s="12" t="str">
        <x:v>7912</x:v>
      </x:c>
      <x:c r="B2978" s="12" t="str">
        <x:v>Tour operator activities</x:v>
      </x:c>
      <x:c r="C2978" s="12" t="str">
        <x:v>عمان</x:v>
      </x:c>
      <x:c r="D2978" s="14" t="n">
        <x:v>69</x:v>
      </x:c>
      <x:c r="E2978" s="14" t="n">
        <x:f>VLOOKUP(C2978,'Governorate Master'!$A$2:$Q$13,3,FALSE)</x:f>
        <x:v>5004600</x:v>
      </x:c>
      <x:c r="F2978" s="66" t="n">
        <x:f>IF(E2978=0,0,D2978/E2978*10000)</x:f>
        <x:v>0.13787315669583983</x:v>
      </x:c>
      <x:c r="G2978" s="67" t="n">
        <x:f>VLOOKUP(C2978,'Governorate Master'!$A$2:$Q$13,7,FALSE)</x:f>
        <x:v>660.3</x:v>
      </x:c>
      <x:c r="H2978" s="20" t="n">
        <x:f>VLOOKUP(C2978,'Governorate Master'!$A$2:$Q$13,6,FALSE)</x:f>
        <x:v>0.9721656076409703</x:v>
      </x:c>
      <x:c r="I2978" s="20" t="n">
        <x:f>VLOOKUP(C2978,'Governorate Master'!$A$2:$Q$13,15,FALSE)</x:f>
        <x:v>0.06367041198501873</x:v>
      </x:c>
      <x:c r="J2978" s="12" t="str">
        <x:v>Location model input - competition/saturation context</x:v>
      </x:c>
      <x:c r="K2978" s="12" t="str">
        <x:v>Business count is from 2018 while population/context indicators are newer; use as a historical proxy, not a current market count.</x:v>
      </x:c>
    </x:row>
    <x:row r="2979">
      <x:c r="A2979" s="12" t="str">
        <x:v>7912</x:v>
      </x:c>
      <x:c r="B2979" s="12" t="str">
        <x:v>Tour operator activities</x:v>
      </x:c>
      <x:c r="C2979" s="12" t="str">
        <x:v>البلقاء</x:v>
      </x:c>
      <x:c r="D2979" s="14" t="n">
        <x:v>2</x:v>
      </x:c>
      <x:c r="E2979" s="14" t="n">
        <x:f>VLOOKUP(C2979,'Governorate Master'!$A$2:$Q$13,3,FALSE)</x:f>
        <x:v>614000</x:v>
      </x:c>
      <x:c r="F2979" s="66" t="n">
        <x:f>IF(E2979=0,0,D2979/E2979*10000)</x:f>
        <x:v>0.03257328990228013</x:v>
      </x:c>
      <x:c r="G2979" s="67" t="n">
        <x:f>VLOOKUP(C2979,'Governorate Master'!$A$2:$Q$13,7,FALSE)</x:f>
        <x:v>548</x:v>
      </x:c>
      <x:c r="H2979" s="20" t="n">
        <x:f>VLOOKUP(C2979,'Governorate Master'!$A$2:$Q$13,6,FALSE)</x:f>
        <x:v>0.8210097719869707</x:v>
      </x:c>
      <x:c r="I2979" s="20" t="n">
        <x:f>VLOOKUP(C2979,'Governorate Master'!$A$2:$Q$13,15,FALSE)</x:f>
        <x:v>0.10794044665012408</x:v>
      </x:c>
      <x:c r="J2979" s="12" t="str">
        <x:v>Location model input - competition/saturation context</x:v>
      </x:c>
      <x:c r="K2979" s="12" t="str">
        <x:v>Business count is from 2018 while population/context indicators are newer; use as a historical proxy, not a current market count.</x:v>
      </x:c>
    </x:row>
    <x:row r="2980">
      <x:c r="A2980" s="12" t="str">
        <x:v>7912</x:v>
      </x:c>
      <x:c r="B2980" s="12" t="str">
        <x:v>Tour operator activities</x:v>
      </x:c>
      <x:c r="C2980" s="12" t="str">
        <x:v>الزرقاء</x:v>
      </x:c>
      <x:c r="D2980" s="14" t="n">
        <x:v>2</x:v>
      </x:c>
      <x:c r="E2980" s="14" t="n">
        <x:f>VLOOKUP(C2980,'Governorate Master'!$A$2:$Q$13,3,FALSE)</x:f>
        <x:v>1704500</x:v>
      </x:c>
      <x:c r="F2980" s="66" t="n">
        <x:f>IF(E2980=0,0,D2980/E2980*10000)</x:f>
        <x:v>0.011733646230566148</x:v>
      </x:c>
      <x:c r="G2980" s="67" t="n">
        <x:f>VLOOKUP(C2980,'Governorate Master'!$A$2:$Q$13,7,FALSE)</x:f>
        <x:v>358</x:v>
      </x:c>
      <x:c r="H2980" s="20" t="n">
        <x:f>VLOOKUP(C2980,'Governorate Master'!$A$2:$Q$13,6,FALSE)</x:f>
        <x:v>0.9636256966852449</x:v>
      </x:c>
      <x:c r="I2980" s="20" t="n">
        <x:f>VLOOKUP(C2980,'Governorate Master'!$A$2:$Q$13,15,FALSE)</x:f>
        <x:v>-0.06808762581409118</x:v>
      </x:c>
      <x:c r="J2980" s="12" t="str">
        <x:v>Location model input - competition/saturation context</x:v>
      </x:c>
      <x:c r="K2980" s="12" t="str">
        <x:v>Business count is from 2018 while population/context indicators are newer; use as a historical proxy, not a current market count.</x:v>
      </x:c>
    </x:row>
    <x:row r="2981">
      <x:c r="A2981" s="12" t="str">
        <x:v>7912</x:v>
      </x:c>
      <x:c r="B2981" s="12" t="str">
        <x:v>Tour operator activities</x:v>
      </x:c>
      <x:c r="C2981" s="12" t="str">
        <x:v>مادبا</x:v>
      </x:c>
      <x:c r="D2981" s="14" t="n">
        <x:v>0</x:v>
      </x:c>
      <x:c r="E2981" s="14" t="n">
        <x:f>VLOOKUP(C2981,'Governorate Master'!$A$2:$Q$13,3,FALSE)</x:f>
        <x:v>236200</x:v>
      </x:c>
      <x:c r="F2981" s="66" t="n">
        <x:f>IF(E2981=0,0,D2981/E2981*10000)</x:f>
        <x:v>0</x:v>
      </x:c>
      <x:c r="G2981" s="67" t="n">
        <x:f>VLOOKUP(C2981,'Governorate Master'!$A$2:$Q$13,7,FALSE)</x:f>
        <x:v>251.4</x:v>
      </x:c>
      <x:c r="H2981" s="20" t="n">
        <x:f>VLOOKUP(C2981,'Governorate Master'!$A$2:$Q$13,6,FALSE)</x:f>
        <x:v>0.7823878069432684</x:v>
      </x:c>
      <x:c r="I2981" s="20" t="n">
        <x:f>VLOOKUP(C2981,'Governorate Master'!$A$2:$Q$13,15,FALSE)</x:f>
        <x:v>-0.18823529411764706</x:v>
      </x:c>
      <x:c r="J2981" s="12" t="str">
        <x:v>Location model input - competition/saturation context</x:v>
      </x:c>
      <x:c r="K2981" s="12" t="str">
        <x:v>Business count is from 2018 while population/context indicators are newer; use as a historical proxy, not a current market count.</x:v>
      </x:c>
    </x:row>
    <x:row r="2982">
      <x:c r="A2982" s="12" t="str">
        <x:v>7912</x:v>
      </x:c>
      <x:c r="B2982" s="12" t="str">
        <x:v>Tour operator activities</x:v>
      </x:c>
      <x:c r="C2982" s="12" t="str">
        <x:v>إربد</x:v>
      </x:c>
      <x:c r="D2982" s="14" t="n">
        <x:v>6</x:v>
      </x:c>
      <x:c r="E2982" s="14" t="n">
        <x:f>VLOOKUP(C2982,'Governorate Master'!$A$2:$Q$13,3,FALSE)</x:f>
        <x:v>2210500</x:v>
      </x:c>
      <x:c r="F2982" s="66" t="n">
        <x:f>IF(E2982=0,0,D2982/E2982*10000)</x:f>
        <x:v>0.027143180275955664</x:v>
      </x:c>
      <x:c r="G2982" s="67" t="n">
        <x:f>VLOOKUP(C2982,'Governorate Master'!$A$2:$Q$13,7,FALSE)</x:f>
        <x:v>1406.4</x:v>
      </x:c>
      <x:c r="H2982" s="20" t="n">
        <x:f>VLOOKUP(C2982,'Governorate Master'!$A$2:$Q$13,6,FALSE)</x:f>
        <x:v>0.9235014702555983</x:v>
      </x:c>
      <x:c r="I2982" s="20" t="n">
        <x:f>VLOOKUP(C2982,'Governorate Master'!$A$2:$Q$13,15,FALSE)</x:f>
        <x:v>0.07086922474549726</x:v>
      </x:c>
      <x:c r="J2982" s="12" t="str">
        <x:v>Location model input - competition/saturation context</x:v>
      </x:c>
      <x:c r="K2982" s="12" t="str">
        <x:v>Business count is from 2018 while population/context indicators are newer; use as a historical proxy, not a current market count.</x:v>
      </x:c>
    </x:row>
    <x:row r="2983">
      <x:c r="A2983" s="12" t="str">
        <x:v>7912</x:v>
      </x:c>
      <x:c r="B2983" s="12" t="str">
        <x:v>Tour operator activities</x:v>
      </x:c>
      <x:c r="C2983" s="12" t="str">
        <x:v>المفرق</x:v>
      </x:c>
      <x:c r="D2983" s="14" t="n">
        <x:v>0</x:v>
      </x:c>
      <x:c r="E2983" s="14" t="n">
        <x:f>VLOOKUP(C2983,'Governorate Master'!$A$2:$Q$13,3,FALSE)</x:f>
        <x:v>686800</x:v>
      </x:c>
      <x:c r="F2983" s="66" t="n">
        <x:f>IF(E2983=0,0,D2983/E2983*10000)</x:f>
        <x:v>0</x:v>
      </x:c>
      <x:c r="G2983" s="67" t="n">
        <x:f>VLOOKUP(C2983,'Governorate Master'!$A$2:$Q$13,7,FALSE)</x:f>
        <x:v>25.9</x:v>
      </x:c>
      <x:c r="H2983" s="20" t="n">
        <x:f>VLOOKUP(C2983,'Governorate Master'!$A$2:$Q$13,6,FALSE)</x:f>
        <x:v>0.6965637740244612</x:v>
      </x:c>
      <x:c r="I2983" s="20" t="n">
        <x:f>VLOOKUP(C2983,'Governorate Master'!$A$2:$Q$13,15,FALSE)</x:f>
        <x:v>-0.016638935108153077</x:v>
      </x:c>
      <x:c r="J2983" s="12" t="str">
        <x:v>Location model input - competition/saturation context</x:v>
      </x:c>
      <x:c r="K2983" s="12" t="str">
        <x:v>Business count is from 2018 while population/context indicators are newer; use as a historical proxy, not a current market count.</x:v>
      </x:c>
    </x:row>
    <x:row r="2984">
      <x:c r="A2984" s="12" t="str">
        <x:v>7912</x:v>
      </x:c>
      <x:c r="B2984" s="12" t="str">
        <x:v>Tour operator activities</x:v>
      </x:c>
      <x:c r="C2984" s="12" t="str">
        <x:v>جرش</x:v>
      </x:c>
      <x:c r="D2984" s="14" t="n">
        <x:v>0</x:v>
      </x:c>
      <x:c r="E2984" s="14" t="n">
        <x:f>VLOOKUP(C2984,'Governorate Master'!$A$2:$Q$13,3,FALSE)</x:f>
        <x:v>296000</x:v>
      </x:c>
      <x:c r="F2984" s="66" t="n">
        <x:f>IF(E2984=0,0,D2984/E2984*10000)</x:f>
        <x:v>0</x:v>
      </x:c>
      <x:c r="G2984" s="67" t="n">
        <x:f>VLOOKUP(C2984,'Governorate Master'!$A$2:$Q$13,7,FALSE)</x:f>
        <x:v>722.3</x:v>
      </x:c>
      <x:c r="H2984" s="20" t="n">
        <x:f>VLOOKUP(C2984,'Governorate Master'!$A$2:$Q$13,6,FALSE)</x:f>
        <x:v>0.7695945945945946</x:v>
      </x:c>
      <x:c r="I2984" s="20" t="n">
        <x:f>VLOOKUP(C2984,'Governorate Master'!$A$2:$Q$13,15,FALSE)</x:f>
        <x:v>-0.06527415143603134</x:v>
      </x:c>
      <x:c r="J2984" s="12" t="str">
        <x:v>Location model input - competition/saturation context</x:v>
      </x:c>
      <x:c r="K2984" s="12" t="str">
        <x:v>Business count is from 2018 while population/context indicators are newer; use as a historical proxy, not a current market count.</x:v>
      </x:c>
    </x:row>
    <x:row r="2985">
      <x:c r="A2985" s="12" t="str">
        <x:v>7912</x:v>
      </x:c>
      <x:c r="B2985" s="12" t="str">
        <x:v>Tour operator activities</x:v>
      </x:c>
      <x:c r="C2985" s="12" t="str">
        <x:v>عجلون</x:v>
      </x:c>
      <x:c r="D2985" s="14" t="n">
        <x:v>0</x:v>
      </x:c>
      <x:c r="E2985" s="14" t="n">
        <x:f>VLOOKUP(C2985,'Governorate Master'!$A$2:$Q$13,3,FALSE)</x:f>
        <x:v>219900</x:v>
      </x:c>
      <x:c r="F2985" s="66" t="n">
        <x:f>IF(E2985=0,0,D2985/E2985*10000)</x:f>
        <x:v>0</x:v>
      </x:c>
      <x:c r="G2985" s="67" t="n">
        <x:f>VLOOKUP(C2985,'Governorate Master'!$A$2:$Q$13,7,FALSE)</x:f>
        <x:v>524</x:v>
      </x:c>
      <x:c r="H2985" s="20" t="n">
        <x:f>VLOOKUP(C2985,'Governorate Master'!$A$2:$Q$13,6,FALSE)</x:f>
        <x:v>0.8390177353342428</x:v>
      </x:c>
      <x:c r="I2985" s="20" t="n">
        <x:f>VLOOKUP(C2985,'Governorate Master'!$A$2:$Q$13,15,FALSE)</x:f>
        <x:v>0.03614457831325301</x:v>
      </x:c>
      <x:c r="J2985" s="12" t="str">
        <x:v>Location model input - competition/saturation context</x:v>
      </x:c>
      <x:c r="K2985" s="12" t="str">
        <x:v>Business count is from 2018 while population/context indicators are newer; use as a historical proxy, not a current market count.</x:v>
      </x:c>
    </x:row>
    <x:row r="2986">
      <x:c r="A2986" s="12" t="str">
        <x:v>7912</x:v>
      </x:c>
      <x:c r="B2986" s="12" t="str">
        <x:v>Tour operator activities</x:v>
      </x:c>
      <x:c r="C2986" s="12" t="str">
        <x:v>الكرك</x:v>
      </x:c>
      <x:c r="D2986" s="14" t="n">
        <x:v>2</x:v>
      </x:c>
      <x:c r="E2986" s="14" t="n">
        <x:f>VLOOKUP(C2986,'Governorate Master'!$A$2:$Q$13,3,FALSE)</x:f>
        <x:v>395400</x:v>
      </x:c>
      <x:c r="F2986" s="66" t="n">
        <x:f>IF(E2986=0,0,D2986/E2986*10000)</x:f>
        <x:v>0.050581689428426904</x:v>
      </x:c>
      <x:c r="G2986" s="67" t="n">
        <x:f>VLOOKUP(C2986,'Governorate Master'!$A$2:$Q$13,7,FALSE)</x:f>
        <x:v>113.1</x:v>
      </x:c>
      <x:c r="H2986" s="20" t="n">
        <x:f>VLOOKUP(C2986,'Governorate Master'!$A$2:$Q$13,6,FALSE)</x:f>
        <x:v>0.5912999494183105</x:v>
      </x:c>
      <x:c r="I2986" s="20" t="n">
        <x:f>VLOOKUP(C2986,'Governorate Master'!$A$2:$Q$13,15,FALSE)</x:f>
        <x:v>0.08710801393728224</x:v>
      </x:c>
      <x:c r="J2986" s="12" t="str">
        <x:v>Location model input - competition/saturation context</x:v>
      </x:c>
      <x:c r="K2986" s="12" t="str">
        <x:v>Business count is from 2018 while population/context indicators are newer; use as a historical proxy, not a current market count.</x:v>
      </x:c>
    </x:row>
    <x:row r="2987">
      <x:c r="A2987" s="12" t="str">
        <x:v>7912</x:v>
      </x:c>
      <x:c r="B2987" s="12" t="str">
        <x:v>Tour operator activities</x:v>
      </x:c>
      <x:c r="C2987" s="12" t="str">
        <x:v>الطفيلة</x:v>
      </x:c>
      <x:c r="D2987" s="14" t="n">
        <x:v>0</x:v>
      </x:c>
      <x:c r="E2987" s="14" t="n">
        <x:f>VLOOKUP(C2987,'Governorate Master'!$A$2:$Q$13,3,FALSE)</x:f>
        <x:v>120300</x:v>
      </x:c>
      <x:c r="F2987" s="66" t="n">
        <x:f>IF(E2987=0,0,D2987/E2987*10000)</x:f>
        <x:v>0</x:v>
      </x:c>
      <x:c r="G2987" s="67" t="n">
        <x:f>VLOOKUP(C2987,'Governorate Master'!$A$2:$Q$13,7,FALSE)</x:f>
        <x:v>54.4</x:v>
      </x:c>
      <x:c r="H2987" s="20" t="n">
        <x:f>VLOOKUP(C2987,'Governorate Master'!$A$2:$Q$13,6,FALSE)</x:f>
        <x:v>0.7797173732335827</x:v>
      </x:c>
      <x:c r="I2987" s="20" t="n">
        <x:f>VLOOKUP(C2987,'Governorate Master'!$A$2:$Q$13,15,FALSE)</x:f>
        <x:v>0.18452380952380953</x:v>
      </x:c>
      <x:c r="J2987" s="12" t="str">
        <x:v>Location model input - competition/saturation context</x:v>
      </x:c>
      <x:c r="K2987" s="12" t="str">
        <x:v>Business count is from 2018 while population/context indicators are newer; use as a historical proxy, not a current market count.</x:v>
      </x:c>
    </x:row>
    <x:row r="2988">
      <x:c r="A2988" s="12" t="str">
        <x:v>7912</x:v>
      </x:c>
      <x:c r="B2988" s="12" t="str">
        <x:v>Tour operator activities</x:v>
      </x:c>
      <x:c r="C2988" s="12" t="str">
        <x:v>معان</x:v>
      </x:c>
      <x:c r="D2988" s="14" t="n">
        <x:v>0</x:v>
      </x:c>
      <x:c r="E2988" s="14" t="n">
        <x:f>VLOOKUP(C2988,'Governorate Master'!$A$2:$Q$13,3,FALSE)</x:f>
        <x:v>197900</x:v>
      </x:c>
      <x:c r="F2988" s="66" t="n">
        <x:f>IF(E2988=0,0,D2988/E2988*10000)</x:f>
        <x:v>0</x:v>
      </x:c>
      <x:c r="G2988" s="67" t="n">
        <x:f>VLOOKUP(C2988,'Governorate Master'!$A$2:$Q$13,7,FALSE)</x:f>
        <x:v>6</x:v>
      </x:c>
      <x:c r="H2988" s="20" t="n">
        <x:f>VLOOKUP(C2988,'Governorate Master'!$A$2:$Q$13,6,FALSE)</x:f>
        <x:v>0.5406771096513391</x:v>
      </x:c>
      <x:c r="I2988" s="20" t="n">
        <x:f>VLOOKUP(C2988,'Governorate Master'!$A$2:$Q$13,15,FALSE)</x:f>
        <x:v>0.026845637583892617</x:v>
      </x:c>
      <x:c r="J2988" s="12" t="str">
        <x:v>Location model input - competition/saturation context</x:v>
      </x:c>
      <x:c r="K2988" s="12" t="str">
        <x:v>Business count is from 2018 while population/context indicators are newer; use as a historical proxy, not a current market count.</x:v>
      </x:c>
    </x:row>
    <x:row r="2989">
      <x:c r="A2989" s="12" t="str">
        <x:v>7912</x:v>
      </x:c>
      <x:c r="B2989" s="12" t="str">
        <x:v>Tour operator activities</x:v>
      </x:c>
      <x:c r="C2989" s="12" t="str">
        <x:v>العقبة</x:v>
      </x:c>
      <x:c r="D2989" s="14" t="n">
        <x:v>4</x:v>
      </x:c>
      <x:c r="E2989" s="14" t="n">
        <x:f>VLOOKUP(C2989,'Governorate Master'!$A$2:$Q$13,3,FALSE)</x:f>
        <x:v>250900</x:v>
      </x:c>
      <x:c r="F2989" s="66" t="n">
        <x:f>IF(E2989=0,0,D2989/E2989*10000)</x:f>
        <x:v>0.15942606616181745</x:v>
      </x:c>
      <x:c r="G2989" s="67" t="n">
        <x:f>VLOOKUP(C2989,'Governorate Master'!$A$2:$Q$13,7,FALSE)</x:f>
        <x:v>36.3</x:v>
      </x:c>
      <x:c r="H2989" s="20" t="n">
        <x:f>VLOOKUP(C2989,'Governorate Master'!$A$2:$Q$13,6,FALSE)</x:f>
        <x:v>0.882024711040255</x:v>
      </x:c>
      <x:c r="I2989" s="20" t="n">
        <x:f>VLOOKUP(C2989,'Governorate Master'!$A$2:$Q$13,15,FALSE)</x:f>
        <x:v>-0.09</x:v>
      </x:c>
      <x:c r="J2989" s="12" t="str">
        <x:v>Location model input - competition/saturation context</x:v>
      </x:c>
      <x:c r="K2989" s="12" t="str">
        <x:v>Business count is from 2018 while population/context indicators are newer; use as a historical proxy, not a current market count.</x:v>
      </x:c>
    </x:row>
    <x:row r="2990">
      <x:c r="A2990" s="12" t="str">
        <x:v>7990</x:v>
      </x:c>
      <x:c r="B2990" s="12" t="str">
        <x:v>Other reservation service and related activities</x:v>
      </x:c>
      <x:c r="C2990" s="12" t="str">
        <x:v>عمان</x:v>
      </x:c>
      <x:c r="D2990" s="14" t="n">
        <x:v>0</x:v>
      </x:c>
      <x:c r="E2990" s="14" t="n">
        <x:f>VLOOKUP(C2990,'Governorate Master'!$A$2:$Q$13,3,FALSE)</x:f>
        <x:v>5004600</x:v>
      </x:c>
      <x:c r="F2990" s="66" t="n">
        <x:f>IF(E2990=0,0,D2990/E2990*10000)</x:f>
        <x:v>0</x:v>
      </x:c>
      <x:c r="G2990" s="67" t="n">
        <x:f>VLOOKUP(C2990,'Governorate Master'!$A$2:$Q$13,7,FALSE)</x:f>
        <x:v>660.3</x:v>
      </x:c>
      <x:c r="H2990" s="20" t="n">
        <x:f>VLOOKUP(C2990,'Governorate Master'!$A$2:$Q$13,6,FALSE)</x:f>
        <x:v>0.9721656076409703</x:v>
      </x:c>
      <x:c r="I2990" s="20" t="n">
        <x:f>VLOOKUP(C2990,'Governorate Master'!$A$2:$Q$13,15,FALSE)</x:f>
        <x:v>0.06367041198501873</x:v>
      </x:c>
      <x:c r="J2990" s="12" t="str">
        <x:v>Location model input - competition/saturation context</x:v>
      </x:c>
      <x:c r="K2990" s="12" t="str">
        <x:v>Business count is from 2018 while population/context indicators are newer; use as a historical proxy, not a current market count.</x:v>
      </x:c>
    </x:row>
    <x:row r="2991">
      <x:c r="A2991" s="12" t="str">
        <x:v>7990</x:v>
      </x:c>
      <x:c r="B2991" s="12" t="str">
        <x:v>Other reservation service and related activities</x:v>
      </x:c>
      <x:c r="C2991" s="12" t="str">
        <x:v>البلقاء</x:v>
      </x:c>
      <x:c r="D2991" s="14" t="n">
        <x:v>0</x:v>
      </x:c>
      <x:c r="E2991" s="14" t="n">
        <x:f>VLOOKUP(C2991,'Governorate Master'!$A$2:$Q$13,3,FALSE)</x:f>
        <x:v>614000</x:v>
      </x:c>
      <x:c r="F2991" s="66" t="n">
        <x:f>IF(E2991=0,0,D2991/E2991*10000)</x:f>
        <x:v>0</x:v>
      </x:c>
      <x:c r="G2991" s="67" t="n">
        <x:f>VLOOKUP(C2991,'Governorate Master'!$A$2:$Q$13,7,FALSE)</x:f>
        <x:v>548</x:v>
      </x:c>
      <x:c r="H2991" s="20" t="n">
        <x:f>VLOOKUP(C2991,'Governorate Master'!$A$2:$Q$13,6,FALSE)</x:f>
        <x:v>0.8210097719869707</x:v>
      </x:c>
      <x:c r="I2991" s="20" t="n">
        <x:f>VLOOKUP(C2991,'Governorate Master'!$A$2:$Q$13,15,FALSE)</x:f>
        <x:v>0.10794044665012408</x:v>
      </x:c>
      <x:c r="J2991" s="12" t="str">
        <x:v>Location model input - competition/saturation context</x:v>
      </x:c>
      <x:c r="K2991" s="12" t="str">
        <x:v>Business count is from 2018 while population/context indicators are newer; use as a historical proxy, not a current market count.</x:v>
      </x:c>
    </x:row>
    <x:row r="2992">
      <x:c r="A2992" s="12" t="str">
        <x:v>7990</x:v>
      </x:c>
      <x:c r="B2992" s="12" t="str">
        <x:v>Other reservation service and related activities</x:v>
      </x:c>
      <x:c r="C2992" s="12" t="str">
        <x:v>الزرقاء</x:v>
      </x:c>
      <x:c r="D2992" s="14" t="n">
        <x:v>0</x:v>
      </x:c>
      <x:c r="E2992" s="14" t="n">
        <x:f>VLOOKUP(C2992,'Governorate Master'!$A$2:$Q$13,3,FALSE)</x:f>
        <x:v>1704500</x:v>
      </x:c>
      <x:c r="F2992" s="66" t="n">
        <x:f>IF(E2992=0,0,D2992/E2992*10000)</x:f>
        <x:v>0</x:v>
      </x:c>
      <x:c r="G2992" s="67" t="n">
        <x:f>VLOOKUP(C2992,'Governorate Master'!$A$2:$Q$13,7,FALSE)</x:f>
        <x:v>358</x:v>
      </x:c>
      <x:c r="H2992" s="20" t="n">
        <x:f>VLOOKUP(C2992,'Governorate Master'!$A$2:$Q$13,6,FALSE)</x:f>
        <x:v>0.9636256966852449</x:v>
      </x:c>
      <x:c r="I2992" s="20" t="n">
        <x:f>VLOOKUP(C2992,'Governorate Master'!$A$2:$Q$13,15,FALSE)</x:f>
        <x:v>-0.06808762581409118</x:v>
      </x:c>
      <x:c r="J2992" s="12" t="str">
        <x:v>Location model input - competition/saturation context</x:v>
      </x:c>
      <x:c r="K2992" s="12" t="str">
        <x:v>Business count is from 2018 while population/context indicators are newer; use as a historical proxy, not a current market count.</x:v>
      </x:c>
    </x:row>
    <x:row r="2993">
      <x:c r="A2993" s="12" t="str">
        <x:v>7990</x:v>
      </x:c>
      <x:c r="B2993" s="12" t="str">
        <x:v>Other reservation service and related activities</x:v>
      </x:c>
      <x:c r="C2993" s="12" t="str">
        <x:v>مادبا</x:v>
      </x:c>
      <x:c r="D2993" s="14" t="n">
        <x:v>0</x:v>
      </x:c>
      <x:c r="E2993" s="14" t="n">
        <x:f>VLOOKUP(C2993,'Governorate Master'!$A$2:$Q$13,3,FALSE)</x:f>
        <x:v>236200</x:v>
      </x:c>
      <x:c r="F2993" s="66" t="n">
        <x:f>IF(E2993=0,0,D2993/E2993*10000)</x:f>
        <x:v>0</x:v>
      </x:c>
      <x:c r="G2993" s="67" t="n">
        <x:f>VLOOKUP(C2993,'Governorate Master'!$A$2:$Q$13,7,FALSE)</x:f>
        <x:v>251.4</x:v>
      </x:c>
      <x:c r="H2993" s="20" t="n">
        <x:f>VLOOKUP(C2993,'Governorate Master'!$A$2:$Q$13,6,FALSE)</x:f>
        <x:v>0.7823878069432684</x:v>
      </x:c>
      <x:c r="I2993" s="20" t="n">
        <x:f>VLOOKUP(C2993,'Governorate Master'!$A$2:$Q$13,15,FALSE)</x:f>
        <x:v>-0.18823529411764706</x:v>
      </x:c>
      <x:c r="J2993" s="12" t="str">
        <x:v>Location model input - competition/saturation context</x:v>
      </x:c>
      <x:c r="K2993" s="12" t="str">
        <x:v>Business count is from 2018 while population/context indicators are newer; use as a historical proxy, not a current market count.</x:v>
      </x:c>
    </x:row>
    <x:row r="2994">
      <x:c r="A2994" s="12" t="str">
        <x:v>7990</x:v>
      </x:c>
      <x:c r="B2994" s="12" t="str">
        <x:v>Other reservation service and related activities</x:v>
      </x:c>
      <x:c r="C2994" s="12" t="str">
        <x:v>إربد</x:v>
      </x:c>
      <x:c r="D2994" s="14" t="n">
        <x:v>0</x:v>
      </x:c>
      <x:c r="E2994" s="14" t="n">
        <x:f>VLOOKUP(C2994,'Governorate Master'!$A$2:$Q$13,3,FALSE)</x:f>
        <x:v>2210500</x:v>
      </x:c>
      <x:c r="F2994" s="66" t="n">
        <x:f>IF(E2994=0,0,D2994/E2994*10000)</x:f>
        <x:v>0</x:v>
      </x:c>
      <x:c r="G2994" s="67" t="n">
        <x:f>VLOOKUP(C2994,'Governorate Master'!$A$2:$Q$13,7,FALSE)</x:f>
        <x:v>1406.4</x:v>
      </x:c>
      <x:c r="H2994" s="20" t="n">
        <x:f>VLOOKUP(C2994,'Governorate Master'!$A$2:$Q$13,6,FALSE)</x:f>
        <x:v>0.9235014702555983</x:v>
      </x:c>
      <x:c r="I2994" s="20" t="n">
        <x:f>VLOOKUP(C2994,'Governorate Master'!$A$2:$Q$13,15,FALSE)</x:f>
        <x:v>0.07086922474549726</x:v>
      </x:c>
      <x:c r="J2994" s="12" t="str">
        <x:v>Location model input - competition/saturation context</x:v>
      </x:c>
      <x:c r="K2994" s="12" t="str">
        <x:v>Business count is from 2018 while population/context indicators are newer; use as a historical proxy, not a current market count.</x:v>
      </x:c>
    </x:row>
    <x:row r="2995">
      <x:c r="A2995" s="12" t="str">
        <x:v>7990</x:v>
      </x:c>
      <x:c r="B2995" s="12" t="str">
        <x:v>Other reservation service and related activities</x:v>
      </x:c>
      <x:c r="C2995" s="12" t="str">
        <x:v>المفرق</x:v>
      </x:c>
      <x:c r="D2995" s="14" t="n">
        <x:v>0</x:v>
      </x:c>
      <x:c r="E2995" s="14" t="n">
        <x:f>VLOOKUP(C2995,'Governorate Master'!$A$2:$Q$13,3,FALSE)</x:f>
        <x:v>686800</x:v>
      </x:c>
      <x:c r="F2995" s="66" t="n">
        <x:f>IF(E2995=0,0,D2995/E2995*10000)</x:f>
        <x:v>0</x:v>
      </x:c>
      <x:c r="G2995" s="67" t="n">
        <x:f>VLOOKUP(C2995,'Governorate Master'!$A$2:$Q$13,7,FALSE)</x:f>
        <x:v>25.9</x:v>
      </x:c>
      <x:c r="H2995" s="20" t="n">
        <x:f>VLOOKUP(C2995,'Governorate Master'!$A$2:$Q$13,6,FALSE)</x:f>
        <x:v>0.6965637740244612</x:v>
      </x:c>
      <x:c r="I2995" s="20" t="n">
        <x:f>VLOOKUP(C2995,'Governorate Master'!$A$2:$Q$13,15,FALSE)</x:f>
        <x:v>-0.016638935108153077</x:v>
      </x:c>
      <x:c r="J2995" s="12" t="str">
        <x:v>Location model input - competition/saturation context</x:v>
      </x:c>
      <x:c r="K2995" s="12" t="str">
        <x:v>Business count is from 2018 while population/context indicators are newer; use as a historical proxy, not a current market count.</x:v>
      </x:c>
    </x:row>
    <x:row r="2996">
      <x:c r="A2996" s="12" t="str">
        <x:v>7990</x:v>
      </x:c>
      <x:c r="B2996" s="12" t="str">
        <x:v>Other reservation service and related activities</x:v>
      </x:c>
      <x:c r="C2996" s="12" t="str">
        <x:v>جرش</x:v>
      </x:c>
      <x:c r="D2996" s="14" t="n">
        <x:v>0</x:v>
      </x:c>
      <x:c r="E2996" s="14" t="n">
        <x:f>VLOOKUP(C2996,'Governorate Master'!$A$2:$Q$13,3,FALSE)</x:f>
        <x:v>296000</x:v>
      </x:c>
      <x:c r="F2996" s="66" t="n">
        <x:f>IF(E2996=0,0,D2996/E2996*10000)</x:f>
        <x:v>0</x:v>
      </x:c>
      <x:c r="G2996" s="67" t="n">
        <x:f>VLOOKUP(C2996,'Governorate Master'!$A$2:$Q$13,7,FALSE)</x:f>
        <x:v>722.3</x:v>
      </x:c>
      <x:c r="H2996" s="20" t="n">
        <x:f>VLOOKUP(C2996,'Governorate Master'!$A$2:$Q$13,6,FALSE)</x:f>
        <x:v>0.7695945945945946</x:v>
      </x:c>
      <x:c r="I2996" s="20" t="n">
        <x:f>VLOOKUP(C2996,'Governorate Master'!$A$2:$Q$13,15,FALSE)</x:f>
        <x:v>-0.06527415143603134</x:v>
      </x:c>
      <x:c r="J2996" s="12" t="str">
        <x:v>Location model input - competition/saturation context</x:v>
      </x:c>
      <x:c r="K2996" s="12" t="str">
        <x:v>Business count is from 2018 while population/context indicators are newer; use as a historical proxy, not a current market count.</x:v>
      </x:c>
    </x:row>
    <x:row r="2997">
      <x:c r="A2997" s="12" t="str">
        <x:v>7990</x:v>
      </x:c>
      <x:c r="B2997" s="12" t="str">
        <x:v>Other reservation service and related activities</x:v>
      </x:c>
      <x:c r="C2997" s="12" t="str">
        <x:v>عجلون</x:v>
      </x:c>
      <x:c r="D2997" s="14" t="n">
        <x:v>0</x:v>
      </x:c>
      <x:c r="E2997" s="14" t="n">
        <x:f>VLOOKUP(C2997,'Governorate Master'!$A$2:$Q$13,3,FALSE)</x:f>
        <x:v>219900</x:v>
      </x:c>
      <x:c r="F2997" s="66" t="n">
        <x:f>IF(E2997=0,0,D2997/E2997*10000)</x:f>
        <x:v>0</x:v>
      </x:c>
      <x:c r="G2997" s="67" t="n">
        <x:f>VLOOKUP(C2997,'Governorate Master'!$A$2:$Q$13,7,FALSE)</x:f>
        <x:v>524</x:v>
      </x:c>
      <x:c r="H2997" s="20" t="n">
        <x:f>VLOOKUP(C2997,'Governorate Master'!$A$2:$Q$13,6,FALSE)</x:f>
        <x:v>0.8390177353342428</x:v>
      </x:c>
      <x:c r="I2997" s="20" t="n">
        <x:f>VLOOKUP(C2997,'Governorate Master'!$A$2:$Q$13,15,FALSE)</x:f>
        <x:v>0.03614457831325301</x:v>
      </x:c>
      <x:c r="J2997" s="12" t="str">
        <x:v>Location model input - competition/saturation context</x:v>
      </x:c>
      <x:c r="K2997" s="12" t="str">
        <x:v>Business count is from 2018 while population/context indicators are newer; use as a historical proxy, not a current market count.</x:v>
      </x:c>
    </x:row>
    <x:row r="2998">
      <x:c r="A2998" s="12" t="str">
        <x:v>7990</x:v>
      </x:c>
      <x:c r="B2998" s="12" t="str">
        <x:v>Other reservation service and related activities</x:v>
      </x:c>
      <x:c r="C2998" s="12" t="str">
        <x:v>الكرك</x:v>
      </x:c>
      <x:c r="D2998" s="14" t="n">
        <x:v>0</x:v>
      </x:c>
      <x:c r="E2998" s="14" t="n">
        <x:f>VLOOKUP(C2998,'Governorate Master'!$A$2:$Q$13,3,FALSE)</x:f>
        <x:v>395400</x:v>
      </x:c>
      <x:c r="F2998" s="66" t="n">
        <x:f>IF(E2998=0,0,D2998/E2998*10000)</x:f>
        <x:v>0</x:v>
      </x:c>
      <x:c r="G2998" s="67" t="n">
        <x:f>VLOOKUP(C2998,'Governorate Master'!$A$2:$Q$13,7,FALSE)</x:f>
        <x:v>113.1</x:v>
      </x:c>
      <x:c r="H2998" s="20" t="n">
        <x:f>VLOOKUP(C2998,'Governorate Master'!$A$2:$Q$13,6,FALSE)</x:f>
        <x:v>0.5912999494183105</x:v>
      </x:c>
      <x:c r="I2998" s="20" t="n">
        <x:f>VLOOKUP(C2998,'Governorate Master'!$A$2:$Q$13,15,FALSE)</x:f>
        <x:v>0.08710801393728224</x:v>
      </x:c>
      <x:c r="J2998" s="12" t="str">
        <x:v>Location model input - competition/saturation context</x:v>
      </x:c>
      <x:c r="K2998" s="12" t="str">
        <x:v>Business count is from 2018 while population/context indicators are newer; use as a historical proxy, not a current market count.</x:v>
      </x:c>
    </x:row>
    <x:row r="2999">
      <x:c r="A2999" s="12" t="str">
        <x:v>7990</x:v>
      </x:c>
      <x:c r="B2999" s="12" t="str">
        <x:v>Other reservation service and related activities</x:v>
      </x:c>
      <x:c r="C2999" s="12" t="str">
        <x:v>الطفيلة</x:v>
      </x:c>
      <x:c r="D2999" s="14" t="n">
        <x:v>0</x:v>
      </x:c>
      <x:c r="E2999" s="14" t="n">
        <x:f>VLOOKUP(C2999,'Governorate Master'!$A$2:$Q$13,3,FALSE)</x:f>
        <x:v>120300</x:v>
      </x:c>
      <x:c r="F2999" s="66" t="n">
        <x:f>IF(E2999=0,0,D2999/E2999*10000)</x:f>
        <x:v>0</x:v>
      </x:c>
      <x:c r="G2999" s="67" t="n">
        <x:f>VLOOKUP(C2999,'Governorate Master'!$A$2:$Q$13,7,FALSE)</x:f>
        <x:v>54.4</x:v>
      </x:c>
      <x:c r="H2999" s="20" t="n">
        <x:f>VLOOKUP(C2999,'Governorate Master'!$A$2:$Q$13,6,FALSE)</x:f>
        <x:v>0.7797173732335827</x:v>
      </x:c>
      <x:c r="I2999" s="20" t="n">
        <x:f>VLOOKUP(C2999,'Governorate Master'!$A$2:$Q$13,15,FALSE)</x:f>
        <x:v>0.18452380952380953</x:v>
      </x:c>
      <x:c r="J2999" s="12" t="str">
        <x:v>Location model input - competition/saturation context</x:v>
      </x:c>
      <x:c r="K2999" s="12" t="str">
        <x:v>Business count is from 2018 while population/context indicators are newer; use as a historical proxy, not a current market count.</x:v>
      </x:c>
    </x:row>
    <x:row r="3000">
      <x:c r="A3000" s="12" t="str">
        <x:v>7990</x:v>
      </x:c>
      <x:c r="B3000" s="12" t="str">
        <x:v>Other reservation service and related activities</x:v>
      </x:c>
      <x:c r="C3000" s="12" t="str">
        <x:v>معان</x:v>
      </x:c>
      <x:c r="D3000" s="14" t="n">
        <x:v>0</x:v>
      </x:c>
      <x:c r="E3000" s="14" t="n">
        <x:f>VLOOKUP(C3000,'Governorate Master'!$A$2:$Q$13,3,FALSE)</x:f>
        <x:v>197900</x:v>
      </x:c>
      <x:c r="F3000" s="66" t="n">
        <x:f>IF(E3000=0,0,D3000/E3000*10000)</x:f>
        <x:v>0</x:v>
      </x:c>
      <x:c r="G3000" s="67" t="n">
        <x:f>VLOOKUP(C3000,'Governorate Master'!$A$2:$Q$13,7,FALSE)</x:f>
        <x:v>6</x:v>
      </x:c>
      <x:c r="H3000" s="20" t="n">
        <x:f>VLOOKUP(C3000,'Governorate Master'!$A$2:$Q$13,6,FALSE)</x:f>
        <x:v>0.5406771096513391</x:v>
      </x:c>
      <x:c r="I3000" s="20" t="n">
        <x:f>VLOOKUP(C3000,'Governorate Master'!$A$2:$Q$13,15,FALSE)</x:f>
        <x:v>0.026845637583892617</x:v>
      </x:c>
      <x:c r="J3000" s="12" t="str">
        <x:v>Location model input - competition/saturation context</x:v>
      </x:c>
      <x:c r="K3000" s="12" t="str">
        <x:v>Business count is from 2018 while population/context indicators are newer; use as a historical proxy, not a current market count.</x:v>
      </x:c>
    </x:row>
    <x:row r="3001">
      <x:c r="A3001" s="12" t="str">
        <x:v>7990</x:v>
      </x:c>
      <x:c r="B3001" s="12" t="str">
        <x:v>Other reservation service and related activities</x:v>
      </x:c>
      <x:c r="C3001" s="12" t="str">
        <x:v>العقبة</x:v>
      </x:c>
      <x:c r="D3001" s="14" t="n">
        <x:v>1</x:v>
      </x:c>
      <x:c r="E3001" s="14" t="n">
        <x:f>VLOOKUP(C3001,'Governorate Master'!$A$2:$Q$13,3,FALSE)</x:f>
        <x:v>250900</x:v>
      </x:c>
      <x:c r="F3001" s="66" t="n">
        <x:f>IF(E3001=0,0,D3001/E3001*10000)</x:f>
        <x:v>0.03985651654045436</x:v>
      </x:c>
      <x:c r="G3001" s="67" t="n">
        <x:f>VLOOKUP(C3001,'Governorate Master'!$A$2:$Q$13,7,FALSE)</x:f>
        <x:v>36.3</x:v>
      </x:c>
      <x:c r="H3001" s="20" t="n">
        <x:f>VLOOKUP(C3001,'Governorate Master'!$A$2:$Q$13,6,FALSE)</x:f>
        <x:v>0.882024711040255</x:v>
      </x:c>
      <x:c r="I3001" s="20" t="n">
        <x:f>VLOOKUP(C3001,'Governorate Master'!$A$2:$Q$13,15,FALSE)</x:f>
        <x:v>-0.09</x:v>
      </x:c>
      <x:c r="J3001" s="12" t="str">
        <x:v>Location model input - competition/saturation context</x:v>
      </x:c>
      <x:c r="K3001" s="12" t="str">
        <x:v>Business count is from 2018 while population/context indicators are newer; use as a historical proxy, not a current market count.</x:v>
      </x:c>
    </x:row>
    <x:row r="3002">
      <x:c r="A3002" s="12" t="str">
        <x:v>8010</x:v>
      </x:c>
      <x:c r="B3002" s="12" t="str">
        <x:v>Private security activities</x:v>
      </x:c>
      <x:c r="C3002" s="12" t="str">
        <x:v>عمان</x:v>
      </x:c>
      <x:c r="D3002" s="14" t="n">
        <x:v>36</x:v>
      </x:c>
      <x:c r="E3002" s="14" t="n">
        <x:f>VLOOKUP(C3002,'Governorate Master'!$A$2:$Q$13,3,FALSE)</x:f>
        <x:v>5004600</x:v>
      </x:c>
      <x:c r="F3002" s="66" t="n">
        <x:f>IF(E3002=0,0,D3002/E3002*10000)</x:f>
        <x:v>0.071933820884786</x:v>
      </x:c>
      <x:c r="G3002" s="67" t="n">
        <x:f>VLOOKUP(C3002,'Governorate Master'!$A$2:$Q$13,7,FALSE)</x:f>
        <x:v>660.3</x:v>
      </x:c>
      <x:c r="H3002" s="20" t="n">
        <x:f>VLOOKUP(C3002,'Governorate Master'!$A$2:$Q$13,6,FALSE)</x:f>
        <x:v>0.9721656076409703</x:v>
      </x:c>
      <x:c r="I3002" s="20" t="n">
        <x:f>VLOOKUP(C3002,'Governorate Master'!$A$2:$Q$13,15,FALSE)</x:f>
        <x:v>0.06367041198501873</x:v>
      </x:c>
      <x:c r="J3002" s="12" t="str">
        <x:v>Location model input - competition/saturation context</x:v>
      </x:c>
      <x:c r="K3002" s="12" t="str">
        <x:v>Business count is from 2018 while population/context indicators are newer; use as a historical proxy, not a current market count.</x:v>
      </x:c>
    </x:row>
    <x:row r="3003">
      <x:c r="A3003" s="12" t="str">
        <x:v>8010</x:v>
      </x:c>
      <x:c r="B3003" s="12" t="str">
        <x:v>Private security activities</x:v>
      </x:c>
      <x:c r="C3003" s="12" t="str">
        <x:v>البلقاء</x:v>
      </x:c>
      <x:c r="D3003" s="14" t="n">
        <x:v>0</x:v>
      </x:c>
      <x:c r="E3003" s="14" t="n">
        <x:f>VLOOKUP(C3003,'Governorate Master'!$A$2:$Q$13,3,FALSE)</x:f>
        <x:v>614000</x:v>
      </x:c>
      <x:c r="F3003" s="66" t="n">
        <x:f>IF(E3003=0,0,D3003/E3003*10000)</x:f>
        <x:v>0</x:v>
      </x:c>
      <x:c r="G3003" s="67" t="n">
        <x:f>VLOOKUP(C3003,'Governorate Master'!$A$2:$Q$13,7,FALSE)</x:f>
        <x:v>548</x:v>
      </x:c>
      <x:c r="H3003" s="20" t="n">
        <x:f>VLOOKUP(C3003,'Governorate Master'!$A$2:$Q$13,6,FALSE)</x:f>
        <x:v>0.8210097719869707</x:v>
      </x:c>
      <x:c r="I3003" s="20" t="n">
        <x:f>VLOOKUP(C3003,'Governorate Master'!$A$2:$Q$13,15,FALSE)</x:f>
        <x:v>0.10794044665012408</x:v>
      </x:c>
      <x:c r="J3003" s="12" t="str">
        <x:v>Location model input - competition/saturation context</x:v>
      </x:c>
      <x:c r="K3003" s="12" t="str">
        <x:v>Business count is from 2018 while population/context indicators are newer; use as a historical proxy, not a current market count.</x:v>
      </x:c>
    </x:row>
    <x:row r="3004">
      <x:c r="A3004" s="12" t="str">
        <x:v>8010</x:v>
      </x:c>
      <x:c r="B3004" s="12" t="str">
        <x:v>Private security activities</x:v>
      </x:c>
      <x:c r="C3004" s="12" t="str">
        <x:v>الزرقاء</x:v>
      </x:c>
      <x:c r="D3004" s="14" t="n">
        <x:v>0</x:v>
      </x:c>
      <x:c r="E3004" s="14" t="n">
        <x:f>VLOOKUP(C3004,'Governorate Master'!$A$2:$Q$13,3,FALSE)</x:f>
        <x:v>1704500</x:v>
      </x:c>
      <x:c r="F3004" s="66" t="n">
        <x:f>IF(E3004=0,0,D3004/E3004*10000)</x:f>
        <x:v>0</x:v>
      </x:c>
      <x:c r="G3004" s="67" t="n">
        <x:f>VLOOKUP(C3004,'Governorate Master'!$A$2:$Q$13,7,FALSE)</x:f>
        <x:v>358</x:v>
      </x:c>
      <x:c r="H3004" s="20" t="n">
        <x:f>VLOOKUP(C3004,'Governorate Master'!$A$2:$Q$13,6,FALSE)</x:f>
        <x:v>0.9636256966852449</x:v>
      </x:c>
      <x:c r="I3004" s="20" t="n">
        <x:f>VLOOKUP(C3004,'Governorate Master'!$A$2:$Q$13,15,FALSE)</x:f>
        <x:v>-0.06808762581409118</x:v>
      </x:c>
      <x:c r="J3004" s="12" t="str">
        <x:v>Location model input - competition/saturation context</x:v>
      </x:c>
      <x:c r="K3004" s="12" t="str">
        <x:v>Business count is from 2018 while population/context indicators are newer; use as a historical proxy, not a current market count.</x:v>
      </x:c>
    </x:row>
    <x:row r="3005">
      <x:c r="A3005" s="12" t="str">
        <x:v>8010</x:v>
      </x:c>
      <x:c r="B3005" s="12" t="str">
        <x:v>Private security activities</x:v>
      </x:c>
      <x:c r="C3005" s="12" t="str">
        <x:v>مادبا</x:v>
      </x:c>
      <x:c r="D3005" s="14" t="n">
        <x:v>1</x:v>
      </x:c>
      <x:c r="E3005" s="14" t="n">
        <x:f>VLOOKUP(C3005,'Governorate Master'!$A$2:$Q$13,3,FALSE)</x:f>
        <x:v>236200</x:v>
      </x:c>
      <x:c r="F3005" s="66" t="n">
        <x:f>IF(E3005=0,0,D3005/E3005*10000)</x:f>
        <x:v>0.04233700254022015</x:v>
      </x:c>
      <x:c r="G3005" s="67" t="n">
        <x:f>VLOOKUP(C3005,'Governorate Master'!$A$2:$Q$13,7,FALSE)</x:f>
        <x:v>251.4</x:v>
      </x:c>
      <x:c r="H3005" s="20" t="n">
        <x:f>VLOOKUP(C3005,'Governorate Master'!$A$2:$Q$13,6,FALSE)</x:f>
        <x:v>0.7823878069432684</x:v>
      </x:c>
      <x:c r="I3005" s="20" t="n">
        <x:f>VLOOKUP(C3005,'Governorate Master'!$A$2:$Q$13,15,FALSE)</x:f>
        <x:v>-0.18823529411764706</x:v>
      </x:c>
      <x:c r="J3005" s="12" t="str">
        <x:v>Location model input - competition/saturation context</x:v>
      </x:c>
      <x:c r="K3005" s="12" t="str">
        <x:v>Business count is from 2018 while population/context indicators are newer; use as a historical proxy, not a current market count.</x:v>
      </x:c>
    </x:row>
    <x:row r="3006">
      <x:c r="A3006" s="12" t="str">
        <x:v>8010</x:v>
      </x:c>
      <x:c r="B3006" s="12" t="str">
        <x:v>Private security activities</x:v>
      </x:c>
      <x:c r="C3006" s="12" t="str">
        <x:v>إربد</x:v>
      </x:c>
      <x:c r="D3006" s="14" t="n">
        <x:v>1</x:v>
      </x:c>
      <x:c r="E3006" s="14" t="n">
        <x:f>VLOOKUP(C3006,'Governorate Master'!$A$2:$Q$13,3,FALSE)</x:f>
        <x:v>2210500</x:v>
      </x:c>
      <x:c r="F3006" s="66" t="n">
        <x:f>IF(E3006=0,0,D3006/E3006*10000)</x:f>
        <x:v>0.004523863379325944</x:v>
      </x:c>
      <x:c r="G3006" s="67" t="n">
        <x:f>VLOOKUP(C3006,'Governorate Master'!$A$2:$Q$13,7,FALSE)</x:f>
        <x:v>1406.4</x:v>
      </x:c>
      <x:c r="H3006" s="20" t="n">
        <x:f>VLOOKUP(C3006,'Governorate Master'!$A$2:$Q$13,6,FALSE)</x:f>
        <x:v>0.9235014702555983</x:v>
      </x:c>
      <x:c r="I3006" s="20" t="n">
        <x:f>VLOOKUP(C3006,'Governorate Master'!$A$2:$Q$13,15,FALSE)</x:f>
        <x:v>0.07086922474549726</x:v>
      </x:c>
      <x:c r="J3006" s="12" t="str">
        <x:v>Location model input - competition/saturation context</x:v>
      </x:c>
      <x:c r="K3006" s="12" t="str">
        <x:v>Business count is from 2018 while population/context indicators are newer; use as a historical proxy, not a current market count.</x:v>
      </x:c>
    </x:row>
    <x:row r="3007">
      <x:c r="A3007" s="12" t="str">
        <x:v>8010</x:v>
      </x:c>
      <x:c r="B3007" s="12" t="str">
        <x:v>Private security activities</x:v>
      </x:c>
      <x:c r="C3007" s="12" t="str">
        <x:v>المفرق</x:v>
      </x:c>
      <x:c r="D3007" s="14" t="n">
        <x:v>1</x:v>
      </x:c>
      <x:c r="E3007" s="14" t="n">
        <x:f>VLOOKUP(C3007,'Governorate Master'!$A$2:$Q$13,3,FALSE)</x:f>
        <x:v>686800</x:v>
      </x:c>
      <x:c r="F3007" s="66" t="n">
        <x:f>IF(E3007=0,0,D3007/E3007*10000)</x:f>
        <x:v>0.014560279557367502</x:v>
      </x:c>
      <x:c r="G3007" s="67" t="n">
        <x:f>VLOOKUP(C3007,'Governorate Master'!$A$2:$Q$13,7,FALSE)</x:f>
        <x:v>25.9</x:v>
      </x:c>
      <x:c r="H3007" s="20" t="n">
        <x:f>VLOOKUP(C3007,'Governorate Master'!$A$2:$Q$13,6,FALSE)</x:f>
        <x:v>0.6965637740244612</x:v>
      </x:c>
      <x:c r="I3007" s="20" t="n">
        <x:f>VLOOKUP(C3007,'Governorate Master'!$A$2:$Q$13,15,FALSE)</x:f>
        <x:v>-0.016638935108153077</x:v>
      </x:c>
      <x:c r="J3007" s="12" t="str">
        <x:v>Location model input - competition/saturation context</x:v>
      </x:c>
      <x:c r="K3007" s="12" t="str">
        <x:v>Business count is from 2018 while population/context indicators are newer; use as a historical proxy, not a current market count.</x:v>
      </x:c>
    </x:row>
    <x:row r="3008">
      <x:c r="A3008" s="12" t="str">
        <x:v>8010</x:v>
      </x:c>
      <x:c r="B3008" s="12" t="str">
        <x:v>Private security activities</x:v>
      </x:c>
      <x:c r="C3008" s="12" t="str">
        <x:v>جرش</x:v>
      </x:c>
      <x:c r="D3008" s="14" t="n">
        <x:v>0</x:v>
      </x:c>
      <x:c r="E3008" s="14" t="n">
        <x:f>VLOOKUP(C3008,'Governorate Master'!$A$2:$Q$13,3,FALSE)</x:f>
        <x:v>296000</x:v>
      </x:c>
      <x:c r="F3008" s="66" t="n">
        <x:f>IF(E3008=0,0,D3008/E3008*10000)</x:f>
        <x:v>0</x:v>
      </x:c>
      <x:c r="G3008" s="67" t="n">
        <x:f>VLOOKUP(C3008,'Governorate Master'!$A$2:$Q$13,7,FALSE)</x:f>
        <x:v>722.3</x:v>
      </x:c>
      <x:c r="H3008" s="20" t="n">
        <x:f>VLOOKUP(C3008,'Governorate Master'!$A$2:$Q$13,6,FALSE)</x:f>
        <x:v>0.7695945945945946</x:v>
      </x:c>
      <x:c r="I3008" s="20" t="n">
        <x:f>VLOOKUP(C3008,'Governorate Master'!$A$2:$Q$13,15,FALSE)</x:f>
        <x:v>-0.06527415143603134</x:v>
      </x:c>
      <x:c r="J3008" s="12" t="str">
        <x:v>Location model input - competition/saturation context</x:v>
      </x:c>
      <x:c r="K3008" s="12" t="str">
        <x:v>Business count is from 2018 while population/context indicators are newer; use as a historical proxy, not a current market count.</x:v>
      </x:c>
    </x:row>
    <x:row r="3009">
      <x:c r="A3009" s="12" t="str">
        <x:v>8010</x:v>
      </x:c>
      <x:c r="B3009" s="12" t="str">
        <x:v>Private security activities</x:v>
      </x:c>
      <x:c r="C3009" s="12" t="str">
        <x:v>عجلون</x:v>
      </x:c>
      <x:c r="D3009" s="14" t="n">
        <x:v>0</x:v>
      </x:c>
      <x:c r="E3009" s="14" t="n">
        <x:f>VLOOKUP(C3009,'Governorate Master'!$A$2:$Q$13,3,FALSE)</x:f>
        <x:v>219900</x:v>
      </x:c>
      <x:c r="F3009" s="66" t="n">
        <x:f>IF(E3009=0,0,D3009/E3009*10000)</x:f>
        <x:v>0</x:v>
      </x:c>
      <x:c r="G3009" s="67" t="n">
        <x:f>VLOOKUP(C3009,'Governorate Master'!$A$2:$Q$13,7,FALSE)</x:f>
        <x:v>524</x:v>
      </x:c>
      <x:c r="H3009" s="20" t="n">
        <x:f>VLOOKUP(C3009,'Governorate Master'!$A$2:$Q$13,6,FALSE)</x:f>
        <x:v>0.8390177353342428</x:v>
      </x:c>
      <x:c r="I3009" s="20" t="n">
        <x:f>VLOOKUP(C3009,'Governorate Master'!$A$2:$Q$13,15,FALSE)</x:f>
        <x:v>0.03614457831325301</x:v>
      </x:c>
      <x:c r="J3009" s="12" t="str">
        <x:v>Location model input - competition/saturation context</x:v>
      </x:c>
      <x:c r="K3009" s="12" t="str">
        <x:v>Business count is from 2018 while population/context indicators are newer; use as a historical proxy, not a current market count.</x:v>
      </x:c>
    </x:row>
    <x:row r="3010">
      <x:c r="A3010" s="12" t="str">
        <x:v>8010</x:v>
      </x:c>
      <x:c r="B3010" s="12" t="str">
        <x:v>Private security activities</x:v>
      </x:c>
      <x:c r="C3010" s="12" t="str">
        <x:v>الكرك</x:v>
      </x:c>
      <x:c r="D3010" s="14" t="n">
        <x:v>0</x:v>
      </x:c>
      <x:c r="E3010" s="14" t="n">
        <x:f>VLOOKUP(C3010,'Governorate Master'!$A$2:$Q$13,3,FALSE)</x:f>
        <x:v>395400</x:v>
      </x:c>
      <x:c r="F3010" s="66" t="n">
        <x:f>IF(E3010=0,0,D3010/E3010*10000)</x:f>
        <x:v>0</x:v>
      </x:c>
      <x:c r="G3010" s="67" t="n">
        <x:f>VLOOKUP(C3010,'Governorate Master'!$A$2:$Q$13,7,FALSE)</x:f>
        <x:v>113.1</x:v>
      </x:c>
      <x:c r="H3010" s="20" t="n">
        <x:f>VLOOKUP(C3010,'Governorate Master'!$A$2:$Q$13,6,FALSE)</x:f>
        <x:v>0.5912999494183105</x:v>
      </x:c>
      <x:c r="I3010" s="20" t="n">
        <x:f>VLOOKUP(C3010,'Governorate Master'!$A$2:$Q$13,15,FALSE)</x:f>
        <x:v>0.08710801393728224</x:v>
      </x:c>
      <x:c r="J3010" s="12" t="str">
        <x:v>Location model input - competition/saturation context</x:v>
      </x:c>
      <x:c r="K3010" s="12" t="str">
        <x:v>Business count is from 2018 while population/context indicators are newer; use as a historical proxy, not a current market count.</x:v>
      </x:c>
    </x:row>
    <x:row r="3011">
      <x:c r="A3011" s="12" t="str">
        <x:v>8010</x:v>
      </x:c>
      <x:c r="B3011" s="12" t="str">
        <x:v>Private security activities</x:v>
      </x:c>
      <x:c r="C3011" s="12" t="str">
        <x:v>الطفيلة</x:v>
      </x:c>
      <x:c r="D3011" s="14" t="n">
        <x:v>0</x:v>
      </x:c>
      <x:c r="E3011" s="14" t="n">
        <x:f>VLOOKUP(C3011,'Governorate Master'!$A$2:$Q$13,3,FALSE)</x:f>
        <x:v>120300</x:v>
      </x:c>
      <x:c r="F3011" s="66" t="n">
        <x:f>IF(E3011=0,0,D3011/E3011*10000)</x:f>
        <x:v>0</x:v>
      </x:c>
      <x:c r="G3011" s="67" t="n">
        <x:f>VLOOKUP(C3011,'Governorate Master'!$A$2:$Q$13,7,FALSE)</x:f>
        <x:v>54.4</x:v>
      </x:c>
      <x:c r="H3011" s="20" t="n">
        <x:f>VLOOKUP(C3011,'Governorate Master'!$A$2:$Q$13,6,FALSE)</x:f>
        <x:v>0.7797173732335827</x:v>
      </x:c>
      <x:c r="I3011" s="20" t="n">
        <x:f>VLOOKUP(C3011,'Governorate Master'!$A$2:$Q$13,15,FALSE)</x:f>
        <x:v>0.18452380952380953</x:v>
      </x:c>
      <x:c r="J3011" s="12" t="str">
        <x:v>Location model input - competition/saturation context</x:v>
      </x:c>
      <x:c r="K3011" s="12" t="str">
        <x:v>Business count is from 2018 while population/context indicators are newer; use as a historical proxy, not a current market count.</x:v>
      </x:c>
    </x:row>
    <x:row r="3012">
      <x:c r="A3012" s="12" t="str">
        <x:v>8010</x:v>
      </x:c>
      <x:c r="B3012" s="12" t="str">
        <x:v>Private security activities</x:v>
      </x:c>
      <x:c r="C3012" s="12" t="str">
        <x:v>معان</x:v>
      </x:c>
      <x:c r="D3012" s="14" t="n">
        <x:v>1</x:v>
      </x:c>
      <x:c r="E3012" s="14" t="n">
        <x:f>VLOOKUP(C3012,'Governorate Master'!$A$2:$Q$13,3,FALSE)</x:f>
        <x:v>197900</x:v>
      </x:c>
      <x:c r="F3012" s="66" t="n">
        <x:f>IF(E3012=0,0,D3012/E3012*10000)</x:f>
        <x:v>0.05053057099545225</x:v>
      </x:c>
      <x:c r="G3012" s="67" t="n">
        <x:f>VLOOKUP(C3012,'Governorate Master'!$A$2:$Q$13,7,FALSE)</x:f>
        <x:v>6</x:v>
      </x:c>
      <x:c r="H3012" s="20" t="n">
        <x:f>VLOOKUP(C3012,'Governorate Master'!$A$2:$Q$13,6,FALSE)</x:f>
        <x:v>0.5406771096513391</x:v>
      </x:c>
      <x:c r="I3012" s="20" t="n">
        <x:f>VLOOKUP(C3012,'Governorate Master'!$A$2:$Q$13,15,FALSE)</x:f>
        <x:v>0.026845637583892617</x:v>
      </x:c>
      <x:c r="J3012" s="12" t="str">
        <x:v>Location model input - competition/saturation context</x:v>
      </x:c>
      <x:c r="K3012" s="12" t="str">
        <x:v>Business count is from 2018 while population/context indicators are newer; use as a historical proxy, not a current market count.</x:v>
      </x:c>
    </x:row>
    <x:row r="3013">
      <x:c r="A3013" s="12" t="str">
        <x:v>8010</x:v>
      </x:c>
      <x:c r="B3013" s="12" t="str">
        <x:v>Private security activities</x:v>
      </x:c>
      <x:c r="C3013" s="12" t="str">
        <x:v>العقبة</x:v>
      </x:c>
      <x:c r="D3013" s="14" t="n">
        <x:v>1</x:v>
      </x:c>
      <x:c r="E3013" s="14" t="n">
        <x:f>VLOOKUP(C3013,'Governorate Master'!$A$2:$Q$13,3,FALSE)</x:f>
        <x:v>250900</x:v>
      </x:c>
      <x:c r="F3013" s="66" t="n">
        <x:f>IF(E3013=0,0,D3013/E3013*10000)</x:f>
        <x:v>0.03985651654045436</x:v>
      </x:c>
      <x:c r="G3013" s="67" t="n">
        <x:f>VLOOKUP(C3013,'Governorate Master'!$A$2:$Q$13,7,FALSE)</x:f>
        <x:v>36.3</x:v>
      </x:c>
      <x:c r="H3013" s="20" t="n">
        <x:f>VLOOKUP(C3013,'Governorate Master'!$A$2:$Q$13,6,FALSE)</x:f>
        <x:v>0.882024711040255</x:v>
      </x:c>
      <x:c r="I3013" s="20" t="n">
        <x:f>VLOOKUP(C3013,'Governorate Master'!$A$2:$Q$13,15,FALSE)</x:f>
        <x:v>-0.09</x:v>
      </x:c>
      <x:c r="J3013" s="12" t="str">
        <x:v>Location model input - competition/saturation context</x:v>
      </x:c>
      <x:c r="K3013" s="12" t="str">
        <x:v>Business count is from 2018 while population/context indicators are newer; use as a historical proxy, not a current market count.</x:v>
      </x:c>
    </x:row>
    <x:row r="3014">
      <x:c r="A3014" s="12" t="str">
        <x:v>8020</x:v>
      </x:c>
      <x:c r="B3014" s="12" t="str">
        <x:v>Security systems service activities</x:v>
      </x:c>
      <x:c r="C3014" s="12" t="str">
        <x:v>عمان</x:v>
      </x:c>
      <x:c r="D3014" s="14" t="n">
        <x:v>5</x:v>
      </x:c>
      <x:c r="E3014" s="14" t="n">
        <x:f>VLOOKUP(C3014,'Governorate Master'!$A$2:$Q$13,3,FALSE)</x:f>
        <x:v>5004600</x:v>
      </x:c>
      <x:c r="F3014" s="66" t="n">
        <x:f>IF(E3014=0,0,D3014/E3014*10000)</x:f>
        <x:v>0.009990808456220277</x:v>
      </x:c>
      <x:c r="G3014" s="67" t="n">
        <x:f>VLOOKUP(C3014,'Governorate Master'!$A$2:$Q$13,7,FALSE)</x:f>
        <x:v>660.3</x:v>
      </x:c>
      <x:c r="H3014" s="20" t="n">
        <x:f>VLOOKUP(C3014,'Governorate Master'!$A$2:$Q$13,6,FALSE)</x:f>
        <x:v>0.9721656076409703</x:v>
      </x:c>
      <x:c r="I3014" s="20" t="n">
        <x:f>VLOOKUP(C3014,'Governorate Master'!$A$2:$Q$13,15,FALSE)</x:f>
        <x:v>0.06367041198501873</x:v>
      </x:c>
      <x:c r="J3014" s="12" t="str">
        <x:v>Location model input - competition/saturation context</x:v>
      </x:c>
      <x:c r="K3014" s="12" t="str">
        <x:v>Business count is from 2018 while population/context indicators are newer; use as a historical proxy, not a current market count.</x:v>
      </x:c>
    </x:row>
    <x:row r="3015">
      <x:c r="A3015" s="12" t="str">
        <x:v>8020</x:v>
      </x:c>
      <x:c r="B3015" s="12" t="str">
        <x:v>Security systems service activities</x:v>
      </x:c>
      <x:c r="C3015" s="12" t="str">
        <x:v>البلقاء</x:v>
      </x:c>
      <x:c r="D3015" s="14" t="n">
        <x:v>0</x:v>
      </x:c>
      <x:c r="E3015" s="14" t="n">
        <x:f>VLOOKUP(C3015,'Governorate Master'!$A$2:$Q$13,3,FALSE)</x:f>
        <x:v>614000</x:v>
      </x:c>
      <x:c r="F3015" s="66" t="n">
        <x:f>IF(E3015=0,0,D3015/E3015*10000)</x:f>
        <x:v>0</x:v>
      </x:c>
      <x:c r="G3015" s="67" t="n">
        <x:f>VLOOKUP(C3015,'Governorate Master'!$A$2:$Q$13,7,FALSE)</x:f>
        <x:v>548</x:v>
      </x:c>
      <x:c r="H3015" s="20" t="n">
        <x:f>VLOOKUP(C3015,'Governorate Master'!$A$2:$Q$13,6,FALSE)</x:f>
        <x:v>0.8210097719869707</x:v>
      </x:c>
      <x:c r="I3015" s="20" t="n">
        <x:f>VLOOKUP(C3015,'Governorate Master'!$A$2:$Q$13,15,FALSE)</x:f>
        <x:v>0.10794044665012408</x:v>
      </x:c>
      <x:c r="J3015" s="12" t="str">
        <x:v>Location model input - competition/saturation context</x:v>
      </x:c>
      <x:c r="K3015" s="12" t="str">
        <x:v>Business count is from 2018 while population/context indicators are newer; use as a historical proxy, not a current market count.</x:v>
      </x:c>
    </x:row>
    <x:row r="3016">
      <x:c r="A3016" s="12" t="str">
        <x:v>8020</x:v>
      </x:c>
      <x:c r="B3016" s="12" t="str">
        <x:v>Security systems service activities</x:v>
      </x:c>
      <x:c r="C3016" s="12" t="str">
        <x:v>الزرقاء</x:v>
      </x:c>
      <x:c r="D3016" s="14" t="n">
        <x:v>0</x:v>
      </x:c>
      <x:c r="E3016" s="14" t="n">
        <x:f>VLOOKUP(C3016,'Governorate Master'!$A$2:$Q$13,3,FALSE)</x:f>
        <x:v>1704500</x:v>
      </x:c>
      <x:c r="F3016" s="66" t="n">
        <x:f>IF(E3016=0,0,D3016/E3016*10000)</x:f>
        <x:v>0</x:v>
      </x:c>
      <x:c r="G3016" s="67" t="n">
        <x:f>VLOOKUP(C3016,'Governorate Master'!$A$2:$Q$13,7,FALSE)</x:f>
        <x:v>358</x:v>
      </x:c>
      <x:c r="H3016" s="20" t="n">
        <x:f>VLOOKUP(C3016,'Governorate Master'!$A$2:$Q$13,6,FALSE)</x:f>
        <x:v>0.9636256966852449</x:v>
      </x:c>
      <x:c r="I3016" s="20" t="n">
        <x:f>VLOOKUP(C3016,'Governorate Master'!$A$2:$Q$13,15,FALSE)</x:f>
        <x:v>-0.06808762581409118</x:v>
      </x:c>
      <x:c r="J3016" s="12" t="str">
        <x:v>Location model input - competition/saturation context</x:v>
      </x:c>
      <x:c r="K3016" s="12" t="str">
        <x:v>Business count is from 2018 while population/context indicators are newer; use as a historical proxy, not a current market count.</x:v>
      </x:c>
    </x:row>
    <x:row r="3017">
      <x:c r="A3017" s="12" t="str">
        <x:v>8020</x:v>
      </x:c>
      <x:c r="B3017" s="12" t="str">
        <x:v>Security systems service activities</x:v>
      </x:c>
      <x:c r="C3017" s="12" t="str">
        <x:v>مادبا</x:v>
      </x:c>
      <x:c r="D3017" s="14" t="n">
        <x:v>0</x:v>
      </x:c>
      <x:c r="E3017" s="14" t="n">
        <x:f>VLOOKUP(C3017,'Governorate Master'!$A$2:$Q$13,3,FALSE)</x:f>
        <x:v>236200</x:v>
      </x:c>
      <x:c r="F3017" s="66" t="n">
        <x:f>IF(E3017=0,0,D3017/E3017*10000)</x:f>
        <x:v>0</x:v>
      </x:c>
      <x:c r="G3017" s="67" t="n">
        <x:f>VLOOKUP(C3017,'Governorate Master'!$A$2:$Q$13,7,FALSE)</x:f>
        <x:v>251.4</x:v>
      </x:c>
      <x:c r="H3017" s="20" t="n">
        <x:f>VLOOKUP(C3017,'Governorate Master'!$A$2:$Q$13,6,FALSE)</x:f>
        <x:v>0.7823878069432684</x:v>
      </x:c>
      <x:c r="I3017" s="20" t="n">
        <x:f>VLOOKUP(C3017,'Governorate Master'!$A$2:$Q$13,15,FALSE)</x:f>
        <x:v>-0.18823529411764706</x:v>
      </x:c>
      <x:c r="J3017" s="12" t="str">
        <x:v>Location model input - competition/saturation context</x:v>
      </x:c>
      <x:c r="K3017" s="12" t="str">
        <x:v>Business count is from 2018 while population/context indicators are newer; use as a historical proxy, not a current market count.</x:v>
      </x:c>
    </x:row>
    <x:row r="3018">
      <x:c r="A3018" s="12" t="str">
        <x:v>8020</x:v>
      </x:c>
      <x:c r="B3018" s="12" t="str">
        <x:v>Security systems service activities</x:v>
      </x:c>
      <x:c r="C3018" s="12" t="str">
        <x:v>إربد</x:v>
      </x:c>
      <x:c r="D3018" s="14" t="n">
        <x:v>1</x:v>
      </x:c>
      <x:c r="E3018" s="14" t="n">
        <x:f>VLOOKUP(C3018,'Governorate Master'!$A$2:$Q$13,3,FALSE)</x:f>
        <x:v>2210500</x:v>
      </x:c>
      <x:c r="F3018" s="66" t="n">
        <x:f>IF(E3018=0,0,D3018/E3018*10000)</x:f>
        <x:v>0.004523863379325944</x:v>
      </x:c>
      <x:c r="G3018" s="67" t="n">
        <x:f>VLOOKUP(C3018,'Governorate Master'!$A$2:$Q$13,7,FALSE)</x:f>
        <x:v>1406.4</x:v>
      </x:c>
      <x:c r="H3018" s="20" t="n">
        <x:f>VLOOKUP(C3018,'Governorate Master'!$A$2:$Q$13,6,FALSE)</x:f>
        <x:v>0.9235014702555983</x:v>
      </x:c>
      <x:c r="I3018" s="20" t="n">
        <x:f>VLOOKUP(C3018,'Governorate Master'!$A$2:$Q$13,15,FALSE)</x:f>
        <x:v>0.07086922474549726</x:v>
      </x:c>
      <x:c r="J3018" s="12" t="str">
        <x:v>Location model input - competition/saturation context</x:v>
      </x:c>
      <x:c r="K3018" s="12" t="str">
        <x:v>Business count is from 2018 while population/context indicators are newer; use as a historical proxy, not a current market count.</x:v>
      </x:c>
    </x:row>
    <x:row r="3019">
      <x:c r="A3019" s="12" t="str">
        <x:v>8020</x:v>
      </x:c>
      <x:c r="B3019" s="12" t="str">
        <x:v>Security systems service activities</x:v>
      </x:c>
      <x:c r="C3019" s="12" t="str">
        <x:v>المفرق</x:v>
      </x:c>
      <x:c r="D3019" s="14" t="n">
        <x:v>0</x:v>
      </x:c>
      <x:c r="E3019" s="14" t="n">
        <x:f>VLOOKUP(C3019,'Governorate Master'!$A$2:$Q$13,3,FALSE)</x:f>
        <x:v>686800</x:v>
      </x:c>
      <x:c r="F3019" s="66" t="n">
        <x:f>IF(E3019=0,0,D3019/E3019*10000)</x:f>
        <x:v>0</x:v>
      </x:c>
      <x:c r="G3019" s="67" t="n">
        <x:f>VLOOKUP(C3019,'Governorate Master'!$A$2:$Q$13,7,FALSE)</x:f>
        <x:v>25.9</x:v>
      </x:c>
      <x:c r="H3019" s="20" t="n">
        <x:f>VLOOKUP(C3019,'Governorate Master'!$A$2:$Q$13,6,FALSE)</x:f>
        <x:v>0.6965637740244612</x:v>
      </x:c>
      <x:c r="I3019" s="20" t="n">
        <x:f>VLOOKUP(C3019,'Governorate Master'!$A$2:$Q$13,15,FALSE)</x:f>
        <x:v>-0.016638935108153077</x:v>
      </x:c>
      <x:c r="J3019" s="12" t="str">
        <x:v>Location model input - competition/saturation context</x:v>
      </x:c>
      <x:c r="K3019" s="12" t="str">
        <x:v>Business count is from 2018 while population/context indicators are newer; use as a historical proxy, not a current market count.</x:v>
      </x:c>
    </x:row>
    <x:row r="3020">
      <x:c r="A3020" s="12" t="str">
        <x:v>8020</x:v>
      </x:c>
      <x:c r="B3020" s="12" t="str">
        <x:v>Security systems service activities</x:v>
      </x:c>
      <x:c r="C3020" s="12" t="str">
        <x:v>جرش</x:v>
      </x:c>
      <x:c r="D3020" s="14" t="n">
        <x:v>0</x:v>
      </x:c>
      <x:c r="E3020" s="14" t="n">
        <x:f>VLOOKUP(C3020,'Governorate Master'!$A$2:$Q$13,3,FALSE)</x:f>
        <x:v>296000</x:v>
      </x:c>
      <x:c r="F3020" s="66" t="n">
        <x:f>IF(E3020=0,0,D3020/E3020*10000)</x:f>
        <x:v>0</x:v>
      </x:c>
      <x:c r="G3020" s="67" t="n">
        <x:f>VLOOKUP(C3020,'Governorate Master'!$A$2:$Q$13,7,FALSE)</x:f>
        <x:v>722.3</x:v>
      </x:c>
      <x:c r="H3020" s="20" t="n">
        <x:f>VLOOKUP(C3020,'Governorate Master'!$A$2:$Q$13,6,FALSE)</x:f>
        <x:v>0.7695945945945946</x:v>
      </x:c>
      <x:c r="I3020" s="20" t="n">
        <x:f>VLOOKUP(C3020,'Governorate Master'!$A$2:$Q$13,15,FALSE)</x:f>
        <x:v>-0.06527415143603134</x:v>
      </x:c>
      <x:c r="J3020" s="12" t="str">
        <x:v>Location model input - competition/saturation context</x:v>
      </x:c>
      <x:c r="K3020" s="12" t="str">
        <x:v>Business count is from 2018 while population/context indicators are newer; use as a historical proxy, not a current market count.</x:v>
      </x:c>
    </x:row>
    <x:row r="3021">
      <x:c r="A3021" s="12" t="str">
        <x:v>8020</x:v>
      </x:c>
      <x:c r="B3021" s="12" t="str">
        <x:v>Security systems service activities</x:v>
      </x:c>
      <x:c r="C3021" s="12" t="str">
        <x:v>عجلون</x:v>
      </x:c>
      <x:c r="D3021" s="14" t="n">
        <x:v>0</x:v>
      </x:c>
      <x:c r="E3021" s="14" t="n">
        <x:f>VLOOKUP(C3021,'Governorate Master'!$A$2:$Q$13,3,FALSE)</x:f>
        <x:v>219900</x:v>
      </x:c>
      <x:c r="F3021" s="66" t="n">
        <x:f>IF(E3021=0,0,D3021/E3021*10000)</x:f>
        <x:v>0</x:v>
      </x:c>
      <x:c r="G3021" s="67" t="n">
        <x:f>VLOOKUP(C3021,'Governorate Master'!$A$2:$Q$13,7,FALSE)</x:f>
        <x:v>524</x:v>
      </x:c>
      <x:c r="H3021" s="20" t="n">
        <x:f>VLOOKUP(C3021,'Governorate Master'!$A$2:$Q$13,6,FALSE)</x:f>
        <x:v>0.8390177353342428</x:v>
      </x:c>
      <x:c r="I3021" s="20" t="n">
        <x:f>VLOOKUP(C3021,'Governorate Master'!$A$2:$Q$13,15,FALSE)</x:f>
        <x:v>0.03614457831325301</x:v>
      </x:c>
      <x:c r="J3021" s="12" t="str">
        <x:v>Location model input - competition/saturation context</x:v>
      </x:c>
      <x:c r="K3021" s="12" t="str">
        <x:v>Business count is from 2018 while population/context indicators are newer; use as a historical proxy, not a current market count.</x:v>
      </x:c>
    </x:row>
    <x:row r="3022">
      <x:c r="A3022" s="12" t="str">
        <x:v>8020</x:v>
      </x:c>
      <x:c r="B3022" s="12" t="str">
        <x:v>Security systems service activities</x:v>
      </x:c>
      <x:c r="C3022" s="12" t="str">
        <x:v>الكرك</x:v>
      </x:c>
      <x:c r="D3022" s="14" t="n">
        <x:v>0</x:v>
      </x:c>
      <x:c r="E3022" s="14" t="n">
        <x:f>VLOOKUP(C3022,'Governorate Master'!$A$2:$Q$13,3,FALSE)</x:f>
        <x:v>395400</x:v>
      </x:c>
      <x:c r="F3022" s="66" t="n">
        <x:f>IF(E3022=0,0,D3022/E3022*10000)</x:f>
        <x:v>0</x:v>
      </x:c>
      <x:c r="G3022" s="67" t="n">
        <x:f>VLOOKUP(C3022,'Governorate Master'!$A$2:$Q$13,7,FALSE)</x:f>
        <x:v>113.1</x:v>
      </x:c>
      <x:c r="H3022" s="20" t="n">
        <x:f>VLOOKUP(C3022,'Governorate Master'!$A$2:$Q$13,6,FALSE)</x:f>
        <x:v>0.5912999494183105</x:v>
      </x:c>
      <x:c r="I3022" s="20" t="n">
        <x:f>VLOOKUP(C3022,'Governorate Master'!$A$2:$Q$13,15,FALSE)</x:f>
        <x:v>0.08710801393728224</x:v>
      </x:c>
      <x:c r="J3022" s="12" t="str">
        <x:v>Location model input - competition/saturation context</x:v>
      </x:c>
      <x:c r="K3022" s="12" t="str">
        <x:v>Business count is from 2018 while population/context indicators are newer; use as a historical proxy, not a current market count.</x:v>
      </x:c>
    </x:row>
    <x:row r="3023">
      <x:c r="A3023" s="12" t="str">
        <x:v>8020</x:v>
      </x:c>
      <x:c r="B3023" s="12" t="str">
        <x:v>Security systems service activities</x:v>
      </x:c>
      <x:c r="C3023" s="12" t="str">
        <x:v>الطفيلة</x:v>
      </x:c>
      <x:c r="D3023" s="14" t="n">
        <x:v>0</x:v>
      </x:c>
      <x:c r="E3023" s="14" t="n">
        <x:f>VLOOKUP(C3023,'Governorate Master'!$A$2:$Q$13,3,FALSE)</x:f>
        <x:v>120300</x:v>
      </x:c>
      <x:c r="F3023" s="66" t="n">
        <x:f>IF(E3023=0,0,D3023/E3023*10000)</x:f>
        <x:v>0</x:v>
      </x:c>
      <x:c r="G3023" s="67" t="n">
        <x:f>VLOOKUP(C3023,'Governorate Master'!$A$2:$Q$13,7,FALSE)</x:f>
        <x:v>54.4</x:v>
      </x:c>
      <x:c r="H3023" s="20" t="n">
        <x:f>VLOOKUP(C3023,'Governorate Master'!$A$2:$Q$13,6,FALSE)</x:f>
        <x:v>0.7797173732335827</x:v>
      </x:c>
      <x:c r="I3023" s="20" t="n">
        <x:f>VLOOKUP(C3023,'Governorate Master'!$A$2:$Q$13,15,FALSE)</x:f>
        <x:v>0.18452380952380953</x:v>
      </x:c>
      <x:c r="J3023" s="12" t="str">
        <x:v>Location model input - competition/saturation context</x:v>
      </x:c>
      <x:c r="K3023" s="12" t="str">
        <x:v>Business count is from 2018 while population/context indicators are newer; use as a historical proxy, not a current market count.</x:v>
      </x:c>
    </x:row>
    <x:row r="3024">
      <x:c r="A3024" s="12" t="str">
        <x:v>8020</x:v>
      </x:c>
      <x:c r="B3024" s="12" t="str">
        <x:v>Security systems service activities</x:v>
      </x:c>
      <x:c r="C3024" s="12" t="str">
        <x:v>معان</x:v>
      </x:c>
      <x:c r="D3024" s="14" t="n">
        <x:v>0</x:v>
      </x:c>
      <x:c r="E3024" s="14" t="n">
        <x:f>VLOOKUP(C3024,'Governorate Master'!$A$2:$Q$13,3,FALSE)</x:f>
        <x:v>197900</x:v>
      </x:c>
      <x:c r="F3024" s="66" t="n">
        <x:f>IF(E3024=0,0,D3024/E3024*10000)</x:f>
        <x:v>0</x:v>
      </x:c>
      <x:c r="G3024" s="67" t="n">
        <x:f>VLOOKUP(C3024,'Governorate Master'!$A$2:$Q$13,7,FALSE)</x:f>
        <x:v>6</x:v>
      </x:c>
      <x:c r="H3024" s="20" t="n">
        <x:f>VLOOKUP(C3024,'Governorate Master'!$A$2:$Q$13,6,FALSE)</x:f>
        <x:v>0.5406771096513391</x:v>
      </x:c>
      <x:c r="I3024" s="20" t="n">
        <x:f>VLOOKUP(C3024,'Governorate Master'!$A$2:$Q$13,15,FALSE)</x:f>
        <x:v>0.026845637583892617</x:v>
      </x:c>
      <x:c r="J3024" s="12" t="str">
        <x:v>Location model input - competition/saturation context</x:v>
      </x:c>
      <x:c r="K3024" s="12" t="str">
        <x:v>Business count is from 2018 while population/context indicators are newer; use as a historical proxy, not a current market count.</x:v>
      </x:c>
    </x:row>
    <x:row r="3025">
      <x:c r="A3025" s="12" t="str">
        <x:v>8020</x:v>
      </x:c>
      <x:c r="B3025" s="12" t="str">
        <x:v>Security systems service activities</x:v>
      </x:c>
      <x:c r="C3025" s="12" t="str">
        <x:v>العقبة</x:v>
      </x:c>
      <x:c r="D3025" s="14" t="n">
        <x:v>1</x:v>
      </x:c>
      <x:c r="E3025" s="14" t="n">
        <x:f>VLOOKUP(C3025,'Governorate Master'!$A$2:$Q$13,3,FALSE)</x:f>
        <x:v>250900</x:v>
      </x:c>
      <x:c r="F3025" s="66" t="n">
        <x:f>IF(E3025=0,0,D3025/E3025*10000)</x:f>
        <x:v>0.03985651654045436</x:v>
      </x:c>
      <x:c r="G3025" s="67" t="n">
        <x:f>VLOOKUP(C3025,'Governorate Master'!$A$2:$Q$13,7,FALSE)</x:f>
        <x:v>36.3</x:v>
      </x:c>
      <x:c r="H3025" s="20" t="n">
        <x:f>VLOOKUP(C3025,'Governorate Master'!$A$2:$Q$13,6,FALSE)</x:f>
        <x:v>0.882024711040255</x:v>
      </x:c>
      <x:c r="I3025" s="20" t="n">
        <x:f>VLOOKUP(C3025,'Governorate Master'!$A$2:$Q$13,15,FALSE)</x:f>
        <x:v>-0.09</x:v>
      </x:c>
      <x:c r="J3025" s="12" t="str">
        <x:v>Location model input - competition/saturation context</x:v>
      </x:c>
      <x:c r="K3025" s="12" t="str">
        <x:v>Business count is from 2018 while population/context indicators are newer; use as a historical proxy, not a current market count.</x:v>
      </x:c>
    </x:row>
    <x:row r="3026">
      <x:c r="A3026" s="12" t="str">
        <x:v>8121</x:v>
      </x:c>
      <x:c r="B3026" s="12" t="str">
        <x:v>General cleaning of buildings</x:v>
      </x:c>
      <x:c r="C3026" s="12" t="str">
        <x:v>عمان</x:v>
      </x:c>
      <x:c r="D3026" s="14" t="n">
        <x:v>48</x:v>
      </x:c>
      <x:c r="E3026" s="14" t="n">
        <x:f>VLOOKUP(C3026,'Governorate Master'!$A$2:$Q$13,3,FALSE)</x:f>
        <x:v>5004600</x:v>
      </x:c>
      <x:c r="F3026" s="66" t="n">
        <x:f>IF(E3026=0,0,D3026/E3026*10000)</x:f>
        <x:v>0.09591176117971466</x:v>
      </x:c>
      <x:c r="G3026" s="67" t="n">
        <x:f>VLOOKUP(C3026,'Governorate Master'!$A$2:$Q$13,7,FALSE)</x:f>
        <x:v>660.3</x:v>
      </x:c>
      <x:c r="H3026" s="20" t="n">
        <x:f>VLOOKUP(C3026,'Governorate Master'!$A$2:$Q$13,6,FALSE)</x:f>
        <x:v>0.9721656076409703</x:v>
      </x:c>
      <x:c r="I3026" s="20" t="n">
        <x:f>VLOOKUP(C3026,'Governorate Master'!$A$2:$Q$13,15,FALSE)</x:f>
        <x:v>0.06367041198501873</x:v>
      </x:c>
      <x:c r="J3026" s="12" t="str">
        <x:v>Location model input - competition/saturation context</x:v>
      </x:c>
      <x:c r="K3026" s="12" t="str">
        <x:v>Business count is from 2018 while population/context indicators are newer; use as a historical proxy, not a current market count.</x:v>
      </x:c>
    </x:row>
    <x:row r="3027">
      <x:c r="A3027" s="12" t="str">
        <x:v>8121</x:v>
      </x:c>
      <x:c r="B3027" s="12" t="str">
        <x:v>General cleaning of buildings</x:v>
      </x:c>
      <x:c r="C3027" s="12" t="str">
        <x:v>البلقاء</x:v>
      </x:c>
      <x:c r="D3027" s="14" t="n">
        <x:v>0</x:v>
      </x:c>
      <x:c r="E3027" s="14" t="n">
        <x:f>VLOOKUP(C3027,'Governorate Master'!$A$2:$Q$13,3,FALSE)</x:f>
        <x:v>614000</x:v>
      </x:c>
      <x:c r="F3027" s="66" t="n">
        <x:f>IF(E3027=0,0,D3027/E3027*10000)</x:f>
        <x:v>0</x:v>
      </x:c>
      <x:c r="G3027" s="67" t="n">
        <x:f>VLOOKUP(C3027,'Governorate Master'!$A$2:$Q$13,7,FALSE)</x:f>
        <x:v>548</x:v>
      </x:c>
      <x:c r="H3027" s="20" t="n">
        <x:f>VLOOKUP(C3027,'Governorate Master'!$A$2:$Q$13,6,FALSE)</x:f>
        <x:v>0.8210097719869707</x:v>
      </x:c>
      <x:c r="I3027" s="20" t="n">
        <x:f>VLOOKUP(C3027,'Governorate Master'!$A$2:$Q$13,15,FALSE)</x:f>
        <x:v>0.10794044665012408</x:v>
      </x:c>
      <x:c r="J3027" s="12" t="str">
        <x:v>Location model input - competition/saturation context</x:v>
      </x:c>
      <x:c r="K3027" s="12" t="str">
        <x:v>Business count is from 2018 while population/context indicators are newer; use as a historical proxy, not a current market count.</x:v>
      </x:c>
    </x:row>
    <x:row r="3028">
      <x:c r="A3028" s="12" t="str">
        <x:v>8121</x:v>
      </x:c>
      <x:c r="B3028" s="12" t="str">
        <x:v>General cleaning of buildings</x:v>
      </x:c>
      <x:c r="C3028" s="12" t="str">
        <x:v>الزرقاء</x:v>
      </x:c>
      <x:c r="D3028" s="14" t="n">
        <x:v>1</x:v>
      </x:c>
      <x:c r="E3028" s="14" t="n">
        <x:f>VLOOKUP(C3028,'Governorate Master'!$A$2:$Q$13,3,FALSE)</x:f>
        <x:v>1704500</x:v>
      </x:c>
      <x:c r="F3028" s="66" t="n">
        <x:f>IF(E3028=0,0,D3028/E3028*10000)</x:f>
        <x:v>0.005866823115283074</x:v>
      </x:c>
      <x:c r="G3028" s="67" t="n">
        <x:f>VLOOKUP(C3028,'Governorate Master'!$A$2:$Q$13,7,FALSE)</x:f>
        <x:v>358</x:v>
      </x:c>
      <x:c r="H3028" s="20" t="n">
        <x:f>VLOOKUP(C3028,'Governorate Master'!$A$2:$Q$13,6,FALSE)</x:f>
        <x:v>0.9636256966852449</x:v>
      </x:c>
      <x:c r="I3028" s="20" t="n">
        <x:f>VLOOKUP(C3028,'Governorate Master'!$A$2:$Q$13,15,FALSE)</x:f>
        <x:v>-0.06808762581409118</x:v>
      </x:c>
      <x:c r="J3028" s="12" t="str">
        <x:v>Location model input - competition/saturation context</x:v>
      </x:c>
      <x:c r="K3028" s="12" t="str">
        <x:v>Business count is from 2018 while population/context indicators are newer; use as a historical proxy, not a current market count.</x:v>
      </x:c>
    </x:row>
    <x:row r="3029">
      <x:c r="A3029" s="12" t="str">
        <x:v>8121</x:v>
      </x:c>
      <x:c r="B3029" s="12" t="str">
        <x:v>General cleaning of buildings</x:v>
      </x:c>
      <x:c r="C3029" s="12" t="str">
        <x:v>مادبا</x:v>
      </x:c>
      <x:c r="D3029" s="14" t="n">
        <x:v>0</x:v>
      </x:c>
      <x:c r="E3029" s="14" t="n">
        <x:f>VLOOKUP(C3029,'Governorate Master'!$A$2:$Q$13,3,FALSE)</x:f>
        <x:v>236200</x:v>
      </x:c>
      <x:c r="F3029" s="66" t="n">
        <x:f>IF(E3029=0,0,D3029/E3029*10000)</x:f>
        <x:v>0</x:v>
      </x:c>
      <x:c r="G3029" s="67" t="n">
        <x:f>VLOOKUP(C3029,'Governorate Master'!$A$2:$Q$13,7,FALSE)</x:f>
        <x:v>251.4</x:v>
      </x:c>
      <x:c r="H3029" s="20" t="n">
        <x:f>VLOOKUP(C3029,'Governorate Master'!$A$2:$Q$13,6,FALSE)</x:f>
        <x:v>0.7823878069432684</x:v>
      </x:c>
      <x:c r="I3029" s="20" t="n">
        <x:f>VLOOKUP(C3029,'Governorate Master'!$A$2:$Q$13,15,FALSE)</x:f>
        <x:v>-0.18823529411764706</x:v>
      </x:c>
      <x:c r="J3029" s="12" t="str">
        <x:v>Location model input - competition/saturation context</x:v>
      </x:c>
      <x:c r="K3029" s="12" t="str">
        <x:v>Business count is from 2018 while population/context indicators are newer; use as a historical proxy, not a current market count.</x:v>
      </x:c>
    </x:row>
    <x:row r="3030">
      <x:c r="A3030" s="12" t="str">
        <x:v>8121</x:v>
      </x:c>
      <x:c r="B3030" s="12" t="str">
        <x:v>General cleaning of buildings</x:v>
      </x:c>
      <x:c r="C3030" s="12" t="str">
        <x:v>إربد</x:v>
      </x:c>
      <x:c r="D3030" s="14" t="n">
        <x:v>3</x:v>
      </x:c>
      <x:c r="E3030" s="14" t="n">
        <x:f>VLOOKUP(C3030,'Governorate Master'!$A$2:$Q$13,3,FALSE)</x:f>
        <x:v>2210500</x:v>
      </x:c>
      <x:c r="F3030" s="66" t="n">
        <x:f>IF(E3030=0,0,D3030/E3030*10000)</x:f>
        <x:v>0.013571590137977832</x:v>
      </x:c>
      <x:c r="G3030" s="67" t="n">
        <x:f>VLOOKUP(C3030,'Governorate Master'!$A$2:$Q$13,7,FALSE)</x:f>
        <x:v>1406.4</x:v>
      </x:c>
      <x:c r="H3030" s="20" t="n">
        <x:f>VLOOKUP(C3030,'Governorate Master'!$A$2:$Q$13,6,FALSE)</x:f>
        <x:v>0.9235014702555983</x:v>
      </x:c>
      <x:c r="I3030" s="20" t="n">
        <x:f>VLOOKUP(C3030,'Governorate Master'!$A$2:$Q$13,15,FALSE)</x:f>
        <x:v>0.07086922474549726</x:v>
      </x:c>
      <x:c r="J3030" s="12" t="str">
        <x:v>Location model input - competition/saturation context</x:v>
      </x:c>
      <x:c r="K3030" s="12" t="str">
        <x:v>Business count is from 2018 while population/context indicators are newer; use as a historical proxy, not a current market count.</x:v>
      </x:c>
    </x:row>
    <x:row r="3031">
      <x:c r="A3031" s="12" t="str">
        <x:v>8121</x:v>
      </x:c>
      <x:c r="B3031" s="12" t="str">
        <x:v>General cleaning of buildings</x:v>
      </x:c>
      <x:c r="C3031" s="12" t="str">
        <x:v>المفرق</x:v>
      </x:c>
      <x:c r="D3031" s="14" t="n">
        <x:v>0</x:v>
      </x:c>
      <x:c r="E3031" s="14" t="n">
        <x:f>VLOOKUP(C3031,'Governorate Master'!$A$2:$Q$13,3,FALSE)</x:f>
        <x:v>686800</x:v>
      </x:c>
      <x:c r="F3031" s="66" t="n">
        <x:f>IF(E3031=0,0,D3031/E3031*10000)</x:f>
        <x:v>0</x:v>
      </x:c>
      <x:c r="G3031" s="67" t="n">
        <x:f>VLOOKUP(C3031,'Governorate Master'!$A$2:$Q$13,7,FALSE)</x:f>
        <x:v>25.9</x:v>
      </x:c>
      <x:c r="H3031" s="20" t="n">
        <x:f>VLOOKUP(C3031,'Governorate Master'!$A$2:$Q$13,6,FALSE)</x:f>
        <x:v>0.6965637740244612</x:v>
      </x:c>
      <x:c r="I3031" s="20" t="n">
        <x:f>VLOOKUP(C3031,'Governorate Master'!$A$2:$Q$13,15,FALSE)</x:f>
        <x:v>-0.016638935108153077</x:v>
      </x:c>
      <x:c r="J3031" s="12" t="str">
        <x:v>Location model input - competition/saturation context</x:v>
      </x:c>
      <x:c r="K3031" s="12" t="str">
        <x:v>Business count is from 2018 while population/context indicators are newer; use as a historical proxy, not a current market count.</x:v>
      </x:c>
    </x:row>
    <x:row r="3032">
      <x:c r="A3032" s="12" t="str">
        <x:v>8121</x:v>
      </x:c>
      <x:c r="B3032" s="12" t="str">
        <x:v>General cleaning of buildings</x:v>
      </x:c>
      <x:c r="C3032" s="12" t="str">
        <x:v>جرش</x:v>
      </x:c>
      <x:c r="D3032" s="14" t="n">
        <x:v>1</x:v>
      </x:c>
      <x:c r="E3032" s="14" t="n">
        <x:f>VLOOKUP(C3032,'Governorate Master'!$A$2:$Q$13,3,FALSE)</x:f>
        <x:v>296000</x:v>
      </x:c>
      <x:c r="F3032" s="66" t="n">
        <x:f>IF(E3032=0,0,D3032/E3032*10000)</x:f>
        <x:v>0.033783783783783786</x:v>
      </x:c>
      <x:c r="G3032" s="67" t="n">
        <x:f>VLOOKUP(C3032,'Governorate Master'!$A$2:$Q$13,7,FALSE)</x:f>
        <x:v>722.3</x:v>
      </x:c>
      <x:c r="H3032" s="20" t="n">
        <x:f>VLOOKUP(C3032,'Governorate Master'!$A$2:$Q$13,6,FALSE)</x:f>
        <x:v>0.7695945945945946</x:v>
      </x:c>
      <x:c r="I3032" s="20" t="n">
        <x:f>VLOOKUP(C3032,'Governorate Master'!$A$2:$Q$13,15,FALSE)</x:f>
        <x:v>-0.06527415143603134</x:v>
      </x:c>
      <x:c r="J3032" s="12" t="str">
        <x:v>Location model input - competition/saturation context</x:v>
      </x:c>
      <x:c r="K3032" s="12" t="str">
        <x:v>Business count is from 2018 while population/context indicators are newer; use as a historical proxy, not a current market count.</x:v>
      </x:c>
    </x:row>
    <x:row r="3033">
      <x:c r="A3033" s="12" t="str">
        <x:v>8121</x:v>
      </x:c>
      <x:c r="B3033" s="12" t="str">
        <x:v>General cleaning of buildings</x:v>
      </x:c>
      <x:c r="C3033" s="12" t="str">
        <x:v>عجلون</x:v>
      </x:c>
      <x:c r="D3033" s="14" t="n">
        <x:v>1</x:v>
      </x:c>
      <x:c r="E3033" s="14" t="n">
        <x:f>VLOOKUP(C3033,'Governorate Master'!$A$2:$Q$13,3,FALSE)</x:f>
        <x:v>219900</x:v>
      </x:c>
      <x:c r="F3033" s="66" t="n">
        <x:f>IF(E3033=0,0,D3033/E3033*10000)</x:f>
        <x:v>0.04547521600727603</x:v>
      </x:c>
      <x:c r="G3033" s="67" t="n">
        <x:f>VLOOKUP(C3033,'Governorate Master'!$A$2:$Q$13,7,FALSE)</x:f>
        <x:v>524</x:v>
      </x:c>
      <x:c r="H3033" s="20" t="n">
        <x:f>VLOOKUP(C3033,'Governorate Master'!$A$2:$Q$13,6,FALSE)</x:f>
        <x:v>0.8390177353342428</x:v>
      </x:c>
      <x:c r="I3033" s="20" t="n">
        <x:f>VLOOKUP(C3033,'Governorate Master'!$A$2:$Q$13,15,FALSE)</x:f>
        <x:v>0.03614457831325301</x:v>
      </x:c>
      <x:c r="J3033" s="12" t="str">
        <x:v>Location model input - competition/saturation context</x:v>
      </x:c>
      <x:c r="K3033" s="12" t="str">
        <x:v>Business count is from 2018 while population/context indicators are newer; use as a historical proxy, not a current market count.</x:v>
      </x:c>
    </x:row>
    <x:row r="3034">
      <x:c r="A3034" s="12" t="str">
        <x:v>8121</x:v>
      </x:c>
      <x:c r="B3034" s="12" t="str">
        <x:v>General cleaning of buildings</x:v>
      </x:c>
      <x:c r="C3034" s="12" t="str">
        <x:v>الكرك</x:v>
      </x:c>
      <x:c r="D3034" s="14" t="n">
        <x:v>0</x:v>
      </x:c>
      <x:c r="E3034" s="14" t="n">
        <x:f>VLOOKUP(C3034,'Governorate Master'!$A$2:$Q$13,3,FALSE)</x:f>
        <x:v>395400</x:v>
      </x:c>
      <x:c r="F3034" s="66" t="n">
        <x:f>IF(E3034=0,0,D3034/E3034*10000)</x:f>
        <x:v>0</x:v>
      </x:c>
      <x:c r="G3034" s="67" t="n">
        <x:f>VLOOKUP(C3034,'Governorate Master'!$A$2:$Q$13,7,FALSE)</x:f>
        <x:v>113.1</x:v>
      </x:c>
      <x:c r="H3034" s="20" t="n">
        <x:f>VLOOKUP(C3034,'Governorate Master'!$A$2:$Q$13,6,FALSE)</x:f>
        <x:v>0.5912999494183105</x:v>
      </x:c>
      <x:c r="I3034" s="20" t="n">
        <x:f>VLOOKUP(C3034,'Governorate Master'!$A$2:$Q$13,15,FALSE)</x:f>
        <x:v>0.08710801393728224</x:v>
      </x:c>
      <x:c r="J3034" s="12" t="str">
        <x:v>Location model input - competition/saturation context</x:v>
      </x:c>
      <x:c r="K3034" s="12" t="str">
        <x:v>Business count is from 2018 while population/context indicators are newer; use as a historical proxy, not a current market count.</x:v>
      </x:c>
    </x:row>
    <x:row r="3035">
      <x:c r="A3035" s="12" t="str">
        <x:v>8121</x:v>
      </x:c>
      <x:c r="B3035" s="12" t="str">
        <x:v>General cleaning of buildings</x:v>
      </x:c>
      <x:c r="C3035" s="12" t="str">
        <x:v>الطفيلة</x:v>
      </x:c>
      <x:c r="D3035" s="14" t="n">
        <x:v>0</x:v>
      </x:c>
      <x:c r="E3035" s="14" t="n">
        <x:f>VLOOKUP(C3035,'Governorate Master'!$A$2:$Q$13,3,FALSE)</x:f>
        <x:v>120300</x:v>
      </x:c>
      <x:c r="F3035" s="66" t="n">
        <x:f>IF(E3035=0,0,D3035/E3035*10000)</x:f>
        <x:v>0</x:v>
      </x:c>
      <x:c r="G3035" s="67" t="n">
        <x:f>VLOOKUP(C3035,'Governorate Master'!$A$2:$Q$13,7,FALSE)</x:f>
        <x:v>54.4</x:v>
      </x:c>
      <x:c r="H3035" s="20" t="n">
        <x:f>VLOOKUP(C3035,'Governorate Master'!$A$2:$Q$13,6,FALSE)</x:f>
        <x:v>0.7797173732335827</x:v>
      </x:c>
      <x:c r="I3035" s="20" t="n">
        <x:f>VLOOKUP(C3035,'Governorate Master'!$A$2:$Q$13,15,FALSE)</x:f>
        <x:v>0.18452380952380953</x:v>
      </x:c>
      <x:c r="J3035" s="12" t="str">
        <x:v>Location model input - competition/saturation context</x:v>
      </x:c>
      <x:c r="K3035" s="12" t="str">
        <x:v>Business count is from 2018 while population/context indicators are newer; use as a historical proxy, not a current market count.</x:v>
      </x:c>
    </x:row>
    <x:row r="3036">
      <x:c r="A3036" s="12" t="str">
        <x:v>8121</x:v>
      </x:c>
      <x:c r="B3036" s="12" t="str">
        <x:v>General cleaning of buildings</x:v>
      </x:c>
      <x:c r="C3036" s="12" t="str">
        <x:v>معان</x:v>
      </x:c>
      <x:c r="D3036" s="14" t="n">
        <x:v>0</x:v>
      </x:c>
      <x:c r="E3036" s="14" t="n">
        <x:f>VLOOKUP(C3036,'Governorate Master'!$A$2:$Q$13,3,FALSE)</x:f>
        <x:v>197900</x:v>
      </x:c>
      <x:c r="F3036" s="66" t="n">
        <x:f>IF(E3036=0,0,D3036/E3036*10000)</x:f>
        <x:v>0</x:v>
      </x:c>
      <x:c r="G3036" s="67" t="n">
        <x:f>VLOOKUP(C3036,'Governorate Master'!$A$2:$Q$13,7,FALSE)</x:f>
        <x:v>6</x:v>
      </x:c>
      <x:c r="H3036" s="20" t="n">
        <x:f>VLOOKUP(C3036,'Governorate Master'!$A$2:$Q$13,6,FALSE)</x:f>
        <x:v>0.5406771096513391</x:v>
      </x:c>
      <x:c r="I3036" s="20" t="n">
        <x:f>VLOOKUP(C3036,'Governorate Master'!$A$2:$Q$13,15,FALSE)</x:f>
        <x:v>0.026845637583892617</x:v>
      </x:c>
      <x:c r="J3036" s="12" t="str">
        <x:v>Location model input - competition/saturation context</x:v>
      </x:c>
      <x:c r="K3036" s="12" t="str">
        <x:v>Business count is from 2018 while population/context indicators are newer; use as a historical proxy, not a current market count.</x:v>
      </x:c>
    </x:row>
    <x:row r="3037">
      <x:c r="A3037" s="12" t="str">
        <x:v>8121</x:v>
      </x:c>
      <x:c r="B3037" s="12" t="str">
        <x:v>General cleaning of buildings</x:v>
      </x:c>
      <x:c r="C3037" s="12" t="str">
        <x:v>العقبة</x:v>
      </x:c>
      <x:c r="D3037" s="14" t="n">
        <x:v>2</x:v>
      </x:c>
      <x:c r="E3037" s="14" t="n">
        <x:f>VLOOKUP(C3037,'Governorate Master'!$A$2:$Q$13,3,FALSE)</x:f>
        <x:v>250900</x:v>
      </x:c>
      <x:c r="F3037" s="66" t="n">
        <x:f>IF(E3037=0,0,D3037/E3037*10000)</x:f>
        <x:v>0.07971303308090873</x:v>
      </x:c>
      <x:c r="G3037" s="67" t="n">
        <x:f>VLOOKUP(C3037,'Governorate Master'!$A$2:$Q$13,7,FALSE)</x:f>
        <x:v>36.3</x:v>
      </x:c>
      <x:c r="H3037" s="20" t="n">
        <x:f>VLOOKUP(C3037,'Governorate Master'!$A$2:$Q$13,6,FALSE)</x:f>
        <x:v>0.882024711040255</x:v>
      </x:c>
      <x:c r="I3037" s="20" t="n">
        <x:f>VLOOKUP(C3037,'Governorate Master'!$A$2:$Q$13,15,FALSE)</x:f>
        <x:v>-0.09</x:v>
      </x:c>
      <x:c r="J3037" s="12" t="str">
        <x:v>Location model input - competition/saturation context</x:v>
      </x:c>
      <x:c r="K3037" s="12" t="str">
        <x:v>Business count is from 2018 while population/context indicators are newer; use as a historical proxy, not a current market count.</x:v>
      </x:c>
    </x:row>
    <x:row r="3038">
      <x:c r="A3038" s="12" t="str">
        <x:v>8129</x:v>
      </x:c>
      <x:c r="B3038" s="12" t="str">
        <x:v>Other building and industrial cleaning activities</x:v>
      </x:c>
      <x:c r="C3038" s="12" t="str">
        <x:v>عمان</x:v>
      </x:c>
      <x:c r="D3038" s="14" t="n">
        <x:v>4</x:v>
      </x:c>
      <x:c r="E3038" s="14" t="n">
        <x:f>VLOOKUP(C3038,'Governorate Master'!$A$2:$Q$13,3,FALSE)</x:f>
        <x:v>5004600</x:v>
      </x:c>
      <x:c r="F3038" s="66" t="n">
        <x:f>IF(E3038=0,0,D3038/E3038*10000)</x:f>
        <x:v>0.007992646764976222</x:v>
      </x:c>
      <x:c r="G3038" s="67" t="n">
        <x:f>VLOOKUP(C3038,'Governorate Master'!$A$2:$Q$13,7,FALSE)</x:f>
        <x:v>660.3</x:v>
      </x:c>
      <x:c r="H3038" s="20" t="n">
        <x:f>VLOOKUP(C3038,'Governorate Master'!$A$2:$Q$13,6,FALSE)</x:f>
        <x:v>0.9721656076409703</x:v>
      </x:c>
      <x:c r="I3038" s="20" t="n">
        <x:f>VLOOKUP(C3038,'Governorate Master'!$A$2:$Q$13,15,FALSE)</x:f>
        <x:v>0.06367041198501873</x:v>
      </x:c>
      <x:c r="J3038" s="12" t="str">
        <x:v>Location model input - competition/saturation context</x:v>
      </x:c>
      <x:c r="K3038" s="12" t="str">
        <x:v>Business count is from 2018 while population/context indicators are newer; use as a historical proxy, not a current market count.</x:v>
      </x:c>
    </x:row>
    <x:row r="3039">
      <x:c r="A3039" s="12" t="str">
        <x:v>8129</x:v>
      </x:c>
      <x:c r="B3039" s="12" t="str">
        <x:v>Other building and industrial cleaning activities</x:v>
      </x:c>
      <x:c r="C3039" s="12" t="str">
        <x:v>البلقاء</x:v>
      </x:c>
      <x:c r="D3039" s="14" t="n">
        <x:v>0</x:v>
      </x:c>
      <x:c r="E3039" s="14" t="n">
        <x:f>VLOOKUP(C3039,'Governorate Master'!$A$2:$Q$13,3,FALSE)</x:f>
        <x:v>614000</x:v>
      </x:c>
      <x:c r="F3039" s="66" t="n">
        <x:f>IF(E3039=0,0,D3039/E3039*10000)</x:f>
        <x:v>0</x:v>
      </x:c>
      <x:c r="G3039" s="67" t="n">
        <x:f>VLOOKUP(C3039,'Governorate Master'!$A$2:$Q$13,7,FALSE)</x:f>
        <x:v>548</x:v>
      </x:c>
      <x:c r="H3039" s="20" t="n">
        <x:f>VLOOKUP(C3039,'Governorate Master'!$A$2:$Q$13,6,FALSE)</x:f>
        <x:v>0.8210097719869707</x:v>
      </x:c>
      <x:c r="I3039" s="20" t="n">
        <x:f>VLOOKUP(C3039,'Governorate Master'!$A$2:$Q$13,15,FALSE)</x:f>
        <x:v>0.10794044665012408</x:v>
      </x:c>
      <x:c r="J3039" s="12" t="str">
        <x:v>Location model input - competition/saturation context</x:v>
      </x:c>
      <x:c r="K3039" s="12" t="str">
        <x:v>Business count is from 2018 while population/context indicators are newer; use as a historical proxy, not a current market count.</x:v>
      </x:c>
    </x:row>
    <x:row r="3040">
      <x:c r="A3040" s="12" t="str">
        <x:v>8129</x:v>
      </x:c>
      <x:c r="B3040" s="12" t="str">
        <x:v>Other building and industrial cleaning activities</x:v>
      </x:c>
      <x:c r="C3040" s="12" t="str">
        <x:v>الزرقاء</x:v>
      </x:c>
      <x:c r="D3040" s="14" t="n">
        <x:v>0</x:v>
      </x:c>
      <x:c r="E3040" s="14" t="n">
        <x:f>VLOOKUP(C3040,'Governorate Master'!$A$2:$Q$13,3,FALSE)</x:f>
        <x:v>1704500</x:v>
      </x:c>
      <x:c r="F3040" s="66" t="n">
        <x:f>IF(E3040=0,0,D3040/E3040*10000)</x:f>
        <x:v>0</x:v>
      </x:c>
      <x:c r="G3040" s="67" t="n">
        <x:f>VLOOKUP(C3040,'Governorate Master'!$A$2:$Q$13,7,FALSE)</x:f>
        <x:v>358</x:v>
      </x:c>
      <x:c r="H3040" s="20" t="n">
        <x:f>VLOOKUP(C3040,'Governorate Master'!$A$2:$Q$13,6,FALSE)</x:f>
        <x:v>0.9636256966852449</x:v>
      </x:c>
      <x:c r="I3040" s="20" t="n">
        <x:f>VLOOKUP(C3040,'Governorate Master'!$A$2:$Q$13,15,FALSE)</x:f>
        <x:v>-0.06808762581409118</x:v>
      </x:c>
      <x:c r="J3040" s="12" t="str">
        <x:v>Location model input - competition/saturation context</x:v>
      </x:c>
      <x:c r="K3040" s="12" t="str">
        <x:v>Business count is from 2018 while population/context indicators are newer; use as a historical proxy, not a current market count.</x:v>
      </x:c>
    </x:row>
    <x:row r="3041">
      <x:c r="A3041" s="12" t="str">
        <x:v>8129</x:v>
      </x:c>
      <x:c r="B3041" s="12" t="str">
        <x:v>Other building and industrial cleaning activities</x:v>
      </x:c>
      <x:c r="C3041" s="12" t="str">
        <x:v>مادبا</x:v>
      </x:c>
      <x:c r="D3041" s="14" t="n">
        <x:v>0</x:v>
      </x:c>
      <x:c r="E3041" s="14" t="n">
        <x:f>VLOOKUP(C3041,'Governorate Master'!$A$2:$Q$13,3,FALSE)</x:f>
        <x:v>236200</x:v>
      </x:c>
      <x:c r="F3041" s="66" t="n">
        <x:f>IF(E3041=0,0,D3041/E3041*10000)</x:f>
        <x:v>0</x:v>
      </x:c>
      <x:c r="G3041" s="67" t="n">
        <x:f>VLOOKUP(C3041,'Governorate Master'!$A$2:$Q$13,7,FALSE)</x:f>
        <x:v>251.4</x:v>
      </x:c>
      <x:c r="H3041" s="20" t="n">
        <x:f>VLOOKUP(C3041,'Governorate Master'!$A$2:$Q$13,6,FALSE)</x:f>
        <x:v>0.7823878069432684</x:v>
      </x:c>
      <x:c r="I3041" s="20" t="n">
        <x:f>VLOOKUP(C3041,'Governorate Master'!$A$2:$Q$13,15,FALSE)</x:f>
        <x:v>-0.18823529411764706</x:v>
      </x:c>
      <x:c r="J3041" s="12" t="str">
        <x:v>Location model input - competition/saturation context</x:v>
      </x:c>
      <x:c r="K3041" s="12" t="str">
        <x:v>Business count is from 2018 while population/context indicators are newer; use as a historical proxy, not a current market count.</x:v>
      </x:c>
    </x:row>
    <x:row r="3042">
      <x:c r="A3042" s="12" t="str">
        <x:v>8129</x:v>
      </x:c>
      <x:c r="B3042" s="12" t="str">
        <x:v>Other building and industrial cleaning activities</x:v>
      </x:c>
      <x:c r="C3042" s="12" t="str">
        <x:v>إربد</x:v>
      </x:c>
      <x:c r="D3042" s="14" t="n">
        <x:v>0</x:v>
      </x:c>
      <x:c r="E3042" s="14" t="n">
        <x:f>VLOOKUP(C3042,'Governorate Master'!$A$2:$Q$13,3,FALSE)</x:f>
        <x:v>2210500</x:v>
      </x:c>
      <x:c r="F3042" s="66" t="n">
        <x:f>IF(E3042=0,0,D3042/E3042*10000)</x:f>
        <x:v>0</x:v>
      </x:c>
      <x:c r="G3042" s="67" t="n">
        <x:f>VLOOKUP(C3042,'Governorate Master'!$A$2:$Q$13,7,FALSE)</x:f>
        <x:v>1406.4</x:v>
      </x:c>
      <x:c r="H3042" s="20" t="n">
        <x:f>VLOOKUP(C3042,'Governorate Master'!$A$2:$Q$13,6,FALSE)</x:f>
        <x:v>0.9235014702555983</x:v>
      </x:c>
      <x:c r="I3042" s="20" t="n">
        <x:f>VLOOKUP(C3042,'Governorate Master'!$A$2:$Q$13,15,FALSE)</x:f>
        <x:v>0.07086922474549726</x:v>
      </x:c>
      <x:c r="J3042" s="12" t="str">
        <x:v>Location model input - competition/saturation context</x:v>
      </x:c>
      <x:c r="K3042" s="12" t="str">
        <x:v>Business count is from 2018 while population/context indicators are newer; use as a historical proxy, not a current market count.</x:v>
      </x:c>
    </x:row>
    <x:row r="3043">
      <x:c r="A3043" s="12" t="str">
        <x:v>8129</x:v>
      </x:c>
      <x:c r="B3043" s="12" t="str">
        <x:v>Other building and industrial cleaning activities</x:v>
      </x:c>
      <x:c r="C3043" s="12" t="str">
        <x:v>المفرق</x:v>
      </x:c>
      <x:c r="D3043" s="14" t="n">
        <x:v>0</x:v>
      </x:c>
      <x:c r="E3043" s="14" t="n">
        <x:f>VLOOKUP(C3043,'Governorate Master'!$A$2:$Q$13,3,FALSE)</x:f>
        <x:v>686800</x:v>
      </x:c>
      <x:c r="F3043" s="66" t="n">
        <x:f>IF(E3043=0,0,D3043/E3043*10000)</x:f>
        <x:v>0</x:v>
      </x:c>
      <x:c r="G3043" s="67" t="n">
        <x:f>VLOOKUP(C3043,'Governorate Master'!$A$2:$Q$13,7,FALSE)</x:f>
        <x:v>25.9</x:v>
      </x:c>
      <x:c r="H3043" s="20" t="n">
        <x:f>VLOOKUP(C3043,'Governorate Master'!$A$2:$Q$13,6,FALSE)</x:f>
        <x:v>0.6965637740244612</x:v>
      </x:c>
      <x:c r="I3043" s="20" t="n">
        <x:f>VLOOKUP(C3043,'Governorate Master'!$A$2:$Q$13,15,FALSE)</x:f>
        <x:v>-0.016638935108153077</x:v>
      </x:c>
      <x:c r="J3043" s="12" t="str">
        <x:v>Location model input - competition/saturation context</x:v>
      </x:c>
      <x:c r="K3043" s="12" t="str">
        <x:v>Business count is from 2018 while population/context indicators are newer; use as a historical proxy, not a current market count.</x:v>
      </x:c>
    </x:row>
    <x:row r="3044">
      <x:c r="A3044" s="12" t="str">
        <x:v>8129</x:v>
      </x:c>
      <x:c r="B3044" s="12" t="str">
        <x:v>Other building and industrial cleaning activities</x:v>
      </x:c>
      <x:c r="C3044" s="12" t="str">
        <x:v>جرش</x:v>
      </x:c>
      <x:c r="D3044" s="14" t="n">
        <x:v>0</x:v>
      </x:c>
      <x:c r="E3044" s="14" t="n">
        <x:f>VLOOKUP(C3044,'Governorate Master'!$A$2:$Q$13,3,FALSE)</x:f>
        <x:v>296000</x:v>
      </x:c>
      <x:c r="F3044" s="66" t="n">
        <x:f>IF(E3044=0,0,D3044/E3044*10000)</x:f>
        <x:v>0</x:v>
      </x:c>
      <x:c r="G3044" s="67" t="n">
        <x:f>VLOOKUP(C3044,'Governorate Master'!$A$2:$Q$13,7,FALSE)</x:f>
        <x:v>722.3</x:v>
      </x:c>
      <x:c r="H3044" s="20" t="n">
        <x:f>VLOOKUP(C3044,'Governorate Master'!$A$2:$Q$13,6,FALSE)</x:f>
        <x:v>0.7695945945945946</x:v>
      </x:c>
      <x:c r="I3044" s="20" t="n">
        <x:f>VLOOKUP(C3044,'Governorate Master'!$A$2:$Q$13,15,FALSE)</x:f>
        <x:v>-0.06527415143603134</x:v>
      </x:c>
      <x:c r="J3044" s="12" t="str">
        <x:v>Location model input - competition/saturation context</x:v>
      </x:c>
      <x:c r="K3044" s="12" t="str">
        <x:v>Business count is from 2018 while population/context indicators are newer; use as a historical proxy, not a current market count.</x:v>
      </x:c>
    </x:row>
    <x:row r="3045">
      <x:c r="A3045" s="12" t="str">
        <x:v>8129</x:v>
      </x:c>
      <x:c r="B3045" s="12" t="str">
        <x:v>Other building and industrial cleaning activities</x:v>
      </x:c>
      <x:c r="C3045" s="12" t="str">
        <x:v>عجلون</x:v>
      </x:c>
      <x:c r="D3045" s="14" t="n">
        <x:v>0</x:v>
      </x:c>
      <x:c r="E3045" s="14" t="n">
        <x:f>VLOOKUP(C3045,'Governorate Master'!$A$2:$Q$13,3,FALSE)</x:f>
        <x:v>219900</x:v>
      </x:c>
      <x:c r="F3045" s="66" t="n">
        <x:f>IF(E3045=0,0,D3045/E3045*10000)</x:f>
        <x:v>0</x:v>
      </x:c>
      <x:c r="G3045" s="67" t="n">
        <x:f>VLOOKUP(C3045,'Governorate Master'!$A$2:$Q$13,7,FALSE)</x:f>
        <x:v>524</x:v>
      </x:c>
      <x:c r="H3045" s="20" t="n">
        <x:f>VLOOKUP(C3045,'Governorate Master'!$A$2:$Q$13,6,FALSE)</x:f>
        <x:v>0.8390177353342428</x:v>
      </x:c>
      <x:c r="I3045" s="20" t="n">
        <x:f>VLOOKUP(C3045,'Governorate Master'!$A$2:$Q$13,15,FALSE)</x:f>
        <x:v>0.03614457831325301</x:v>
      </x:c>
      <x:c r="J3045" s="12" t="str">
        <x:v>Location model input - competition/saturation context</x:v>
      </x:c>
      <x:c r="K3045" s="12" t="str">
        <x:v>Business count is from 2018 while population/context indicators are newer; use as a historical proxy, not a current market count.</x:v>
      </x:c>
    </x:row>
    <x:row r="3046">
      <x:c r="A3046" s="12" t="str">
        <x:v>8129</x:v>
      </x:c>
      <x:c r="B3046" s="12" t="str">
        <x:v>Other building and industrial cleaning activities</x:v>
      </x:c>
      <x:c r="C3046" s="12" t="str">
        <x:v>الكرك</x:v>
      </x:c>
      <x:c r="D3046" s="14" t="n">
        <x:v>1</x:v>
      </x:c>
      <x:c r="E3046" s="14" t="n">
        <x:f>VLOOKUP(C3046,'Governorate Master'!$A$2:$Q$13,3,FALSE)</x:f>
        <x:v>395400</x:v>
      </x:c>
      <x:c r="F3046" s="66" t="n">
        <x:f>IF(E3046=0,0,D3046/E3046*10000)</x:f>
        <x:v>0.025290844714213452</x:v>
      </x:c>
      <x:c r="G3046" s="67" t="n">
        <x:f>VLOOKUP(C3046,'Governorate Master'!$A$2:$Q$13,7,FALSE)</x:f>
        <x:v>113.1</x:v>
      </x:c>
      <x:c r="H3046" s="20" t="n">
        <x:f>VLOOKUP(C3046,'Governorate Master'!$A$2:$Q$13,6,FALSE)</x:f>
        <x:v>0.5912999494183105</x:v>
      </x:c>
      <x:c r="I3046" s="20" t="n">
        <x:f>VLOOKUP(C3046,'Governorate Master'!$A$2:$Q$13,15,FALSE)</x:f>
        <x:v>0.08710801393728224</x:v>
      </x:c>
      <x:c r="J3046" s="12" t="str">
        <x:v>Location model input - competition/saturation context</x:v>
      </x:c>
      <x:c r="K3046" s="12" t="str">
        <x:v>Business count is from 2018 while population/context indicators are newer; use as a historical proxy, not a current market count.</x:v>
      </x:c>
    </x:row>
    <x:row r="3047">
      <x:c r="A3047" s="12" t="str">
        <x:v>8129</x:v>
      </x:c>
      <x:c r="B3047" s="12" t="str">
        <x:v>Other building and industrial cleaning activities</x:v>
      </x:c>
      <x:c r="C3047" s="12" t="str">
        <x:v>الطفيلة</x:v>
      </x:c>
      <x:c r="D3047" s="14" t="n">
        <x:v>0</x:v>
      </x:c>
      <x:c r="E3047" s="14" t="n">
        <x:f>VLOOKUP(C3047,'Governorate Master'!$A$2:$Q$13,3,FALSE)</x:f>
        <x:v>120300</x:v>
      </x:c>
      <x:c r="F3047" s="66" t="n">
        <x:f>IF(E3047=0,0,D3047/E3047*10000)</x:f>
        <x:v>0</x:v>
      </x:c>
      <x:c r="G3047" s="67" t="n">
        <x:f>VLOOKUP(C3047,'Governorate Master'!$A$2:$Q$13,7,FALSE)</x:f>
        <x:v>54.4</x:v>
      </x:c>
      <x:c r="H3047" s="20" t="n">
        <x:f>VLOOKUP(C3047,'Governorate Master'!$A$2:$Q$13,6,FALSE)</x:f>
        <x:v>0.7797173732335827</x:v>
      </x:c>
      <x:c r="I3047" s="20" t="n">
        <x:f>VLOOKUP(C3047,'Governorate Master'!$A$2:$Q$13,15,FALSE)</x:f>
        <x:v>0.18452380952380953</x:v>
      </x:c>
      <x:c r="J3047" s="12" t="str">
        <x:v>Location model input - competition/saturation context</x:v>
      </x:c>
      <x:c r="K3047" s="12" t="str">
        <x:v>Business count is from 2018 while population/context indicators are newer; use as a historical proxy, not a current market count.</x:v>
      </x:c>
    </x:row>
    <x:row r="3048">
      <x:c r="A3048" s="12" t="str">
        <x:v>8129</x:v>
      </x:c>
      <x:c r="B3048" s="12" t="str">
        <x:v>Other building and industrial cleaning activities</x:v>
      </x:c>
      <x:c r="C3048" s="12" t="str">
        <x:v>معان</x:v>
      </x:c>
      <x:c r="D3048" s="14" t="n">
        <x:v>0</x:v>
      </x:c>
      <x:c r="E3048" s="14" t="n">
        <x:f>VLOOKUP(C3048,'Governorate Master'!$A$2:$Q$13,3,FALSE)</x:f>
        <x:v>197900</x:v>
      </x:c>
      <x:c r="F3048" s="66" t="n">
        <x:f>IF(E3048=0,0,D3048/E3048*10000)</x:f>
        <x:v>0</x:v>
      </x:c>
      <x:c r="G3048" s="67" t="n">
        <x:f>VLOOKUP(C3048,'Governorate Master'!$A$2:$Q$13,7,FALSE)</x:f>
        <x:v>6</x:v>
      </x:c>
      <x:c r="H3048" s="20" t="n">
        <x:f>VLOOKUP(C3048,'Governorate Master'!$A$2:$Q$13,6,FALSE)</x:f>
        <x:v>0.5406771096513391</x:v>
      </x:c>
      <x:c r="I3048" s="20" t="n">
        <x:f>VLOOKUP(C3048,'Governorate Master'!$A$2:$Q$13,15,FALSE)</x:f>
        <x:v>0.026845637583892617</x:v>
      </x:c>
      <x:c r="J3048" s="12" t="str">
        <x:v>Location model input - competition/saturation context</x:v>
      </x:c>
      <x:c r="K3048" s="12" t="str">
        <x:v>Business count is from 2018 while population/context indicators are newer; use as a historical proxy, not a current market count.</x:v>
      </x:c>
    </x:row>
    <x:row r="3049">
      <x:c r="A3049" s="12" t="str">
        <x:v>8129</x:v>
      </x:c>
      <x:c r="B3049" s="12" t="str">
        <x:v>Other building and industrial cleaning activities</x:v>
      </x:c>
      <x:c r="C3049" s="12" t="str">
        <x:v>العقبة</x:v>
      </x:c>
      <x:c r="D3049" s="14" t="n">
        <x:v>0</x:v>
      </x:c>
      <x:c r="E3049" s="14" t="n">
        <x:f>VLOOKUP(C3049,'Governorate Master'!$A$2:$Q$13,3,FALSE)</x:f>
        <x:v>250900</x:v>
      </x:c>
      <x:c r="F3049" s="66" t="n">
        <x:f>IF(E3049=0,0,D3049/E3049*10000)</x:f>
        <x:v>0</x:v>
      </x:c>
      <x:c r="G3049" s="67" t="n">
        <x:f>VLOOKUP(C3049,'Governorate Master'!$A$2:$Q$13,7,FALSE)</x:f>
        <x:v>36.3</x:v>
      </x:c>
      <x:c r="H3049" s="20" t="n">
        <x:f>VLOOKUP(C3049,'Governorate Master'!$A$2:$Q$13,6,FALSE)</x:f>
        <x:v>0.882024711040255</x:v>
      </x:c>
      <x:c r="I3049" s="20" t="n">
        <x:f>VLOOKUP(C3049,'Governorate Master'!$A$2:$Q$13,15,FALSE)</x:f>
        <x:v>-0.09</x:v>
      </x:c>
      <x:c r="J3049" s="12" t="str">
        <x:v>Location model input - competition/saturation context</x:v>
      </x:c>
      <x:c r="K3049" s="12" t="str">
        <x:v>Business count is from 2018 while population/context indicators are newer; use as a historical proxy, not a current market count.</x:v>
      </x:c>
    </x:row>
    <x:row r="3050">
      <x:c r="A3050" s="12" t="str">
        <x:v>8130</x:v>
      </x:c>
      <x:c r="B3050" s="12" t="str">
        <x:v>Landscape care and maintenance service activities</x:v>
      </x:c>
      <x:c r="C3050" s="12" t="str">
        <x:v>عمان</x:v>
      </x:c>
      <x:c r="D3050" s="14" t="n">
        <x:v>6</x:v>
      </x:c>
      <x:c r="E3050" s="14" t="n">
        <x:f>VLOOKUP(C3050,'Governorate Master'!$A$2:$Q$13,3,FALSE)</x:f>
        <x:v>5004600</x:v>
      </x:c>
      <x:c r="F3050" s="66" t="n">
        <x:f>IF(E3050=0,0,D3050/E3050*10000)</x:f>
        <x:v>0.011988970147464332</x:v>
      </x:c>
      <x:c r="G3050" s="67" t="n">
        <x:f>VLOOKUP(C3050,'Governorate Master'!$A$2:$Q$13,7,FALSE)</x:f>
        <x:v>660.3</x:v>
      </x:c>
      <x:c r="H3050" s="20" t="n">
        <x:f>VLOOKUP(C3050,'Governorate Master'!$A$2:$Q$13,6,FALSE)</x:f>
        <x:v>0.9721656076409703</x:v>
      </x:c>
      <x:c r="I3050" s="20" t="n">
        <x:f>VLOOKUP(C3050,'Governorate Master'!$A$2:$Q$13,15,FALSE)</x:f>
        <x:v>0.06367041198501873</x:v>
      </x:c>
      <x:c r="J3050" s="12" t="str">
        <x:v>Location model input - competition/saturation context</x:v>
      </x:c>
      <x:c r="K3050" s="12" t="str">
        <x:v>Business count is from 2018 while population/context indicators are newer; use as a historical proxy, not a current market count.</x:v>
      </x:c>
    </x:row>
    <x:row r="3051">
      <x:c r="A3051" s="12" t="str">
        <x:v>8130</x:v>
      </x:c>
      <x:c r="B3051" s="12" t="str">
        <x:v>Landscape care and maintenance service activities</x:v>
      </x:c>
      <x:c r="C3051" s="12" t="str">
        <x:v>البلقاء</x:v>
      </x:c>
      <x:c r="D3051" s="14" t="n">
        <x:v>0</x:v>
      </x:c>
      <x:c r="E3051" s="14" t="n">
        <x:f>VLOOKUP(C3051,'Governorate Master'!$A$2:$Q$13,3,FALSE)</x:f>
        <x:v>614000</x:v>
      </x:c>
      <x:c r="F3051" s="66" t="n">
        <x:f>IF(E3051=0,0,D3051/E3051*10000)</x:f>
        <x:v>0</x:v>
      </x:c>
      <x:c r="G3051" s="67" t="n">
        <x:f>VLOOKUP(C3051,'Governorate Master'!$A$2:$Q$13,7,FALSE)</x:f>
        <x:v>548</x:v>
      </x:c>
      <x:c r="H3051" s="20" t="n">
        <x:f>VLOOKUP(C3051,'Governorate Master'!$A$2:$Q$13,6,FALSE)</x:f>
        <x:v>0.8210097719869707</x:v>
      </x:c>
      <x:c r="I3051" s="20" t="n">
        <x:f>VLOOKUP(C3051,'Governorate Master'!$A$2:$Q$13,15,FALSE)</x:f>
        <x:v>0.10794044665012408</x:v>
      </x:c>
      <x:c r="J3051" s="12" t="str">
        <x:v>Location model input - competition/saturation context</x:v>
      </x:c>
      <x:c r="K3051" s="12" t="str">
        <x:v>Business count is from 2018 while population/context indicators are newer; use as a historical proxy, not a current market count.</x:v>
      </x:c>
    </x:row>
    <x:row r="3052">
      <x:c r="A3052" s="12" t="str">
        <x:v>8130</x:v>
      </x:c>
      <x:c r="B3052" s="12" t="str">
        <x:v>Landscape care and maintenance service activities</x:v>
      </x:c>
      <x:c r="C3052" s="12" t="str">
        <x:v>الزرقاء</x:v>
      </x:c>
      <x:c r="D3052" s="14" t="n">
        <x:v>0</x:v>
      </x:c>
      <x:c r="E3052" s="14" t="n">
        <x:f>VLOOKUP(C3052,'Governorate Master'!$A$2:$Q$13,3,FALSE)</x:f>
        <x:v>1704500</x:v>
      </x:c>
      <x:c r="F3052" s="66" t="n">
        <x:f>IF(E3052=0,0,D3052/E3052*10000)</x:f>
        <x:v>0</x:v>
      </x:c>
      <x:c r="G3052" s="67" t="n">
        <x:f>VLOOKUP(C3052,'Governorate Master'!$A$2:$Q$13,7,FALSE)</x:f>
        <x:v>358</x:v>
      </x:c>
      <x:c r="H3052" s="20" t="n">
        <x:f>VLOOKUP(C3052,'Governorate Master'!$A$2:$Q$13,6,FALSE)</x:f>
        <x:v>0.9636256966852449</x:v>
      </x:c>
      <x:c r="I3052" s="20" t="n">
        <x:f>VLOOKUP(C3052,'Governorate Master'!$A$2:$Q$13,15,FALSE)</x:f>
        <x:v>-0.06808762581409118</x:v>
      </x:c>
      <x:c r="J3052" s="12" t="str">
        <x:v>Location model input - competition/saturation context</x:v>
      </x:c>
      <x:c r="K3052" s="12" t="str">
        <x:v>Business count is from 2018 while population/context indicators are newer; use as a historical proxy, not a current market count.</x:v>
      </x:c>
    </x:row>
    <x:row r="3053">
      <x:c r="A3053" s="12" t="str">
        <x:v>8130</x:v>
      </x:c>
      <x:c r="B3053" s="12" t="str">
        <x:v>Landscape care and maintenance service activities</x:v>
      </x:c>
      <x:c r="C3053" s="12" t="str">
        <x:v>مادبا</x:v>
      </x:c>
      <x:c r="D3053" s="14" t="n">
        <x:v>0</x:v>
      </x:c>
      <x:c r="E3053" s="14" t="n">
        <x:f>VLOOKUP(C3053,'Governorate Master'!$A$2:$Q$13,3,FALSE)</x:f>
        <x:v>236200</x:v>
      </x:c>
      <x:c r="F3053" s="66" t="n">
        <x:f>IF(E3053=0,0,D3053/E3053*10000)</x:f>
        <x:v>0</x:v>
      </x:c>
      <x:c r="G3053" s="67" t="n">
        <x:f>VLOOKUP(C3053,'Governorate Master'!$A$2:$Q$13,7,FALSE)</x:f>
        <x:v>251.4</x:v>
      </x:c>
      <x:c r="H3053" s="20" t="n">
        <x:f>VLOOKUP(C3053,'Governorate Master'!$A$2:$Q$13,6,FALSE)</x:f>
        <x:v>0.7823878069432684</x:v>
      </x:c>
      <x:c r="I3053" s="20" t="n">
        <x:f>VLOOKUP(C3053,'Governorate Master'!$A$2:$Q$13,15,FALSE)</x:f>
        <x:v>-0.18823529411764706</x:v>
      </x:c>
      <x:c r="J3053" s="12" t="str">
        <x:v>Location model input - competition/saturation context</x:v>
      </x:c>
      <x:c r="K3053" s="12" t="str">
        <x:v>Business count is from 2018 while population/context indicators are newer; use as a historical proxy, not a current market count.</x:v>
      </x:c>
    </x:row>
    <x:row r="3054">
      <x:c r="A3054" s="12" t="str">
        <x:v>8130</x:v>
      </x:c>
      <x:c r="B3054" s="12" t="str">
        <x:v>Landscape care and maintenance service activities</x:v>
      </x:c>
      <x:c r="C3054" s="12" t="str">
        <x:v>إربد</x:v>
      </x:c>
      <x:c r="D3054" s="14" t="n">
        <x:v>0</x:v>
      </x:c>
      <x:c r="E3054" s="14" t="n">
        <x:f>VLOOKUP(C3054,'Governorate Master'!$A$2:$Q$13,3,FALSE)</x:f>
        <x:v>2210500</x:v>
      </x:c>
      <x:c r="F3054" s="66" t="n">
        <x:f>IF(E3054=0,0,D3054/E3054*10000)</x:f>
        <x:v>0</x:v>
      </x:c>
      <x:c r="G3054" s="67" t="n">
        <x:f>VLOOKUP(C3054,'Governorate Master'!$A$2:$Q$13,7,FALSE)</x:f>
        <x:v>1406.4</x:v>
      </x:c>
      <x:c r="H3054" s="20" t="n">
        <x:f>VLOOKUP(C3054,'Governorate Master'!$A$2:$Q$13,6,FALSE)</x:f>
        <x:v>0.9235014702555983</x:v>
      </x:c>
      <x:c r="I3054" s="20" t="n">
        <x:f>VLOOKUP(C3054,'Governorate Master'!$A$2:$Q$13,15,FALSE)</x:f>
        <x:v>0.07086922474549726</x:v>
      </x:c>
      <x:c r="J3054" s="12" t="str">
        <x:v>Location model input - competition/saturation context</x:v>
      </x:c>
      <x:c r="K3054" s="12" t="str">
        <x:v>Business count is from 2018 while population/context indicators are newer; use as a historical proxy, not a current market count.</x:v>
      </x:c>
    </x:row>
    <x:row r="3055">
      <x:c r="A3055" s="12" t="str">
        <x:v>8130</x:v>
      </x:c>
      <x:c r="B3055" s="12" t="str">
        <x:v>Landscape care and maintenance service activities</x:v>
      </x:c>
      <x:c r="C3055" s="12" t="str">
        <x:v>المفرق</x:v>
      </x:c>
      <x:c r="D3055" s="14" t="n">
        <x:v>0</x:v>
      </x:c>
      <x:c r="E3055" s="14" t="n">
        <x:f>VLOOKUP(C3055,'Governorate Master'!$A$2:$Q$13,3,FALSE)</x:f>
        <x:v>686800</x:v>
      </x:c>
      <x:c r="F3055" s="66" t="n">
        <x:f>IF(E3055=0,0,D3055/E3055*10000)</x:f>
        <x:v>0</x:v>
      </x:c>
      <x:c r="G3055" s="67" t="n">
        <x:f>VLOOKUP(C3055,'Governorate Master'!$A$2:$Q$13,7,FALSE)</x:f>
        <x:v>25.9</x:v>
      </x:c>
      <x:c r="H3055" s="20" t="n">
        <x:f>VLOOKUP(C3055,'Governorate Master'!$A$2:$Q$13,6,FALSE)</x:f>
        <x:v>0.6965637740244612</x:v>
      </x:c>
      <x:c r="I3055" s="20" t="n">
        <x:f>VLOOKUP(C3055,'Governorate Master'!$A$2:$Q$13,15,FALSE)</x:f>
        <x:v>-0.016638935108153077</x:v>
      </x:c>
      <x:c r="J3055" s="12" t="str">
        <x:v>Location model input - competition/saturation context</x:v>
      </x:c>
      <x:c r="K3055" s="12" t="str">
        <x:v>Business count is from 2018 while population/context indicators are newer; use as a historical proxy, not a current market count.</x:v>
      </x:c>
    </x:row>
    <x:row r="3056">
      <x:c r="A3056" s="12" t="str">
        <x:v>8130</x:v>
      </x:c>
      <x:c r="B3056" s="12" t="str">
        <x:v>Landscape care and maintenance service activities</x:v>
      </x:c>
      <x:c r="C3056" s="12" t="str">
        <x:v>جرش</x:v>
      </x:c>
      <x:c r="D3056" s="14" t="n">
        <x:v>0</x:v>
      </x:c>
      <x:c r="E3056" s="14" t="n">
        <x:f>VLOOKUP(C3056,'Governorate Master'!$A$2:$Q$13,3,FALSE)</x:f>
        <x:v>296000</x:v>
      </x:c>
      <x:c r="F3056" s="66" t="n">
        <x:f>IF(E3056=0,0,D3056/E3056*10000)</x:f>
        <x:v>0</x:v>
      </x:c>
      <x:c r="G3056" s="67" t="n">
        <x:f>VLOOKUP(C3056,'Governorate Master'!$A$2:$Q$13,7,FALSE)</x:f>
        <x:v>722.3</x:v>
      </x:c>
      <x:c r="H3056" s="20" t="n">
        <x:f>VLOOKUP(C3056,'Governorate Master'!$A$2:$Q$13,6,FALSE)</x:f>
        <x:v>0.7695945945945946</x:v>
      </x:c>
      <x:c r="I3056" s="20" t="n">
        <x:f>VLOOKUP(C3056,'Governorate Master'!$A$2:$Q$13,15,FALSE)</x:f>
        <x:v>-0.06527415143603134</x:v>
      </x:c>
      <x:c r="J3056" s="12" t="str">
        <x:v>Location model input - competition/saturation context</x:v>
      </x:c>
      <x:c r="K3056" s="12" t="str">
        <x:v>Business count is from 2018 while population/context indicators are newer; use as a historical proxy, not a current market count.</x:v>
      </x:c>
    </x:row>
    <x:row r="3057">
      <x:c r="A3057" s="12" t="str">
        <x:v>8130</x:v>
      </x:c>
      <x:c r="B3057" s="12" t="str">
        <x:v>Landscape care and maintenance service activities</x:v>
      </x:c>
      <x:c r="C3057" s="12" t="str">
        <x:v>عجلون</x:v>
      </x:c>
      <x:c r="D3057" s="14" t="n">
        <x:v>0</x:v>
      </x:c>
      <x:c r="E3057" s="14" t="n">
        <x:f>VLOOKUP(C3057,'Governorate Master'!$A$2:$Q$13,3,FALSE)</x:f>
        <x:v>219900</x:v>
      </x:c>
      <x:c r="F3057" s="66" t="n">
        <x:f>IF(E3057=0,0,D3057/E3057*10000)</x:f>
        <x:v>0</x:v>
      </x:c>
      <x:c r="G3057" s="67" t="n">
        <x:f>VLOOKUP(C3057,'Governorate Master'!$A$2:$Q$13,7,FALSE)</x:f>
        <x:v>524</x:v>
      </x:c>
      <x:c r="H3057" s="20" t="n">
        <x:f>VLOOKUP(C3057,'Governorate Master'!$A$2:$Q$13,6,FALSE)</x:f>
        <x:v>0.8390177353342428</x:v>
      </x:c>
      <x:c r="I3057" s="20" t="n">
        <x:f>VLOOKUP(C3057,'Governorate Master'!$A$2:$Q$13,15,FALSE)</x:f>
        <x:v>0.03614457831325301</x:v>
      </x:c>
      <x:c r="J3057" s="12" t="str">
        <x:v>Location model input - competition/saturation context</x:v>
      </x:c>
      <x:c r="K3057" s="12" t="str">
        <x:v>Business count is from 2018 while population/context indicators are newer; use as a historical proxy, not a current market count.</x:v>
      </x:c>
    </x:row>
    <x:row r="3058">
      <x:c r="A3058" s="12" t="str">
        <x:v>8130</x:v>
      </x:c>
      <x:c r="B3058" s="12" t="str">
        <x:v>Landscape care and maintenance service activities</x:v>
      </x:c>
      <x:c r="C3058" s="12" t="str">
        <x:v>الكرك</x:v>
      </x:c>
      <x:c r="D3058" s="14" t="n">
        <x:v>0</x:v>
      </x:c>
      <x:c r="E3058" s="14" t="n">
        <x:f>VLOOKUP(C3058,'Governorate Master'!$A$2:$Q$13,3,FALSE)</x:f>
        <x:v>395400</x:v>
      </x:c>
      <x:c r="F3058" s="66" t="n">
        <x:f>IF(E3058=0,0,D3058/E3058*10000)</x:f>
        <x:v>0</x:v>
      </x:c>
      <x:c r="G3058" s="67" t="n">
        <x:f>VLOOKUP(C3058,'Governorate Master'!$A$2:$Q$13,7,FALSE)</x:f>
        <x:v>113.1</x:v>
      </x:c>
      <x:c r="H3058" s="20" t="n">
        <x:f>VLOOKUP(C3058,'Governorate Master'!$A$2:$Q$13,6,FALSE)</x:f>
        <x:v>0.5912999494183105</x:v>
      </x:c>
      <x:c r="I3058" s="20" t="n">
        <x:f>VLOOKUP(C3058,'Governorate Master'!$A$2:$Q$13,15,FALSE)</x:f>
        <x:v>0.08710801393728224</x:v>
      </x:c>
      <x:c r="J3058" s="12" t="str">
        <x:v>Location model input - competition/saturation context</x:v>
      </x:c>
      <x:c r="K3058" s="12" t="str">
        <x:v>Business count is from 2018 while population/context indicators are newer; use as a historical proxy, not a current market count.</x:v>
      </x:c>
    </x:row>
    <x:row r="3059">
      <x:c r="A3059" s="12" t="str">
        <x:v>8130</x:v>
      </x:c>
      <x:c r="B3059" s="12" t="str">
        <x:v>Landscape care and maintenance service activities</x:v>
      </x:c>
      <x:c r="C3059" s="12" t="str">
        <x:v>الطفيلة</x:v>
      </x:c>
      <x:c r="D3059" s="14" t="n">
        <x:v>0</x:v>
      </x:c>
      <x:c r="E3059" s="14" t="n">
        <x:f>VLOOKUP(C3059,'Governorate Master'!$A$2:$Q$13,3,FALSE)</x:f>
        <x:v>120300</x:v>
      </x:c>
      <x:c r="F3059" s="66" t="n">
        <x:f>IF(E3059=0,0,D3059/E3059*10000)</x:f>
        <x:v>0</x:v>
      </x:c>
      <x:c r="G3059" s="67" t="n">
        <x:f>VLOOKUP(C3059,'Governorate Master'!$A$2:$Q$13,7,FALSE)</x:f>
        <x:v>54.4</x:v>
      </x:c>
      <x:c r="H3059" s="20" t="n">
        <x:f>VLOOKUP(C3059,'Governorate Master'!$A$2:$Q$13,6,FALSE)</x:f>
        <x:v>0.7797173732335827</x:v>
      </x:c>
      <x:c r="I3059" s="20" t="n">
        <x:f>VLOOKUP(C3059,'Governorate Master'!$A$2:$Q$13,15,FALSE)</x:f>
        <x:v>0.18452380952380953</x:v>
      </x:c>
      <x:c r="J3059" s="12" t="str">
        <x:v>Location model input - competition/saturation context</x:v>
      </x:c>
      <x:c r="K3059" s="12" t="str">
        <x:v>Business count is from 2018 while population/context indicators are newer; use as a historical proxy, not a current market count.</x:v>
      </x:c>
    </x:row>
    <x:row r="3060">
      <x:c r="A3060" s="12" t="str">
        <x:v>8130</x:v>
      </x:c>
      <x:c r="B3060" s="12" t="str">
        <x:v>Landscape care and maintenance service activities</x:v>
      </x:c>
      <x:c r="C3060" s="12" t="str">
        <x:v>معان</x:v>
      </x:c>
      <x:c r="D3060" s="14" t="n">
        <x:v>0</x:v>
      </x:c>
      <x:c r="E3060" s="14" t="n">
        <x:f>VLOOKUP(C3060,'Governorate Master'!$A$2:$Q$13,3,FALSE)</x:f>
        <x:v>197900</x:v>
      </x:c>
      <x:c r="F3060" s="66" t="n">
        <x:f>IF(E3060=0,0,D3060/E3060*10000)</x:f>
        <x:v>0</x:v>
      </x:c>
      <x:c r="G3060" s="67" t="n">
        <x:f>VLOOKUP(C3060,'Governorate Master'!$A$2:$Q$13,7,FALSE)</x:f>
        <x:v>6</x:v>
      </x:c>
      <x:c r="H3060" s="20" t="n">
        <x:f>VLOOKUP(C3060,'Governorate Master'!$A$2:$Q$13,6,FALSE)</x:f>
        <x:v>0.5406771096513391</x:v>
      </x:c>
      <x:c r="I3060" s="20" t="n">
        <x:f>VLOOKUP(C3060,'Governorate Master'!$A$2:$Q$13,15,FALSE)</x:f>
        <x:v>0.026845637583892617</x:v>
      </x:c>
      <x:c r="J3060" s="12" t="str">
        <x:v>Location model input - competition/saturation context</x:v>
      </x:c>
      <x:c r="K3060" s="12" t="str">
        <x:v>Business count is from 2018 while population/context indicators are newer; use as a historical proxy, not a current market count.</x:v>
      </x:c>
    </x:row>
    <x:row r="3061">
      <x:c r="A3061" s="12" t="str">
        <x:v>8130</x:v>
      </x:c>
      <x:c r="B3061" s="12" t="str">
        <x:v>Landscape care and maintenance service activities</x:v>
      </x:c>
      <x:c r="C3061" s="12" t="str">
        <x:v>العقبة</x:v>
      </x:c>
      <x:c r="D3061" s="14" t="n">
        <x:v>1</x:v>
      </x:c>
      <x:c r="E3061" s="14" t="n">
        <x:f>VLOOKUP(C3061,'Governorate Master'!$A$2:$Q$13,3,FALSE)</x:f>
        <x:v>250900</x:v>
      </x:c>
      <x:c r="F3061" s="66" t="n">
        <x:f>IF(E3061=0,0,D3061/E3061*10000)</x:f>
        <x:v>0.03985651654045436</x:v>
      </x:c>
      <x:c r="G3061" s="67" t="n">
        <x:f>VLOOKUP(C3061,'Governorate Master'!$A$2:$Q$13,7,FALSE)</x:f>
        <x:v>36.3</x:v>
      </x:c>
      <x:c r="H3061" s="20" t="n">
        <x:f>VLOOKUP(C3061,'Governorate Master'!$A$2:$Q$13,6,FALSE)</x:f>
        <x:v>0.882024711040255</x:v>
      </x:c>
      <x:c r="I3061" s="20" t="n">
        <x:f>VLOOKUP(C3061,'Governorate Master'!$A$2:$Q$13,15,FALSE)</x:f>
        <x:v>-0.09</x:v>
      </x:c>
      <x:c r="J3061" s="12" t="str">
        <x:v>Location model input - competition/saturation context</x:v>
      </x:c>
      <x:c r="K3061" s="12" t="str">
        <x:v>Business count is from 2018 while population/context indicators are newer; use as a historical proxy, not a current market count.</x:v>
      </x:c>
    </x:row>
    <x:row r="3062">
      <x:c r="A3062" s="12" t="str">
        <x:v>8219</x:v>
      </x:c>
      <x:c r="B3062" s="12" t="str">
        <x:v>Photocopying, document preparation and other specialized office support activities</x:v>
      </x:c>
      <x:c r="C3062" s="12" t="str">
        <x:v>عمان</x:v>
      </x:c>
      <x:c r="D3062" s="14" t="n">
        <x:v>68</x:v>
      </x:c>
      <x:c r="E3062" s="14" t="n">
        <x:f>VLOOKUP(C3062,'Governorate Master'!$A$2:$Q$13,3,FALSE)</x:f>
        <x:v>5004600</x:v>
      </x:c>
      <x:c r="F3062" s="66" t="n">
        <x:f>IF(E3062=0,0,D3062/E3062*10000)</x:f>
        <x:v>0.13587499500459577</x:v>
      </x:c>
      <x:c r="G3062" s="67" t="n">
        <x:f>VLOOKUP(C3062,'Governorate Master'!$A$2:$Q$13,7,FALSE)</x:f>
        <x:v>660.3</x:v>
      </x:c>
      <x:c r="H3062" s="20" t="n">
        <x:f>VLOOKUP(C3062,'Governorate Master'!$A$2:$Q$13,6,FALSE)</x:f>
        <x:v>0.9721656076409703</x:v>
      </x:c>
      <x:c r="I3062" s="20" t="n">
        <x:f>VLOOKUP(C3062,'Governorate Master'!$A$2:$Q$13,15,FALSE)</x:f>
        <x:v>0.06367041198501873</x:v>
      </x:c>
      <x:c r="J3062" s="12" t="str">
        <x:v>Location model input - competition/saturation context</x:v>
      </x:c>
      <x:c r="K3062" s="12" t="str">
        <x:v>Business count is from 2018 while population/context indicators are newer; use as a historical proxy, not a current market count.</x:v>
      </x:c>
    </x:row>
    <x:row r="3063">
      <x:c r="A3063" s="12" t="str">
        <x:v>8219</x:v>
      </x:c>
      <x:c r="B3063" s="12" t="str">
        <x:v>Photocopying, document preparation and other specialized office support activities</x:v>
      </x:c>
      <x:c r="C3063" s="12" t="str">
        <x:v>البلقاء</x:v>
      </x:c>
      <x:c r="D3063" s="14" t="n">
        <x:v>14</x:v>
      </x:c>
      <x:c r="E3063" s="14" t="n">
        <x:f>VLOOKUP(C3063,'Governorate Master'!$A$2:$Q$13,3,FALSE)</x:f>
        <x:v>614000</x:v>
      </x:c>
      <x:c r="F3063" s="66" t="n">
        <x:f>IF(E3063=0,0,D3063/E3063*10000)</x:f>
        <x:v>0.22801302931596093</x:v>
      </x:c>
      <x:c r="G3063" s="67" t="n">
        <x:f>VLOOKUP(C3063,'Governorate Master'!$A$2:$Q$13,7,FALSE)</x:f>
        <x:v>548</x:v>
      </x:c>
      <x:c r="H3063" s="20" t="n">
        <x:f>VLOOKUP(C3063,'Governorate Master'!$A$2:$Q$13,6,FALSE)</x:f>
        <x:v>0.8210097719869707</x:v>
      </x:c>
      <x:c r="I3063" s="20" t="n">
        <x:f>VLOOKUP(C3063,'Governorate Master'!$A$2:$Q$13,15,FALSE)</x:f>
        <x:v>0.10794044665012408</x:v>
      </x:c>
      <x:c r="J3063" s="12" t="str">
        <x:v>Location model input - competition/saturation context</x:v>
      </x:c>
      <x:c r="K3063" s="12" t="str">
        <x:v>Business count is from 2018 while population/context indicators are newer; use as a historical proxy, not a current market count.</x:v>
      </x:c>
    </x:row>
    <x:row r="3064">
      <x:c r="A3064" s="12" t="str">
        <x:v>8219</x:v>
      </x:c>
      <x:c r="B3064" s="12" t="str">
        <x:v>Photocopying, document preparation and other specialized office support activities</x:v>
      </x:c>
      <x:c r="C3064" s="12" t="str">
        <x:v>الزرقاء</x:v>
      </x:c>
      <x:c r="D3064" s="14" t="n">
        <x:v>28</x:v>
      </x:c>
      <x:c r="E3064" s="14" t="n">
        <x:f>VLOOKUP(C3064,'Governorate Master'!$A$2:$Q$13,3,FALSE)</x:f>
        <x:v>1704500</x:v>
      </x:c>
      <x:c r="F3064" s="66" t="n">
        <x:f>IF(E3064=0,0,D3064/E3064*10000)</x:f>
        <x:v>0.1642710472279261</x:v>
      </x:c>
      <x:c r="G3064" s="67" t="n">
        <x:f>VLOOKUP(C3064,'Governorate Master'!$A$2:$Q$13,7,FALSE)</x:f>
        <x:v>358</x:v>
      </x:c>
      <x:c r="H3064" s="20" t="n">
        <x:f>VLOOKUP(C3064,'Governorate Master'!$A$2:$Q$13,6,FALSE)</x:f>
        <x:v>0.9636256966852449</x:v>
      </x:c>
      <x:c r="I3064" s="20" t="n">
        <x:f>VLOOKUP(C3064,'Governorate Master'!$A$2:$Q$13,15,FALSE)</x:f>
        <x:v>-0.06808762581409118</x:v>
      </x:c>
      <x:c r="J3064" s="12" t="str">
        <x:v>Location model input - competition/saturation context</x:v>
      </x:c>
      <x:c r="K3064" s="12" t="str">
        <x:v>Business count is from 2018 while population/context indicators are newer; use as a historical proxy, not a current market count.</x:v>
      </x:c>
    </x:row>
    <x:row r="3065">
      <x:c r="A3065" s="12" t="str">
        <x:v>8219</x:v>
      </x:c>
      <x:c r="B3065" s="12" t="str">
        <x:v>Photocopying, document preparation and other specialized office support activities</x:v>
      </x:c>
      <x:c r="C3065" s="12" t="str">
        <x:v>مادبا</x:v>
      </x:c>
      <x:c r="D3065" s="14" t="n">
        <x:v>3</x:v>
      </x:c>
      <x:c r="E3065" s="14" t="n">
        <x:f>VLOOKUP(C3065,'Governorate Master'!$A$2:$Q$13,3,FALSE)</x:f>
        <x:v>236200</x:v>
      </x:c>
      <x:c r="F3065" s="66" t="n">
        <x:f>IF(E3065=0,0,D3065/E3065*10000)</x:f>
        <x:v>0.12701100762066045</x:v>
      </x:c>
      <x:c r="G3065" s="67" t="n">
        <x:f>VLOOKUP(C3065,'Governorate Master'!$A$2:$Q$13,7,FALSE)</x:f>
        <x:v>251.4</x:v>
      </x:c>
      <x:c r="H3065" s="20" t="n">
        <x:f>VLOOKUP(C3065,'Governorate Master'!$A$2:$Q$13,6,FALSE)</x:f>
        <x:v>0.7823878069432684</x:v>
      </x:c>
      <x:c r="I3065" s="20" t="n">
        <x:f>VLOOKUP(C3065,'Governorate Master'!$A$2:$Q$13,15,FALSE)</x:f>
        <x:v>-0.18823529411764706</x:v>
      </x:c>
      <x:c r="J3065" s="12" t="str">
        <x:v>Location model input - competition/saturation context</x:v>
      </x:c>
      <x:c r="K3065" s="12" t="str">
        <x:v>Business count is from 2018 while population/context indicators are newer; use as a historical proxy, not a current market count.</x:v>
      </x:c>
    </x:row>
    <x:row r="3066">
      <x:c r="A3066" s="12" t="str">
        <x:v>8219</x:v>
      </x:c>
      <x:c r="B3066" s="12" t="str">
        <x:v>Photocopying, document preparation and other specialized office support activities</x:v>
      </x:c>
      <x:c r="C3066" s="12" t="str">
        <x:v>إربد</x:v>
      </x:c>
      <x:c r="D3066" s="14" t="n">
        <x:v>36</x:v>
      </x:c>
      <x:c r="E3066" s="14" t="n">
        <x:f>VLOOKUP(C3066,'Governorate Master'!$A$2:$Q$13,3,FALSE)</x:f>
        <x:v>2210500</x:v>
      </x:c>
      <x:c r="F3066" s="66" t="n">
        <x:f>IF(E3066=0,0,D3066/E3066*10000)</x:f>
        <x:v>0.162859081655734</x:v>
      </x:c>
      <x:c r="G3066" s="67" t="n">
        <x:f>VLOOKUP(C3066,'Governorate Master'!$A$2:$Q$13,7,FALSE)</x:f>
        <x:v>1406.4</x:v>
      </x:c>
      <x:c r="H3066" s="20" t="n">
        <x:f>VLOOKUP(C3066,'Governorate Master'!$A$2:$Q$13,6,FALSE)</x:f>
        <x:v>0.9235014702555983</x:v>
      </x:c>
      <x:c r="I3066" s="20" t="n">
        <x:f>VLOOKUP(C3066,'Governorate Master'!$A$2:$Q$13,15,FALSE)</x:f>
        <x:v>0.07086922474549726</x:v>
      </x:c>
      <x:c r="J3066" s="12" t="str">
        <x:v>Location model input - competition/saturation context</x:v>
      </x:c>
      <x:c r="K3066" s="12" t="str">
        <x:v>Business count is from 2018 while population/context indicators are newer; use as a historical proxy, not a current market count.</x:v>
      </x:c>
    </x:row>
    <x:row r="3067">
      <x:c r="A3067" s="12" t="str">
        <x:v>8219</x:v>
      </x:c>
      <x:c r="B3067" s="12" t="str">
        <x:v>Photocopying, document preparation and other specialized office support activities</x:v>
      </x:c>
      <x:c r="C3067" s="12" t="str">
        <x:v>المفرق</x:v>
      </x:c>
      <x:c r="D3067" s="14" t="n">
        <x:v>5</x:v>
      </x:c>
      <x:c r="E3067" s="14" t="n">
        <x:f>VLOOKUP(C3067,'Governorate Master'!$A$2:$Q$13,3,FALSE)</x:f>
        <x:v>686800</x:v>
      </x:c>
      <x:c r="F3067" s="66" t="n">
        <x:f>IF(E3067=0,0,D3067/E3067*10000)</x:f>
        <x:v>0.0728013977868375</x:v>
      </x:c>
      <x:c r="G3067" s="67" t="n">
        <x:f>VLOOKUP(C3067,'Governorate Master'!$A$2:$Q$13,7,FALSE)</x:f>
        <x:v>25.9</x:v>
      </x:c>
      <x:c r="H3067" s="20" t="n">
        <x:f>VLOOKUP(C3067,'Governorate Master'!$A$2:$Q$13,6,FALSE)</x:f>
        <x:v>0.6965637740244612</x:v>
      </x:c>
      <x:c r="I3067" s="20" t="n">
        <x:f>VLOOKUP(C3067,'Governorate Master'!$A$2:$Q$13,15,FALSE)</x:f>
        <x:v>-0.016638935108153077</x:v>
      </x:c>
      <x:c r="J3067" s="12" t="str">
        <x:v>Location model input - competition/saturation context</x:v>
      </x:c>
      <x:c r="K3067" s="12" t="str">
        <x:v>Business count is from 2018 while population/context indicators are newer; use as a historical proxy, not a current market count.</x:v>
      </x:c>
    </x:row>
    <x:row r="3068">
      <x:c r="A3068" s="12" t="str">
        <x:v>8219</x:v>
      </x:c>
      <x:c r="B3068" s="12" t="str">
        <x:v>Photocopying, document preparation and other specialized office support activities</x:v>
      </x:c>
      <x:c r="C3068" s="12" t="str">
        <x:v>جرش</x:v>
      </x:c>
      <x:c r="D3068" s="14" t="n">
        <x:v>6</x:v>
      </x:c>
      <x:c r="E3068" s="14" t="n">
        <x:f>VLOOKUP(C3068,'Governorate Master'!$A$2:$Q$13,3,FALSE)</x:f>
        <x:v>296000</x:v>
      </x:c>
      <x:c r="F3068" s="66" t="n">
        <x:f>IF(E3068=0,0,D3068/E3068*10000)</x:f>
        <x:v>0.2027027027027027</x:v>
      </x:c>
      <x:c r="G3068" s="67" t="n">
        <x:f>VLOOKUP(C3068,'Governorate Master'!$A$2:$Q$13,7,FALSE)</x:f>
        <x:v>722.3</x:v>
      </x:c>
      <x:c r="H3068" s="20" t="n">
        <x:f>VLOOKUP(C3068,'Governorate Master'!$A$2:$Q$13,6,FALSE)</x:f>
        <x:v>0.7695945945945946</x:v>
      </x:c>
      <x:c r="I3068" s="20" t="n">
        <x:f>VLOOKUP(C3068,'Governorate Master'!$A$2:$Q$13,15,FALSE)</x:f>
        <x:v>-0.06527415143603134</x:v>
      </x:c>
      <x:c r="J3068" s="12" t="str">
        <x:v>Location model input - competition/saturation context</x:v>
      </x:c>
      <x:c r="K3068" s="12" t="str">
        <x:v>Business count is from 2018 while population/context indicators are newer; use as a historical proxy, not a current market count.</x:v>
      </x:c>
    </x:row>
    <x:row r="3069">
      <x:c r="A3069" s="12" t="str">
        <x:v>8219</x:v>
      </x:c>
      <x:c r="B3069" s="12" t="str">
        <x:v>Photocopying, document preparation and other specialized office support activities</x:v>
      </x:c>
      <x:c r="C3069" s="12" t="str">
        <x:v>عجلون</x:v>
      </x:c>
      <x:c r="D3069" s="14" t="n">
        <x:v>2</x:v>
      </x:c>
      <x:c r="E3069" s="14" t="n">
        <x:f>VLOOKUP(C3069,'Governorate Master'!$A$2:$Q$13,3,FALSE)</x:f>
        <x:v>219900</x:v>
      </x:c>
      <x:c r="F3069" s="66" t="n">
        <x:f>IF(E3069=0,0,D3069/E3069*10000)</x:f>
        <x:v>0.09095043201455207</x:v>
      </x:c>
      <x:c r="G3069" s="67" t="n">
        <x:f>VLOOKUP(C3069,'Governorate Master'!$A$2:$Q$13,7,FALSE)</x:f>
        <x:v>524</x:v>
      </x:c>
      <x:c r="H3069" s="20" t="n">
        <x:f>VLOOKUP(C3069,'Governorate Master'!$A$2:$Q$13,6,FALSE)</x:f>
        <x:v>0.8390177353342428</x:v>
      </x:c>
      <x:c r="I3069" s="20" t="n">
        <x:f>VLOOKUP(C3069,'Governorate Master'!$A$2:$Q$13,15,FALSE)</x:f>
        <x:v>0.03614457831325301</x:v>
      </x:c>
      <x:c r="J3069" s="12" t="str">
        <x:v>Location model input - competition/saturation context</x:v>
      </x:c>
      <x:c r="K3069" s="12" t="str">
        <x:v>Business count is from 2018 while population/context indicators are newer; use as a historical proxy, not a current market count.</x:v>
      </x:c>
    </x:row>
    <x:row r="3070">
      <x:c r="A3070" s="12" t="str">
        <x:v>8219</x:v>
      </x:c>
      <x:c r="B3070" s="12" t="str">
        <x:v>Photocopying, document preparation and other specialized office support activities</x:v>
      </x:c>
      <x:c r="C3070" s="12" t="str">
        <x:v>الكرك</x:v>
      </x:c>
      <x:c r="D3070" s="14" t="n">
        <x:v>7</x:v>
      </x:c>
      <x:c r="E3070" s="14" t="n">
        <x:f>VLOOKUP(C3070,'Governorate Master'!$A$2:$Q$13,3,FALSE)</x:f>
        <x:v>395400</x:v>
      </x:c>
      <x:c r="F3070" s="66" t="n">
        <x:f>IF(E3070=0,0,D3070/E3070*10000)</x:f>
        <x:v>0.1770359129994942</x:v>
      </x:c>
      <x:c r="G3070" s="67" t="n">
        <x:f>VLOOKUP(C3070,'Governorate Master'!$A$2:$Q$13,7,FALSE)</x:f>
        <x:v>113.1</x:v>
      </x:c>
      <x:c r="H3070" s="20" t="n">
        <x:f>VLOOKUP(C3070,'Governorate Master'!$A$2:$Q$13,6,FALSE)</x:f>
        <x:v>0.5912999494183105</x:v>
      </x:c>
      <x:c r="I3070" s="20" t="n">
        <x:f>VLOOKUP(C3070,'Governorate Master'!$A$2:$Q$13,15,FALSE)</x:f>
        <x:v>0.08710801393728224</x:v>
      </x:c>
      <x:c r="J3070" s="12" t="str">
        <x:v>Location model input - competition/saturation context</x:v>
      </x:c>
      <x:c r="K3070" s="12" t="str">
        <x:v>Business count is from 2018 while population/context indicators are newer; use as a historical proxy, not a current market count.</x:v>
      </x:c>
    </x:row>
    <x:row r="3071">
      <x:c r="A3071" s="12" t="str">
        <x:v>8219</x:v>
      </x:c>
      <x:c r="B3071" s="12" t="str">
        <x:v>Photocopying, document preparation and other specialized office support activities</x:v>
      </x:c>
      <x:c r="C3071" s="12" t="str">
        <x:v>الطفيلة</x:v>
      </x:c>
      <x:c r="D3071" s="14" t="n">
        <x:v>0</x:v>
      </x:c>
      <x:c r="E3071" s="14" t="n">
        <x:f>VLOOKUP(C3071,'Governorate Master'!$A$2:$Q$13,3,FALSE)</x:f>
        <x:v>120300</x:v>
      </x:c>
      <x:c r="F3071" s="66" t="n">
        <x:f>IF(E3071=0,0,D3071/E3071*10000)</x:f>
        <x:v>0</x:v>
      </x:c>
      <x:c r="G3071" s="67" t="n">
        <x:f>VLOOKUP(C3071,'Governorate Master'!$A$2:$Q$13,7,FALSE)</x:f>
        <x:v>54.4</x:v>
      </x:c>
      <x:c r="H3071" s="20" t="n">
        <x:f>VLOOKUP(C3071,'Governorate Master'!$A$2:$Q$13,6,FALSE)</x:f>
        <x:v>0.7797173732335827</x:v>
      </x:c>
      <x:c r="I3071" s="20" t="n">
        <x:f>VLOOKUP(C3071,'Governorate Master'!$A$2:$Q$13,15,FALSE)</x:f>
        <x:v>0.18452380952380953</x:v>
      </x:c>
      <x:c r="J3071" s="12" t="str">
        <x:v>Location model input - competition/saturation context</x:v>
      </x:c>
      <x:c r="K3071" s="12" t="str">
        <x:v>Business count is from 2018 while population/context indicators are newer; use as a historical proxy, not a current market count.</x:v>
      </x:c>
    </x:row>
    <x:row r="3072">
      <x:c r="A3072" s="12" t="str">
        <x:v>8219</x:v>
      </x:c>
      <x:c r="B3072" s="12" t="str">
        <x:v>Photocopying, document preparation and other specialized office support activities</x:v>
      </x:c>
      <x:c r="C3072" s="12" t="str">
        <x:v>معان</x:v>
      </x:c>
      <x:c r="D3072" s="14" t="n">
        <x:v>1</x:v>
      </x:c>
      <x:c r="E3072" s="14" t="n">
        <x:f>VLOOKUP(C3072,'Governorate Master'!$A$2:$Q$13,3,FALSE)</x:f>
        <x:v>197900</x:v>
      </x:c>
      <x:c r="F3072" s="66" t="n">
        <x:f>IF(E3072=0,0,D3072/E3072*10000)</x:f>
        <x:v>0.05053057099545225</x:v>
      </x:c>
      <x:c r="G3072" s="67" t="n">
        <x:f>VLOOKUP(C3072,'Governorate Master'!$A$2:$Q$13,7,FALSE)</x:f>
        <x:v>6</x:v>
      </x:c>
      <x:c r="H3072" s="20" t="n">
        <x:f>VLOOKUP(C3072,'Governorate Master'!$A$2:$Q$13,6,FALSE)</x:f>
        <x:v>0.5406771096513391</x:v>
      </x:c>
      <x:c r="I3072" s="20" t="n">
        <x:f>VLOOKUP(C3072,'Governorate Master'!$A$2:$Q$13,15,FALSE)</x:f>
        <x:v>0.026845637583892617</x:v>
      </x:c>
      <x:c r="J3072" s="12" t="str">
        <x:v>Location model input - competition/saturation context</x:v>
      </x:c>
      <x:c r="K3072" s="12" t="str">
        <x:v>Business count is from 2018 while population/context indicators are newer; use as a historical proxy, not a current market count.</x:v>
      </x:c>
    </x:row>
    <x:row r="3073">
      <x:c r="A3073" s="12" t="str">
        <x:v>8219</x:v>
      </x:c>
      <x:c r="B3073" s="12" t="str">
        <x:v>Photocopying, document preparation and other specialized office support activities</x:v>
      </x:c>
      <x:c r="C3073" s="12" t="str">
        <x:v>العقبة</x:v>
      </x:c>
      <x:c r="D3073" s="14" t="n">
        <x:v>0</x:v>
      </x:c>
      <x:c r="E3073" s="14" t="n">
        <x:f>VLOOKUP(C3073,'Governorate Master'!$A$2:$Q$13,3,FALSE)</x:f>
        <x:v>250900</x:v>
      </x:c>
      <x:c r="F3073" s="66" t="n">
        <x:f>IF(E3073=0,0,D3073/E3073*10000)</x:f>
        <x:v>0</x:v>
      </x:c>
      <x:c r="G3073" s="67" t="n">
        <x:f>VLOOKUP(C3073,'Governorate Master'!$A$2:$Q$13,7,FALSE)</x:f>
        <x:v>36.3</x:v>
      </x:c>
      <x:c r="H3073" s="20" t="n">
        <x:f>VLOOKUP(C3073,'Governorate Master'!$A$2:$Q$13,6,FALSE)</x:f>
        <x:v>0.882024711040255</x:v>
      </x:c>
      <x:c r="I3073" s="20" t="n">
        <x:f>VLOOKUP(C3073,'Governorate Master'!$A$2:$Q$13,15,FALSE)</x:f>
        <x:v>-0.09</x:v>
      </x:c>
      <x:c r="J3073" s="12" t="str">
        <x:v>Location model input - competition/saturation context</x:v>
      </x:c>
      <x:c r="K3073" s="12" t="str">
        <x:v>Business count is from 2018 while population/context indicators are newer; use as a historical proxy, not a current market count.</x:v>
      </x:c>
    </x:row>
    <x:row r="3074">
      <x:c r="A3074" s="12" t="str">
        <x:v>8230</x:v>
      </x:c>
      <x:c r="B3074" s="12" t="str">
        <x:v>Organization of conventions and trade shows</x:v>
      </x:c>
      <x:c r="C3074" s="12" t="str">
        <x:v>عمان</x:v>
      </x:c>
      <x:c r="D3074" s="14" t="n">
        <x:v>31</x:v>
      </x:c>
      <x:c r="E3074" s="14" t="n">
        <x:f>VLOOKUP(C3074,'Governorate Master'!$A$2:$Q$13,3,FALSE)</x:f>
        <x:v>5004600</x:v>
      </x:c>
      <x:c r="F3074" s="66" t="n">
        <x:f>IF(E3074=0,0,D3074/E3074*10000)</x:f>
        <x:v>0.061943012428565716</x:v>
      </x:c>
      <x:c r="G3074" s="67" t="n">
        <x:f>VLOOKUP(C3074,'Governorate Master'!$A$2:$Q$13,7,FALSE)</x:f>
        <x:v>660.3</x:v>
      </x:c>
      <x:c r="H3074" s="20" t="n">
        <x:f>VLOOKUP(C3074,'Governorate Master'!$A$2:$Q$13,6,FALSE)</x:f>
        <x:v>0.9721656076409703</x:v>
      </x:c>
      <x:c r="I3074" s="20" t="n">
        <x:f>VLOOKUP(C3074,'Governorate Master'!$A$2:$Q$13,15,FALSE)</x:f>
        <x:v>0.06367041198501873</x:v>
      </x:c>
      <x:c r="J3074" s="12" t="str">
        <x:v>Location model input - competition/saturation context</x:v>
      </x:c>
      <x:c r="K3074" s="12" t="str">
        <x:v>Business count is from 2018 while population/context indicators are newer; use as a historical proxy, not a current market count.</x:v>
      </x:c>
    </x:row>
    <x:row r="3075">
      <x:c r="A3075" s="12" t="str">
        <x:v>8230</x:v>
      </x:c>
      <x:c r="B3075" s="12" t="str">
        <x:v>Organization of conventions and trade shows</x:v>
      </x:c>
      <x:c r="C3075" s="12" t="str">
        <x:v>البلقاء</x:v>
      </x:c>
      <x:c r="D3075" s="14" t="n">
        <x:v>0</x:v>
      </x:c>
      <x:c r="E3075" s="14" t="n">
        <x:f>VLOOKUP(C3075,'Governorate Master'!$A$2:$Q$13,3,FALSE)</x:f>
        <x:v>614000</x:v>
      </x:c>
      <x:c r="F3075" s="66" t="n">
        <x:f>IF(E3075=0,0,D3075/E3075*10000)</x:f>
        <x:v>0</x:v>
      </x:c>
      <x:c r="G3075" s="67" t="n">
        <x:f>VLOOKUP(C3075,'Governorate Master'!$A$2:$Q$13,7,FALSE)</x:f>
        <x:v>548</x:v>
      </x:c>
      <x:c r="H3075" s="20" t="n">
        <x:f>VLOOKUP(C3075,'Governorate Master'!$A$2:$Q$13,6,FALSE)</x:f>
        <x:v>0.8210097719869707</x:v>
      </x:c>
      <x:c r="I3075" s="20" t="n">
        <x:f>VLOOKUP(C3075,'Governorate Master'!$A$2:$Q$13,15,FALSE)</x:f>
        <x:v>0.10794044665012408</x:v>
      </x:c>
      <x:c r="J3075" s="12" t="str">
        <x:v>Location model input - competition/saturation context</x:v>
      </x:c>
      <x:c r="K3075" s="12" t="str">
        <x:v>Business count is from 2018 while population/context indicators are newer; use as a historical proxy, not a current market count.</x:v>
      </x:c>
    </x:row>
    <x:row r="3076">
      <x:c r="A3076" s="12" t="str">
        <x:v>8230</x:v>
      </x:c>
      <x:c r="B3076" s="12" t="str">
        <x:v>Organization of conventions and trade shows</x:v>
      </x:c>
      <x:c r="C3076" s="12" t="str">
        <x:v>الزرقاء</x:v>
      </x:c>
      <x:c r="D3076" s="14" t="n">
        <x:v>0</x:v>
      </x:c>
      <x:c r="E3076" s="14" t="n">
        <x:f>VLOOKUP(C3076,'Governorate Master'!$A$2:$Q$13,3,FALSE)</x:f>
        <x:v>1704500</x:v>
      </x:c>
      <x:c r="F3076" s="66" t="n">
        <x:f>IF(E3076=0,0,D3076/E3076*10000)</x:f>
        <x:v>0</x:v>
      </x:c>
      <x:c r="G3076" s="67" t="n">
        <x:f>VLOOKUP(C3076,'Governorate Master'!$A$2:$Q$13,7,FALSE)</x:f>
        <x:v>358</x:v>
      </x:c>
      <x:c r="H3076" s="20" t="n">
        <x:f>VLOOKUP(C3076,'Governorate Master'!$A$2:$Q$13,6,FALSE)</x:f>
        <x:v>0.9636256966852449</x:v>
      </x:c>
      <x:c r="I3076" s="20" t="n">
        <x:f>VLOOKUP(C3076,'Governorate Master'!$A$2:$Q$13,15,FALSE)</x:f>
        <x:v>-0.06808762581409118</x:v>
      </x:c>
      <x:c r="J3076" s="12" t="str">
        <x:v>Location model input - competition/saturation context</x:v>
      </x:c>
      <x:c r="K3076" s="12" t="str">
        <x:v>Business count is from 2018 while population/context indicators are newer; use as a historical proxy, not a current market count.</x:v>
      </x:c>
    </x:row>
    <x:row r="3077">
      <x:c r="A3077" s="12" t="str">
        <x:v>8230</x:v>
      </x:c>
      <x:c r="B3077" s="12" t="str">
        <x:v>Organization of conventions and trade shows</x:v>
      </x:c>
      <x:c r="C3077" s="12" t="str">
        <x:v>مادبا</x:v>
      </x:c>
      <x:c r="D3077" s="14" t="n">
        <x:v>0</x:v>
      </x:c>
      <x:c r="E3077" s="14" t="n">
        <x:f>VLOOKUP(C3077,'Governorate Master'!$A$2:$Q$13,3,FALSE)</x:f>
        <x:v>236200</x:v>
      </x:c>
      <x:c r="F3077" s="66" t="n">
        <x:f>IF(E3077=0,0,D3077/E3077*10000)</x:f>
        <x:v>0</x:v>
      </x:c>
      <x:c r="G3077" s="67" t="n">
        <x:f>VLOOKUP(C3077,'Governorate Master'!$A$2:$Q$13,7,FALSE)</x:f>
        <x:v>251.4</x:v>
      </x:c>
      <x:c r="H3077" s="20" t="n">
        <x:f>VLOOKUP(C3077,'Governorate Master'!$A$2:$Q$13,6,FALSE)</x:f>
        <x:v>0.7823878069432684</x:v>
      </x:c>
      <x:c r="I3077" s="20" t="n">
        <x:f>VLOOKUP(C3077,'Governorate Master'!$A$2:$Q$13,15,FALSE)</x:f>
        <x:v>-0.18823529411764706</x:v>
      </x:c>
      <x:c r="J3077" s="12" t="str">
        <x:v>Location model input - competition/saturation context</x:v>
      </x:c>
      <x:c r="K3077" s="12" t="str">
        <x:v>Business count is from 2018 while population/context indicators are newer; use as a historical proxy, not a current market count.</x:v>
      </x:c>
    </x:row>
    <x:row r="3078">
      <x:c r="A3078" s="12" t="str">
        <x:v>8230</x:v>
      </x:c>
      <x:c r="B3078" s="12" t="str">
        <x:v>Organization of conventions and trade shows</x:v>
      </x:c>
      <x:c r="C3078" s="12" t="str">
        <x:v>إربد</x:v>
      </x:c>
      <x:c r="D3078" s="14" t="n">
        <x:v>0</x:v>
      </x:c>
      <x:c r="E3078" s="14" t="n">
        <x:f>VLOOKUP(C3078,'Governorate Master'!$A$2:$Q$13,3,FALSE)</x:f>
        <x:v>2210500</x:v>
      </x:c>
      <x:c r="F3078" s="66" t="n">
        <x:f>IF(E3078=0,0,D3078/E3078*10000)</x:f>
        <x:v>0</x:v>
      </x:c>
      <x:c r="G3078" s="67" t="n">
        <x:f>VLOOKUP(C3078,'Governorate Master'!$A$2:$Q$13,7,FALSE)</x:f>
        <x:v>1406.4</x:v>
      </x:c>
      <x:c r="H3078" s="20" t="n">
        <x:f>VLOOKUP(C3078,'Governorate Master'!$A$2:$Q$13,6,FALSE)</x:f>
        <x:v>0.9235014702555983</x:v>
      </x:c>
      <x:c r="I3078" s="20" t="n">
        <x:f>VLOOKUP(C3078,'Governorate Master'!$A$2:$Q$13,15,FALSE)</x:f>
        <x:v>0.07086922474549726</x:v>
      </x:c>
      <x:c r="J3078" s="12" t="str">
        <x:v>Location model input - competition/saturation context</x:v>
      </x:c>
      <x:c r="K3078" s="12" t="str">
        <x:v>Business count is from 2018 while population/context indicators are newer; use as a historical proxy, not a current market count.</x:v>
      </x:c>
    </x:row>
    <x:row r="3079">
      <x:c r="A3079" s="12" t="str">
        <x:v>8230</x:v>
      </x:c>
      <x:c r="B3079" s="12" t="str">
        <x:v>Organization of conventions and trade shows</x:v>
      </x:c>
      <x:c r="C3079" s="12" t="str">
        <x:v>المفرق</x:v>
      </x:c>
      <x:c r="D3079" s="14" t="n">
        <x:v>0</x:v>
      </x:c>
      <x:c r="E3079" s="14" t="n">
        <x:f>VLOOKUP(C3079,'Governorate Master'!$A$2:$Q$13,3,FALSE)</x:f>
        <x:v>686800</x:v>
      </x:c>
      <x:c r="F3079" s="66" t="n">
        <x:f>IF(E3079=0,0,D3079/E3079*10000)</x:f>
        <x:v>0</x:v>
      </x:c>
      <x:c r="G3079" s="67" t="n">
        <x:f>VLOOKUP(C3079,'Governorate Master'!$A$2:$Q$13,7,FALSE)</x:f>
        <x:v>25.9</x:v>
      </x:c>
      <x:c r="H3079" s="20" t="n">
        <x:f>VLOOKUP(C3079,'Governorate Master'!$A$2:$Q$13,6,FALSE)</x:f>
        <x:v>0.6965637740244612</x:v>
      </x:c>
      <x:c r="I3079" s="20" t="n">
        <x:f>VLOOKUP(C3079,'Governorate Master'!$A$2:$Q$13,15,FALSE)</x:f>
        <x:v>-0.016638935108153077</x:v>
      </x:c>
      <x:c r="J3079" s="12" t="str">
        <x:v>Location model input - competition/saturation context</x:v>
      </x:c>
      <x:c r="K3079" s="12" t="str">
        <x:v>Business count is from 2018 while population/context indicators are newer; use as a historical proxy, not a current market count.</x:v>
      </x:c>
    </x:row>
    <x:row r="3080">
      <x:c r="A3080" s="12" t="str">
        <x:v>8230</x:v>
      </x:c>
      <x:c r="B3080" s="12" t="str">
        <x:v>Organization of conventions and trade shows</x:v>
      </x:c>
      <x:c r="C3080" s="12" t="str">
        <x:v>جرش</x:v>
      </x:c>
      <x:c r="D3080" s="14" t="n">
        <x:v>0</x:v>
      </x:c>
      <x:c r="E3080" s="14" t="n">
        <x:f>VLOOKUP(C3080,'Governorate Master'!$A$2:$Q$13,3,FALSE)</x:f>
        <x:v>296000</x:v>
      </x:c>
      <x:c r="F3080" s="66" t="n">
        <x:f>IF(E3080=0,0,D3080/E3080*10000)</x:f>
        <x:v>0</x:v>
      </x:c>
      <x:c r="G3080" s="67" t="n">
        <x:f>VLOOKUP(C3080,'Governorate Master'!$A$2:$Q$13,7,FALSE)</x:f>
        <x:v>722.3</x:v>
      </x:c>
      <x:c r="H3080" s="20" t="n">
        <x:f>VLOOKUP(C3080,'Governorate Master'!$A$2:$Q$13,6,FALSE)</x:f>
        <x:v>0.7695945945945946</x:v>
      </x:c>
      <x:c r="I3080" s="20" t="n">
        <x:f>VLOOKUP(C3080,'Governorate Master'!$A$2:$Q$13,15,FALSE)</x:f>
        <x:v>-0.06527415143603134</x:v>
      </x:c>
      <x:c r="J3080" s="12" t="str">
        <x:v>Location model input - competition/saturation context</x:v>
      </x:c>
      <x:c r="K3080" s="12" t="str">
        <x:v>Business count is from 2018 while population/context indicators are newer; use as a historical proxy, not a current market count.</x:v>
      </x:c>
    </x:row>
    <x:row r="3081">
      <x:c r="A3081" s="12" t="str">
        <x:v>8230</x:v>
      </x:c>
      <x:c r="B3081" s="12" t="str">
        <x:v>Organization of conventions and trade shows</x:v>
      </x:c>
      <x:c r="C3081" s="12" t="str">
        <x:v>عجلون</x:v>
      </x:c>
      <x:c r="D3081" s="14" t="n">
        <x:v>0</x:v>
      </x:c>
      <x:c r="E3081" s="14" t="n">
        <x:f>VLOOKUP(C3081,'Governorate Master'!$A$2:$Q$13,3,FALSE)</x:f>
        <x:v>219900</x:v>
      </x:c>
      <x:c r="F3081" s="66" t="n">
        <x:f>IF(E3081=0,0,D3081/E3081*10000)</x:f>
        <x:v>0</x:v>
      </x:c>
      <x:c r="G3081" s="67" t="n">
        <x:f>VLOOKUP(C3081,'Governorate Master'!$A$2:$Q$13,7,FALSE)</x:f>
        <x:v>524</x:v>
      </x:c>
      <x:c r="H3081" s="20" t="n">
        <x:f>VLOOKUP(C3081,'Governorate Master'!$A$2:$Q$13,6,FALSE)</x:f>
        <x:v>0.8390177353342428</x:v>
      </x:c>
      <x:c r="I3081" s="20" t="n">
        <x:f>VLOOKUP(C3081,'Governorate Master'!$A$2:$Q$13,15,FALSE)</x:f>
        <x:v>0.03614457831325301</x:v>
      </x:c>
      <x:c r="J3081" s="12" t="str">
        <x:v>Location model input - competition/saturation context</x:v>
      </x:c>
      <x:c r="K3081" s="12" t="str">
        <x:v>Business count is from 2018 while population/context indicators are newer; use as a historical proxy, not a current market count.</x:v>
      </x:c>
    </x:row>
    <x:row r="3082">
      <x:c r="A3082" s="12" t="str">
        <x:v>8230</x:v>
      </x:c>
      <x:c r="B3082" s="12" t="str">
        <x:v>Organization of conventions and trade shows</x:v>
      </x:c>
      <x:c r="C3082" s="12" t="str">
        <x:v>الكرك</x:v>
      </x:c>
      <x:c r="D3082" s="14" t="n">
        <x:v>0</x:v>
      </x:c>
      <x:c r="E3082" s="14" t="n">
        <x:f>VLOOKUP(C3082,'Governorate Master'!$A$2:$Q$13,3,FALSE)</x:f>
        <x:v>395400</x:v>
      </x:c>
      <x:c r="F3082" s="66" t="n">
        <x:f>IF(E3082=0,0,D3082/E3082*10000)</x:f>
        <x:v>0</x:v>
      </x:c>
      <x:c r="G3082" s="67" t="n">
        <x:f>VLOOKUP(C3082,'Governorate Master'!$A$2:$Q$13,7,FALSE)</x:f>
        <x:v>113.1</x:v>
      </x:c>
      <x:c r="H3082" s="20" t="n">
        <x:f>VLOOKUP(C3082,'Governorate Master'!$A$2:$Q$13,6,FALSE)</x:f>
        <x:v>0.5912999494183105</x:v>
      </x:c>
      <x:c r="I3082" s="20" t="n">
        <x:f>VLOOKUP(C3082,'Governorate Master'!$A$2:$Q$13,15,FALSE)</x:f>
        <x:v>0.08710801393728224</x:v>
      </x:c>
      <x:c r="J3082" s="12" t="str">
        <x:v>Location model input - competition/saturation context</x:v>
      </x:c>
      <x:c r="K3082" s="12" t="str">
        <x:v>Business count is from 2018 while population/context indicators are newer; use as a historical proxy, not a current market count.</x:v>
      </x:c>
    </x:row>
    <x:row r="3083">
      <x:c r="A3083" s="12" t="str">
        <x:v>8230</x:v>
      </x:c>
      <x:c r="B3083" s="12" t="str">
        <x:v>Organization of conventions and trade shows</x:v>
      </x:c>
      <x:c r="C3083" s="12" t="str">
        <x:v>الطفيلة</x:v>
      </x:c>
      <x:c r="D3083" s="14" t="n">
        <x:v>0</x:v>
      </x:c>
      <x:c r="E3083" s="14" t="n">
        <x:f>VLOOKUP(C3083,'Governorate Master'!$A$2:$Q$13,3,FALSE)</x:f>
        <x:v>120300</x:v>
      </x:c>
      <x:c r="F3083" s="66" t="n">
        <x:f>IF(E3083=0,0,D3083/E3083*10000)</x:f>
        <x:v>0</x:v>
      </x:c>
      <x:c r="G3083" s="67" t="n">
        <x:f>VLOOKUP(C3083,'Governorate Master'!$A$2:$Q$13,7,FALSE)</x:f>
        <x:v>54.4</x:v>
      </x:c>
      <x:c r="H3083" s="20" t="n">
        <x:f>VLOOKUP(C3083,'Governorate Master'!$A$2:$Q$13,6,FALSE)</x:f>
        <x:v>0.7797173732335827</x:v>
      </x:c>
      <x:c r="I3083" s="20" t="n">
        <x:f>VLOOKUP(C3083,'Governorate Master'!$A$2:$Q$13,15,FALSE)</x:f>
        <x:v>0.18452380952380953</x:v>
      </x:c>
      <x:c r="J3083" s="12" t="str">
        <x:v>Location model input - competition/saturation context</x:v>
      </x:c>
      <x:c r="K3083" s="12" t="str">
        <x:v>Business count is from 2018 while population/context indicators are newer; use as a historical proxy, not a current market count.</x:v>
      </x:c>
    </x:row>
    <x:row r="3084">
      <x:c r="A3084" s="12" t="str">
        <x:v>8230</x:v>
      </x:c>
      <x:c r="B3084" s="12" t="str">
        <x:v>Organization of conventions and trade shows</x:v>
      </x:c>
      <x:c r="C3084" s="12" t="str">
        <x:v>معان</x:v>
      </x:c>
      <x:c r="D3084" s="14" t="n">
        <x:v>0</x:v>
      </x:c>
      <x:c r="E3084" s="14" t="n">
        <x:f>VLOOKUP(C3084,'Governorate Master'!$A$2:$Q$13,3,FALSE)</x:f>
        <x:v>197900</x:v>
      </x:c>
      <x:c r="F3084" s="66" t="n">
        <x:f>IF(E3084=0,0,D3084/E3084*10000)</x:f>
        <x:v>0</x:v>
      </x:c>
      <x:c r="G3084" s="67" t="n">
        <x:f>VLOOKUP(C3084,'Governorate Master'!$A$2:$Q$13,7,FALSE)</x:f>
        <x:v>6</x:v>
      </x:c>
      <x:c r="H3084" s="20" t="n">
        <x:f>VLOOKUP(C3084,'Governorate Master'!$A$2:$Q$13,6,FALSE)</x:f>
        <x:v>0.5406771096513391</x:v>
      </x:c>
      <x:c r="I3084" s="20" t="n">
        <x:f>VLOOKUP(C3084,'Governorate Master'!$A$2:$Q$13,15,FALSE)</x:f>
        <x:v>0.026845637583892617</x:v>
      </x:c>
      <x:c r="J3084" s="12" t="str">
        <x:v>Location model input - competition/saturation context</x:v>
      </x:c>
      <x:c r="K3084" s="12" t="str">
        <x:v>Business count is from 2018 while population/context indicators are newer; use as a historical proxy, not a current market count.</x:v>
      </x:c>
    </x:row>
    <x:row r="3085">
      <x:c r="A3085" s="12" t="str">
        <x:v>8230</x:v>
      </x:c>
      <x:c r="B3085" s="12" t="str">
        <x:v>Organization of conventions and trade shows</x:v>
      </x:c>
      <x:c r="C3085" s="12" t="str">
        <x:v>العقبة</x:v>
      </x:c>
      <x:c r="D3085" s="14" t="n">
        <x:v>0</x:v>
      </x:c>
      <x:c r="E3085" s="14" t="n">
        <x:f>VLOOKUP(C3085,'Governorate Master'!$A$2:$Q$13,3,FALSE)</x:f>
        <x:v>250900</x:v>
      </x:c>
      <x:c r="F3085" s="66" t="n">
        <x:f>IF(E3085=0,0,D3085/E3085*10000)</x:f>
        <x:v>0</x:v>
      </x:c>
      <x:c r="G3085" s="67" t="n">
        <x:f>VLOOKUP(C3085,'Governorate Master'!$A$2:$Q$13,7,FALSE)</x:f>
        <x:v>36.3</x:v>
      </x:c>
      <x:c r="H3085" s="20" t="n">
        <x:f>VLOOKUP(C3085,'Governorate Master'!$A$2:$Q$13,6,FALSE)</x:f>
        <x:v>0.882024711040255</x:v>
      </x:c>
      <x:c r="I3085" s="20" t="n">
        <x:f>VLOOKUP(C3085,'Governorate Master'!$A$2:$Q$13,15,FALSE)</x:f>
        <x:v>-0.09</x:v>
      </x:c>
      <x:c r="J3085" s="12" t="str">
        <x:v>Location model input - competition/saturation context</x:v>
      </x:c>
      <x:c r="K3085" s="12" t="str">
        <x:v>Business count is from 2018 while population/context indicators are newer; use as a historical proxy, not a current market count.</x:v>
      </x:c>
    </x:row>
    <x:row r="3086">
      <x:c r="A3086" s="12" t="str">
        <x:v>8291</x:v>
      </x:c>
      <x:c r="B3086" s="12" t="str">
        <x:v>Activities of collection agencies and credit bureaus</x:v>
      </x:c>
      <x:c r="C3086" s="12" t="str">
        <x:v>عمان</x:v>
      </x:c>
      <x:c r="D3086" s="14" t="n">
        <x:v>8</x:v>
      </x:c>
      <x:c r="E3086" s="14" t="n">
        <x:f>VLOOKUP(C3086,'Governorate Master'!$A$2:$Q$13,3,FALSE)</x:f>
        <x:v>5004600</x:v>
      </x:c>
      <x:c r="F3086" s="66" t="n">
        <x:f>IF(E3086=0,0,D3086/E3086*10000)</x:f>
        <x:v>0.015985293529952444</x:v>
      </x:c>
      <x:c r="G3086" s="67" t="n">
        <x:f>VLOOKUP(C3086,'Governorate Master'!$A$2:$Q$13,7,FALSE)</x:f>
        <x:v>660.3</x:v>
      </x:c>
      <x:c r="H3086" s="20" t="n">
        <x:f>VLOOKUP(C3086,'Governorate Master'!$A$2:$Q$13,6,FALSE)</x:f>
        <x:v>0.9721656076409703</x:v>
      </x:c>
      <x:c r="I3086" s="20" t="n">
        <x:f>VLOOKUP(C3086,'Governorate Master'!$A$2:$Q$13,15,FALSE)</x:f>
        <x:v>0.06367041198501873</x:v>
      </x:c>
      <x:c r="J3086" s="12" t="str">
        <x:v>Location model input - competition/saturation context</x:v>
      </x:c>
      <x:c r="K3086" s="12" t="str">
        <x:v>Business count is from 2018 while population/context indicators are newer; use as a historical proxy, not a current market count.</x:v>
      </x:c>
    </x:row>
    <x:row r="3087">
      <x:c r="A3087" s="12" t="str">
        <x:v>8291</x:v>
      </x:c>
      <x:c r="B3087" s="12" t="str">
        <x:v>Activities of collection agencies and credit bureaus</x:v>
      </x:c>
      <x:c r="C3087" s="12" t="str">
        <x:v>البلقاء</x:v>
      </x:c>
      <x:c r="D3087" s="14" t="n">
        <x:v>0</x:v>
      </x:c>
      <x:c r="E3087" s="14" t="n">
        <x:f>VLOOKUP(C3087,'Governorate Master'!$A$2:$Q$13,3,FALSE)</x:f>
        <x:v>614000</x:v>
      </x:c>
      <x:c r="F3087" s="66" t="n">
        <x:f>IF(E3087=0,0,D3087/E3087*10000)</x:f>
        <x:v>0</x:v>
      </x:c>
      <x:c r="G3087" s="67" t="n">
        <x:f>VLOOKUP(C3087,'Governorate Master'!$A$2:$Q$13,7,FALSE)</x:f>
        <x:v>548</x:v>
      </x:c>
      <x:c r="H3087" s="20" t="n">
        <x:f>VLOOKUP(C3087,'Governorate Master'!$A$2:$Q$13,6,FALSE)</x:f>
        <x:v>0.8210097719869707</x:v>
      </x:c>
      <x:c r="I3087" s="20" t="n">
        <x:f>VLOOKUP(C3087,'Governorate Master'!$A$2:$Q$13,15,FALSE)</x:f>
        <x:v>0.10794044665012408</x:v>
      </x:c>
      <x:c r="J3087" s="12" t="str">
        <x:v>Location model input - competition/saturation context</x:v>
      </x:c>
      <x:c r="K3087" s="12" t="str">
        <x:v>Business count is from 2018 while population/context indicators are newer; use as a historical proxy, not a current market count.</x:v>
      </x:c>
    </x:row>
    <x:row r="3088">
      <x:c r="A3088" s="12" t="str">
        <x:v>8291</x:v>
      </x:c>
      <x:c r="B3088" s="12" t="str">
        <x:v>Activities of collection agencies and credit bureaus</x:v>
      </x:c>
      <x:c r="C3088" s="12" t="str">
        <x:v>الزرقاء</x:v>
      </x:c>
      <x:c r="D3088" s="14" t="n">
        <x:v>2</x:v>
      </x:c>
      <x:c r="E3088" s="14" t="n">
        <x:f>VLOOKUP(C3088,'Governorate Master'!$A$2:$Q$13,3,FALSE)</x:f>
        <x:v>1704500</x:v>
      </x:c>
      <x:c r="F3088" s="66" t="n">
        <x:f>IF(E3088=0,0,D3088/E3088*10000)</x:f>
        <x:v>0.011733646230566148</x:v>
      </x:c>
      <x:c r="G3088" s="67" t="n">
        <x:f>VLOOKUP(C3088,'Governorate Master'!$A$2:$Q$13,7,FALSE)</x:f>
        <x:v>358</x:v>
      </x:c>
      <x:c r="H3088" s="20" t="n">
        <x:f>VLOOKUP(C3088,'Governorate Master'!$A$2:$Q$13,6,FALSE)</x:f>
        <x:v>0.9636256966852449</x:v>
      </x:c>
      <x:c r="I3088" s="20" t="n">
        <x:f>VLOOKUP(C3088,'Governorate Master'!$A$2:$Q$13,15,FALSE)</x:f>
        <x:v>-0.06808762581409118</x:v>
      </x:c>
      <x:c r="J3088" s="12" t="str">
        <x:v>Location model input - competition/saturation context</x:v>
      </x:c>
      <x:c r="K3088" s="12" t="str">
        <x:v>Business count is from 2018 while population/context indicators are newer; use as a historical proxy, not a current market count.</x:v>
      </x:c>
    </x:row>
    <x:row r="3089">
      <x:c r="A3089" s="12" t="str">
        <x:v>8291</x:v>
      </x:c>
      <x:c r="B3089" s="12" t="str">
        <x:v>Activities of collection agencies and credit bureaus</x:v>
      </x:c>
      <x:c r="C3089" s="12" t="str">
        <x:v>مادبا</x:v>
      </x:c>
      <x:c r="D3089" s="14" t="n">
        <x:v>0</x:v>
      </x:c>
      <x:c r="E3089" s="14" t="n">
        <x:f>VLOOKUP(C3089,'Governorate Master'!$A$2:$Q$13,3,FALSE)</x:f>
        <x:v>236200</x:v>
      </x:c>
      <x:c r="F3089" s="66" t="n">
        <x:f>IF(E3089=0,0,D3089/E3089*10000)</x:f>
        <x:v>0</x:v>
      </x:c>
      <x:c r="G3089" s="67" t="n">
        <x:f>VLOOKUP(C3089,'Governorate Master'!$A$2:$Q$13,7,FALSE)</x:f>
        <x:v>251.4</x:v>
      </x:c>
      <x:c r="H3089" s="20" t="n">
        <x:f>VLOOKUP(C3089,'Governorate Master'!$A$2:$Q$13,6,FALSE)</x:f>
        <x:v>0.7823878069432684</x:v>
      </x:c>
      <x:c r="I3089" s="20" t="n">
        <x:f>VLOOKUP(C3089,'Governorate Master'!$A$2:$Q$13,15,FALSE)</x:f>
        <x:v>-0.18823529411764706</x:v>
      </x:c>
      <x:c r="J3089" s="12" t="str">
        <x:v>Location model input - competition/saturation context</x:v>
      </x:c>
      <x:c r="K3089" s="12" t="str">
        <x:v>Business count is from 2018 while population/context indicators are newer; use as a historical proxy, not a current market count.</x:v>
      </x:c>
    </x:row>
    <x:row r="3090">
      <x:c r="A3090" s="12" t="str">
        <x:v>8291</x:v>
      </x:c>
      <x:c r="B3090" s="12" t="str">
        <x:v>Activities of collection agencies and credit bureaus</x:v>
      </x:c>
      <x:c r="C3090" s="12" t="str">
        <x:v>إربد</x:v>
      </x:c>
      <x:c r="D3090" s="14" t="n">
        <x:v>0</x:v>
      </x:c>
      <x:c r="E3090" s="14" t="n">
        <x:f>VLOOKUP(C3090,'Governorate Master'!$A$2:$Q$13,3,FALSE)</x:f>
        <x:v>2210500</x:v>
      </x:c>
      <x:c r="F3090" s="66" t="n">
        <x:f>IF(E3090=0,0,D3090/E3090*10000)</x:f>
        <x:v>0</x:v>
      </x:c>
      <x:c r="G3090" s="67" t="n">
        <x:f>VLOOKUP(C3090,'Governorate Master'!$A$2:$Q$13,7,FALSE)</x:f>
        <x:v>1406.4</x:v>
      </x:c>
      <x:c r="H3090" s="20" t="n">
        <x:f>VLOOKUP(C3090,'Governorate Master'!$A$2:$Q$13,6,FALSE)</x:f>
        <x:v>0.9235014702555983</x:v>
      </x:c>
      <x:c r="I3090" s="20" t="n">
        <x:f>VLOOKUP(C3090,'Governorate Master'!$A$2:$Q$13,15,FALSE)</x:f>
        <x:v>0.07086922474549726</x:v>
      </x:c>
      <x:c r="J3090" s="12" t="str">
        <x:v>Location model input - competition/saturation context</x:v>
      </x:c>
      <x:c r="K3090" s="12" t="str">
        <x:v>Business count is from 2018 while population/context indicators are newer; use as a historical proxy, not a current market count.</x:v>
      </x:c>
    </x:row>
    <x:row r="3091">
      <x:c r="A3091" s="12" t="str">
        <x:v>8291</x:v>
      </x:c>
      <x:c r="B3091" s="12" t="str">
        <x:v>Activities of collection agencies and credit bureaus</x:v>
      </x:c>
      <x:c r="C3091" s="12" t="str">
        <x:v>المفرق</x:v>
      </x:c>
      <x:c r="D3091" s="14" t="n">
        <x:v>1</x:v>
      </x:c>
      <x:c r="E3091" s="14" t="n">
        <x:f>VLOOKUP(C3091,'Governorate Master'!$A$2:$Q$13,3,FALSE)</x:f>
        <x:v>686800</x:v>
      </x:c>
      <x:c r="F3091" s="66" t="n">
        <x:f>IF(E3091=0,0,D3091/E3091*10000)</x:f>
        <x:v>0.014560279557367502</x:v>
      </x:c>
      <x:c r="G3091" s="67" t="n">
        <x:f>VLOOKUP(C3091,'Governorate Master'!$A$2:$Q$13,7,FALSE)</x:f>
        <x:v>25.9</x:v>
      </x:c>
      <x:c r="H3091" s="20" t="n">
        <x:f>VLOOKUP(C3091,'Governorate Master'!$A$2:$Q$13,6,FALSE)</x:f>
        <x:v>0.6965637740244612</x:v>
      </x:c>
      <x:c r="I3091" s="20" t="n">
        <x:f>VLOOKUP(C3091,'Governorate Master'!$A$2:$Q$13,15,FALSE)</x:f>
        <x:v>-0.016638935108153077</x:v>
      </x:c>
      <x:c r="J3091" s="12" t="str">
        <x:v>Location model input - competition/saturation context</x:v>
      </x:c>
      <x:c r="K3091" s="12" t="str">
        <x:v>Business count is from 2018 while population/context indicators are newer; use as a historical proxy, not a current market count.</x:v>
      </x:c>
    </x:row>
    <x:row r="3092">
      <x:c r="A3092" s="12" t="str">
        <x:v>8291</x:v>
      </x:c>
      <x:c r="B3092" s="12" t="str">
        <x:v>Activities of collection agencies and credit bureaus</x:v>
      </x:c>
      <x:c r="C3092" s="12" t="str">
        <x:v>جرش</x:v>
      </x:c>
      <x:c r="D3092" s="14" t="n">
        <x:v>0</x:v>
      </x:c>
      <x:c r="E3092" s="14" t="n">
        <x:f>VLOOKUP(C3092,'Governorate Master'!$A$2:$Q$13,3,FALSE)</x:f>
        <x:v>296000</x:v>
      </x:c>
      <x:c r="F3092" s="66" t="n">
        <x:f>IF(E3092=0,0,D3092/E3092*10000)</x:f>
        <x:v>0</x:v>
      </x:c>
      <x:c r="G3092" s="67" t="n">
        <x:f>VLOOKUP(C3092,'Governorate Master'!$A$2:$Q$13,7,FALSE)</x:f>
        <x:v>722.3</x:v>
      </x:c>
      <x:c r="H3092" s="20" t="n">
        <x:f>VLOOKUP(C3092,'Governorate Master'!$A$2:$Q$13,6,FALSE)</x:f>
        <x:v>0.7695945945945946</x:v>
      </x:c>
      <x:c r="I3092" s="20" t="n">
        <x:f>VLOOKUP(C3092,'Governorate Master'!$A$2:$Q$13,15,FALSE)</x:f>
        <x:v>-0.06527415143603134</x:v>
      </x:c>
      <x:c r="J3092" s="12" t="str">
        <x:v>Location model input - competition/saturation context</x:v>
      </x:c>
      <x:c r="K3092" s="12" t="str">
        <x:v>Business count is from 2018 while population/context indicators are newer; use as a historical proxy, not a current market count.</x:v>
      </x:c>
    </x:row>
    <x:row r="3093">
      <x:c r="A3093" s="12" t="str">
        <x:v>8291</x:v>
      </x:c>
      <x:c r="B3093" s="12" t="str">
        <x:v>Activities of collection agencies and credit bureaus</x:v>
      </x:c>
      <x:c r="C3093" s="12" t="str">
        <x:v>عجلون</x:v>
      </x:c>
      <x:c r="D3093" s="14" t="n">
        <x:v>0</x:v>
      </x:c>
      <x:c r="E3093" s="14" t="n">
        <x:f>VLOOKUP(C3093,'Governorate Master'!$A$2:$Q$13,3,FALSE)</x:f>
        <x:v>219900</x:v>
      </x:c>
      <x:c r="F3093" s="66" t="n">
        <x:f>IF(E3093=0,0,D3093/E3093*10000)</x:f>
        <x:v>0</x:v>
      </x:c>
      <x:c r="G3093" s="67" t="n">
        <x:f>VLOOKUP(C3093,'Governorate Master'!$A$2:$Q$13,7,FALSE)</x:f>
        <x:v>524</x:v>
      </x:c>
      <x:c r="H3093" s="20" t="n">
        <x:f>VLOOKUP(C3093,'Governorate Master'!$A$2:$Q$13,6,FALSE)</x:f>
        <x:v>0.8390177353342428</x:v>
      </x:c>
      <x:c r="I3093" s="20" t="n">
        <x:f>VLOOKUP(C3093,'Governorate Master'!$A$2:$Q$13,15,FALSE)</x:f>
        <x:v>0.03614457831325301</x:v>
      </x:c>
      <x:c r="J3093" s="12" t="str">
        <x:v>Location model input - competition/saturation context</x:v>
      </x:c>
      <x:c r="K3093" s="12" t="str">
        <x:v>Business count is from 2018 while population/context indicators are newer; use as a historical proxy, not a current market count.</x:v>
      </x:c>
    </x:row>
    <x:row r="3094">
      <x:c r="A3094" s="12" t="str">
        <x:v>8291</x:v>
      </x:c>
      <x:c r="B3094" s="12" t="str">
        <x:v>Activities of collection agencies and credit bureaus</x:v>
      </x:c>
      <x:c r="C3094" s="12" t="str">
        <x:v>الكرك</x:v>
      </x:c>
      <x:c r="D3094" s="14" t="n">
        <x:v>0</x:v>
      </x:c>
      <x:c r="E3094" s="14" t="n">
        <x:f>VLOOKUP(C3094,'Governorate Master'!$A$2:$Q$13,3,FALSE)</x:f>
        <x:v>395400</x:v>
      </x:c>
      <x:c r="F3094" s="66" t="n">
        <x:f>IF(E3094=0,0,D3094/E3094*10000)</x:f>
        <x:v>0</x:v>
      </x:c>
      <x:c r="G3094" s="67" t="n">
        <x:f>VLOOKUP(C3094,'Governorate Master'!$A$2:$Q$13,7,FALSE)</x:f>
        <x:v>113.1</x:v>
      </x:c>
      <x:c r="H3094" s="20" t="n">
        <x:f>VLOOKUP(C3094,'Governorate Master'!$A$2:$Q$13,6,FALSE)</x:f>
        <x:v>0.5912999494183105</x:v>
      </x:c>
      <x:c r="I3094" s="20" t="n">
        <x:f>VLOOKUP(C3094,'Governorate Master'!$A$2:$Q$13,15,FALSE)</x:f>
        <x:v>0.08710801393728224</x:v>
      </x:c>
      <x:c r="J3094" s="12" t="str">
        <x:v>Location model input - competition/saturation context</x:v>
      </x:c>
      <x:c r="K3094" s="12" t="str">
        <x:v>Business count is from 2018 while population/context indicators are newer; use as a historical proxy, not a current market count.</x:v>
      </x:c>
    </x:row>
    <x:row r="3095">
      <x:c r="A3095" s="12" t="str">
        <x:v>8291</x:v>
      </x:c>
      <x:c r="B3095" s="12" t="str">
        <x:v>Activities of collection agencies and credit bureaus</x:v>
      </x:c>
      <x:c r="C3095" s="12" t="str">
        <x:v>الطفيلة</x:v>
      </x:c>
      <x:c r="D3095" s="14" t="n">
        <x:v>0</x:v>
      </x:c>
      <x:c r="E3095" s="14" t="n">
        <x:f>VLOOKUP(C3095,'Governorate Master'!$A$2:$Q$13,3,FALSE)</x:f>
        <x:v>120300</x:v>
      </x:c>
      <x:c r="F3095" s="66" t="n">
        <x:f>IF(E3095=0,0,D3095/E3095*10000)</x:f>
        <x:v>0</x:v>
      </x:c>
      <x:c r="G3095" s="67" t="n">
        <x:f>VLOOKUP(C3095,'Governorate Master'!$A$2:$Q$13,7,FALSE)</x:f>
        <x:v>54.4</x:v>
      </x:c>
      <x:c r="H3095" s="20" t="n">
        <x:f>VLOOKUP(C3095,'Governorate Master'!$A$2:$Q$13,6,FALSE)</x:f>
        <x:v>0.7797173732335827</x:v>
      </x:c>
      <x:c r="I3095" s="20" t="n">
        <x:f>VLOOKUP(C3095,'Governorate Master'!$A$2:$Q$13,15,FALSE)</x:f>
        <x:v>0.18452380952380953</x:v>
      </x:c>
      <x:c r="J3095" s="12" t="str">
        <x:v>Location model input - competition/saturation context</x:v>
      </x:c>
      <x:c r="K3095" s="12" t="str">
        <x:v>Business count is from 2018 while population/context indicators are newer; use as a historical proxy, not a current market count.</x:v>
      </x:c>
    </x:row>
    <x:row r="3096">
      <x:c r="A3096" s="12" t="str">
        <x:v>8291</x:v>
      </x:c>
      <x:c r="B3096" s="12" t="str">
        <x:v>Activities of collection agencies and credit bureaus</x:v>
      </x:c>
      <x:c r="C3096" s="12" t="str">
        <x:v>معان</x:v>
      </x:c>
      <x:c r="D3096" s="14" t="n">
        <x:v>0</x:v>
      </x:c>
      <x:c r="E3096" s="14" t="n">
        <x:f>VLOOKUP(C3096,'Governorate Master'!$A$2:$Q$13,3,FALSE)</x:f>
        <x:v>197900</x:v>
      </x:c>
      <x:c r="F3096" s="66" t="n">
        <x:f>IF(E3096=0,0,D3096/E3096*10000)</x:f>
        <x:v>0</x:v>
      </x:c>
      <x:c r="G3096" s="67" t="n">
        <x:f>VLOOKUP(C3096,'Governorate Master'!$A$2:$Q$13,7,FALSE)</x:f>
        <x:v>6</x:v>
      </x:c>
      <x:c r="H3096" s="20" t="n">
        <x:f>VLOOKUP(C3096,'Governorate Master'!$A$2:$Q$13,6,FALSE)</x:f>
        <x:v>0.5406771096513391</x:v>
      </x:c>
      <x:c r="I3096" s="20" t="n">
        <x:f>VLOOKUP(C3096,'Governorate Master'!$A$2:$Q$13,15,FALSE)</x:f>
        <x:v>0.026845637583892617</x:v>
      </x:c>
      <x:c r="J3096" s="12" t="str">
        <x:v>Location model input - competition/saturation context</x:v>
      </x:c>
      <x:c r="K3096" s="12" t="str">
        <x:v>Business count is from 2018 while population/context indicators are newer; use as a historical proxy, not a current market count.</x:v>
      </x:c>
    </x:row>
    <x:row r="3097">
      <x:c r="A3097" s="12" t="str">
        <x:v>8291</x:v>
      </x:c>
      <x:c r="B3097" s="12" t="str">
        <x:v>Activities of collection agencies and credit bureaus</x:v>
      </x:c>
      <x:c r="C3097" s="12" t="str">
        <x:v>العقبة</x:v>
      </x:c>
      <x:c r="D3097" s="14" t="n">
        <x:v>0</x:v>
      </x:c>
      <x:c r="E3097" s="14" t="n">
        <x:f>VLOOKUP(C3097,'Governorate Master'!$A$2:$Q$13,3,FALSE)</x:f>
        <x:v>250900</x:v>
      </x:c>
      <x:c r="F3097" s="66" t="n">
        <x:f>IF(E3097=0,0,D3097/E3097*10000)</x:f>
        <x:v>0</x:v>
      </x:c>
      <x:c r="G3097" s="67" t="n">
        <x:f>VLOOKUP(C3097,'Governorate Master'!$A$2:$Q$13,7,FALSE)</x:f>
        <x:v>36.3</x:v>
      </x:c>
      <x:c r="H3097" s="20" t="n">
        <x:f>VLOOKUP(C3097,'Governorate Master'!$A$2:$Q$13,6,FALSE)</x:f>
        <x:v>0.882024711040255</x:v>
      </x:c>
      <x:c r="I3097" s="20" t="n">
        <x:f>VLOOKUP(C3097,'Governorate Master'!$A$2:$Q$13,15,FALSE)</x:f>
        <x:v>-0.09</x:v>
      </x:c>
      <x:c r="J3097" s="12" t="str">
        <x:v>Location model input - competition/saturation context</x:v>
      </x:c>
      <x:c r="K3097" s="12" t="str">
        <x:v>Business count is from 2018 while population/context indicators are newer; use as a historical proxy, not a current market count.</x:v>
      </x:c>
    </x:row>
    <x:row r="3098">
      <x:c r="A3098" s="12" t="str">
        <x:v>8292</x:v>
      </x:c>
      <x:c r="B3098" s="12" t="str">
        <x:v>Packaging activities</x:v>
      </x:c>
      <x:c r="C3098" s="12" t="str">
        <x:v>عمان</x:v>
      </x:c>
      <x:c r="D3098" s="14" t="n">
        <x:v>34</x:v>
      </x:c>
      <x:c r="E3098" s="14" t="n">
        <x:f>VLOOKUP(C3098,'Governorate Master'!$A$2:$Q$13,3,FALSE)</x:f>
        <x:v>5004600</x:v>
      </x:c>
      <x:c r="F3098" s="66" t="n">
        <x:f>IF(E3098=0,0,D3098/E3098*10000)</x:f>
        <x:v>0.06793749750229788</x:v>
      </x:c>
      <x:c r="G3098" s="67" t="n">
        <x:f>VLOOKUP(C3098,'Governorate Master'!$A$2:$Q$13,7,FALSE)</x:f>
        <x:v>660.3</x:v>
      </x:c>
      <x:c r="H3098" s="20" t="n">
        <x:f>VLOOKUP(C3098,'Governorate Master'!$A$2:$Q$13,6,FALSE)</x:f>
        <x:v>0.9721656076409703</x:v>
      </x:c>
      <x:c r="I3098" s="20" t="n">
        <x:f>VLOOKUP(C3098,'Governorate Master'!$A$2:$Q$13,15,FALSE)</x:f>
        <x:v>0.06367041198501873</x:v>
      </x:c>
      <x:c r="J3098" s="12" t="str">
        <x:v>Location model input - competition/saturation context</x:v>
      </x:c>
      <x:c r="K3098" s="12" t="str">
        <x:v>Business count is from 2018 while population/context indicators are newer; use as a historical proxy, not a current market count.</x:v>
      </x:c>
    </x:row>
    <x:row r="3099">
      <x:c r="A3099" s="12" t="str">
        <x:v>8292</x:v>
      </x:c>
      <x:c r="B3099" s="12" t="str">
        <x:v>Packaging activities</x:v>
      </x:c>
      <x:c r="C3099" s="12" t="str">
        <x:v>البلقاء</x:v>
      </x:c>
      <x:c r="D3099" s="14" t="n">
        <x:v>1</x:v>
      </x:c>
      <x:c r="E3099" s="14" t="n">
        <x:f>VLOOKUP(C3099,'Governorate Master'!$A$2:$Q$13,3,FALSE)</x:f>
        <x:v>614000</x:v>
      </x:c>
      <x:c r="F3099" s="66" t="n">
        <x:f>IF(E3099=0,0,D3099/E3099*10000)</x:f>
        <x:v>0.016286644951140065</x:v>
      </x:c>
      <x:c r="G3099" s="67" t="n">
        <x:f>VLOOKUP(C3099,'Governorate Master'!$A$2:$Q$13,7,FALSE)</x:f>
        <x:v>548</x:v>
      </x:c>
      <x:c r="H3099" s="20" t="n">
        <x:f>VLOOKUP(C3099,'Governorate Master'!$A$2:$Q$13,6,FALSE)</x:f>
        <x:v>0.8210097719869707</x:v>
      </x:c>
      <x:c r="I3099" s="20" t="n">
        <x:f>VLOOKUP(C3099,'Governorate Master'!$A$2:$Q$13,15,FALSE)</x:f>
        <x:v>0.10794044665012408</x:v>
      </x:c>
      <x:c r="J3099" s="12" t="str">
        <x:v>Location model input - competition/saturation context</x:v>
      </x:c>
      <x:c r="K3099" s="12" t="str">
        <x:v>Business count is from 2018 while population/context indicators are newer; use as a historical proxy, not a current market count.</x:v>
      </x:c>
    </x:row>
    <x:row r="3100">
      <x:c r="A3100" s="12" t="str">
        <x:v>8292</x:v>
      </x:c>
      <x:c r="B3100" s="12" t="str">
        <x:v>Packaging activities</x:v>
      </x:c>
      <x:c r="C3100" s="12" t="str">
        <x:v>الزرقاء</x:v>
      </x:c>
      <x:c r="D3100" s="14" t="n">
        <x:v>8</x:v>
      </x:c>
      <x:c r="E3100" s="14" t="n">
        <x:f>VLOOKUP(C3100,'Governorate Master'!$A$2:$Q$13,3,FALSE)</x:f>
        <x:v>1704500</x:v>
      </x:c>
      <x:c r="F3100" s="66" t="n">
        <x:f>IF(E3100=0,0,D3100/E3100*10000)</x:f>
        <x:v>0.04693458492226459</x:v>
      </x:c>
      <x:c r="G3100" s="67" t="n">
        <x:f>VLOOKUP(C3100,'Governorate Master'!$A$2:$Q$13,7,FALSE)</x:f>
        <x:v>358</x:v>
      </x:c>
      <x:c r="H3100" s="20" t="n">
        <x:f>VLOOKUP(C3100,'Governorate Master'!$A$2:$Q$13,6,FALSE)</x:f>
        <x:v>0.9636256966852449</x:v>
      </x:c>
      <x:c r="I3100" s="20" t="n">
        <x:f>VLOOKUP(C3100,'Governorate Master'!$A$2:$Q$13,15,FALSE)</x:f>
        <x:v>-0.06808762581409118</x:v>
      </x:c>
      <x:c r="J3100" s="12" t="str">
        <x:v>Location model input - competition/saturation context</x:v>
      </x:c>
      <x:c r="K3100" s="12" t="str">
        <x:v>Business count is from 2018 while population/context indicators are newer; use as a historical proxy, not a current market count.</x:v>
      </x:c>
    </x:row>
    <x:row r="3101">
      <x:c r="A3101" s="12" t="str">
        <x:v>8292</x:v>
      </x:c>
      <x:c r="B3101" s="12" t="str">
        <x:v>Packaging activities</x:v>
      </x:c>
      <x:c r="C3101" s="12" t="str">
        <x:v>مادبا</x:v>
      </x:c>
      <x:c r="D3101" s="14" t="n">
        <x:v>0</x:v>
      </x:c>
      <x:c r="E3101" s="14" t="n">
        <x:f>VLOOKUP(C3101,'Governorate Master'!$A$2:$Q$13,3,FALSE)</x:f>
        <x:v>236200</x:v>
      </x:c>
      <x:c r="F3101" s="66" t="n">
        <x:f>IF(E3101=0,0,D3101/E3101*10000)</x:f>
        <x:v>0</x:v>
      </x:c>
      <x:c r="G3101" s="67" t="n">
        <x:f>VLOOKUP(C3101,'Governorate Master'!$A$2:$Q$13,7,FALSE)</x:f>
        <x:v>251.4</x:v>
      </x:c>
      <x:c r="H3101" s="20" t="n">
        <x:f>VLOOKUP(C3101,'Governorate Master'!$A$2:$Q$13,6,FALSE)</x:f>
        <x:v>0.7823878069432684</x:v>
      </x:c>
      <x:c r="I3101" s="20" t="n">
        <x:f>VLOOKUP(C3101,'Governorate Master'!$A$2:$Q$13,15,FALSE)</x:f>
        <x:v>-0.18823529411764706</x:v>
      </x:c>
      <x:c r="J3101" s="12" t="str">
        <x:v>Location model input - competition/saturation context</x:v>
      </x:c>
      <x:c r="K3101" s="12" t="str">
        <x:v>Business count is from 2018 while population/context indicators are newer; use as a historical proxy, not a current market count.</x:v>
      </x:c>
    </x:row>
    <x:row r="3102">
      <x:c r="A3102" s="12" t="str">
        <x:v>8292</x:v>
      </x:c>
      <x:c r="B3102" s="12" t="str">
        <x:v>Packaging activities</x:v>
      </x:c>
      <x:c r="C3102" s="12" t="str">
        <x:v>إربد</x:v>
      </x:c>
      <x:c r="D3102" s="14" t="n">
        <x:v>1</x:v>
      </x:c>
      <x:c r="E3102" s="14" t="n">
        <x:f>VLOOKUP(C3102,'Governorate Master'!$A$2:$Q$13,3,FALSE)</x:f>
        <x:v>2210500</x:v>
      </x:c>
      <x:c r="F3102" s="66" t="n">
        <x:f>IF(E3102=0,0,D3102/E3102*10000)</x:f>
        <x:v>0.004523863379325944</x:v>
      </x:c>
      <x:c r="G3102" s="67" t="n">
        <x:f>VLOOKUP(C3102,'Governorate Master'!$A$2:$Q$13,7,FALSE)</x:f>
        <x:v>1406.4</x:v>
      </x:c>
      <x:c r="H3102" s="20" t="n">
        <x:f>VLOOKUP(C3102,'Governorate Master'!$A$2:$Q$13,6,FALSE)</x:f>
        <x:v>0.9235014702555983</x:v>
      </x:c>
      <x:c r="I3102" s="20" t="n">
        <x:f>VLOOKUP(C3102,'Governorate Master'!$A$2:$Q$13,15,FALSE)</x:f>
        <x:v>0.07086922474549726</x:v>
      </x:c>
      <x:c r="J3102" s="12" t="str">
        <x:v>Location model input - competition/saturation context</x:v>
      </x:c>
      <x:c r="K3102" s="12" t="str">
        <x:v>Business count is from 2018 while population/context indicators are newer; use as a historical proxy, not a current market count.</x:v>
      </x:c>
    </x:row>
    <x:row r="3103">
      <x:c r="A3103" s="12" t="str">
        <x:v>8292</x:v>
      </x:c>
      <x:c r="B3103" s="12" t="str">
        <x:v>Packaging activities</x:v>
      </x:c>
      <x:c r="C3103" s="12" t="str">
        <x:v>المفرق</x:v>
      </x:c>
      <x:c r="D3103" s="14" t="n">
        <x:v>1</x:v>
      </x:c>
      <x:c r="E3103" s="14" t="n">
        <x:f>VLOOKUP(C3103,'Governorate Master'!$A$2:$Q$13,3,FALSE)</x:f>
        <x:v>686800</x:v>
      </x:c>
      <x:c r="F3103" s="66" t="n">
        <x:f>IF(E3103=0,0,D3103/E3103*10000)</x:f>
        <x:v>0.014560279557367502</x:v>
      </x:c>
      <x:c r="G3103" s="67" t="n">
        <x:f>VLOOKUP(C3103,'Governorate Master'!$A$2:$Q$13,7,FALSE)</x:f>
        <x:v>25.9</x:v>
      </x:c>
      <x:c r="H3103" s="20" t="n">
        <x:f>VLOOKUP(C3103,'Governorate Master'!$A$2:$Q$13,6,FALSE)</x:f>
        <x:v>0.6965637740244612</x:v>
      </x:c>
      <x:c r="I3103" s="20" t="n">
        <x:f>VLOOKUP(C3103,'Governorate Master'!$A$2:$Q$13,15,FALSE)</x:f>
        <x:v>-0.016638935108153077</x:v>
      </x:c>
      <x:c r="J3103" s="12" t="str">
        <x:v>Location model input - competition/saturation context</x:v>
      </x:c>
      <x:c r="K3103" s="12" t="str">
        <x:v>Business count is from 2018 while population/context indicators are newer; use as a historical proxy, not a current market count.</x:v>
      </x:c>
    </x:row>
    <x:row r="3104">
      <x:c r="A3104" s="12" t="str">
        <x:v>8292</x:v>
      </x:c>
      <x:c r="B3104" s="12" t="str">
        <x:v>Packaging activities</x:v>
      </x:c>
      <x:c r="C3104" s="12" t="str">
        <x:v>جرش</x:v>
      </x:c>
      <x:c r="D3104" s="14" t="n">
        <x:v>0</x:v>
      </x:c>
      <x:c r="E3104" s="14" t="n">
        <x:f>VLOOKUP(C3104,'Governorate Master'!$A$2:$Q$13,3,FALSE)</x:f>
        <x:v>296000</x:v>
      </x:c>
      <x:c r="F3104" s="66" t="n">
        <x:f>IF(E3104=0,0,D3104/E3104*10000)</x:f>
        <x:v>0</x:v>
      </x:c>
      <x:c r="G3104" s="67" t="n">
        <x:f>VLOOKUP(C3104,'Governorate Master'!$A$2:$Q$13,7,FALSE)</x:f>
        <x:v>722.3</x:v>
      </x:c>
      <x:c r="H3104" s="20" t="n">
        <x:f>VLOOKUP(C3104,'Governorate Master'!$A$2:$Q$13,6,FALSE)</x:f>
        <x:v>0.7695945945945946</x:v>
      </x:c>
      <x:c r="I3104" s="20" t="n">
        <x:f>VLOOKUP(C3104,'Governorate Master'!$A$2:$Q$13,15,FALSE)</x:f>
        <x:v>-0.06527415143603134</x:v>
      </x:c>
      <x:c r="J3104" s="12" t="str">
        <x:v>Location model input - competition/saturation context</x:v>
      </x:c>
      <x:c r="K3104" s="12" t="str">
        <x:v>Business count is from 2018 while population/context indicators are newer; use as a historical proxy, not a current market count.</x:v>
      </x:c>
    </x:row>
    <x:row r="3105">
      <x:c r="A3105" s="12" t="str">
        <x:v>8292</x:v>
      </x:c>
      <x:c r="B3105" s="12" t="str">
        <x:v>Packaging activities</x:v>
      </x:c>
      <x:c r="C3105" s="12" t="str">
        <x:v>عجلون</x:v>
      </x:c>
      <x:c r="D3105" s="14" t="n">
        <x:v>1</x:v>
      </x:c>
      <x:c r="E3105" s="14" t="n">
        <x:f>VLOOKUP(C3105,'Governorate Master'!$A$2:$Q$13,3,FALSE)</x:f>
        <x:v>219900</x:v>
      </x:c>
      <x:c r="F3105" s="66" t="n">
        <x:f>IF(E3105=0,0,D3105/E3105*10000)</x:f>
        <x:v>0.04547521600727603</x:v>
      </x:c>
      <x:c r="G3105" s="67" t="n">
        <x:f>VLOOKUP(C3105,'Governorate Master'!$A$2:$Q$13,7,FALSE)</x:f>
        <x:v>524</x:v>
      </x:c>
      <x:c r="H3105" s="20" t="n">
        <x:f>VLOOKUP(C3105,'Governorate Master'!$A$2:$Q$13,6,FALSE)</x:f>
        <x:v>0.8390177353342428</x:v>
      </x:c>
      <x:c r="I3105" s="20" t="n">
        <x:f>VLOOKUP(C3105,'Governorate Master'!$A$2:$Q$13,15,FALSE)</x:f>
        <x:v>0.03614457831325301</x:v>
      </x:c>
      <x:c r="J3105" s="12" t="str">
        <x:v>Location model input - competition/saturation context</x:v>
      </x:c>
      <x:c r="K3105" s="12" t="str">
        <x:v>Business count is from 2018 while population/context indicators are newer; use as a historical proxy, not a current market count.</x:v>
      </x:c>
    </x:row>
    <x:row r="3106">
      <x:c r="A3106" s="12" t="str">
        <x:v>8292</x:v>
      </x:c>
      <x:c r="B3106" s="12" t="str">
        <x:v>Packaging activities</x:v>
      </x:c>
      <x:c r="C3106" s="12" t="str">
        <x:v>الكرك</x:v>
      </x:c>
      <x:c r="D3106" s="14" t="n">
        <x:v>0</x:v>
      </x:c>
      <x:c r="E3106" s="14" t="n">
        <x:f>VLOOKUP(C3106,'Governorate Master'!$A$2:$Q$13,3,FALSE)</x:f>
        <x:v>395400</x:v>
      </x:c>
      <x:c r="F3106" s="66" t="n">
        <x:f>IF(E3106=0,0,D3106/E3106*10000)</x:f>
        <x:v>0</x:v>
      </x:c>
      <x:c r="G3106" s="67" t="n">
        <x:f>VLOOKUP(C3106,'Governorate Master'!$A$2:$Q$13,7,FALSE)</x:f>
        <x:v>113.1</x:v>
      </x:c>
      <x:c r="H3106" s="20" t="n">
        <x:f>VLOOKUP(C3106,'Governorate Master'!$A$2:$Q$13,6,FALSE)</x:f>
        <x:v>0.5912999494183105</x:v>
      </x:c>
      <x:c r="I3106" s="20" t="n">
        <x:f>VLOOKUP(C3106,'Governorate Master'!$A$2:$Q$13,15,FALSE)</x:f>
        <x:v>0.08710801393728224</x:v>
      </x:c>
      <x:c r="J3106" s="12" t="str">
        <x:v>Location model input - competition/saturation context</x:v>
      </x:c>
      <x:c r="K3106" s="12" t="str">
        <x:v>Business count is from 2018 while population/context indicators are newer; use as a historical proxy, not a current market count.</x:v>
      </x:c>
    </x:row>
    <x:row r="3107">
      <x:c r="A3107" s="12" t="str">
        <x:v>8292</x:v>
      </x:c>
      <x:c r="B3107" s="12" t="str">
        <x:v>Packaging activities</x:v>
      </x:c>
      <x:c r="C3107" s="12" t="str">
        <x:v>الطفيلة</x:v>
      </x:c>
      <x:c r="D3107" s="14" t="n">
        <x:v>0</x:v>
      </x:c>
      <x:c r="E3107" s="14" t="n">
        <x:f>VLOOKUP(C3107,'Governorate Master'!$A$2:$Q$13,3,FALSE)</x:f>
        <x:v>120300</x:v>
      </x:c>
      <x:c r="F3107" s="66" t="n">
        <x:f>IF(E3107=0,0,D3107/E3107*10000)</x:f>
        <x:v>0</x:v>
      </x:c>
      <x:c r="G3107" s="67" t="n">
        <x:f>VLOOKUP(C3107,'Governorate Master'!$A$2:$Q$13,7,FALSE)</x:f>
        <x:v>54.4</x:v>
      </x:c>
      <x:c r="H3107" s="20" t="n">
        <x:f>VLOOKUP(C3107,'Governorate Master'!$A$2:$Q$13,6,FALSE)</x:f>
        <x:v>0.7797173732335827</x:v>
      </x:c>
      <x:c r="I3107" s="20" t="n">
        <x:f>VLOOKUP(C3107,'Governorate Master'!$A$2:$Q$13,15,FALSE)</x:f>
        <x:v>0.18452380952380953</x:v>
      </x:c>
      <x:c r="J3107" s="12" t="str">
        <x:v>Location model input - competition/saturation context</x:v>
      </x:c>
      <x:c r="K3107" s="12" t="str">
        <x:v>Business count is from 2018 while population/context indicators are newer; use as a historical proxy, not a current market count.</x:v>
      </x:c>
    </x:row>
    <x:row r="3108">
      <x:c r="A3108" s="12" t="str">
        <x:v>8292</x:v>
      </x:c>
      <x:c r="B3108" s="12" t="str">
        <x:v>Packaging activities</x:v>
      </x:c>
      <x:c r="C3108" s="12" t="str">
        <x:v>معان</x:v>
      </x:c>
      <x:c r="D3108" s="14" t="n">
        <x:v>0</x:v>
      </x:c>
      <x:c r="E3108" s="14" t="n">
        <x:f>VLOOKUP(C3108,'Governorate Master'!$A$2:$Q$13,3,FALSE)</x:f>
        <x:v>197900</x:v>
      </x:c>
      <x:c r="F3108" s="66" t="n">
        <x:f>IF(E3108=0,0,D3108/E3108*10000)</x:f>
        <x:v>0</x:v>
      </x:c>
      <x:c r="G3108" s="67" t="n">
        <x:f>VLOOKUP(C3108,'Governorate Master'!$A$2:$Q$13,7,FALSE)</x:f>
        <x:v>6</x:v>
      </x:c>
      <x:c r="H3108" s="20" t="n">
        <x:f>VLOOKUP(C3108,'Governorate Master'!$A$2:$Q$13,6,FALSE)</x:f>
        <x:v>0.5406771096513391</x:v>
      </x:c>
      <x:c r="I3108" s="20" t="n">
        <x:f>VLOOKUP(C3108,'Governorate Master'!$A$2:$Q$13,15,FALSE)</x:f>
        <x:v>0.026845637583892617</x:v>
      </x:c>
      <x:c r="J3108" s="12" t="str">
        <x:v>Location model input - competition/saturation context</x:v>
      </x:c>
      <x:c r="K3108" s="12" t="str">
        <x:v>Business count is from 2018 while population/context indicators are newer; use as a historical proxy, not a current market count.</x:v>
      </x:c>
    </x:row>
    <x:row r="3109">
      <x:c r="A3109" s="12" t="str">
        <x:v>8292</x:v>
      </x:c>
      <x:c r="B3109" s="12" t="str">
        <x:v>Packaging activities</x:v>
      </x:c>
      <x:c r="C3109" s="12" t="str">
        <x:v>العقبة</x:v>
      </x:c>
      <x:c r="D3109" s="14" t="n">
        <x:v>1</x:v>
      </x:c>
      <x:c r="E3109" s="14" t="n">
        <x:f>VLOOKUP(C3109,'Governorate Master'!$A$2:$Q$13,3,FALSE)</x:f>
        <x:v>250900</x:v>
      </x:c>
      <x:c r="F3109" s="66" t="n">
        <x:f>IF(E3109=0,0,D3109/E3109*10000)</x:f>
        <x:v>0.03985651654045436</x:v>
      </x:c>
      <x:c r="G3109" s="67" t="n">
        <x:f>VLOOKUP(C3109,'Governorate Master'!$A$2:$Q$13,7,FALSE)</x:f>
        <x:v>36.3</x:v>
      </x:c>
      <x:c r="H3109" s="20" t="n">
        <x:f>VLOOKUP(C3109,'Governorate Master'!$A$2:$Q$13,6,FALSE)</x:f>
        <x:v>0.882024711040255</x:v>
      </x:c>
      <x:c r="I3109" s="20" t="n">
        <x:f>VLOOKUP(C3109,'Governorate Master'!$A$2:$Q$13,15,FALSE)</x:f>
        <x:v>-0.09</x:v>
      </x:c>
      <x:c r="J3109" s="12" t="str">
        <x:v>Location model input - competition/saturation context</x:v>
      </x:c>
      <x:c r="K3109" s="12" t="str">
        <x:v>Business count is from 2018 while population/context indicators are newer; use as a historical proxy, not a current market count.</x:v>
      </x:c>
    </x:row>
    <x:row r="3110">
      <x:c r="A3110" s="12" t="str">
        <x:v>8299</x:v>
      </x:c>
      <x:c r="B3110" s="12" t="str">
        <x:v>Other business support service activities n.e.c.</x:v>
      </x:c>
      <x:c r="C3110" s="12" t="str">
        <x:v>عمان</x:v>
      </x:c>
      <x:c r="D3110" s="14" t="n">
        <x:v>29</x:v>
      </x:c>
      <x:c r="E3110" s="14" t="n">
        <x:f>VLOOKUP(C3110,'Governorate Master'!$A$2:$Q$13,3,FALSE)</x:f>
        <x:v>5004600</x:v>
      </x:c>
      <x:c r="F3110" s="66" t="n">
        <x:f>IF(E3110=0,0,D3110/E3110*10000)</x:f>
        <x:v>0.05794668904607761</x:v>
      </x:c>
      <x:c r="G3110" s="67" t="n">
        <x:f>VLOOKUP(C3110,'Governorate Master'!$A$2:$Q$13,7,FALSE)</x:f>
        <x:v>660.3</x:v>
      </x:c>
      <x:c r="H3110" s="20" t="n">
        <x:f>VLOOKUP(C3110,'Governorate Master'!$A$2:$Q$13,6,FALSE)</x:f>
        <x:v>0.9721656076409703</x:v>
      </x:c>
      <x:c r="I3110" s="20" t="n">
        <x:f>VLOOKUP(C3110,'Governorate Master'!$A$2:$Q$13,15,FALSE)</x:f>
        <x:v>0.06367041198501873</x:v>
      </x:c>
      <x:c r="J3110" s="12" t="str">
        <x:v>Location model input - competition/saturation context</x:v>
      </x:c>
      <x:c r="K3110" s="12" t="str">
        <x:v>Business count is from 2018 while population/context indicators are newer; use as a historical proxy, not a current market count.</x:v>
      </x:c>
    </x:row>
    <x:row r="3111">
      <x:c r="A3111" s="12" t="str">
        <x:v>8299</x:v>
      </x:c>
      <x:c r="B3111" s="12" t="str">
        <x:v>Other business support service activities n.e.c.</x:v>
      </x:c>
      <x:c r="C3111" s="12" t="str">
        <x:v>البلقاء</x:v>
      </x:c>
      <x:c r="D3111" s="14" t="n">
        <x:v>8</x:v>
      </x:c>
      <x:c r="E3111" s="14" t="n">
        <x:f>VLOOKUP(C3111,'Governorate Master'!$A$2:$Q$13,3,FALSE)</x:f>
        <x:v>614000</x:v>
      </x:c>
      <x:c r="F3111" s="66" t="n">
        <x:f>IF(E3111=0,0,D3111/E3111*10000)</x:f>
        <x:v>0.13029315960912052</x:v>
      </x:c>
      <x:c r="G3111" s="67" t="n">
        <x:f>VLOOKUP(C3111,'Governorate Master'!$A$2:$Q$13,7,FALSE)</x:f>
        <x:v>548</x:v>
      </x:c>
      <x:c r="H3111" s="20" t="n">
        <x:f>VLOOKUP(C3111,'Governorate Master'!$A$2:$Q$13,6,FALSE)</x:f>
        <x:v>0.8210097719869707</x:v>
      </x:c>
      <x:c r="I3111" s="20" t="n">
        <x:f>VLOOKUP(C3111,'Governorate Master'!$A$2:$Q$13,15,FALSE)</x:f>
        <x:v>0.10794044665012408</x:v>
      </x:c>
      <x:c r="J3111" s="12" t="str">
        <x:v>Location model input - competition/saturation context</x:v>
      </x:c>
      <x:c r="K3111" s="12" t="str">
        <x:v>Business count is from 2018 while population/context indicators are newer; use as a historical proxy, not a current market count.</x:v>
      </x:c>
    </x:row>
    <x:row r="3112">
      <x:c r="A3112" s="12" t="str">
        <x:v>8299</x:v>
      </x:c>
      <x:c r="B3112" s="12" t="str">
        <x:v>Other business support service activities n.e.c.</x:v>
      </x:c>
      <x:c r="C3112" s="12" t="str">
        <x:v>الزرقاء</x:v>
      </x:c>
      <x:c r="D3112" s="14" t="n">
        <x:v>6</x:v>
      </x:c>
      <x:c r="E3112" s="14" t="n">
        <x:f>VLOOKUP(C3112,'Governorate Master'!$A$2:$Q$13,3,FALSE)</x:f>
        <x:v>1704500</x:v>
      </x:c>
      <x:c r="F3112" s="66" t="n">
        <x:f>IF(E3112=0,0,D3112/E3112*10000)</x:f>
        <x:v>0.03520093869169844</x:v>
      </x:c>
      <x:c r="G3112" s="67" t="n">
        <x:f>VLOOKUP(C3112,'Governorate Master'!$A$2:$Q$13,7,FALSE)</x:f>
        <x:v>358</x:v>
      </x:c>
      <x:c r="H3112" s="20" t="n">
        <x:f>VLOOKUP(C3112,'Governorate Master'!$A$2:$Q$13,6,FALSE)</x:f>
        <x:v>0.9636256966852449</x:v>
      </x:c>
      <x:c r="I3112" s="20" t="n">
        <x:f>VLOOKUP(C3112,'Governorate Master'!$A$2:$Q$13,15,FALSE)</x:f>
        <x:v>-0.06808762581409118</x:v>
      </x:c>
      <x:c r="J3112" s="12" t="str">
        <x:v>Location model input - competition/saturation context</x:v>
      </x:c>
      <x:c r="K3112" s="12" t="str">
        <x:v>Business count is from 2018 while population/context indicators are newer; use as a historical proxy, not a current market count.</x:v>
      </x:c>
    </x:row>
    <x:row r="3113">
      <x:c r="A3113" s="12" t="str">
        <x:v>8299</x:v>
      </x:c>
      <x:c r="B3113" s="12" t="str">
        <x:v>Other business support service activities n.e.c.</x:v>
      </x:c>
      <x:c r="C3113" s="12" t="str">
        <x:v>مادبا</x:v>
      </x:c>
      <x:c r="D3113" s="14" t="n">
        <x:v>0</x:v>
      </x:c>
      <x:c r="E3113" s="14" t="n">
        <x:f>VLOOKUP(C3113,'Governorate Master'!$A$2:$Q$13,3,FALSE)</x:f>
        <x:v>236200</x:v>
      </x:c>
      <x:c r="F3113" s="66" t="n">
        <x:f>IF(E3113=0,0,D3113/E3113*10000)</x:f>
        <x:v>0</x:v>
      </x:c>
      <x:c r="G3113" s="67" t="n">
        <x:f>VLOOKUP(C3113,'Governorate Master'!$A$2:$Q$13,7,FALSE)</x:f>
        <x:v>251.4</x:v>
      </x:c>
      <x:c r="H3113" s="20" t="n">
        <x:f>VLOOKUP(C3113,'Governorate Master'!$A$2:$Q$13,6,FALSE)</x:f>
        <x:v>0.7823878069432684</x:v>
      </x:c>
      <x:c r="I3113" s="20" t="n">
        <x:f>VLOOKUP(C3113,'Governorate Master'!$A$2:$Q$13,15,FALSE)</x:f>
        <x:v>-0.18823529411764706</x:v>
      </x:c>
      <x:c r="J3113" s="12" t="str">
        <x:v>Location model input - competition/saturation context</x:v>
      </x:c>
      <x:c r="K3113" s="12" t="str">
        <x:v>Business count is from 2018 while population/context indicators are newer; use as a historical proxy, not a current market count.</x:v>
      </x:c>
    </x:row>
    <x:row r="3114">
      <x:c r="A3114" s="12" t="str">
        <x:v>8299</x:v>
      </x:c>
      <x:c r="B3114" s="12" t="str">
        <x:v>Other business support service activities n.e.c.</x:v>
      </x:c>
      <x:c r="C3114" s="12" t="str">
        <x:v>إربد</x:v>
      </x:c>
      <x:c r="D3114" s="14" t="n">
        <x:v>12</x:v>
      </x:c>
      <x:c r="E3114" s="14" t="n">
        <x:f>VLOOKUP(C3114,'Governorate Master'!$A$2:$Q$13,3,FALSE)</x:f>
        <x:v>2210500</x:v>
      </x:c>
      <x:c r="F3114" s="66" t="n">
        <x:f>IF(E3114=0,0,D3114/E3114*10000)</x:f>
        <x:v>0.05428636055191133</x:v>
      </x:c>
      <x:c r="G3114" s="67" t="n">
        <x:f>VLOOKUP(C3114,'Governorate Master'!$A$2:$Q$13,7,FALSE)</x:f>
        <x:v>1406.4</x:v>
      </x:c>
      <x:c r="H3114" s="20" t="n">
        <x:f>VLOOKUP(C3114,'Governorate Master'!$A$2:$Q$13,6,FALSE)</x:f>
        <x:v>0.9235014702555983</x:v>
      </x:c>
      <x:c r="I3114" s="20" t="n">
        <x:f>VLOOKUP(C3114,'Governorate Master'!$A$2:$Q$13,15,FALSE)</x:f>
        <x:v>0.07086922474549726</x:v>
      </x:c>
      <x:c r="J3114" s="12" t="str">
        <x:v>Location model input - competition/saturation context</x:v>
      </x:c>
      <x:c r="K3114" s="12" t="str">
        <x:v>Business count is from 2018 while population/context indicators are newer; use as a historical proxy, not a current market count.</x:v>
      </x:c>
    </x:row>
    <x:row r="3115">
      <x:c r="A3115" s="12" t="str">
        <x:v>8299</x:v>
      </x:c>
      <x:c r="B3115" s="12" t="str">
        <x:v>Other business support service activities n.e.c.</x:v>
      </x:c>
      <x:c r="C3115" s="12" t="str">
        <x:v>المفرق</x:v>
      </x:c>
      <x:c r="D3115" s="14" t="n">
        <x:v>1</x:v>
      </x:c>
      <x:c r="E3115" s="14" t="n">
        <x:f>VLOOKUP(C3115,'Governorate Master'!$A$2:$Q$13,3,FALSE)</x:f>
        <x:v>686800</x:v>
      </x:c>
      <x:c r="F3115" s="66" t="n">
        <x:f>IF(E3115=0,0,D3115/E3115*10000)</x:f>
        <x:v>0.014560279557367502</x:v>
      </x:c>
      <x:c r="G3115" s="67" t="n">
        <x:f>VLOOKUP(C3115,'Governorate Master'!$A$2:$Q$13,7,FALSE)</x:f>
        <x:v>25.9</x:v>
      </x:c>
      <x:c r="H3115" s="20" t="n">
        <x:f>VLOOKUP(C3115,'Governorate Master'!$A$2:$Q$13,6,FALSE)</x:f>
        <x:v>0.6965637740244612</x:v>
      </x:c>
      <x:c r="I3115" s="20" t="n">
        <x:f>VLOOKUP(C3115,'Governorate Master'!$A$2:$Q$13,15,FALSE)</x:f>
        <x:v>-0.016638935108153077</x:v>
      </x:c>
      <x:c r="J3115" s="12" t="str">
        <x:v>Location model input - competition/saturation context</x:v>
      </x:c>
      <x:c r="K3115" s="12" t="str">
        <x:v>Business count is from 2018 while population/context indicators are newer; use as a historical proxy, not a current market count.</x:v>
      </x:c>
    </x:row>
    <x:row r="3116">
      <x:c r="A3116" s="12" t="str">
        <x:v>8299</x:v>
      </x:c>
      <x:c r="B3116" s="12" t="str">
        <x:v>Other business support service activities n.e.c.</x:v>
      </x:c>
      <x:c r="C3116" s="12" t="str">
        <x:v>جرش</x:v>
      </x:c>
      <x:c r="D3116" s="14" t="n">
        <x:v>2</x:v>
      </x:c>
      <x:c r="E3116" s="14" t="n">
        <x:f>VLOOKUP(C3116,'Governorate Master'!$A$2:$Q$13,3,FALSE)</x:f>
        <x:v>296000</x:v>
      </x:c>
      <x:c r="F3116" s="66" t="n">
        <x:f>IF(E3116=0,0,D3116/E3116*10000)</x:f>
        <x:v>0.06756756756756757</x:v>
      </x:c>
      <x:c r="G3116" s="67" t="n">
        <x:f>VLOOKUP(C3116,'Governorate Master'!$A$2:$Q$13,7,FALSE)</x:f>
        <x:v>722.3</x:v>
      </x:c>
      <x:c r="H3116" s="20" t="n">
        <x:f>VLOOKUP(C3116,'Governorate Master'!$A$2:$Q$13,6,FALSE)</x:f>
        <x:v>0.7695945945945946</x:v>
      </x:c>
      <x:c r="I3116" s="20" t="n">
        <x:f>VLOOKUP(C3116,'Governorate Master'!$A$2:$Q$13,15,FALSE)</x:f>
        <x:v>-0.06527415143603134</x:v>
      </x:c>
      <x:c r="J3116" s="12" t="str">
        <x:v>Location model input - competition/saturation context</x:v>
      </x:c>
      <x:c r="K3116" s="12" t="str">
        <x:v>Business count is from 2018 while population/context indicators are newer; use as a historical proxy, not a current market count.</x:v>
      </x:c>
    </x:row>
    <x:row r="3117">
      <x:c r="A3117" s="12" t="str">
        <x:v>8299</x:v>
      </x:c>
      <x:c r="B3117" s="12" t="str">
        <x:v>Other business support service activities n.e.c.</x:v>
      </x:c>
      <x:c r="C3117" s="12" t="str">
        <x:v>عجلون</x:v>
      </x:c>
      <x:c r="D3117" s="14" t="n">
        <x:v>0</x:v>
      </x:c>
      <x:c r="E3117" s="14" t="n">
        <x:f>VLOOKUP(C3117,'Governorate Master'!$A$2:$Q$13,3,FALSE)</x:f>
        <x:v>219900</x:v>
      </x:c>
      <x:c r="F3117" s="66" t="n">
        <x:f>IF(E3117=0,0,D3117/E3117*10000)</x:f>
        <x:v>0</x:v>
      </x:c>
      <x:c r="G3117" s="67" t="n">
        <x:f>VLOOKUP(C3117,'Governorate Master'!$A$2:$Q$13,7,FALSE)</x:f>
        <x:v>524</x:v>
      </x:c>
      <x:c r="H3117" s="20" t="n">
        <x:f>VLOOKUP(C3117,'Governorate Master'!$A$2:$Q$13,6,FALSE)</x:f>
        <x:v>0.8390177353342428</x:v>
      </x:c>
      <x:c r="I3117" s="20" t="n">
        <x:f>VLOOKUP(C3117,'Governorate Master'!$A$2:$Q$13,15,FALSE)</x:f>
        <x:v>0.03614457831325301</x:v>
      </x:c>
      <x:c r="J3117" s="12" t="str">
        <x:v>Location model input - competition/saturation context</x:v>
      </x:c>
      <x:c r="K3117" s="12" t="str">
        <x:v>Business count is from 2018 while population/context indicators are newer; use as a historical proxy, not a current market count.</x:v>
      </x:c>
    </x:row>
    <x:row r="3118">
      <x:c r="A3118" s="12" t="str">
        <x:v>8299</x:v>
      </x:c>
      <x:c r="B3118" s="12" t="str">
        <x:v>Other business support service activities n.e.c.</x:v>
      </x:c>
      <x:c r="C3118" s="12" t="str">
        <x:v>الكرك</x:v>
      </x:c>
      <x:c r="D3118" s="14" t="n">
        <x:v>0</x:v>
      </x:c>
      <x:c r="E3118" s="14" t="n">
        <x:f>VLOOKUP(C3118,'Governorate Master'!$A$2:$Q$13,3,FALSE)</x:f>
        <x:v>395400</x:v>
      </x:c>
      <x:c r="F3118" s="66" t="n">
        <x:f>IF(E3118=0,0,D3118/E3118*10000)</x:f>
        <x:v>0</x:v>
      </x:c>
      <x:c r="G3118" s="67" t="n">
        <x:f>VLOOKUP(C3118,'Governorate Master'!$A$2:$Q$13,7,FALSE)</x:f>
        <x:v>113.1</x:v>
      </x:c>
      <x:c r="H3118" s="20" t="n">
        <x:f>VLOOKUP(C3118,'Governorate Master'!$A$2:$Q$13,6,FALSE)</x:f>
        <x:v>0.5912999494183105</x:v>
      </x:c>
      <x:c r="I3118" s="20" t="n">
        <x:f>VLOOKUP(C3118,'Governorate Master'!$A$2:$Q$13,15,FALSE)</x:f>
        <x:v>0.08710801393728224</x:v>
      </x:c>
      <x:c r="J3118" s="12" t="str">
        <x:v>Location model input - competition/saturation context</x:v>
      </x:c>
      <x:c r="K3118" s="12" t="str">
        <x:v>Business count is from 2018 while population/context indicators are newer; use as a historical proxy, not a current market count.</x:v>
      </x:c>
    </x:row>
    <x:row r="3119">
      <x:c r="A3119" s="12" t="str">
        <x:v>8299</x:v>
      </x:c>
      <x:c r="B3119" s="12" t="str">
        <x:v>Other business support service activities n.e.c.</x:v>
      </x:c>
      <x:c r="C3119" s="12" t="str">
        <x:v>الطفيلة</x:v>
      </x:c>
      <x:c r="D3119" s="14" t="n">
        <x:v>0</x:v>
      </x:c>
      <x:c r="E3119" s="14" t="n">
        <x:f>VLOOKUP(C3119,'Governorate Master'!$A$2:$Q$13,3,FALSE)</x:f>
        <x:v>120300</x:v>
      </x:c>
      <x:c r="F3119" s="66" t="n">
        <x:f>IF(E3119=0,0,D3119/E3119*10000)</x:f>
        <x:v>0</x:v>
      </x:c>
      <x:c r="G3119" s="67" t="n">
        <x:f>VLOOKUP(C3119,'Governorate Master'!$A$2:$Q$13,7,FALSE)</x:f>
        <x:v>54.4</x:v>
      </x:c>
      <x:c r="H3119" s="20" t="n">
        <x:f>VLOOKUP(C3119,'Governorate Master'!$A$2:$Q$13,6,FALSE)</x:f>
        <x:v>0.7797173732335827</x:v>
      </x:c>
      <x:c r="I3119" s="20" t="n">
        <x:f>VLOOKUP(C3119,'Governorate Master'!$A$2:$Q$13,15,FALSE)</x:f>
        <x:v>0.18452380952380953</x:v>
      </x:c>
      <x:c r="J3119" s="12" t="str">
        <x:v>Location model input - competition/saturation context</x:v>
      </x:c>
      <x:c r="K3119" s="12" t="str">
        <x:v>Business count is from 2018 while population/context indicators are newer; use as a historical proxy, not a current market count.</x:v>
      </x:c>
    </x:row>
    <x:row r="3120">
      <x:c r="A3120" s="12" t="str">
        <x:v>8299</x:v>
      </x:c>
      <x:c r="B3120" s="12" t="str">
        <x:v>Other business support service activities n.e.c.</x:v>
      </x:c>
      <x:c r="C3120" s="12" t="str">
        <x:v>معان</x:v>
      </x:c>
      <x:c r="D3120" s="14" t="n">
        <x:v>0</x:v>
      </x:c>
      <x:c r="E3120" s="14" t="n">
        <x:f>VLOOKUP(C3120,'Governorate Master'!$A$2:$Q$13,3,FALSE)</x:f>
        <x:v>197900</x:v>
      </x:c>
      <x:c r="F3120" s="66" t="n">
        <x:f>IF(E3120=0,0,D3120/E3120*10000)</x:f>
        <x:v>0</x:v>
      </x:c>
      <x:c r="G3120" s="67" t="n">
        <x:f>VLOOKUP(C3120,'Governorate Master'!$A$2:$Q$13,7,FALSE)</x:f>
        <x:v>6</x:v>
      </x:c>
      <x:c r="H3120" s="20" t="n">
        <x:f>VLOOKUP(C3120,'Governorate Master'!$A$2:$Q$13,6,FALSE)</x:f>
        <x:v>0.5406771096513391</x:v>
      </x:c>
      <x:c r="I3120" s="20" t="n">
        <x:f>VLOOKUP(C3120,'Governorate Master'!$A$2:$Q$13,15,FALSE)</x:f>
        <x:v>0.026845637583892617</x:v>
      </x:c>
      <x:c r="J3120" s="12" t="str">
        <x:v>Location model input - competition/saturation context</x:v>
      </x:c>
      <x:c r="K3120" s="12" t="str">
        <x:v>Business count is from 2018 while population/context indicators are newer; use as a historical proxy, not a current market count.</x:v>
      </x:c>
    </x:row>
    <x:row r="3121">
      <x:c r="A3121" s="12" t="str">
        <x:v>8299</x:v>
      </x:c>
      <x:c r="B3121" s="12" t="str">
        <x:v>Other business support service activities n.e.c.</x:v>
      </x:c>
      <x:c r="C3121" s="12" t="str">
        <x:v>العقبة</x:v>
      </x:c>
      <x:c r="D3121" s="14" t="n">
        <x:v>0</x:v>
      </x:c>
      <x:c r="E3121" s="14" t="n">
        <x:f>VLOOKUP(C3121,'Governorate Master'!$A$2:$Q$13,3,FALSE)</x:f>
        <x:v>250900</x:v>
      </x:c>
      <x:c r="F3121" s="66" t="n">
        <x:f>IF(E3121=0,0,D3121/E3121*10000)</x:f>
        <x:v>0</x:v>
      </x:c>
      <x:c r="G3121" s="67" t="n">
        <x:f>VLOOKUP(C3121,'Governorate Master'!$A$2:$Q$13,7,FALSE)</x:f>
        <x:v>36.3</x:v>
      </x:c>
      <x:c r="H3121" s="20" t="n">
        <x:f>VLOOKUP(C3121,'Governorate Master'!$A$2:$Q$13,6,FALSE)</x:f>
        <x:v>0.882024711040255</x:v>
      </x:c>
      <x:c r="I3121" s="20" t="n">
        <x:f>VLOOKUP(C3121,'Governorate Master'!$A$2:$Q$13,15,FALSE)</x:f>
        <x:v>-0.09</x:v>
      </x:c>
      <x:c r="J3121" s="12" t="str">
        <x:v>Location model input - competition/saturation context</x:v>
      </x:c>
      <x:c r="K3121" s="12" t="str">
        <x:v>Business count is from 2018 while population/context indicators are newer; use as a historical proxy, not a current market count.</x:v>
      </x:c>
    </x:row>
    <x:row r="3122">
      <x:c r="A3122" s="12" t="str">
        <x:v>8510</x:v>
      </x:c>
      <x:c r="B3122" s="12" t="str">
        <x:v>Pre-primary and primary education</x:v>
      </x:c>
      <x:c r="C3122" s="12" t="str">
        <x:v>عمان</x:v>
      </x:c>
      <x:c r="D3122" s="14" t="n">
        <x:v>1031</x:v>
      </x:c>
      <x:c r="E3122" s="14" t="n">
        <x:f>VLOOKUP(C3122,'Governorate Master'!$A$2:$Q$13,3,FALSE)</x:f>
        <x:v>5004600</x:v>
      </x:c>
      <x:c r="F3122" s="66" t="n">
        <x:f>IF(E3122=0,0,D3122/E3122*10000)</x:f>
        <x:v>2.060104703672621</x:v>
      </x:c>
      <x:c r="G3122" s="67" t="n">
        <x:f>VLOOKUP(C3122,'Governorate Master'!$A$2:$Q$13,7,FALSE)</x:f>
        <x:v>660.3</x:v>
      </x:c>
      <x:c r="H3122" s="20" t="n">
        <x:f>VLOOKUP(C3122,'Governorate Master'!$A$2:$Q$13,6,FALSE)</x:f>
        <x:v>0.9721656076409703</x:v>
      </x:c>
      <x:c r="I3122" s="20" t="n">
        <x:f>VLOOKUP(C3122,'Governorate Master'!$A$2:$Q$13,15,FALSE)</x:f>
        <x:v>0.06367041198501873</x:v>
      </x:c>
      <x:c r="J3122" s="12" t="str">
        <x:v>Location model input - competition/saturation context</x:v>
      </x:c>
      <x:c r="K3122" s="12" t="str">
        <x:v>Business count is from 2018 while population/context indicators are newer; use as a historical proxy, not a current market count.</x:v>
      </x:c>
    </x:row>
    <x:row r="3123">
      <x:c r="A3123" s="12" t="str">
        <x:v>8510</x:v>
      </x:c>
      <x:c r="B3123" s="12" t="str">
        <x:v>Pre-primary and primary education</x:v>
      </x:c>
      <x:c r="C3123" s="12" t="str">
        <x:v>البلقاء</x:v>
      </x:c>
      <x:c r="D3123" s="14" t="n">
        <x:v>142</x:v>
      </x:c>
      <x:c r="E3123" s="14" t="n">
        <x:f>VLOOKUP(C3123,'Governorate Master'!$A$2:$Q$13,3,FALSE)</x:f>
        <x:v>614000</x:v>
      </x:c>
      <x:c r="F3123" s="66" t="n">
        <x:f>IF(E3123=0,0,D3123/E3123*10000)</x:f>
        <x:v>2.3127035830618894</x:v>
      </x:c>
      <x:c r="G3123" s="67" t="n">
        <x:f>VLOOKUP(C3123,'Governorate Master'!$A$2:$Q$13,7,FALSE)</x:f>
        <x:v>548</x:v>
      </x:c>
      <x:c r="H3123" s="20" t="n">
        <x:f>VLOOKUP(C3123,'Governorate Master'!$A$2:$Q$13,6,FALSE)</x:f>
        <x:v>0.8210097719869707</x:v>
      </x:c>
      <x:c r="I3123" s="20" t="n">
        <x:f>VLOOKUP(C3123,'Governorate Master'!$A$2:$Q$13,15,FALSE)</x:f>
        <x:v>0.10794044665012408</x:v>
      </x:c>
      <x:c r="J3123" s="12" t="str">
        <x:v>Location model input - competition/saturation context</x:v>
      </x:c>
      <x:c r="K3123" s="12" t="str">
        <x:v>Business count is from 2018 while population/context indicators are newer; use as a historical proxy, not a current market count.</x:v>
      </x:c>
    </x:row>
    <x:row r="3124">
      <x:c r="A3124" s="12" t="str">
        <x:v>8510</x:v>
      </x:c>
      <x:c r="B3124" s="12" t="str">
        <x:v>Pre-primary and primary education</x:v>
      </x:c>
      <x:c r="C3124" s="12" t="str">
        <x:v>الزرقاء</x:v>
      </x:c>
      <x:c r="D3124" s="14" t="n">
        <x:v>303</x:v>
      </x:c>
      <x:c r="E3124" s="14" t="n">
        <x:f>VLOOKUP(C3124,'Governorate Master'!$A$2:$Q$13,3,FALSE)</x:f>
        <x:v>1704500</x:v>
      </x:c>
      <x:c r="F3124" s="66" t="n">
        <x:f>IF(E3124=0,0,D3124/E3124*10000)</x:f>
        <x:v>1.7776474039307715</x:v>
      </x:c>
      <x:c r="G3124" s="67" t="n">
        <x:f>VLOOKUP(C3124,'Governorate Master'!$A$2:$Q$13,7,FALSE)</x:f>
        <x:v>358</x:v>
      </x:c>
      <x:c r="H3124" s="20" t="n">
        <x:f>VLOOKUP(C3124,'Governorate Master'!$A$2:$Q$13,6,FALSE)</x:f>
        <x:v>0.9636256966852449</x:v>
      </x:c>
      <x:c r="I3124" s="20" t="n">
        <x:f>VLOOKUP(C3124,'Governorate Master'!$A$2:$Q$13,15,FALSE)</x:f>
        <x:v>-0.06808762581409118</x:v>
      </x:c>
      <x:c r="J3124" s="12" t="str">
        <x:v>Location model input - competition/saturation context</x:v>
      </x:c>
      <x:c r="K3124" s="12" t="str">
        <x:v>Business count is from 2018 while population/context indicators are newer; use as a historical proxy, not a current market count.</x:v>
      </x:c>
    </x:row>
    <x:row r="3125">
      <x:c r="A3125" s="12" t="str">
        <x:v>8510</x:v>
      </x:c>
      <x:c r="B3125" s="12" t="str">
        <x:v>Pre-primary and primary education</x:v>
      </x:c>
      <x:c r="C3125" s="12" t="str">
        <x:v>مادبا</x:v>
      </x:c>
      <x:c r="D3125" s="14" t="n">
        <x:v>44</x:v>
      </x:c>
      <x:c r="E3125" s="14" t="n">
        <x:f>VLOOKUP(C3125,'Governorate Master'!$A$2:$Q$13,3,FALSE)</x:f>
        <x:v>236200</x:v>
      </x:c>
      <x:c r="F3125" s="66" t="n">
        <x:f>IF(E3125=0,0,D3125/E3125*10000)</x:f>
        <x:v>1.8628281117696865</x:v>
      </x:c>
      <x:c r="G3125" s="67" t="n">
        <x:f>VLOOKUP(C3125,'Governorate Master'!$A$2:$Q$13,7,FALSE)</x:f>
        <x:v>251.4</x:v>
      </x:c>
      <x:c r="H3125" s="20" t="n">
        <x:f>VLOOKUP(C3125,'Governorate Master'!$A$2:$Q$13,6,FALSE)</x:f>
        <x:v>0.7823878069432684</x:v>
      </x:c>
      <x:c r="I3125" s="20" t="n">
        <x:f>VLOOKUP(C3125,'Governorate Master'!$A$2:$Q$13,15,FALSE)</x:f>
        <x:v>-0.18823529411764706</x:v>
      </x:c>
      <x:c r="J3125" s="12" t="str">
        <x:v>Location model input - competition/saturation context</x:v>
      </x:c>
      <x:c r="K3125" s="12" t="str">
        <x:v>Business count is from 2018 while population/context indicators are newer; use as a historical proxy, not a current market count.</x:v>
      </x:c>
    </x:row>
    <x:row r="3126">
      <x:c r="A3126" s="12" t="str">
        <x:v>8510</x:v>
      </x:c>
      <x:c r="B3126" s="12" t="str">
        <x:v>Pre-primary and primary education</x:v>
      </x:c>
      <x:c r="C3126" s="12" t="str">
        <x:v>إربد</x:v>
      </x:c>
      <x:c r="D3126" s="14" t="n">
        <x:v>396</x:v>
      </x:c>
      <x:c r="E3126" s="14" t="n">
        <x:f>VLOOKUP(C3126,'Governorate Master'!$A$2:$Q$13,3,FALSE)</x:f>
        <x:v>2210500</x:v>
      </x:c>
      <x:c r="F3126" s="66" t="n">
        <x:f>IF(E3126=0,0,D3126/E3126*10000)</x:f>
        <x:v>1.7914498982130738</x:v>
      </x:c>
      <x:c r="G3126" s="67" t="n">
        <x:f>VLOOKUP(C3126,'Governorate Master'!$A$2:$Q$13,7,FALSE)</x:f>
        <x:v>1406.4</x:v>
      </x:c>
      <x:c r="H3126" s="20" t="n">
        <x:f>VLOOKUP(C3126,'Governorate Master'!$A$2:$Q$13,6,FALSE)</x:f>
        <x:v>0.9235014702555983</x:v>
      </x:c>
      <x:c r="I3126" s="20" t="n">
        <x:f>VLOOKUP(C3126,'Governorate Master'!$A$2:$Q$13,15,FALSE)</x:f>
        <x:v>0.07086922474549726</x:v>
      </x:c>
      <x:c r="J3126" s="12" t="str">
        <x:v>Location model input - competition/saturation context</x:v>
      </x:c>
      <x:c r="K3126" s="12" t="str">
        <x:v>Business count is from 2018 while population/context indicators are newer; use as a historical proxy, not a current market count.</x:v>
      </x:c>
    </x:row>
    <x:row r="3127">
      <x:c r="A3127" s="12" t="str">
        <x:v>8510</x:v>
      </x:c>
      <x:c r="B3127" s="12" t="str">
        <x:v>Pre-primary and primary education</x:v>
      </x:c>
      <x:c r="C3127" s="12" t="str">
        <x:v>المفرق</x:v>
      </x:c>
      <x:c r="D3127" s="14" t="n">
        <x:v>61</x:v>
      </x:c>
      <x:c r="E3127" s="14" t="n">
        <x:f>VLOOKUP(C3127,'Governorate Master'!$A$2:$Q$13,3,FALSE)</x:f>
        <x:v>686800</x:v>
      </x:c>
      <x:c r="F3127" s="66" t="n">
        <x:f>IF(E3127=0,0,D3127/E3127*10000)</x:f>
        <x:v>0.8881770529994175</x:v>
      </x:c>
      <x:c r="G3127" s="67" t="n">
        <x:f>VLOOKUP(C3127,'Governorate Master'!$A$2:$Q$13,7,FALSE)</x:f>
        <x:v>25.9</x:v>
      </x:c>
      <x:c r="H3127" s="20" t="n">
        <x:f>VLOOKUP(C3127,'Governorate Master'!$A$2:$Q$13,6,FALSE)</x:f>
        <x:v>0.6965637740244612</x:v>
      </x:c>
      <x:c r="I3127" s="20" t="n">
        <x:f>VLOOKUP(C3127,'Governorate Master'!$A$2:$Q$13,15,FALSE)</x:f>
        <x:v>-0.016638935108153077</x:v>
      </x:c>
      <x:c r="J3127" s="12" t="str">
        <x:v>Location model input - competition/saturation context</x:v>
      </x:c>
      <x:c r="K3127" s="12" t="str">
        <x:v>Business count is from 2018 while population/context indicators are newer; use as a historical proxy, not a current market count.</x:v>
      </x:c>
    </x:row>
    <x:row r="3128">
      <x:c r="A3128" s="12" t="str">
        <x:v>8510</x:v>
      </x:c>
      <x:c r="B3128" s="12" t="str">
        <x:v>Pre-primary and primary education</x:v>
      </x:c>
      <x:c r="C3128" s="12" t="str">
        <x:v>جرش</x:v>
      </x:c>
      <x:c r="D3128" s="14" t="n">
        <x:v>41</x:v>
      </x:c>
      <x:c r="E3128" s="14" t="n">
        <x:f>VLOOKUP(C3128,'Governorate Master'!$A$2:$Q$13,3,FALSE)</x:f>
        <x:v>296000</x:v>
      </x:c>
      <x:c r="F3128" s="66" t="n">
        <x:f>IF(E3128=0,0,D3128/E3128*10000)</x:f>
        <x:v>1.3851351351351353</x:v>
      </x:c>
      <x:c r="G3128" s="67" t="n">
        <x:f>VLOOKUP(C3128,'Governorate Master'!$A$2:$Q$13,7,FALSE)</x:f>
        <x:v>722.3</x:v>
      </x:c>
      <x:c r="H3128" s="20" t="n">
        <x:f>VLOOKUP(C3128,'Governorate Master'!$A$2:$Q$13,6,FALSE)</x:f>
        <x:v>0.7695945945945946</x:v>
      </x:c>
      <x:c r="I3128" s="20" t="n">
        <x:f>VLOOKUP(C3128,'Governorate Master'!$A$2:$Q$13,15,FALSE)</x:f>
        <x:v>-0.06527415143603134</x:v>
      </x:c>
      <x:c r="J3128" s="12" t="str">
        <x:v>Location model input - competition/saturation context</x:v>
      </x:c>
      <x:c r="K3128" s="12" t="str">
        <x:v>Business count is from 2018 while population/context indicators are newer; use as a historical proxy, not a current market count.</x:v>
      </x:c>
    </x:row>
    <x:row r="3129">
      <x:c r="A3129" s="12" t="str">
        <x:v>8510</x:v>
      </x:c>
      <x:c r="B3129" s="12" t="str">
        <x:v>Pre-primary and primary education</x:v>
      </x:c>
      <x:c r="C3129" s="12" t="str">
        <x:v>عجلون</x:v>
      </x:c>
      <x:c r="D3129" s="14" t="n">
        <x:v>45</x:v>
      </x:c>
      <x:c r="E3129" s="14" t="n">
        <x:f>VLOOKUP(C3129,'Governorate Master'!$A$2:$Q$13,3,FALSE)</x:f>
        <x:v>219900</x:v>
      </x:c>
      <x:c r="F3129" s="66" t="n">
        <x:f>IF(E3129=0,0,D3129/E3129*10000)</x:f>
        <x:v>2.0463847203274215</x:v>
      </x:c>
      <x:c r="G3129" s="67" t="n">
        <x:f>VLOOKUP(C3129,'Governorate Master'!$A$2:$Q$13,7,FALSE)</x:f>
        <x:v>524</x:v>
      </x:c>
      <x:c r="H3129" s="20" t="n">
        <x:f>VLOOKUP(C3129,'Governorate Master'!$A$2:$Q$13,6,FALSE)</x:f>
        <x:v>0.8390177353342428</x:v>
      </x:c>
      <x:c r="I3129" s="20" t="n">
        <x:f>VLOOKUP(C3129,'Governorate Master'!$A$2:$Q$13,15,FALSE)</x:f>
        <x:v>0.03614457831325301</x:v>
      </x:c>
      <x:c r="J3129" s="12" t="str">
        <x:v>Location model input - competition/saturation context</x:v>
      </x:c>
      <x:c r="K3129" s="12" t="str">
        <x:v>Business count is from 2018 while population/context indicators are newer; use as a historical proxy, not a current market count.</x:v>
      </x:c>
    </x:row>
    <x:row r="3130">
      <x:c r="A3130" s="12" t="str">
        <x:v>8510</x:v>
      </x:c>
      <x:c r="B3130" s="12" t="str">
        <x:v>Pre-primary and primary education</x:v>
      </x:c>
      <x:c r="C3130" s="12" t="str">
        <x:v>الكرك</x:v>
      </x:c>
      <x:c r="D3130" s="14" t="n">
        <x:v>72</x:v>
      </x:c>
      <x:c r="E3130" s="14" t="n">
        <x:f>VLOOKUP(C3130,'Governorate Master'!$A$2:$Q$13,3,FALSE)</x:f>
        <x:v>395400</x:v>
      </x:c>
      <x:c r="F3130" s="66" t="n">
        <x:f>IF(E3130=0,0,D3130/E3130*10000)</x:f>
        <x:v>1.8209408194233687</x:v>
      </x:c>
      <x:c r="G3130" s="67" t="n">
        <x:f>VLOOKUP(C3130,'Governorate Master'!$A$2:$Q$13,7,FALSE)</x:f>
        <x:v>113.1</x:v>
      </x:c>
      <x:c r="H3130" s="20" t="n">
        <x:f>VLOOKUP(C3130,'Governorate Master'!$A$2:$Q$13,6,FALSE)</x:f>
        <x:v>0.5912999494183105</x:v>
      </x:c>
      <x:c r="I3130" s="20" t="n">
        <x:f>VLOOKUP(C3130,'Governorate Master'!$A$2:$Q$13,15,FALSE)</x:f>
        <x:v>0.08710801393728224</x:v>
      </x:c>
      <x:c r="J3130" s="12" t="str">
        <x:v>Location model input - competition/saturation context</x:v>
      </x:c>
      <x:c r="K3130" s="12" t="str">
        <x:v>Business count is from 2018 while population/context indicators are newer; use as a historical proxy, not a current market count.</x:v>
      </x:c>
    </x:row>
    <x:row r="3131">
      <x:c r="A3131" s="12" t="str">
        <x:v>8510</x:v>
      </x:c>
      <x:c r="B3131" s="12" t="str">
        <x:v>Pre-primary and primary education</x:v>
      </x:c>
      <x:c r="C3131" s="12" t="str">
        <x:v>الطفيلة</x:v>
      </x:c>
      <x:c r="D3131" s="14" t="n">
        <x:v>13</x:v>
      </x:c>
      <x:c r="E3131" s="14" t="n">
        <x:f>VLOOKUP(C3131,'Governorate Master'!$A$2:$Q$13,3,FALSE)</x:f>
        <x:v>120300</x:v>
      </x:c>
      <x:c r="F3131" s="66" t="n">
        <x:f>IF(E3131=0,0,D3131/E3131*10000)</x:f>
        <x:v>1.0806317539484622</x:v>
      </x:c>
      <x:c r="G3131" s="67" t="n">
        <x:f>VLOOKUP(C3131,'Governorate Master'!$A$2:$Q$13,7,FALSE)</x:f>
        <x:v>54.4</x:v>
      </x:c>
      <x:c r="H3131" s="20" t="n">
        <x:f>VLOOKUP(C3131,'Governorate Master'!$A$2:$Q$13,6,FALSE)</x:f>
        <x:v>0.7797173732335827</x:v>
      </x:c>
      <x:c r="I3131" s="20" t="n">
        <x:f>VLOOKUP(C3131,'Governorate Master'!$A$2:$Q$13,15,FALSE)</x:f>
        <x:v>0.18452380952380953</x:v>
      </x:c>
      <x:c r="J3131" s="12" t="str">
        <x:v>Location model input - competition/saturation context</x:v>
      </x:c>
      <x:c r="K3131" s="12" t="str">
        <x:v>Business count is from 2018 while population/context indicators are newer; use as a historical proxy, not a current market count.</x:v>
      </x:c>
    </x:row>
    <x:row r="3132">
      <x:c r="A3132" s="12" t="str">
        <x:v>8510</x:v>
      </x:c>
      <x:c r="B3132" s="12" t="str">
        <x:v>Pre-primary and primary education</x:v>
      </x:c>
      <x:c r="C3132" s="12" t="str">
        <x:v>معان</x:v>
      </x:c>
      <x:c r="D3132" s="14" t="n">
        <x:v>27</x:v>
      </x:c>
      <x:c r="E3132" s="14" t="n">
        <x:f>VLOOKUP(C3132,'Governorate Master'!$A$2:$Q$13,3,FALSE)</x:f>
        <x:v>197900</x:v>
      </x:c>
      <x:c r="F3132" s="66" t="n">
        <x:f>IF(E3132=0,0,D3132/E3132*10000)</x:f>
        <x:v>1.3643254168772108</x:v>
      </x:c>
      <x:c r="G3132" s="67" t="n">
        <x:f>VLOOKUP(C3132,'Governorate Master'!$A$2:$Q$13,7,FALSE)</x:f>
        <x:v>6</x:v>
      </x:c>
      <x:c r="H3132" s="20" t="n">
        <x:f>VLOOKUP(C3132,'Governorate Master'!$A$2:$Q$13,6,FALSE)</x:f>
        <x:v>0.5406771096513391</x:v>
      </x:c>
      <x:c r="I3132" s="20" t="n">
        <x:f>VLOOKUP(C3132,'Governorate Master'!$A$2:$Q$13,15,FALSE)</x:f>
        <x:v>0.026845637583892617</x:v>
      </x:c>
      <x:c r="J3132" s="12" t="str">
        <x:v>Location model input - competition/saturation context</x:v>
      </x:c>
      <x:c r="K3132" s="12" t="str">
        <x:v>Business count is from 2018 while population/context indicators are newer; use as a historical proxy, not a current market count.</x:v>
      </x:c>
    </x:row>
    <x:row r="3133">
      <x:c r="A3133" s="12" t="str">
        <x:v>8510</x:v>
      </x:c>
      <x:c r="B3133" s="12" t="str">
        <x:v>Pre-primary and primary education</x:v>
      </x:c>
      <x:c r="C3133" s="12" t="str">
        <x:v>العقبة</x:v>
      </x:c>
      <x:c r="D3133" s="14" t="n">
        <x:v>30</x:v>
      </x:c>
      <x:c r="E3133" s="14" t="n">
        <x:f>VLOOKUP(C3133,'Governorate Master'!$A$2:$Q$13,3,FALSE)</x:f>
        <x:v>250900</x:v>
      </x:c>
      <x:c r="F3133" s="66" t="n">
        <x:f>IF(E3133=0,0,D3133/E3133*10000)</x:f>
        <x:v>1.1956954962136308</x:v>
      </x:c>
      <x:c r="G3133" s="67" t="n">
        <x:f>VLOOKUP(C3133,'Governorate Master'!$A$2:$Q$13,7,FALSE)</x:f>
        <x:v>36.3</x:v>
      </x:c>
      <x:c r="H3133" s="20" t="n">
        <x:f>VLOOKUP(C3133,'Governorate Master'!$A$2:$Q$13,6,FALSE)</x:f>
        <x:v>0.882024711040255</x:v>
      </x:c>
      <x:c r="I3133" s="20" t="n">
        <x:f>VLOOKUP(C3133,'Governorate Master'!$A$2:$Q$13,15,FALSE)</x:f>
        <x:v>-0.09</x:v>
      </x:c>
      <x:c r="J3133" s="12" t="str">
        <x:v>Location model input - competition/saturation context</x:v>
      </x:c>
      <x:c r="K3133" s="12" t="str">
        <x:v>Business count is from 2018 while population/context indicators are newer; use as a historical proxy, not a current market count.</x:v>
      </x:c>
    </x:row>
    <x:row r="3134">
      <x:c r="A3134" s="12" t="str">
        <x:v>8521</x:v>
      </x:c>
      <x:c r="B3134" s="12" t="str">
        <x:v>General secondary education</x:v>
      </x:c>
      <x:c r="C3134" s="12" t="str">
        <x:v>عمان</x:v>
      </x:c>
      <x:c r="D3134" s="14" t="n">
        <x:v>110</x:v>
      </x:c>
      <x:c r="E3134" s="14" t="n">
        <x:f>VLOOKUP(C3134,'Governorate Master'!$A$2:$Q$13,3,FALSE)</x:f>
        <x:v>5004600</x:v>
      </x:c>
      <x:c r="F3134" s="66" t="n">
        <x:f>IF(E3134=0,0,D3134/E3134*10000)</x:f>
        <x:v>0.21979778603684608</x:v>
      </x:c>
      <x:c r="G3134" s="67" t="n">
        <x:f>VLOOKUP(C3134,'Governorate Master'!$A$2:$Q$13,7,FALSE)</x:f>
        <x:v>660.3</x:v>
      </x:c>
      <x:c r="H3134" s="20" t="n">
        <x:f>VLOOKUP(C3134,'Governorate Master'!$A$2:$Q$13,6,FALSE)</x:f>
        <x:v>0.9721656076409703</x:v>
      </x:c>
      <x:c r="I3134" s="20" t="n">
        <x:f>VLOOKUP(C3134,'Governorate Master'!$A$2:$Q$13,15,FALSE)</x:f>
        <x:v>0.06367041198501873</x:v>
      </x:c>
      <x:c r="J3134" s="12" t="str">
        <x:v>Location model input - competition/saturation context</x:v>
      </x:c>
      <x:c r="K3134" s="12" t="str">
        <x:v>Business count is from 2018 while population/context indicators are newer; use as a historical proxy, not a current market count.</x:v>
      </x:c>
    </x:row>
    <x:row r="3135">
      <x:c r="A3135" s="12" t="str">
        <x:v>8521</x:v>
      </x:c>
      <x:c r="B3135" s="12" t="str">
        <x:v>General secondary education</x:v>
      </x:c>
      <x:c r="C3135" s="12" t="str">
        <x:v>البلقاء</x:v>
      </x:c>
      <x:c r="D3135" s="14" t="n">
        <x:v>15</x:v>
      </x:c>
      <x:c r="E3135" s="14" t="n">
        <x:f>VLOOKUP(C3135,'Governorate Master'!$A$2:$Q$13,3,FALSE)</x:f>
        <x:v>614000</x:v>
      </x:c>
      <x:c r="F3135" s="66" t="n">
        <x:f>IF(E3135=0,0,D3135/E3135*10000)</x:f>
        <x:v>0.24429967426710097</x:v>
      </x:c>
      <x:c r="G3135" s="67" t="n">
        <x:f>VLOOKUP(C3135,'Governorate Master'!$A$2:$Q$13,7,FALSE)</x:f>
        <x:v>548</x:v>
      </x:c>
      <x:c r="H3135" s="20" t="n">
        <x:f>VLOOKUP(C3135,'Governorate Master'!$A$2:$Q$13,6,FALSE)</x:f>
        <x:v>0.8210097719869707</x:v>
      </x:c>
      <x:c r="I3135" s="20" t="n">
        <x:f>VLOOKUP(C3135,'Governorate Master'!$A$2:$Q$13,15,FALSE)</x:f>
        <x:v>0.10794044665012408</x:v>
      </x:c>
      <x:c r="J3135" s="12" t="str">
        <x:v>Location model input - competition/saturation context</x:v>
      </x:c>
      <x:c r="K3135" s="12" t="str">
        <x:v>Business count is from 2018 while population/context indicators are newer; use as a historical proxy, not a current market count.</x:v>
      </x:c>
    </x:row>
    <x:row r="3136">
      <x:c r="A3136" s="12" t="str">
        <x:v>8521</x:v>
      </x:c>
      <x:c r="B3136" s="12" t="str">
        <x:v>General secondary education</x:v>
      </x:c>
      <x:c r="C3136" s="12" t="str">
        <x:v>الزرقاء</x:v>
      </x:c>
      <x:c r="D3136" s="14" t="n">
        <x:v>12</x:v>
      </x:c>
      <x:c r="E3136" s="14" t="n">
        <x:f>VLOOKUP(C3136,'Governorate Master'!$A$2:$Q$13,3,FALSE)</x:f>
        <x:v>1704500</x:v>
      </x:c>
      <x:c r="F3136" s="66" t="n">
        <x:f>IF(E3136=0,0,D3136/E3136*10000)</x:f>
        <x:v>0.07040187738339689</x:v>
      </x:c>
      <x:c r="G3136" s="67" t="n">
        <x:f>VLOOKUP(C3136,'Governorate Master'!$A$2:$Q$13,7,FALSE)</x:f>
        <x:v>358</x:v>
      </x:c>
      <x:c r="H3136" s="20" t="n">
        <x:f>VLOOKUP(C3136,'Governorate Master'!$A$2:$Q$13,6,FALSE)</x:f>
        <x:v>0.9636256966852449</x:v>
      </x:c>
      <x:c r="I3136" s="20" t="n">
        <x:f>VLOOKUP(C3136,'Governorate Master'!$A$2:$Q$13,15,FALSE)</x:f>
        <x:v>-0.06808762581409118</x:v>
      </x:c>
      <x:c r="J3136" s="12" t="str">
        <x:v>Location model input - competition/saturation context</x:v>
      </x:c>
      <x:c r="K3136" s="12" t="str">
        <x:v>Business count is from 2018 while population/context indicators are newer; use as a historical proxy, not a current market count.</x:v>
      </x:c>
    </x:row>
    <x:row r="3137">
      <x:c r="A3137" s="12" t="str">
        <x:v>8521</x:v>
      </x:c>
      <x:c r="B3137" s="12" t="str">
        <x:v>General secondary education</x:v>
      </x:c>
      <x:c r="C3137" s="12" t="str">
        <x:v>مادبا</x:v>
      </x:c>
      <x:c r="D3137" s="14" t="n">
        <x:v>4</x:v>
      </x:c>
      <x:c r="E3137" s="14" t="n">
        <x:f>VLOOKUP(C3137,'Governorate Master'!$A$2:$Q$13,3,FALSE)</x:f>
        <x:v>236200</x:v>
      </x:c>
      <x:c r="F3137" s="66" t="n">
        <x:f>IF(E3137=0,0,D3137/E3137*10000)</x:f>
        <x:v>0.1693480101608806</x:v>
      </x:c>
      <x:c r="G3137" s="67" t="n">
        <x:f>VLOOKUP(C3137,'Governorate Master'!$A$2:$Q$13,7,FALSE)</x:f>
        <x:v>251.4</x:v>
      </x:c>
      <x:c r="H3137" s="20" t="n">
        <x:f>VLOOKUP(C3137,'Governorate Master'!$A$2:$Q$13,6,FALSE)</x:f>
        <x:v>0.7823878069432684</x:v>
      </x:c>
      <x:c r="I3137" s="20" t="n">
        <x:f>VLOOKUP(C3137,'Governorate Master'!$A$2:$Q$13,15,FALSE)</x:f>
        <x:v>-0.18823529411764706</x:v>
      </x:c>
      <x:c r="J3137" s="12" t="str">
        <x:v>Location model input - competition/saturation context</x:v>
      </x:c>
      <x:c r="K3137" s="12" t="str">
        <x:v>Business count is from 2018 while population/context indicators are newer; use as a historical proxy, not a current market count.</x:v>
      </x:c>
    </x:row>
    <x:row r="3138">
      <x:c r="A3138" s="12" t="str">
        <x:v>8521</x:v>
      </x:c>
      <x:c r="B3138" s="12" t="str">
        <x:v>General secondary education</x:v>
      </x:c>
      <x:c r="C3138" s="12" t="str">
        <x:v>إربد</x:v>
      </x:c>
      <x:c r="D3138" s="14" t="n">
        <x:v>11</x:v>
      </x:c>
      <x:c r="E3138" s="14" t="n">
        <x:f>VLOOKUP(C3138,'Governorate Master'!$A$2:$Q$13,3,FALSE)</x:f>
        <x:v>2210500</x:v>
      </x:c>
      <x:c r="F3138" s="66" t="n">
        <x:f>IF(E3138=0,0,D3138/E3138*10000)</x:f>
        <x:v>0.049762497172585386</x:v>
      </x:c>
      <x:c r="G3138" s="67" t="n">
        <x:f>VLOOKUP(C3138,'Governorate Master'!$A$2:$Q$13,7,FALSE)</x:f>
        <x:v>1406.4</x:v>
      </x:c>
      <x:c r="H3138" s="20" t="n">
        <x:f>VLOOKUP(C3138,'Governorate Master'!$A$2:$Q$13,6,FALSE)</x:f>
        <x:v>0.9235014702555983</x:v>
      </x:c>
      <x:c r="I3138" s="20" t="n">
        <x:f>VLOOKUP(C3138,'Governorate Master'!$A$2:$Q$13,15,FALSE)</x:f>
        <x:v>0.07086922474549726</x:v>
      </x:c>
      <x:c r="J3138" s="12" t="str">
        <x:v>Location model input - competition/saturation context</x:v>
      </x:c>
      <x:c r="K3138" s="12" t="str">
        <x:v>Business count is from 2018 while population/context indicators are newer; use as a historical proxy, not a current market count.</x:v>
      </x:c>
    </x:row>
    <x:row r="3139">
      <x:c r="A3139" s="12" t="str">
        <x:v>8521</x:v>
      </x:c>
      <x:c r="B3139" s="12" t="str">
        <x:v>General secondary education</x:v>
      </x:c>
      <x:c r="C3139" s="12" t="str">
        <x:v>المفرق</x:v>
      </x:c>
      <x:c r="D3139" s="14" t="n">
        <x:v>2</x:v>
      </x:c>
      <x:c r="E3139" s="14" t="n">
        <x:f>VLOOKUP(C3139,'Governorate Master'!$A$2:$Q$13,3,FALSE)</x:f>
        <x:v>686800</x:v>
      </x:c>
      <x:c r="F3139" s="66" t="n">
        <x:f>IF(E3139=0,0,D3139/E3139*10000)</x:f>
        <x:v>0.029120559114735003</x:v>
      </x:c>
      <x:c r="G3139" s="67" t="n">
        <x:f>VLOOKUP(C3139,'Governorate Master'!$A$2:$Q$13,7,FALSE)</x:f>
        <x:v>25.9</x:v>
      </x:c>
      <x:c r="H3139" s="20" t="n">
        <x:f>VLOOKUP(C3139,'Governorate Master'!$A$2:$Q$13,6,FALSE)</x:f>
        <x:v>0.6965637740244612</x:v>
      </x:c>
      <x:c r="I3139" s="20" t="n">
        <x:f>VLOOKUP(C3139,'Governorate Master'!$A$2:$Q$13,15,FALSE)</x:f>
        <x:v>-0.016638935108153077</x:v>
      </x:c>
      <x:c r="J3139" s="12" t="str">
        <x:v>Location model input - competition/saturation context</x:v>
      </x:c>
      <x:c r="K3139" s="12" t="str">
        <x:v>Business count is from 2018 while population/context indicators are newer; use as a historical proxy, not a current market count.</x:v>
      </x:c>
    </x:row>
    <x:row r="3140">
      <x:c r="A3140" s="12" t="str">
        <x:v>8521</x:v>
      </x:c>
      <x:c r="B3140" s="12" t="str">
        <x:v>General secondary education</x:v>
      </x:c>
      <x:c r="C3140" s="12" t="str">
        <x:v>جرش</x:v>
      </x:c>
      <x:c r="D3140" s="14" t="n">
        <x:v>0</x:v>
      </x:c>
      <x:c r="E3140" s="14" t="n">
        <x:f>VLOOKUP(C3140,'Governorate Master'!$A$2:$Q$13,3,FALSE)</x:f>
        <x:v>296000</x:v>
      </x:c>
      <x:c r="F3140" s="66" t="n">
        <x:f>IF(E3140=0,0,D3140/E3140*10000)</x:f>
        <x:v>0</x:v>
      </x:c>
      <x:c r="G3140" s="67" t="n">
        <x:f>VLOOKUP(C3140,'Governorate Master'!$A$2:$Q$13,7,FALSE)</x:f>
        <x:v>722.3</x:v>
      </x:c>
      <x:c r="H3140" s="20" t="n">
        <x:f>VLOOKUP(C3140,'Governorate Master'!$A$2:$Q$13,6,FALSE)</x:f>
        <x:v>0.7695945945945946</x:v>
      </x:c>
      <x:c r="I3140" s="20" t="n">
        <x:f>VLOOKUP(C3140,'Governorate Master'!$A$2:$Q$13,15,FALSE)</x:f>
        <x:v>-0.06527415143603134</x:v>
      </x:c>
      <x:c r="J3140" s="12" t="str">
        <x:v>Location model input - competition/saturation context</x:v>
      </x:c>
      <x:c r="K3140" s="12" t="str">
        <x:v>Business count is from 2018 while population/context indicators are newer; use as a historical proxy, not a current market count.</x:v>
      </x:c>
    </x:row>
    <x:row r="3141">
      <x:c r="A3141" s="12" t="str">
        <x:v>8521</x:v>
      </x:c>
      <x:c r="B3141" s="12" t="str">
        <x:v>General secondary education</x:v>
      </x:c>
      <x:c r="C3141" s="12" t="str">
        <x:v>عجلون</x:v>
      </x:c>
      <x:c r="D3141" s="14" t="n">
        <x:v>1</x:v>
      </x:c>
      <x:c r="E3141" s="14" t="n">
        <x:f>VLOOKUP(C3141,'Governorate Master'!$A$2:$Q$13,3,FALSE)</x:f>
        <x:v>219900</x:v>
      </x:c>
      <x:c r="F3141" s="66" t="n">
        <x:f>IF(E3141=0,0,D3141/E3141*10000)</x:f>
        <x:v>0.04547521600727603</x:v>
      </x:c>
      <x:c r="G3141" s="67" t="n">
        <x:f>VLOOKUP(C3141,'Governorate Master'!$A$2:$Q$13,7,FALSE)</x:f>
        <x:v>524</x:v>
      </x:c>
      <x:c r="H3141" s="20" t="n">
        <x:f>VLOOKUP(C3141,'Governorate Master'!$A$2:$Q$13,6,FALSE)</x:f>
        <x:v>0.8390177353342428</x:v>
      </x:c>
      <x:c r="I3141" s="20" t="n">
        <x:f>VLOOKUP(C3141,'Governorate Master'!$A$2:$Q$13,15,FALSE)</x:f>
        <x:v>0.03614457831325301</x:v>
      </x:c>
      <x:c r="J3141" s="12" t="str">
        <x:v>Location model input - competition/saturation context</x:v>
      </x:c>
      <x:c r="K3141" s="12" t="str">
        <x:v>Business count is from 2018 while population/context indicators are newer; use as a historical proxy, not a current market count.</x:v>
      </x:c>
    </x:row>
    <x:row r="3142">
      <x:c r="A3142" s="12" t="str">
        <x:v>8521</x:v>
      </x:c>
      <x:c r="B3142" s="12" t="str">
        <x:v>General secondary education</x:v>
      </x:c>
      <x:c r="C3142" s="12" t="str">
        <x:v>الكرك</x:v>
      </x:c>
      <x:c r="D3142" s="14" t="n">
        <x:v>5</x:v>
      </x:c>
      <x:c r="E3142" s="14" t="n">
        <x:f>VLOOKUP(C3142,'Governorate Master'!$A$2:$Q$13,3,FALSE)</x:f>
        <x:v>395400</x:v>
      </x:c>
      <x:c r="F3142" s="66" t="n">
        <x:f>IF(E3142=0,0,D3142/E3142*10000)</x:f>
        <x:v>0.12645422357106728</x:v>
      </x:c>
      <x:c r="G3142" s="67" t="n">
        <x:f>VLOOKUP(C3142,'Governorate Master'!$A$2:$Q$13,7,FALSE)</x:f>
        <x:v>113.1</x:v>
      </x:c>
      <x:c r="H3142" s="20" t="n">
        <x:f>VLOOKUP(C3142,'Governorate Master'!$A$2:$Q$13,6,FALSE)</x:f>
        <x:v>0.5912999494183105</x:v>
      </x:c>
      <x:c r="I3142" s="20" t="n">
        <x:f>VLOOKUP(C3142,'Governorate Master'!$A$2:$Q$13,15,FALSE)</x:f>
        <x:v>0.08710801393728224</x:v>
      </x:c>
      <x:c r="J3142" s="12" t="str">
        <x:v>Location model input - competition/saturation context</x:v>
      </x:c>
      <x:c r="K3142" s="12" t="str">
        <x:v>Business count is from 2018 while population/context indicators are newer; use as a historical proxy, not a current market count.</x:v>
      </x:c>
    </x:row>
    <x:row r="3143">
      <x:c r="A3143" s="12" t="str">
        <x:v>8521</x:v>
      </x:c>
      <x:c r="B3143" s="12" t="str">
        <x:v>General secondary education</x:v>
      </x:c>
      <x:c r="C3143" s="12" t="str">
        <x:v>الطفيلة</x:v>
      </x:c>
      <x:c r="D3143" s="14" t="n">
        <x:v>0</x:v>
      </x:c>
      <x:c r="E3143" s="14" t="n">
        <x:f>VLOOKUP(C3143,'Governorate Master'!$A$2:$Q$13,3,FALSE)</x:f>
        <x:v>120300</x:v>
      </x:c>
      <x:c r="F3143" s="66" t="n">
        <x:f>IF(E3143=0,0,D3143/E3143*10000)</x:f>
        <x:v>0</x:v>
      </x:c>
      <x:c r="G3143" s="67" t="n">
        <x:f>VLOOKUP(C3143,'Governorate Master'!$A$2:$Q$13,7,FALSE)</x:f>
        <x:v>54.4</x:v>
      </x:c>
      <x:c r="H3143" s="20" t="n">
        <x:f>VLOOKUP(C3143,'Governorate Master'!$A$2:$Q$13,6,FALSE)</x:f>
        <x:v>0.7797173732335827</x:v>
      </x:c>
      <x:c r="I3143" s="20" t="n">
        <x:f>VLOOKUP(C3143,'Governorate Master'!$A$2:$Q$13,15,FALSE)</x:f>
        <x:v>0.18452380952380953</x:v>
      </x:c>
      <x:c r="J3143" s="12" t="str">
        <x:v>Location model input - competition/saturation context</x:v>
      </x:c>
      <x:c r="K3143" s="12" t="str">
        <x:v>Business count is from 2018 while population/context indicators are newer; use as a historical proxy, not a current market count.</x:v>
      </x:c>
    </x:row>
    <x:row r="3144">
      <x:c r="A3144" s="12" t="str">
        <x:v>8521</x:v>
      </x:c>
      <x:c r="B3144" s="12" t="str">
        <x:v>General secondary education</x:v>
      </x:c>
      <x:c r="C3144" s="12" t="str">
        <x:v>معان</x:v>
      </x:c>
      <x:c r="D3144" s="14" t="n">
        <x:v>0</x:v>
      </x:c>
      <x:c r="E3144" s="14" t="n">
        <x:f>VLOOKUP(C3144,'Governorate Master'!$A$2:$Q$13,3,FALSE)</x:f>
        <x:v>197900</x:v>
      </x:c>
      <x:c r="F3144" s="66" t="n">
        <x:f>IF(E3144=0,0,D3144/E3144*10000)</x:f>
        <x:v>0</x:v>
      </x:c>
      <x:c r="G3144" s="67" t="n">
        <x:f>VLOOKUP(C3144,'Governorate Master'!$A$2:$Q$13,7,FALSE)</x:f>
        <x:v>6</x:v>
      </x:c>
      <x:c r="H3144" s="20" t="n">
        <x:f>VLOOKUP(C3144,'Governorate Master'!$A$2:$Q$13,6,FALSE)</x:f>
        <x:v>0.5406771096513391</x:v>
      </x:c>
      <x:c r="I3144" s="20" t="n">
        <x:f>VLOOKUP(C3144,'Governorate Master'!$A$2:$Q$13,15,FALSE)</x:f>
        <x:v>0.026845637583892617</x:v>
      </x:c>
      <x:c r="J3144" s="12" t="str">
        <x:v>Location model input - competition/saturation context</x:v>
      </x:c>
      <x:c r="K3144" s="12" t="str">
        <x:v>Business count is from 2018 while population/context indicators are newer; use as a historical proxy, not a current market count.</x:v>
      </x:c>
    </x:row>
    <x:row r="3145">
      <x:c r="A3145" s="12" t="str">
        <x:v>8521</x:v>
      </x:c>
      <x:c r="B3145" s="12" t="str">
        <x:v>General secondary education</x:v>
      </x:c>
      <x:c r="C3145" s="12" t="str">
        <x:v>العقبة</x:v>
      </x:c>
      <x:c r="D3145" s="14" t="n">
        <x:v>1</x:v>
      </x:c>
      <x:c r="E3145" s="14" t="n">
        <x:f>VLOOKUP(C3145,'Governorate Master'!$A$2:$Q$13,3,FALSE)</x:f>
        <x:v>250900</x:v>
      </x:c>
      <x:c r="F3145" s="66" t="n">
        <x:f>IF(E3145=0,0,D3145/E3145*10000)</x:f>
        <x:v>0.03985651654045436</x:v>
      </x:c>
      <x:c r="G3145" s="67" t="n">
        <x:f>VLOOKUP(C3145,'Governorate Master'!$A$2:$Q$13,7,FALSE)</x:f>
        <x:v>36.3</x:v>
      </x:c>
      <x:c r="H3145" s="20" t="n">
        <x:f>VLOOKUP(C3145,'Governorate Master'!$A$2:$Q$13,6,FALSE)</x:f>
        <x:v>0.882024711040255</x:v>
      </x:c>
      <x:c r="I3145" s="20" t="n">
        <x:f>VLOOKUP(C3145,'Governorate Master'!$A$2:$Q$13,15,FALSE)</x:f>
        <x:v>-0.09</x:v>
      </x:c>
      <x:c r="J3145" s="12" t="str">
        <x:v>Location model input - competition/saturation context</x:v>
      </x:c>
      <x:c r="K3145" s="12" t="str">
        <x:v>Business count is from 2018 while population/context indicators are newer; use as a historical proxy, not a current market count.</x:v>
      </x:c>
    </x:row>
    <x:row r="3146">
      <x:c r="A3146" s="12" t="str">
        <x:v>8522</x:v>
      </x:c>
      <x:c r="B3146" s="12" t="str">
        <x:v>Technical and vocational secondary education</x:v>
      </x:c>
      <x:c r="C3146" s="12" t="str">
        <x:v>عمان</x:v>
      </x:c>
      <x:c r="D3146" s="14" t="n">
        <x:v>26</x:v>
      </x:c>
      <x:c r="E3146" s="14" t="n">
        <x:f>VLOOKUP(C3146,'Governorate Master'!$A$2:$Q$13,3,FALSE)</x:f>
        <x:v>5004600</x:v>
      </x:c>
      <x:c r="F3146" s="66" t="n">
        <x:f>IF(E3146=0,0,D3146/E3146*10000)</x:f>
        <x:v>0.05195220397234544</x:v>
      </x:c>
      <x:c r="G3146" s="67" t="n">
        <x:f>VLOOKUP(C3146,'Governorate Master'!$A$2:$Q$13,7,FALSE)</x:f>
        <x:v>660.3</x:v>
      </x:c>
      <x:c r="H3146" s="20" t="n">
        <x:f>VLOOKUP(C3146,'Governorate Master'!$A$2:$Q$13,6,FALSE)</x:f>
        <x:v>0.9721656076409703</x:v>
      </x:c>
      <x:c r="I3146" s="20" t="n">
        <x:f>VLOOKUP(C3146,'Governorate Master'!$A$2:$Q$13,15,FALSE)</x:f>
        <x:v>0.06367041198501873</x:v>
      </x:c>
      <x:c r="J3146" s="12" t="str">
        <x:v>Location model input - competition/saturation context</x:v>
      </x:c>
      <x:c r="K3146" s="12" t="str">
        <x:v>Business count is from 2018 while population/context indicators are newer; use as a historical proxy, not a current market count.</x:v>
      </x:c>
    </x:row>
    <x:row r="3147">
      <x:c r="A3147" s="12" t="str">
        <x:v>8522</x:v>
      </x:c>
      <x:c r="B3147" s="12" t="str">
        <x:v>Technical and vocational secondary education</x:v>
      </x:c>
      <x:c r="C3147" s="12" t="str">
        <x:v>البلقاء</x:v>
      </x:c>
      <x:c r="D3147" s="14" t="n">
        <x:v>2</x:v>
      </x:c>
      <x:c r="E3147" s="14" t="n">
        <x:f>VLOOKUP(C3147,'Governorate Master'!$A$2:$Q$13,3,FALSE)</x:f>
        <x:v>614000</x:v>
      </x:c>
      <x:c r="F3147" s="66" t="n">
        <x:f>IF(E3147=0,0,D3147/E3147*10000)</x:f>
        <x:v>0.03257328990228013</x:v>
      </x:c>
      <x:c r="G3147" s="67" t="n">
        <x:f>VLOOKUP(C3147,'Governorate Master'!$A$2:$Q$13,7,FALSE)</x:f>
        <x:v>548</x:v>
      </x:c>
      <x:c r="H3147" s="20" t="n">
        <x:f>VLOOKUP(C3147,'Governorate Master'!$A$2:$Q$13,6,FALSE)</x:f>
        <x:v>0.8210097719869707</x:v>
      </x:c>
      <x:c r="I3147" s="20" t="n">
        <x:f>VLOOKUP(C3147,'Governorate Master'!$A$2:$Q$13,15,FALSE)</x:f>
        <x:v>0.10794044665012408</x:v>
      </x:c>
      <x:c r="J3147" s="12" t="str">
        <x:v>Location model input - competition/saturation context</x:v>
      </x:c>
      <x:c r="K3147" s="12" t="str">
        <x:v>Business count is from 2018 while population/context indicators are newer; use as a historical proxy, not a current market count.</x:v>
      </x:c>
    </x:row>
    <x:row r="3148">
      <x:c r="A3148" s="12" t="str">
        <x:v>8522</x:v>
      </x:c>
      <x:c r="B3148" s="12" t="str">
        <x:v>Technical and vocational secondary education</x:v>
      </x:c>
      <x:c r="C3148" s="12" t="str">
        <x:v>الزرقاء</x:v>
      </x:c>
      <x:c r="D3148" s="14" t="n">
        <x:v>8</x:v>
      </x:c>
      <x:c r="E3148" s="14" t="n">
        <x:f>VLOOKUP(C3148,'Governorate Master'!$A$2:$Q$13,3,FALSE)</x:f>
        <x:v>1704500</x:v>
      </x:c>
      <x:c r="F3148" s="66" t="n">
        <x:f>IF(E3148=0,0,D3148/E3148*10000)</x:f>
        <x:v>0.04693458492226459</x:v>
      </x:c>
      <x:c r="G3148" s="67" t="n">
        <x:f>VLOOKUP(C3148,'Governorate Master'!$A$2:$Q$13,7,FALSE)</x:f>
        <x:v>358</x:v>
      </x:c>
      <x:c r="H3148" s="20" t="n">
        <x:f>VLOOKUP(C3148,'Governorate Master'!$A$2:$Q$13,6,FALSE)</x:f>
        <x:v>0.9636256966852449</x:v>
      </x:c>
      <x:c r="I3148" s="20" t="n">
        <x:f>VLOOKUP(C3148,'Governorate Master'!$A$2:$Q$13,15,FALSE)</x:f>
        <x:v>-0.06808762581409118</x:v>
      </x:c>
      <x:c r="J3148" s="12" t="str">
        <x:v>Location model input - competition/saturation context</x:v>
      </x:c>
      <x:c r="K3148" s="12" t="str">
        <x:v>Business count is from 2018 while population/context indicators are newer; use as a historical proxy, not a current market count.</x:v>
      </x:c>
    </x:row>
    <x:row r="3149">
      <x:c r="A3149" s="12" t="str">
        <x:v>8522</x:v>
      </x:c>
      <x:c r="B3149" s="12" t="str">
        <x:v>Technical and vocational secondary education</x:v>
      </x:c>
      <x:c r="C3149" s="12" t="str">
        <x:v>مادبا</x:v>
      </x:c>
      <x:c r="D3149" s="14" t="n">
        <x:v>0</x:v>
      </x:c>
      <x:c r="E3149" s="14" t="n">
        <x:f>VLOOKUP(C3149,'Governorate Master'!$A$2:$Q$13,3,FALSE)</x:f>
        <x:v>236200</x:v>
      </x:c>
      <x:c r="F3149" s="66" t="n">
        <x:f>IF(E3149=0,0,D3149/E3149*10000)</x:f>
        <x:v>0</x:v>
      </x:c>
      <x:c r="G3149" s="67" t="n">
        <x:f>VLOOKUP(C3149,'Governorate Master'!$A$2:$Q$13,7,FALSE)</x:f>
        <x:v>251.4</x:v>
      </x:c>
      <x:c r="H3149" s="20" t="n">
        <x:f>VLOOKUP(C3149,'Governorate Master'!$A$2:$Q$13,6,FALSE)</x:f>
        <x:v>0.7823878069432684</x:v>
      </x:c>
      <x:c r="I3149" s="20" t="n">
        <x:f>VLOOKUP(C3149,'Governorate Master'!$A$2:$Q$13,15,FALSE)</x:f>
        <x:v>-0.18823529411764706</x:v>
      </x:c>
      <x:c r="J3149" s="12" t="str">
        <x:v>Location model input - competition/saturation context</x:v>
      </x:c>
      <x:c r="K3149" s="12" t="str">
        <x:v>Business count is from 2018 while population/context indicators are newer; use as a historical proxy, not a current market count.</x:v>
      </x:c>
    </x:row>
    <x:row r="3150">
      <x:c r="A3150" s="12" t="str">
        <x:v>8522</x:v>
      </x:c>
      <x:c r="B3150" s="12" t="str">
        <x:v>Technical and vocational secondary education</x:v>
      </x:c>
      <x:c r="C3150" s="12" t="str">
        <x:v>إربد</x:v>
      </x:c>
      <x:c r="D3150" s="14" t="n">
        <x:v>6</x:v>
      </x:c>
      <x:c r="E3150" s="14" t="n">
        <x:f>VLOOKUP(C3150,'Governorate Master'!$A$2:$Q$13,3,FALSE)</x:f>
        <x:v>2210500</x:v>
      </x:c>
      <x:c r="F3150" s="66" t="n">
        <x:f>IF(E3150=0,0,D3150/E3150*10000)</x:f>
        <x:v>0.027143180275955664</x:v>
      </x:c>
      <x:c r="G3150" s="67" t="n">
        <x:f>VLOOKUP(C3150,'Governorate Master'!$A$2:$Q$13,7,FALSE)</x:f>
        <x:v>1406.4</x:v>
      </x:c>
      <x:c r="H3150" s="20" t="n">
        <x:f>VLOOKUP(C3150,'Governorate Master'!$A$2:$Q$13,6,FALSE)</x:f>
        <x:v>0.9235014702555983</x:v>
      </x:c>
      <x:c r="I3150" s="20" t="n">
        <x:f>VLOOKUP(C3150,'Governorate Master'!$A$2:$Q$13,15,FALSE)</x:f>
        <x:v>0.07086922474549726</x:v>
      </x:c>
      <x:c r="J3150" s="12" t="str">
        <x:v>Location model input - competition/saturation context</x:v>
      </x:c>
      <x:c r="K3150" s="12" t="str">
        <x:v>Business count is from 2018 while population/context indicators are newer; use as a historical proxy, not a current market count.</x:v>
      </x:c>
    </x:row>
    <x:row r="3151">
      <x:c r="A3151" s="12" t="str">
        <x:v>8522</x:v>
      </x:c>
      <x:c r="B3151" s="12" t="str">
        <x:v>Technical and vocational secondary education</x:v>
      </x:c>
      <x:c r="C3151" s="12" t="str">
        <x:v>المفرق</x:v>
      </x:c>
      <x:c r="D3151" s="14" t="n">
        <x:v>3</x:v>
      </x:c>
      <x:c r="E3151" s="14" t="n">
        <x:f>VLOOKUP(C3151,'Governorate Master'!$A$2:$Q$13,3,FALSE)</x:f>
        <x:v>686800</x:v>
      </x:c>
      <x:c r="F3151" s="66" t="n">
        <x:f>IF(E3151=0,0,D3151/E3151*10000)</x:f>
        <x:v>0.043680838672102505</x:v>
      </x:c>
      <x:c r="G3151" s="67" t="n">
        <x:f>VLOOKUP(C3151,'Governorate Master'!$A$2:$Q$13,7,FALSE)</x:f>
        <x:v>25.9</x:v>
      </x:c>
      <x:c r="H3151" s="20" t="n">
        <x:f>VLOOKUP(C3151,'Governorate Master'!$A$2:$Q$13,6,FALSE)</x:f>
        <x:v>0.6965637740244612</x:v>
      </x:c>
      <x:c r="I3151" s="20" t="n">
        <x:f>VLOOKUP(C3151,'Governorate Master'!$A$2:$Q$13,15,FALSE)</x:f>
        <x:v>-0.016638935108153077</x:v>
      </x:c>
      <x:c r="J3151" s="12" t="str">
        <x:v>Location model input - competition/saturation context</x:v>
      </x:c>
      <x:c r="K3151" s="12" t="str">
        <x:v>Business count is from 2018 while population/context indicators are newer; use as a historical proxy, not a current market count.</x:v>
      </x:c>
    </x:row>
    <x:row r="3152">
      <x:c r="A3152" s="12" t="str">
        <x:v>8522</x:v>
      </x:c>
      <x:c r="B3152" s="12" t="str">
        <x:v>Technical and vocational secondary education</x:v>
      </x:c>
      <x:c r="C3152" s="12" t="str">
        <x:v>جرش</x:v>
      </x:c>
      <x:c r="D3152" s="14" t="n">
        <x:v>0</x:v>
      </x:c>
      <x:c r="E3152" s="14" t="n">
        <x:f>VLOOKUP(C3152,'Governorate Master'!$A$2:$Q$13,3,FALSE)</x:f>
        <x:v>296000</x:v>
      </x:c>
      <x:c r="F3152" s="66" t="n">
        <x:f>IF(E3152=0,0,D3152/E3152*10000)</x:f>
        <x:v>0</x:v>
      </x:c>
      <x:c r="G3152" s="67" t="n">
        <x:f>VLOOKUP(C3152,'Governorate Master'!$A$2:$Q$13,7,FALSE)</x:f>
        <x:v>722.3</x:v>
      </x:c>
      <x:c r="H3152" s="20" t="n">
        <x:f>VLOOKUP(C3152,'Governorate Master'!$A$2:$Q$13,6,FALSE)</x:f>
        <x:v>0.7695945945945946</x:v>
      </x:c>
      <x:c r="I3152" s="20" t="n">
        <x:f>VLOOKUP(C3152,'Governorate Master'!$A$2:$Q$13,15,FALSE)</x:f>
        <x:v>-0.06527415143603134</x:v>
      </x:c>
      <x:c r="J3152" s="12" t="str">
        <x:v>Location model input - competition/saturation context</x:v>
      </x:c>
      <x:c r="K3152" s="12" t="str">
        <x:v>Business count is from 2018 while population/context indicators are newer; use as a historical proxy, not a current market count.</x:v>
      </x:c>
    </x:row>
    <x:row r="3153">
      <x:c r="A3153" s="12" t="str">
        <x:v>8522</x:v>
      </x:c>
      <x:c r="B3153" s="12" t="str">
        <x:v>Technical and vocational secondary education</x:v>
      </x:c>
      <x:c r="C3153" s="12" t="str">
        <x:v>عجلون</x:v>
      </x:c>
      <x:c r="D3153" s="14" t="n">
        <x:v>1</x:v>
      </x:c>
      <x:c r="E3153" s="14" t="n">
        <x:f>VLOOKUP(C3153,'Governorate Master'!$A$2:$Q$13,3,FALSE)</x:f>
        <x:v>219900</x:v>
      </x:c>
      <x:c r="F3153" s="66" t="n">
        <x:f>IF(E3153=0,0,D3153/E3153*10000)</x:f>
        <x:v>0.04547521600727603</x:v>
      </x:c>
      <x:c r="G3153" s="67" t="n">
        <x:f>VLOOKUP(C3153,'Governorate Master'!$A$2:$Q$13,7,FALSE)</x:f>
        <x:v>524</x:v>
      </x:c>
      <x:c r="H3153" s="20" t="n">
        <x:f>VLOOKUP(C3153,'Governorate Master'!$A$2:$Q$13,6,FALSE)</x:f>
        <x:v>0.8390177353342428</x:v>
      </x:c>
      <x:c r="I3153" s="20" t="n">
        <x:f>VLOOKUP(C3153,'Governorate Master'!$A$2:$Q$13,15,FALSE)</x:f>
        <x:v>0.03614457831325301</x:v>
      </x:c>
      <x:c r="J3153" s="12" t="str">
        <x:v>Location model input - competition/saturation context</x:v>
      </x:c>
      <x:c r="K3153" s="12" t="str">
        <x:v>Business count is from 2018 while population/context indicators are newer; use as a historical proxy, not a current market count.</x:v>
      </x:c>
    </x:row>
    <x:row r="3154">
      <x:c r="A3154" s="12" t="str">
        <x:v>8522</x:v>
      </x:c>
      <x:c r="B3154" s="12" t="str">
        <x:v>Technical and vocational secondary education</x:v>
      </x:c>
      <x:c r="C3154" s="12" t="str">
        <x:v>الكرك</x:v>
      </x:c>
      <x:c r="D3154" s="14" t="n">
        <x:v>0</x:v>
      </x:c>
      <x:c r="E3154" s="14" t="n">
        <x:f>VLOOKUP(C3154,'Governorate Master'!$A$2:$Q$13,3,FALSE)</x:f>
        <x:v>395400</x:v>
      </x:c>
      <x:c r="F3154" s="66" t="n">
        <x:f>IF(E3154=0,0,D3154/E3154*10000)</x:f>
        <x:v>0</x:v>
      </x:c>
      <x:c r="G3154" s="67" t="n">
        <x:f>VLOOKUP(C3154,'Governorate Master'!$A$2:$Q$13,7,FALSE)</x:f>
        <x:v>113.1</x:v>
      </x:c>
      <x:c r="H3154" s="20" t="n">
        <x:f>VLOOKUP(C3154,'Governorate Master'!$A$2:$Q$13,6,FALSE)</x:f>
        <x:v>0.5912999494183105</x:v>
      </x:c>
      <x:c r="I3154" s="20" t="n">
        <x:f>VLOOKUP(C3154,'Governorate Master'!$A$2:$Q$13,15,FALSE)</x:f>
        <x:v>0.08710801393728224</x:v>
      </x:c>
      <x:c r="J3154" s="12" t="str">
        <x:v>Location model input - competition/saturation context</x:v>
      </x:c>
      <x:c r="K3154" s="12" t="str">
        <x:v>Business count is from 2018 while population/context indicators are newer; use as a historical proxy, not a current market count.</x:v>
      </x:c>
    </x:row>
    <x:row r="3155">
      <x:c r="A3155" s="12" t="str">
        <x:v>8522</x:v>
      </x:c>
      <x:c r="B3155" s="12" t="str">
        <x:v>Technical and vocational secondary education</x:v>
      </x:c>
      <x:c r="C3155" s="12" t="str">
        <x:v>الطفيلة</x:v>
      </x:c>
      <x:c r="D3155" s="14" t="n">
        <x:v>0</x:v>
      </x:c>
      <x:c r="E3155" s="14" t="n">
        <x:f>VLOOKUP(C3155,'Governorate Master'!$A$2:$Q$13,3,FALSE)</x:f>
        <x:v>120300</x:v>
      </x:c>
      <x:c r="F3155" s="66" t="n">
        <x:f>IF(E3155=0,0,D3155/E3155*10000)</x:f>
        <x:v>0</x:v>
      </x:c>
      <x:c r="G3155" s="67" t="n">
        <x:f>VLOOKUP(C3155,'Governorate Master'!$A$2:$Q$13,7,FALSE)</x:f>
        <x:v>54.4</x:v>
      </x:c>
      <x:c r="H3155" s="20" t="n">
        <x:f>VLOOKUP(C3155,'Governorate Master'!$A$2:$Q$13,6,FALSE)</x:f>
        <x:v>0.7797173732335827</x:v>
      </x:c>
      <x:c r="I3155" s="20" t="n">
        <x:f>VLOOKUP(C3155,'Governorate Master'!$A$2:$Q$13,15,FALSE)</x:f>
        <x:v>0.18452380952380953</x:v>
      </x:c>
      <x:c r="J3155" s="12" t="str">
        <x:v>Location model input - competition/saturation context</x:v>
      </x:c>
      <x:c r="K3155" s="12" t="str">
        <x:v>Business count is from 2018 while population/context indicators are newer; use as a historical proxy, not a current market count.</x:v>
      </x:c>
    </x:row>
    <x:row r="3156">
      <x:c r="A3156" s="12" t="str">
        <x:v>8522</x:v>
      </x:c>
      <x:c r="B3156" s="12" t="str">
        <x:v>Technical and vocational secondary education</x:v>
      </x:c>
      <x:c r="C3156" s="12" t="str">
        <x:v>معان</x:v>
      </x:c>
      <x:c r="D3156" s="14" t="n">
        <x:v>2</x:v>
      </x:c>
      <x:c r="E3156" s="14" t="n">
        <x:f>VLOOKUP(C3156,'Governorate Master'!$A$2:$Q$13,3,FALSE)</x:f>
        <x:v>197900</x:v>
      </x:c>
      <x:c r="F3156" s="66" t="n">
        <x:f>IF(E3156=0,0,D3156/E3156*10000)</x:f>
        <x:v>0.1010611419909045</x:v>
      </x:c>
      <x:c r="G3156" s="67" t="n">
        <x:f>VLOOKUP(C3156,'Governorate Master'!$A$2:$Q$13,7,FALSE)</x:f>
        <x:v>6</x:v>
      </x:c>
      <x:c r="H3156" s="20" t="n">
        <x:f>VLOOKUP(C3156,'Governorate Master'!$A$2:$Q$13,6,FALSE)</x:f>
        <x:v>0.5406771096513391</x:v>
      </x:c>
      <x:c r="I3156" s="20" t="n">
        <x:f>VLOOKUP(C3156,'Governorate Master'!$A$2:$Q$13,15,FALSE)</x:f>
        <x:v>0.026845637583892617</x:v>
      </x:c>
      <x:c r="J3156" s="12" t="str">
        <x:v>Location model input - competition/saturation context</x:v>
      </x:c>
      <x:c r="K3156" s="12" t="str">
        <x:v>Business count is from 2018 while population/context indicators are newer; use as a historical proxy, not a current market count.</x:v>
      </x:c>
    </x:row>
    <x:row r="3157">
      <x:c r="A3157" s="12" t="str">
        <x:v>8522</x:v>
      </x:c>
      <x:c r="B3157" s="12" t="str">
        <x:v>Technical and vocational secondary education</x:v>
      </x:c>
      <x:c r="C3157" s="12" t="str">
        <x:v>العقبة</x:v>
      </x:c>
      <x:c r="D3157" s="14" t="n">
        <x:v>1</x:v>
      </x:c>
      <x:c r="E3157" s="14" t="n">
        <x:f>VLOOKUP(C3157,'Governorate Master'!$A$2:$Q$13,3,FALSE)</x:f>
        <x:v>250900</x:v>
      </x:c>
      <x:c r="F3157" s="66" t="n">
        <x:f>IF(E3157=0,0,D3157/E3157*10000)</x:f>
        <x:v>0.03985651654045436</x:v>
      </x:c>
      <x:c r="G3157" s="67" t="n">
        <x:f>VLOOKUP(C3157,'Governorate Master'!$A$2:$Q$13,7,FALSE)</x:f>
        <x:v>36.3</x:v>
      </x:c>
      <x:c r="H3157" s="20" t="n">
        <x:f>VLOOKUP(C3157,'Governorate Master'!$A$2:$Q$13,6,FALSE)</x:f>
        <x:v>0.882024711040255</x:v>
      </x:c>
      <x:c r="I3157" s="20" t="n">
        <x:f>VLOOKUP(C3157,'Governorate Master'!$A$2:$Q$13,15,FALSE)</x:f>
        <x:v>-0.09</x:v>
      </x:c>
      <x:c r="J3157" s="12" t="str">
        <x:v>Location model input - competition/saturation context</x:v>
      </x:c>
      <x:c r="K3157" s="12" t="str">
        <x:v>Business count is from 2018 while population/context indicators are newer; use as a historical proxy, not a current market count.</x:v>
      </x:c>
    </x:row>
    <x:row r="3158">
      <x:c r="A3158" s="12" t="str">
        <x:v>8530</x:v>
      </x:c>
      <x:c r="B3158" s="12" t="str">
        <x:v>Higher education</x:v>
      </x:c>
      <x:c r="C3158" s="12" t="str">
        <x:v>عمان</x:v>
      </x:c>
      <x:c r="D3158" s="14" t="n">
        <x:v>28</x:v>
      </x:c>
      <x:c r="E3158" s="14" t="n">
        <x:f>VLOOKUP(C3158,'Governorate Master'!$A$2:$Q$13,3,FALSE)</x:f>
        <x:v>5004600</x:v>
      </x:c>
      <x:c r="F3158" s="66" t="n">
        <x:f>IF(E3158=0,0,D3158/E3158*10000)</x:f>
        <x:v>0.055948527354833556</x:v>
      </x:c>
      <x:c r="G3158" s="67" t="n">
        <x:f>VLOOKUP(C3158,'Governorate Master'!$A$2:$Q$13,7,FALSE)</x:f>
        <x:v>660.3</x:v>
      </x:c>
      <x:c r="H3158" s="20" t="n">
        <x:f>VLOOKUP(C3158,'Governorate Master'!$A$2:$Q$13,6,FALSE)</x:f>
        <x:v>0.9721656076409703</x:v>
      </x:c>
      <x:c r="I3158" s="20" t="n">
        <x:f>VLOOKUP(C3158,'Governorate Master'!$A$2:$Q$13,15,FALSE)</x:f>
        <x:v>0.06367041198501873</x:v>
      </x:c>
      <x:c r="J3158" s="12" t="str">
        <x:v>Location model input - competition/saturation context</x:v>
      </x:c>
      <x:c r="K3158" s="12" t="str">
        <x:v>Business count is from 2018 while population/context indicators are newer; use as a historical proxy, not a current market count.</x:v>
      </x:c>
    </x:row>
    <x:row r="3159">
      <x:c r="A3159" s="12" t="str">
        <x:v>8530</x:v>
      </x:c>
      <x:c r="B3159" s="12" t="str">
        <x:v>Higher education</x:v>
      </x:c>
      <x:c r="C3159" s="12" t="str">
        <x:v>البلقاء</x:v>
      </x:c>
      <x:c r="D3159" s="14" t="n">
        <x:v>1</x:v>
      </x:c>
      <x:c r="E3159" s="14" t="n">
        <x:f>VLOOKUP(C3159,'Governorate Master'!$A$2:$Q$13,3,FALSE)</x:f>
        <x:v>614000</x:v>
      </x:c>
      <x:c r="F3159" s="66" t="n">
        <x:f>IF(E3159=0,0,D3159/E3159*10000)</x:f>
        <x:v>0.016286644951140065</x:v>
      </x:c>
      <x:c r="G3159" s="67" t="n">
        <x:f>VLOOKUP(C3159,'Governorate Master'!$A$2:$Q$13,7,FALSE)</x:f>
        <x:v>548</x:v>
      </x:c>
      <x:c r="H3159" s="20" t="n">
        <x:f>VLOOKUP(C3159,'Governorate Master'!$A$2:$Q$13,6,FALSE)</x:f>
        <x:v>0.8210097719869707</x:v>
      </x:c>
      <x:c r="I3159" s="20" t="n">
        <x:f>VLOOKUP(C3159,'Governorate Master'!$A$2:$Q$13,15,FALSE)</x:f>
        <x:v>0.10794044665012408</x:v>
      </x:c>
      <x:c r="J3159" s="12" t="str">
        <x:v>Location model input - competition/saturation context</x:v>
      </x:c>
      <x:c r="K3159" s="12" t="str">
        <x:v>Business count is from 2018 while population/context indicators are newer; use as a historical proxy, not a current market count.</x:v>
      </x:c>
    </x:row>
    <x:row r="3160">
      <x:c r="A3160" s="12" t="str">
        <x:v>8530</x:v>
      </x:c>
      <x:c r="B3160" s="12" t="str">
        <x:v>Higher education</x:v>
      </x:c>
      <x:c r="C3160" s="12" t="str">
        <x:v>الزرقاء</x:v>
      </x:c>
      <x:c r="D3160" s="14" t="n">
        <x:v>6</x:v>
      </x:c>
      <x:c r="E3160" s="14" t="n">
        <x:f>VLOOKUP(C3160,'Governorate Master'!$A$2:$Q$13,3,FALSE)</x:f>
        <x:v>1704500</x:v>
      </x:c>
      <x:c r="F3160" s="66" t="n">
        <x:f>IF(E3160=0,0,D3160/E3160*10000)</x:f>
        <x:v>0.03520093869169844</x:v>
      </x:c>
      <x:c r="G3160" s="67" t="n">
        <x:f>VLOOKUP(C3160,'Governorate Master'!$A$2:$Q$13,7,FALSE)</x:f>
        <x:v>358</x:v>
      </x:c>
      <x:c r="H3160" s="20" t="n">
        <x:f>VLOOKUP(C3160,'Governorate Master'!$A$2:$Q$13,6,FALSE)</x:f>
        <x:v>0.9636256966852449</x:v>
      </x:c>
      <x:c r="I3160" s="20" t="n">
        <x:f>VLOOKUP(C3160,'Governorate Master'!$A$2:$Q$13,15,FALSE)</x:f>
        <x:v>-0.06808762581409118</x:v>
      </x:c>
      <x:c r="J3160" s="12" t="str">
        <x:v>Location model input - competition/saturation context</x:v>
      </x:c>
      <x:c r="K3160" s="12" t="str">
        <x:v>Business count is from 2018 while population/context indicators are newer; use as a historical proxy, not a current market count.</x:v>
      </x:c>
    </x:row>
    <x:row r="3161">
      <x:c r="A3161" s="12" t="str">
        <x:v>8530</x:v>
      </x:c>
      <x:c r="B3161" s="12" t="str">
        <x:v>Higher education</x:v>
      </x:c>
      <x:c r="C3161" s="12" t="str">
        <x:v>مادبا</x:v>
      </x:c>
      <x:c r="D3161" s="14" t="n">
        <x:v>1</x:v>
      </x:c>
      <x:c r="E3161" s="14" t="n">
        <x:f>VLOOKUP(C3161,'Governorate Master'!$A$2:$Q$13,3,FALSE)</x:f>
        <x:v>236200</x:v>
      </x:c>
      <x:c r="F3161" s="66" t="n">
        <x:f>IF(E3161=0,0,D3161/E3161*10000)</x:f>
        <x:v>0.04233700254022015</x:v>
      </x:c>
      <x:c r="G3161" s="67" t="n">
        <x:f>VLOOKUP(C3161,'Governorate Master'!$A$2:$Q$13,7,FALSE)</x:f>
        <x:v>251.4</x:v>
      </x:c>
      <x:c r="H3161" s="20" t="n">
        <x:f>VLOOKUP(C3161,'Governorate Master'!$A$2:$Q$13,6,FALSE)</x:f>
        <x:v>0.7823878069432684</x:v>
      </x:c>
      <x:c r="I3161" s="20" t="n">
        <x:f>VLOOKUP(C3161,'Governorate Master'!$A$2:$Q$13,15,FALSE)</x:f>
        <x:v>-0.18823529411764706</x:v>
      </x:c>
      <x:c r="J3161" s="12" t="str">
        <x:v>Location model input - competition/saturation context</x:v>
      </x:c>
      <x:c r="K3161" s="12" t="str">
        <x:v>Business count is from 2018 while population/context indicators are newer; use as a historical proxy, not a current market count.</x:v>
      </x:c>
    </x:row>
    <x:row r="3162">
      <x:c r="A3162" s="12" t="str">
        <x:v>8530</x:v>
      </x:c>
      <x:c r="B3162" s="12" t="str">
        <x:v>Higher education</x:v>
      </x:c>
      <x:c r="C3162" s="12" t="str">
        <x:v>إربد</x:v>
      </x:c>
      <x:c r="D3162" s="14" t="n">
        <x:v>6</x:v>
      </x:c>
      <x:c r="E3162" s="14" t="n">
        <x:f>VLOOKUP(C3162,'Governorate Master'!$A$2:$Q$13,3,FALSE)</x:f>
        <x:v>2210500</x:v>
      </x:c>
      <x:c r="F3162" s="66" t="n">
        <x:f>IF(E3162=0,0,D3162/E3162*10000)</x:f>
        <x:v>0.027143180275955664</x:v>
      </x:c>
      <x:c r="G3162" s="67" t="n">
        <x:f>VLOOKUP(C3162,'Governorate Master'!$A$2:$Q$13,7,FALSE)</x:f>
        <x:v>1406.4</x:v>
      </x:c>
      <x:c r="H3162" s="20" t="n">
        <x:f>VLOOKUP(C3162,'Governorate Master'!$A$2:$Q$13,6,FALSE)</x:f>
        <x:v>0.9235014702555983</x:v>
      </x:c>
      <x:c r="I3162" s="20" t="n">
        <x:f>VLOOKUP(C3162,'Governorate Master'!$A$2:$Q$13,15,FALSE)</x:f>
        <x:v>0.07086922474549726</x:v>
      </x:c>
      <x:c r="J3162" s="12" t="str">
        <x:v>Location model input - competition/saturation context</x:v>
      </x:c>
      <x:c r="K3162" s="12" t="str">
        <x:v>Business count is from 2018 while population/context indicators are newer; use as a historical proxy, not a current market count.</x:v>
      </x:c>
    </x:row>
    <x:row r="3163">
      <x:c r="A3163" s="12" t="str">
        <x:v>8530</x:v>
      </x:c>
      <x:c r="B3163" s="12" t="str">
        <x:v>Higher education</x:v>
      </x:c>
      <x:c r="C3163" s="12" t="str">
        <x:v>المفرق</x:v>
      </x:c>
      <x:c r="D3163" s="14" t="n">
        <x:v>1</x:v>
      </x:c>
      <x:c r="E3163" s="14" t="n">
        <x:f>VLOOKUP(C3163,'Governorate Master'!$A$2:$Q$13,3,FALSE)</x:f>
        <x:v>686800</x:v>
      </x:c>
      <x:c r="F3163" s="66" t="n">
        <x:f>IF(E3163=0,0,D3163/E3163*10000)</x:f>
        <x:v>0.014560279557367502</x:v>
      </x:c>
      <x:c r="G3163" s="67" t="n">
        <x:f>VLOOKUP(C3163,'Governorate Master'!$A$2:$Q$13,7,FALSE)</x:f>
        <x:v>25.9</x:v>
      </x:c>
      <x:c r="H3163" s="20" t="n">
        <x:f>VLOOKUP(C3163,'Governorate Master'!$A$2:$Q$13,6,FALSE)</x:f>
        <x:v>0.6965637740244612</x:v>
      </x:c>
      <x:c r="I3163" s="20" t="n">
        <x:f>VLOOKUP(C3163,'Governorate Master'!$A$2:$Q$13,15,FALSE)</x:f>
        <x:v>-0.016638935108153077</x:v>
      </x:c>
      <x:c r="J3163" s="12" t="str">
        <x:v>Location model input - competition/saturation context</x:v>
      </x:c>
      <x:c r="K3163" s="12" t="str">
        <x:v>Business count is from 2018 while population/context indicators are newer; use as a historical proxy, not a current market count.</x:v>
      </x:c>
    </x:row>
    <x:row r="3164">
      <x:c r="A3164" s="12" t="str">
        <x:v>8530</x:v>
      </x:c>
      <x:c r="B3164" s="12" t="str">
        <x:v>Higher education</x:v>
      </x:c>
      <x:c r="C3164" s="12" t="str">
        <x:v>جرش</x:v>
      </x:c>
      <x:c r="D3164" s="14" t="n">
        <x:v>3</x:v>
      </x:c>
      <x:c r="E3164" s="14" t="n">
        <x:f>VLOOKUP(C3164,'Governorate Master'!$A$2:$Q$13,3,FALSE)</x:f>
        <x:v>296000</x:v>
      </x:c>
      <x:c r="F3164" s="66" t="n">
        <x:f>IF(E3164=0,0,D3164/E3164*10000)</x:f>
        <x:v>0.10135135135135134</x:v>
      </x:c>
      <x:c r="G3164" s="67" t="n">
        <x:f>VLOOKUP(C3164,'Governorate Master'!$A$2:$Q$13,7,FALSE)</x:f>
        <x:v>722.3</x:v>
      </x:c>
      <x:c r="H3164" s="20" t="n">
        <x:f>VLOOKUP(C3164,'Governorate Master'!$A$2:$Q$13,6,FALSE)</x:f>
        <x:v>0.7695945945945946</x:v>
      </x:c>
      <x:c r="I3164" s="20" t="n">
        <x:f>VLOOKUP(C3164,'Governorate Master'!$A$2:$Q$13,15,FALSE)</x:f>
        <x:v>-0.06527415143603134</x:v>
      </x:c>
      <x:c r="J3164" s="12" t="str">
        <x:v>Location model input - competition/saturation context</x:v>
      </x:c>
      <x:c r="K3164" s="12" t="str">
        <x:v>Business count is from 2018 while population/context indicators are newer; use as a historical proxy, not a current market count.</x:v>
      </x:c>
    </x:row>
    <x:row r="3165">
      <x:c r="A3165" s="12" t="str">
        <x:v>8530</x:v>
      </x:c>
      <x:c r="B3165" s="12" t="str">
        <x:v>Higher education</x:v>
      </x:c>
      <x:c r="C3165" s="12" t="str">
        <x:v>عجلون</x:v>
      </x:c>
      <x:c r="D3165" s="14" t="n">
        <x:v>1</x:v>
      </x:c>
      <x:c r="E3165" s="14" t="n">
        <x:f>VLOOKUP(C3165,'Governorate Master'!$A$2:$Q$13,3,FALSE)</x:f>
        <x:v>219900</x:v>
      </x:c>
      <x:c r="F3165" s="66" t="n">
        <x:f>IF(E3165=0,0,D3165/E3165*10000)</x:f>
        <x:v>0.04547521600727603</x:v>
      </x:c>
      <x:c r="G3165" s="67" t="n">
        <x:f>VLOOKUP(C3165,'Governorate Master'!$A$2:$Q$13,7,FALSE)</x:f>
        <x:v>524</x:v>
      </x:c>
      <x:c r="H3165" s="20" t="n">
        <x:f>VLOOKUP(C3165,'Governorate Master'!$A$2:$Q$13,6,FALSE)</x:f>
        <x:v>0.8390177353342428</x:v>
      </x:c>
      <x:c r="I3165" s="20" t="n">
        <x:f>VLOOKUP(C3165,'Governorate Master'!$A$2:$Q$13,15,FALSE)</x:f>
        <x:v>0.03614457831325301</x:v>
      </x:c>
      <x:c r="J3165" s="12" t="str">
        <x:v>Location model input - competition/saturation context</x:v>
      </x:c>
      <x:c r="K3165" s="12" t="str">
        <x:v>Business count is from 2018 while population/context indicators are newer; use as a historical proxy, not a current market count.</x:v>
      </x:c>
    </x:row>
    <x:row r="3166">
      <x:c r="A3166" s="12" t="str">
        <x:v>8530</x:v>
      </x:c>
      <x:c r="B3166" s="12" t="str">
        <x:v>Higher education</x:v>
      </x:c>
      <x:c r="C3166" s="12" t="str">
        <x:v>الكرك</x:v>
      </x:c>
      <x:c r="D3166" s="14" t="n">
        <x:v>0</x:v>
      </x:c>
      <x:c r="E3166" s="14" t="n">
        <x:f>VLOOKUP(C3166,'Governorate Master'!$A$2:$Q$13,3,FALSE)</x:f>
        <x:v>395400</x:v>
      </x:c>
      <x:c r="F3166" s="66" t="n">
        <x:f>IF(E3166=0,0,D3166/E3166*10000)</x:f>
        <x:v>0</x:v>
      </x:c>
      <x:c r="G3166" s="67" t="n">
        <x:f>VLOOKUP(C3166,'Governorate Master'!$A$2:$Q$13,7,FALSE)</x:f>
        <x:v>113.1</x:v>
      </x:c>
      <x:c r="H3166" s="20" t="n">
        <x:f>VLOOKUP(C3166,'Governorate Master'!$A$2:$Q$13,6,FALSE)</x:f>
        <x:v>0.5912999494183105</x:v>
      </x:c>
      <x:c r="I3166" s="20" t="n">
        <x:f>VLOOKUP(C3166,'Governorate Master'!$A$2:$Q$13,15,FALSE)</x:f>
        <x:v>0.08710801393728224</x:v>
      </x:c>
      <x:c r="J3166" s="12" t="str">
        <x:v>Location model input - competition/saturation context</x:v>
      </x:c>
      <x:c r="K3166" s="12" t="str">
        <x:v>Business count is from 2018 while population/context indicators are newer; use as a historical proxy, not a current market count.</x:v>
      </x:c>
    </x:row>
    <x:row r="3167">
      <x:c r="A3167" s="12" t="str">
        <x:v>8530</x:v>
      </x:c>
      <x:c r="B3167" s="12" t="str">
        <x:v>Higher education</x:v>
      </x:c>
      <x:c r="C3167" s="12" t="str">
        <x:v>الطفيلة</x:v>
      </x:c>
      <x:c r="D3167" s="14" t="n">
        <x:v>0</x:v>
      </x:c>
      <x:c r="E3167" s="14" t="n">
        <x:f>VLOOKUP(C3167,'Governorate Master'!$A$2:$Q$13,3,FALSE)</x:f>
        <x:v>120300</x:v>
      </x:c>
      <x:c r="F3167" s="66" t="n">
        <x:f>IF(E3167=0,0,D3167/E3167*10000)</x:f>
        <x:v>0</x:v>
      </x:c>
      <x:c r="G3167" s="67" t="n">
        <x:f>VLOOKUP(C3167,'Governorate Master'!$A$2:$Q$13,7,FALSE)</x:f>
        <x:v>54.4</x:v>
      </x:c>
      <x:c r="H3167" s="20" t="n">
        <x:f>VLOOKUP(C3167,'Governorate Master'!$A$2:$Q$13,6,FALSE)</x:f>
        <x:v>0.7797173732335827</x:v>
      </x:c>
      <x:c r="I3167" s="20" t="n">
        <x:f>VLOOKUP(C3167,'Governorate Master'!$A$2:$Q$13,15,FALSE)</x:f>
        <x:v>0.18452380952380953</x:v>
      </x:c>
      <x:c r="J3167" s="12" t="str">
        <x:v>Location model input - competition/saturation context</x:v>
      </x:c>
      <x:c r="K3167" s="12" t="str">
        <x:v>Business count is from 2018 while population/context indicators are newer; use as a historical proxy, not a current market count.</x:v>
      </x:c>
    </x:row>
    <x:row r="3168">
      <x:c r="A3168" s="12" t="str">
        <x:v>8530</x:v>
      </x:c>
      <x:c r="B3168" s="12" t="str">
        <x:v>Higher education</x:v>
      </x:c>
      <x:c r="C3168" s="12" t="str">
        <x:v>معان</x:v>
      </x:c>
      <x:c r="D3168" s="14" t="n">
        <x:v>0</x:v>
      </x:c>
      <x:c r="E3168" s="14" t="n">
        <x:f>VLOOKUP(C3168,'Governorate Master'!$A$2:$Q$13,3,FALSE)</x:f>
        <x:v>197900</x:v>
      </x:c>
      <x:c r="F3168" s="66" t="n">
        <x:f>IF(E3168=0,0,D3168/E3168*10000)</x:f>
        <x:v>0</x:v>
      </x:c>
      <x:c r="G3168" s="67" t="n">
        <x:f>VLOOKUP(C3168,'Governorate Master'!$A$2:$Q$13,7,FALSE)</x:f>
        <x:v>6</x:v>
      </x:c>
      <x:c r="H3168" s="20" t="n">
        <x:f>VLOOKUP(C3168,'Governorate Master'!$A$2:$Q$13,6,FALSE)</x:f>
        <x:v>0.5406771096513391</x:v>
      </x:c>
      <x:c r="I3168" s="20" t="n">
        <x:f>VLOOKUP(C3168,'Governorate Master'!$A$2:$Q$13,15,FALSE)</x:f>
        <x:v>0.026845637583892617</x:v>
      </x:c>
      <x:c r="J3168" s="12" t="str">
        <x:v>Location model input - competition/saturation context</x:v>
      </x:c>
      <x:c r="K3168" s="12" t="str">
        <x:v>Business count is from 2018 while population/context indicators are newer; use as a historical proxy, not a current market count.</x:v>
      </x:c>
    </x:row>
    <x:row r="3169">
      <x:c r="A3169" s="12" t="str">
        <x:v>8530</x:v>
      </x:c>
      <x:c r="B3169" s="12" t="str">
        <x:v>Higher education</x:v>
      </x:c>
      <x:c r="C3169" s="12" t="str">
        <x:v>العقبة</x:v>
      </x:c>
      <x:c r="D3169" s="14" t="n">
        <x:v>0</x:v>
      </x:c>
      <x:c r="E3169" s="14" t="n">
        <x:f>VLOOKUP(C3169,'Governorate Master'!$A$2:$Q$13,3,FALSE)</x:f>
        <x:v>250900</x:v>
      </x:c>
      <x:c r="F3169" s="66" t="n">
        <x:f>IF(E3169=0,0,D3169/E3169*10000)</x:f>
        <x:v>0</x:v>
      </x:c>
      <x:c r="G3169" s="67" t="n">
        <x:f>VLOOKUP(C3169,'Governorate Master'!$A$2:$Q$13,7,FALSE)</x:f>
        <x:v>36.3</x:v>
      </x:c>
      <x:c r="H3169" s="20" t="n">
        <x:f>VLOOKUP(C3169,'Governorate Master'!$A$2:$Q$13,6,FALSE)</x:f>
        <x:v>0.882024711040255</x:v>
      </x:c>
      <x:c r="I3169" s="20" t="n">
        <x:f>VLOOKUP(C3169,'Governorate Master'!$A$2:$Q$13,15,FALSE)</x:f>
        <x:v>-0.09</x:v>
      </x:c>
      <x:c r="J3169" s="12" t="str">
        <x:v>Location model input - competition/saturation context</x:v>
      </x:c>
      <x:c r="K3169" s="12" t="str">
        <x:v>Business count is from 2018 while population/context indicators are newer; use as a historical proxy, not a current market count.</x:v>
      </x:c>
    </x:row>
    <x:row r="3170">
      <x:c r="A3170" s="12" t="str">
        <x:v>8541</x:v>
      </x:c>
      <x:c r="B3170" s="12" t="str">
        <x:v>Sports and recreation education</x:v>
      </x:c>
      <x:c r="C3170" s="12" t="str">
        <x:v>عمان</x:v>
      </x:c>
      <x:c r="D3170" s="14" t="n">
        <x:v>2</x:v>
      </x:c>
      <x:c r="E3170" s="14" t="n">
        <x:f>VLOOKUP(C3170,'Governorate Master'!$A$2:$Q$13,3,FALSE)</x:f>
        <x:v>5004600</x:v>
      </x:c>
      <x:c r="F3170" s="66" t="n">
        <x:f>IF(E3170=0,0,D3170/E3170*10000)</x:f>
        <x:v>0.003996323382488111</x:v>
      </x:c>
      <x:c r="G3170" s="67" t="n">
        <x:f>VLOOKUP(C3170,'Governorate Master'!$A$2:$Q$13,7,FALSE)</x:f>
        <x:v>660.3</x:v>
      </x:c>
      <x:c r="H3170" s="20" t="n">
        <x:f>VLOOKUP(C3170,'Governorate Master'!$A$2:$Q$13,6,FALSE)</x:f>
        <x:v>0.9721656076409703</x:v>
      </x:c>
      <x:c r="I3170" s="20" t="n">
        <x:f>VLOOKUP(C3170,'Governorate Master'!$A$2:$Q$13,15,FALSE)</x:f>
        <x:v>0.06367041198501873</x:v>
      </x:c>
      <x:c r="J3170" s="12" t="str">
        <x:v>Location model input - competition/saturation context</x:v>
      </x:c>
      <x:c r="K3170" s="12" t="str">
        <x:v>Business count is from 2018 while population/context indicators are newer; use as a historical proxy, not a current market count.</x:v>
      </x:c>
    </x:row>
    <x:row r="3171">
      <x:c r="A3171" s="12" t="str">
        <x:v>8541</x:v>
      </x:c>
      <x:c r="B3171" s="12" t="str">
        <x:v>Sports and recreation education</x:v>
      </x:c>
      <x:c r="C3171" s="12" t="str">
        <x:v>البلقاء</x:v>
      </x:c>
      <x:c r="D3171" s="14" t="n">
        <x:v>1</x:v>
      </x:c>
      <x:c r="E3171" s="14" t="n">
        <x:f>VLOOKUP(C3171,'Governorate Master'!$A$2:$Q$13,3,FALSE)</x:f>
        <x:v>614000</x:v>
      </x:c>
      <x:c r="F3171" s="66" t="n">
        <x:f>IF(E3171=0,0,D3171/E3171*10000)</x:f>
        <x:v>0.016286644951140065</x:v>
      </x:c>
      <x:c r="G3171" s="67" t="n">
        <x:f>VLOOKUP(C3171,'Governorate Master'!$A$2:$Q$13,7,FALSE)</x:f>
        <x:v>548</x:v>
      </x:c>
      <x:c r="H3171" s="20" t="n">
        <x:f>VLOOKUP(C3171,'Governorate Master'!$A$2:$Q$13,6,FALSE)</x:f>
        <x:v>0.8210097719869707</x:v>
      </x:c>
      <x:c r="I3171" s="20" t="n">
        <x:f>VLOOKUP(C3171,'Governorate Master'!$A$2:$Q$13,15,FALSE)</x:f>
        <x:v>0.10794044665012408</x:v>
      </x:c>
      <x:c r="J3171" s="12" t="str">
        <x:v>Location model input - competition/saturation context</x:v>
      </x:c>
      <x:c r="K3171" s="12" t="str">
        <x:v>Business count is from 2018 while population/context indicators are newer; use as a historical proxy, not a current market count.</x:v>
      </x:c>
    </x:row>
    <x:row r="3172">
      <x:c r="A3172" s="12" t="str">
        <x:v>8541</x:v>
      </x:c>
      <x:c r="B3172" s="12" t="str">
        <x:v>Sports and recreation education</x:v>
      </x:c>
      <x:c r="C3172" s="12" t="str">
        <x:v>الزرقاء</x:v>
      </x:c>
      <x:c r="D3172" s="14" t="n">
        <x:v>0</x:v>
      </x:c>
      <x:c r="E3172" s="14" t="n">
        <x:f>VLOOKUP(C3172,'Governorate Master'!$A$2:$Q$13,3,FALSE)</x:f>
        <x:v>1704500</x:v>
      </x:c>
      <x:c r="F3172" s="66" t="n">
        <x:f>IF(E3172=0,0,D3172/E3172*10000)</x:f>
        <x:v>0</x:v>
      </x:c>
      <x:c r="G3172" s="67" t="n">
        <x:f>VLOOKUP(C3172,'Governorate Master'!$A$2:$Q$13,7,FALSE)</x:f>
        <x:v>358</x:v>
      </x:c>
      <x:c r="H3172" s="20" t="n">
        <x:f>VLOOKUP(C3172,'Governorate Master'!$A$2:$Q$13,6,FALSE)</x:f>
        <x:v>0.9636256966852449</x:v>
      </x:c>
      <x:c r="I3172" s="20" t="n">
        <x:f>VLOOKUP(C3172,'Governorate Master'!$A$2:$Q$13,15,FALSE)</x:f>
        <x:v>-0.06808762581409118</x:v>
      </x:c>
      <x:c r="J3172" s="12" t="str">
        <x:v>Location model input - competition/saturation context</x:v>
      </x:c>
      <x:c r="K3172" s="12" t="str">
        <x:v>Business count is from 2018 while population/context indicators are newer; use as a historical proxy, not a current market count.</x:v>
      </x:c>
    </x:row>
    <x:row r="3173">
      <x:c r="A3173" s="12" t="str">
        <x:v>8541</x:v>
      </x:c>
      <x:c r="B3173" s="12" t="str">
        <x:v>Sports and recreation education</x:v>
      </x:c>
      <x:c r="C3173" s="12" t="str">
        <x:v>مادبا</x:v>
      </x:c>
      <x:c r="D3173" s="14" t="n">
        <x:v>0</x:v>
      </x:c>
      <x:c r="E3173" s="14" t="n">
        <x:f>VLOOKUP(C3173,'Governorate Master'!$A$2:$Q$13,3,FALSE)</x:f>
        <x:v>236200</x:v>
      </x:c>
      <x:c r="F3173" s="66" t="n">
        <x:f>IF(E3173=0,0,D3173/E3173*10000)</x:f>
        <x:v>0</x:v>
      </x:c>
      <x:c r="G3173" s="67" t="n">
        <x:f>VLOOKUP(C3173,'Governorate Master'!$A$2:$Q$13,7,FALSE)</x:f>
        <x:v>251.4</x:v>
      </x:c>
      <x:c r="H3173" s="20" t="n">
        <x:f>VLOOKUP(C3173,'Governorate Master'!$A$2:$Q$13,6,FALSE)</x:f>
        <x:v>0.7823878069432684</x:v>
      </x:c>
      <x:c r="I3173" s="20" t="n">
        <x:f>VLOOKUP(C3173,'Governorate Master'!$A$2:$Q$13,15,FALSE)</x:f>
        <x:v>-0.18823529411764706</x:v>
      </x:c>
      <x:c r="J3173" s="12" t="str">
        <x:v>Location model input - competition/saturation context</x:v>
      </x:c>
      <x:c r="K3173" s="12" t="str">
        <x:v>Business count is from 2018 while population/context indicators are newer; use as a historical proxy, not a current market count.</x:v>
      </x:c>
    </x:row>
    <x:row r="3174">
      <x:c r="A3174" s="12" t="str">
        <x:v>8541</x:v>
      </x:c>
      <x:c r="B3174" s="12" t="str">
        <x:v>Sports and recreation education</x:v>
      </x:c>
      <x:c r="C3174" s="12" t="str">
        <x:v>إربد</x:v>
      </x:c>
      <x:c r="D3174" s="14" t="n">
        <x:v>0</x:v>
      </x:c>
      <x:c r="E3174" s="14" t="n">
        <x:f>VLOOKUP(C3174,'Governorate Master'!$A$2:$Q$13,3,FALSE)</x:f>
        <x:v>2210500</x:v>
      </x:c>
      <x:c r="F3174" s="66" t="n">
        <x:f>IF(E3174=0,0,D3174/E3174*10000)</x:f>
        <x:v>0</x:v>
      </x:c>
      <x:c r="G3174" s="67" t="n">
        <x:f>VLOOKUP(C3174,'Governorate Master'!$A$2:$Q$13,7,FALSE)</x:f>
        <x:v>1406.4</x:v>
      </x:c>
      <x:c r="H3174" s="20" t="n">
        <x:f>VLOOKUP(C3174,'Governorate Master'!$A$2:$Q$13,6,FALSE)</x:f>
        <x:v>0.9235014702555983</x:v>
      </x:c>
      <x:c r="I3174" s="20" t="n">
        <x:f>VLOOKUP(C3174,'Governorate Master'!$A$2:$Q$13,15,FALSE)</x:f>
        <x:v>0.07086922474549726</x:v>
      </x:c>
      <x:c r="J3174" s="12" t="str">
        <x:v>Location model input - competition/saturation context</x:v>
      </x:c>
      <x:c r="K3174" s="12" t="str">
        <x:v>Business count is from 2018 while population/context indicators are newer; use as a historical proxy, not a current market count.</x:v>
      </x:c>
    </x:row>
    <x:row r="3175">
      <x:c r="A3175" s="12" t="str">
        <x:v>8541</x:v>
      </x:c>
      <x:c r="B3175" s="12" t="str">
        <x:v>Sports and recreation education</x:v>
      </x:c>
      <x:c r="C3175" s="12" t="str">
        <x:v>المفرق</x:v>
      </x:c>
      <x:c r="D3175" s="14" t="n">
        <x:v>0</x:v>
      </x:c>
      <x:c r="E3175" s="14" t="n">
        <x:f>VLOOKUP(C3175,'Governorate Master'!$A$2:$Q$13,3,FALSE)</x:f>
        <x:v>686800</x:v>
      </x:c>
      <x:c r="F3175" s="66" t="n">
        <x:f>IF(E3175=0,0,D3175/E3175*10000)</x:f>
        <x:v>0</x:v>
      </x:c>
      <x:c r="G3175" s="67" t="n">
        <x:f>VLOOKUP(C3175,'Governorate Master'!$A$2:$Q$13,7,FALSE)</x:f>
        <x:v>25.9</x:v>
      </x:c>
      <x:c r="H3175" s="20" t="n">
        <x:f>VLOOKUP(C3175,'Governorate Master'!$A$2:$Q$13,6,FALSE)</x:f>
        <x:v>0.6965637740244612</x:v>
      </x:c>
      <x:c r="I3175" s="20" t="n">
        <x:f>VLOOKUP(C3175,'Governorate Master'!$A$2:$Q$13,15,FALSE)</x:f>
        <x:v>-0.016638935108153077</x:v>
      </x:c>
      <x:c r="J3175" s="12" t="str">
        <x:v>Location model input - competition/saturation context</x:v>
      </x:c>
      <x:c r="K3175" s="12" t="str">
        <x:v>Business count is from 2018 while population/context indicators are newer; use as a historical proxy, not a current market count.</x:v>
      </x:c>
    </x:row>
    <x:row r="3176">
      <x:c r="A3176" s="12" t="str">
        <x:v>8541</x:v>
      </x:c>
      <x:c r="B3176" s="12" t="str">
        <x:v>Sports and recreation education</x:v>
      </x:c>
      <x:c r="C3176" s="12" t="str">
        <x:v>جرش</x:v>
      </x:c>
      <x:c r="D3176" s="14" t="n">
        <x:v>0</x:v>
      </x:c>
      <x:c r="E3176" s="14" t="n">
        <x:f>VLOOKUP(C3176,'Governorate Master'!$A$2:$Q$13,3,FALSE)</x:f>
        <x:v>296000</x:v>
      </x:c>
      <x:c r="F3176" s="66" t="n">
        <x:f>IF(E3176=0,0,D3176/E3176*10000)</x:f>
        <x:v>0</x:v>
      </x:c>
      <x:c r="G3176" s="67" t="n">
        <x:f>VLOOKUP(C3176,'Governorate Master'!$A$2:$Q$13,7,FALSE)</x:f>
        <x:v>722.3</x:v>
      </x:c>
      <x:c r="H3176" s="20" t="n">
        <x:f>VLOOKUP(C3176,'Governorate Master'!$A$2:$Q$13,6,FALSE)</x:f>
        <x:v>0.7695945945945946</x:v>
      </x:c>
      <x:c r="I3176" s="20" t="n">
        <x:f>VLOOKUP(C3176,'Governorate Master'!$A$2:$Q$13,15,FALSE)</x:f>
        <x:v>-0.06527415143603134</x:v>
      </x:c>
      <x:c r="J3176" s="12" t="str">
        <x:v>Location model input - competition/saturation context</x:v>
      </x:c>
      <x:c r="K3176" s="12" t="str">
        <x:v>Business count is from 2018 while population/context indicators are newer; use as a historical proxy, not a current market count.</x:v>
      </x:c>
    </x:row>
    <x:row r="3177">
      <x:c r="A3177" s="12" t="str">
        <x:v>8541</x:v>
      </x:c>
      <x:c r="B3177" s="12" t="str">
        <x:v>Sports and recreation education</x:v>
      </x:c>
      <x:c r="C3177" s="12" t="str">
        <x:v>عجلون</x:v>
      </x:c>
      <x:c r="D3177" s="14" t="n">
        <x:v>0</x:v>
      </x:c>
      <x:c r="E3177" s="14" t="n">
        <x:f>VLOOKUP(C3177,'Governorate Master'!$A$2:$Q$13,3,FALSE)</x:f>
        <x:v>219900</x:v>
      </x:c>
      <x:c r="F3177" s="66" t="n">
        <x:f>IF(E3177=0,0,D3177/E3177*10000)</x:f>
        <x:v>0</x:v>
      </x:c>
      <x:c r="G3177" s="67" t="n">
        <x:f>VLOOKUP(C3177,'Governorate Master'!$A$2:$Q$13,7,FALSE)</x:f>
        <x:v>524</x:v>
      </x:c>
      <x:c r="H3177" s="20" t="n">
        <x:f>VLOOKUP(C3177,'Governorate Master'!$A$2:$Q$13,6,FALSE)</x:f>
        <x:v>0.8390177353342428</x:v>
      </x:c>
      <x:c r="I3177" s="20" t="n">
        <x:f>VLOOKUP(C3177,'Governorate Master'!$A$2:$Q$13,15,FALSE)</x:f>
        <x:v>0.03614457831325301</x:v>
      </x:c>
      <x:c r="J3177" s="12" t="str">
        <x:v>Location model input - competition/saturation context</x:v>
      </x:c>
      <x:c r="K3177" s="12" t="str">
        <x:v>Business count is from 2018 while population/context indicators are newer; use as a historical proxy, not a current market count.</x:v>
      </x:c>
    </x:row>
    <x:row r="3178">
      <x:c r="A3178" s="12" t="str">
        <x:v>8541</x:v>
      </x:c>
      <x:c r="B3178" s="12" t="str">
        <x:v>Sports and recreation education</x:v>
      </x:c>
      <x:c r="C3178" s="12" t="str">
        <x:v>الكرك</x:v>
      </x:c>
      <x:c r="D3178" s="14" t="n">
        <x:v>0</x:v>
      </x:c>
      <x:c r="E3178" s="14" t="n">
        <x:f>VLOOKUP(C3178,'Governorate Master'!$A$2:$Q$13,3,FALSE)</x:f>
        <x:v>395400</x:v>
      </x:c>
      <x:c r="F3178" s="66" t="n">
        <x:f>IF(E3178=0,0,D3178/E3178*10000)</x:f>
        <x:v>0</x:v>
      </x:c>
      <x:c r="G3178" s="67" t="n">
        <x:f>VLOOKUP(C3178,'Governorate Master'!$A$2:$Q$13,7,FALSE)</x:f>
        <x:v>113.1</x:v>
      </x:c>
      <x:c r="H3178" s="20" t="n">
        <x:f>VLOOKUP(C3178,'Governorate Master'!$A$2:$Q$13,6,FALSE)</x:f>
        <x:v>0.5912999494183105</x:v>
      </x:c>
      <x:c r="I3178" s="20" t="n">
        <x:f>VLOOKUP(C3178,'Governorate Master'!$A$2:$Q$13,15,FALSE)</x:f>
        <x:v>0.08710801393728224</x:v>
      </x:c>
      <x:c r="J3178" s="12" t="str">
        <x:v>Location model input - competition/saturation context</x:v>
      </x:c>
      <x:c r="K3178" s="12" t="str">
        <x:v>Business count is from 2018 while population/context indicators are newer; use as a historical proxy, not a current market count.</x:v>
      </x:c>
    </x:row>
    <x:row r="3179">
      <x:c r="A3179" s="12" t="str">
        <x:v>8541</x:v>
      </x:c>
      <x:c r="B3179" s="12" t="str">
        <x:v>Sports and recreation education</x:v>
      </x:c>
      <x:c r="C3179" s="12" t="str">
        <x:v>الطفيلة</x:v>
      </x:c>
      <x:c r="D3179" s="14" t="n">
        <x:v>0</x:v>
      </x:c>
      <x:c r="E3179" s="14" t="n">
        <x:f>VLOOKUP(C3179,'Governorate Master'!$A$2:$Q$13,3,FALSE)</x:f>
        <x:v>120300</x:v>
      </x:c>
      <x:c r="F3179" s="66" t="n">
        <x:f>IF(E3179=0,0,D3179/E3179*10000)</x:f>
        <x:v>0</x:v>
      </x:c>
      <x:c r="G3179" s="67" t="n">
        <x:f>VLOOKUP(C3179,'Governorate Master'!$A$2:$Q$13,7,FALSE)</x:f>
        <x:v>54.4</x:v>
      </x:c>
      <x:c r="H3179" s="20" t="n">
        <x:f>VLOOKUP(C3179,'Governorate Master'!$A$2:$Q$13,6,FALSE)</x:f>
        <x:v>0.7797173732335827</x:v>
      </x:c>
      <x:c r="I3179" s="20" t="n">
        <x:f>VLOOKUP(C3179,'Governorate Master'!$A$2:$Q$13,15,FALSE)</x:f>
        <x:v>0.18452380952380953</x:v>
      </x:c>
      <x:c r="J3179" s="12" t="str">
        <x:v>Location model input - competition/saturation context</x:v>
      </x:c>
      <x:c r="K3179" s="12" t="str">
        <x:v>Business count is from 2018 while population/context indicators are newer; use as a historical proxy, not a current market count.</x:v>
      </x:c>
    </x:row>
    <x:row r="3180">
      <x:c r="A3180" s="12" t="str">
        <x:v>8541</x:v>
      </x:c>
      <x:c r="B3180" s="12" t="str">
        <x:v>Sports and recreation education</x:v>
      </x:c>
      <x:c r="C3180" s="12" t="str">
        <x:v>معان</x:v>
      </x:c>
      <x:c r="D3180" s="14" t="n">
        <x:v>0</x:v>
      </x:c>
      <x:c r="E3180" s="14" t="n">
        <x:f>VLOOKUP(C3180,'Governorate Master'!$A$2:$Q$13,3,FALSE)</x:f>
        <x:v>197900</x:v>
      </x:c>
      <x:c r="F3180" s="66" t="n">
        <x:f>IF(E3180=0,0,D3180/E3180*10000)</x:f>
        <x:v>0</x:v>
      </x:c>
      <x:c r="G3180" s="67" t="n">
        <x:f>VLOOKUP(C3180,'Governorate Master'!$A$2:$Q$13,7,FALSE)</x:f>
        <x:v>6</x:v>
      </x:c>
      <x:c r="H3180" s="20" t="n">
        <x:f>VLOOKUP(C3180,'Governorate Master'!$A$2:$Q$13,6,FALSE)</x:f>
        <x:v>0.5406771096513391</x:v>
      </x:c>
      <x:c r="I3180" s="20" t="n">
        <x:f>VLOOKUP(C3180,'Governorate Master'!$A$2:$Q$13,15,FALSE)</x:f>
        <x:v>0.026845637583892617</x:v>
      </x:c>
      <x:c r="J3180" s="12" t="str">
        <x:v>Location model input - competition/saturation context</x:v>
      </x:c>
      <x:c r="K3180" s="12" t="str">
        <x:v>Business count is from 2018 while population/context indicators are newer; use as a historical proxy, not a current market count.</x:v>
      </x:c>
    </x:row>
    <x:row r="3181">
      <x:c r="A3181" s="12" t="str">
        <x:v>8541</x:v>
      </x:c>
      <x:c r="B3181" s="12" t="str">
        <x:v>Sports and recreation education</x:v>
      </x:c>
      <x:c r="C3181" s="12" t="str">
        <x:v>العقبة</x:v>
      </x:c>
      <x:c r="D3181" s="14" t="n">
        <x:v>0</x:v>
      </x:c>
      <x:c r="E3181" s="14" t="n">
        <x:f>VLOOKUP(C3181,'Governorate Master'!$A$2:$Q$13,3,FALSE)</x:f>
        <x:v>250900</x:v>
      </x:c>
      <x:c r="F3181" s="66" t="n">
        <x:f>IF(E3181=0,0,D3181/E3181*10000)</x:f>
        <x:v>0</x:v>
      </x:c>
      <x:c r="G3181" s="67" t="n">
        <x:f>VLOOKUP(C3181,'Governorate Master'!$A$2:$Q$13,7,FALSE)</x:f>
        <x:v>36.3</x:v>
      </x:c>
      <x:c r="H3181" s="20" t="n">
        <x:f>VLOOKUP(C3181,'Governorate Master'!$A$2:$Q$13,6,FALSE)</x:f>
        <x:v>0.882024711040255</x:v>
      </x:c>
      <x:c r="I3181" s="20" t="n">
        <x:f>VLOOKUP(C3181,'Governorate Master'!$A$2:$Q$13,15,FALSE)</x:f>
        <x:v>-0.09</x:v>
      </x:c>
      <x:c r="J3181" s="12" t="str">
        <x:v>Location model input - competition/saturation context</x:v>
      </x:c>
      <x:c r="K3181" s="12" t="str">
        <x:v>Business count is from 2018 while population/context indicators are newer; use as a historical proxy, not a current market count.</x:v>
      </x:c>
    </x:row>
    <x:row r="3182">
      <x:c r="A3182" s="12" t="str">
        <x:v>8542</x:v>
      </x:c>
      <x:c r="B3182" s="12" t="str">
        <x:v>Cultural education</x:v>
      </x:c>
      <x:c r="C3182" s="12" t="str">
        <x:v>عمان</x:v>
      </x:c>
      <x:c r="D3182" s="14" t="n">
        <x:v>572</x:v>
      </x:c>
      <x:c r="E3182" s="14" t="n">
        <x:f>VLOOKUP(C3182,'Governorate Master'!$A$2:$Q$13,3,FALSE)</x:f>
        <x:v>5004600</x:v>
      </x:c>
      <x:c r="F3182" s="66" t="n">
        <x:f>IF(E3182=0,0,D3182/E3182*10000)</x:f>
        <x:v>1.1429484873915996</x:v>
      </x:c>
      <x:c r="G3182" s="67" t="n">
        <x:f>VLOOKUP(C3182,'Governorate Master'!$A$2:$Q$13,7,FALSE)</x:f>
        <x:v>660.3</x:v>
      </x:c>
      <x:c r="H3182" s="20" t="n">
        <x:f>VLOOKUP(C3182,'Governorate Master'!$A$2:$Q$13,6,FALSE)</x:f>
        <x:v>0.9721656076409703</x:v>
      </x:c>
      <x:c r="I3182" s="20" t="n">
        <x:f>VLOOKUP(C3182,'Governorate Master'!$A$2:$Q$13,15,FALSE)</x:f>
        <x:v>0.06367041198501873</x:v>
      </x:c>
      <x:c r="J3182" s="12" t="str">
        <x:v>Location model input - competition/saturation context</x:v>
      </x:c>
      <x:c r="K3182" s="12" t="str">
        <x:v>Business count is from 2018 while population/context indicators are newer; use as a historical proxy, not a current market count.</x:v>
      </x:c>
    </x:row>
    <x:row r="3183">
      <x:c r="A3183" s="12" t="str">
        <x:v>8542</x:v>
      </x:c>
      <x:c r="B3183" s="12" t="str">
        <x:v>Cultural education</x:v>
      </x:c>
      <x:c r="C3183" s="12" t="str">
        <x:v>البلقاء</x:v>
      </x:c>
      <x:c r="D3183" s="14" t="n">
        <x:v>46</x:v>
      </x:c>
      <x:c r="E3183" s="14" t="n">
        <x:f>VLOOKUP(C3183,'Governorate Master'!$A$2:$Q$13,3,FALSE)</x:f>
        <x:v>614000</x:v>
      </x:c>
      <x:c r="F3183" s="66" t="n">
        <x:f>IF(E3183=0,0,D3183/E3183*10000)</x:f>
        <x:v>0.749185667752443</x:v>
      </x:c>
      <x:c r="G3183" s="67" t="n">
        <x:f>VLOOKUP(C3183,'Governorate Master'!$A$2:$Q$13,7,FALSE)</x:f>
        <x:v>548</x:v>
      </x:c>
      <x:c r="H3183" s="20" t="n">
        <x:f>VLOOKUP(C3183,'Governorate Master'!$A$2:$Q$13,6,FALSE)</x:f>
        <x:v>0.8210097719869707</x:v>
      </x:c>
      <x:c r="I3183" s="20" t="n">
        <x:f>VLOOKUP(C3183,'Governorate Master'!$A$2:$Q$13,15,FALSE)</x:f>
        <x:v>0.10794044665012408</x:v>
      </x:c>
      <x:c r="J3183" s="12" t="str">
        <x:v>Location model input - competition/saturation context</x:v>
      </x:c>
      <x:c r="K3183" s="12" t="str">
        <x:v>Business count is from 2018 while population/context indicators are newer; use as a historical proxy, not a current market count.</x:v>
      </x:c>
    </x:row>
    <x:row r="3184">
      <x:c r="A3184" s="12" t="str">
        <x:v>8542</x:v>
      </x:c>
      <x:c r="B3184" s="12" t="str">
        <x:v>Cultural education</x:v>
      </x:c>
      <x:c r="C3184" s="12" t="str">
        <x:v>الزرقاء</x:v>
      </x:c>
      <x:c r="D3184" s="14" t="n">
        <x:v>106</x:v>
      </x:c>
      <x:c r="E3184" s="14" t="n">
        <x:f>VLOOKUP(C3184,'Governorate Master'!$A$2:$Q$13,3,FALSE)</x:f>
        <x:v>1704500</x:v>
      </x:c>
      <x:c r="F3184" s="66" t="n">
        <x:f>IF(E3184=0,0,D3184/E3184*10000)</x:f>
        <x:v>0.6218832502200059</x:v>
      </x:c>
      <x:c r="G3184" s="67" t="n">
        <x:f>VLOOKUP(C3184,'Governorate Master'!$A$2:$Q$13,7,FALSE)</x:f>
        <x:v>358</x:v>
      </x:c>
      <x:c r="H3184" s="20" t="n">
        <x:f>VLOOKUP(C3184,'Governorate Master'!$A$2:$Q$13,6,FALSE)</x:f>
        <x:v>0.9636256966852449</x:v>
      </x:c>
      <x:c r="I3184" s="20" t="n">
        <x:f>VLOOKUP(C3184,'Governorate Master'!$A$2:$Q$13,15,FALSE)</x:f>
        <x:v>-0.06808762581409118</x:v>
      </x:c>
      <x:c r="J3184" s="12" t="str">
        <x:v>Location model input - competition/saturation context</x:v>
      </x:c>
      <x:c r="K3184" s="12" t="str">
        <x:v>Business count is from 2018 while population/context indicators are newer; use as a historical proxy, not a current market count.</x:v>
      </x:c>
    </x:row>
    <x:row r="3185">
      <x:c r="A3185" s="12" t="str">
        <x:v>8542</x:v>
      </x:c>
      <x:c r="B3185" s="12" t="str">
        <x:v>Cultural education</x:v>
      </x:c>
      <x:c r="C3185" s="12" t="str">
        <x:v>مادبا</x:v>
      </x:c>
      <x:c r="D3185" s="14" t="n">
        <x:v>26</x:v>
      </x:c>
      <x:c r="E3185" s="14" t="n">
        <x:f>VLOOKUP(C3185,'Governorate Master'!$A$2:$Q$13,3,FALSE)</x:f>
        <x:v>236200</x:v>
      </x:c>
      <x:c r="F3185" s="66" t="n">
        <x:f>IF(E3185=0,0,D3185/E3185*10000)</x:f>
        <x:v>1.100762066045724</x:v>
      </x:c>
      <x:c r="G3185" s="67" t="n">
        <x:f>VLOOKUP(C3185,'Governorate Master'!$A$2:$Q$13,7,FALSE)</x:f>
        <x:v>251.4</x:v>
      </x:c>
      <x:c r="H3185" s="20" t="n">
        <x:f>VLOOKUP(C3185,'Governorate Master'!$A$2:$Q$13,6,FALSE)</x:f>
        <x:v>0.7823878069432684</x:v>
      </x:c>
      <x:c r="I3185" s="20" t="n">
        <x:f>VLOOKUP(C3185,'Governorate Master'!$A$2:$Q$13,15,FALSE)</x:f>
        <x:v>-0.18823529411764706</x:v>
      </x:c>
      <x:c r="J3185" s="12" t="str">
        <x:v>Location model input - competition/saturation context</x:v>
      </x:c>
      <x:c r="K3185" s="12" t="str">
        <x:v>Business count is from 2018 while population/context indicators are newer; use as a historical proxy, not a current market count.</x:v>
      </x:c>
    </x:row>
    <x:row r="3186">
      <x:c r="A3186" s="12" t="str">
        <x:v>8542</x:v>
      </x:c>
      <x:c r="B3186" s="12" t="str">
        <x:v>Cultural education</x:v>
      </x:c>
      <x:c r="C3186" s="12" t="str">
        <x:v>إربد</x:v>
      </x:c>
      <x:c r="D3186" s="14" t="n">
        <x:v>162</x:v>
      </x:c>
      <x:c r="E3186" s="14" t="n">
        <x:f>VLOOKUP(C3186,'Governorate Master'!$A$2:$Q$13,3,FALSE)</x:f>
        <x:v>2210500</x:v>
      </x:c>
      <x:c r="F3186" s="66" t="n">
        <x:f>IF(E3186=0,0,D3186/E3186*10000)</x:f>
        <x:v>0.732865867450803</x:v>
      </x:c>
      <x:c r="G3186" s="67" t="n">
        <x:f>VLOOKUP(C3186,'Governorate Master'!$A$2:$Q$13,7,FALSE)</x:f>
        <x:v>1406.4</x:v>
      </x:c>
      <x:c r="H3186" s="20" t="n">
        <x:f>VLOOKUP(C3186,'Governorate Master'!$A$2:$Q$13,6,FALSE)</x:f>
        <x:v>0.9235014702555983</x:v>
      </x:c>
      <x:c r="I3186" s="20" t="n">
        <x:f>VLOOKUP(C3186,'Governorate Master'!$A$2:$Q$13,15,FALSE)</x:f>
        <x:v>0.07086922474549726</x:v>
      </x:c>
      <x:c r="J3186" s="12" t="str">
        <x:v>Location model input - competition/saturation context</x:v>
      </x:c>
      <x:c r="K3186" s="12" t="str">
        <x:v>Business count is from 2018 while population/context indicators are newer; use as a historical proxy, not a current market count.</x:v>
      </x:c>
    </x:row>
    <x:row r="3187">
      <x:c r="A3187" s="12" t="str">
        <x:v>8542</x:v>
      </x:c>
      <x:c r="B3187" s="12" t="str">
        <x:v>Cultural education</x:v>
      </x:c>
      <x:c r="C3187" s="12" t="str">
        <x:v>المفرق</x:v>
      </x:c>
      <x:c r="D3187" s="14" t="n">
        <x:v>18</x:v>
      </x:c>
      <x:c r="E3187" s="14" t="n">
        <x:f>VLOOKUP(C3187,'Governorate Master'!$A$2:$Q$13,3,FALSE)</x:f>
        <x:v>686800</x:v>
      </x:c>
      <x:c r="F3187" s="66" t="n">
        <x:f>IF(E3187=0,0,D3187/E3187*10000)</x:f>
        <x:v>0.262085032032615</x:v>
      </x:c>
      <x:c r="G3187" s="67" t="n">
        <x:f>VLOOKUP(C3187,'Governorate Master'!$A$2:$Q$13,7,FALSE)</x:f>
        <x:v>25.9</x:v>
      </x:c>
      <x:c r="H3187" s="20" t="n">
        <x:f>VLOOKUP(C3187,'Governorate Master'!$A$2:$Q$13,6,FALSE)</x:f>
        <x:v>0.6965637740244612</x:v>
      </x:c>
      <x:c r="I3187" s="20" t="n">
        <x:f>VLOOKUP(C3187,'Governorate Master'!$A$2:$Q$13,15,FALSE)</x:f>
        <x:v>-0.016638935108153077</x:v>
      </x:c>
      <x:c r="J3187" s="12" t="str">
        <x:v>Location model input - competition/saturation context</x:v>
      </x:c>
      <x:c r="K3187" s="12" t="str">
        <x:v>Business count is from 2018 while population/context indicators are newer; use as a historical proxy, not a current market count.</x:v>
      </x:c>
    </x:row>
    <x:row r="3188">
      <x:c r="A3188" s="12" t="str">
        <x:v>8542</x:v>
      </x:c>
      <x:c r="B3188" s="12" t="str">
        <x:v>Cultural education</x:v>
      </x:c>
      <x:c r="C3188" s="12" t="str">
        <x:v>جرش</x:v>
      </x:c>
      <x:c r="D3188" s="14" t="n">
        <x:v>8</x:v>
      </x:c>
      <x:c r="E3188" s="14" t="n">
        <x:f>VLOOKUP(C3188,'Governorate Master'!$A$2:$Q$13,3,FALSE)</x:f>
        <x:v>296000</x:v>
      </x:c>
      <x:c r="F3188" s="66" t="n">
        <x:f>IF(E3188=0,0,D3188/E3188*10000)</x:f>
        <x:v>0.2702702702702703</x:v>
      </x:c>
      <x:c r="G3188" s="67" t="n">
        <x:f>VLOOKUP(C3188,'Governorate Master'!$A$2:$Q$13,7,FALSE)</x:f>
        <x:v>722.3</x:v>
      </x:c>
      <x:c r="H3188" s="20" t="n">
        <x:f>VLOOKUP(C3188,'Governorate Master'!$A$2:$Q$13,6,FALSE)</x:f>
        <x:v>0.7695945945945946</x:v>
      </x:c>
      <x:c r="I3188" s="20" t="n">
        <x:f>VLOOKUP(C3188,'Governorate Master'!$A$2:$Q$13,15,FALSE)</x:f>
        <x:v>-0.06527415143603134</x:v>
      </x:c>
      <x:c r="J3188" s="12" t="str">
        <x:v>Location model input - competition/saturation context</x:v>
      </x:c>
      <x:c r="K3188" s="12" t="str">
        <x:v>Business count is from 2018 while population/context indicators are newer; use as a historical proxy, not a current market count.</x:v>
      </x:c>
    </x:row>
    <x:row r="3189">
      <x:c r="A3189" s="12" t="str">
        <x:v>8542</x:v>
      </x:c>
      <x:c r="B3189" s="12" t="str">
        <x:v>Cultural education</x:v>
      </x:c>
      <x:c r="C3189" s="12" t="str">
        <x:v>عجلون</x:v>
      </x:c>
      <x:c r="D3189" s="14" t="n">
        <x:v>17</x:v>
      </x:c>
      <x:c r="E3189" s="14" t="n">
        <x:f>VLOOKUP(C3189,'Governorate Master'!$A$2:$Q$13,3,FALSE)</x:f>
        <x:v>219900</x:v>
      </x:c>
      <x:c r="F3189" s="66" t="n">
        <x:f>IF(E3189=0,0,D3189/E3189*10000)</x:f>
        <x:v>0.7730786721236925</x:v>
      </x:c>
      <x:c r="G3189" s="67" t="n">
        <x:f>VLOOKUP(C3189,'Governorate Master'!$A$2:$Q$13,7,FALSE)</x:f>
        <x:v>524</x:v>
      </x:c>
      <x:c r="H3189" s="20" t="n">
        <x:f>VLOOKUP(C3189,'Governorate Master'!$A$2:$Q$13,6,FALSE)</x:f>
        <x:v>0.8390177353342428</x:v>
      </x:c>
      <x:c r="I3189" s="20" t="n">
        <x:f>VLOOKUP(C3189,'Governorate Master'!$A$2:$Q$13,15,FALSE)</x:f>
        <x:v>0.03614457831325301</x:v>
      </x:c>
      <x:c r="J3189" s="12" t="str">
        <x:v>Location model input - competition/saturation context</x:v>
      </x:c>
      <x:c r="K3189" s="12" t="str">
        <x:v>Business count is from 2018 while population/context indicators are newer; use as a historical proxy, not a current market count.</x:v>
      </x:c>
    </x:row>
    <x:row r="3190">
      <x:c r="A3190" s="12" t="str">
        <x:v>8542</x:v>
      </x:c>
      <x:c r="B3190" s="12" t="str">
        <x:v>Cultural education</x:v>
      </x:c>
      <x:c r="C3190" s="12" t="str">
        <x:v>الكرك</x:v>
      </x:c>
      <x:c r="D3190" s="14" t="n">
        <x:v>35</x:v>
      </x:c>
      <x:c r="E3190" s="14" t="n">
        <x:f>VLOOKUP(C3190,'Governorate Master'!$A$2:$Q$13,3,FALSE)</x:f>
        <x:v>395400</x:v>
      </x:c>
      <x:c r="F3190" s="66" t="n">
        <x:f>IF(E3190=0,0,D3190/E3190*10000)</x:f>
        <x:v>0.8851795649974709</x:v>
      </x:c>
      <x:c r="G3190" s="67" t="n">
        <x:f>VLOOKUP(C3190,'Governorate Master'!$A$2:$Q$13,7,FALSE)</x:f>
        <x:v>113.1</x:v>
      </x:c>
      <x:c r="H3190" s="20" t="n">
        <x:f>VLOOKUP(C3190,'Governorate Master'!$A$2:$Q$13,6,FALSE)</x:f>
        <x:v>0.5912999494183105</x:v>
      </x:c>
      <x:c r="I3190" s="20" t="n">
        <x:f>VLOOKUP(C3190,'Governorate Master'!$A$2:$Q$13,15,FALSE)</x:f>
        <x:v>0.08710801393728224</x:v>
      </x:c>
      <x:c r="J3190" s="12" t="str">
        <x:v>Location model input - competition/saturation context</x:v>
      </x:c>
      <x:c r="K3190" s="12" t="str">
        <x:v>Business count is from 2018 while population/context indicators are newer; use as a historical proxy, not a current market count.</x:v>
      </x:c>
    </x:row>
    <x:row r="3191">
      <x:c r="A3191" s="12" t="str">
        <x:v>8542</x:v>
      </x:c>
      <x:c r="B3191" s="12" t="str">
        <x:v>Cultural education</x:v>
      </x:c>
      <x:c r="C3191" s="12" t="str">
        <x:v>الطفيلة</x:v>
      </x:c>
      <x:c r="D3191" s="14" t="n">
        <x:v>7</x:v>
      </x:c>
      <x:c r="E3191" s="14" t="n">
        <x:f>VLOOKUP(C3191,'Governorate Master'!$A$2:$Q$13,3,FALSE)</x:f>
        <x:v>120300</x:v>
      </x:c>
      <x:c r="F3191" s="66" t="n">
        <x:f>IF(E3191=0,0,D3191/E3191*10000)</x:f>
        <x:v>0.5818786367414797</x:v>
      </x:c>
      <x:c r="G3191" s="67" t="n">
        <x:f>VLOOKUP(C3191,'Governorate Master'!$A$2:$Q$13,7,FALSE)</x:f>
        <x:v>54.4</x:v>
      </x:c>
      <x:c r="H3191" s="20" t="n">
        <x:f>VLOOKUP(C3191,'Governorate Master'!$A$2:$Q$13,6,FALSE)</x:f>
        <x:v>0.7797173732335827</x:v>
      </x:c>
      <x:c r="I3191" s="20" t="n">
        <x:f>VLOOKUP(C3191,'Governorate Master'!$A$2:$Q$13,15,FALSE)</x:f>
        <x:v>0.18452380952380953</x:v>
      </x:c>
      <x:c r="J3191" s="12" t="str">
        <x:v>Location model input - competition/saturation context</x:v>
      </x:c>
      <x:c r="K3191" s="12" t="str">
        <x:v>Business count is from 2018 while population/context indicators are newer; use as a historical proxy, not a current market count.</x:v>
      </x:c>
    </x:row>
    <x:row r="3192">
      <x:c r="A3192" s="12" t="str">
        <x:v>8542</x:v>
      </x:c>
      <x:c r="B3192" s="12" t="str">
        <x:v>Cultural education</x:v>
      </x:c>
      <x:c r="C3192" s="12" t="str">
        <x:v>معان</x:v>
      </x:c>
      <x:c r="D3192" s="14" t="n">
        <x:v>12</x:v>
      </x:c>
      <x:c r="E3192" s="14" t="n">
        <x:f>VLOOKUP(C3192,'Governorate Master'!$A$2:$Q$13,3,FALSE)</x:f>
        <x:v>197900</x:v>
      </x:c>
      <x:c r="F3192" s="66" t="n">
        <x:f>IF(E3192=0,0,D3192/E3192*10000)</x:f>
        <x:v>0.6063668519454269</x:v>
      </x:c>
      <x:c r="G3192" s="67" t="n">
        <x:f>VLOOKUP(C3192,'Governorate Master'!$A$2:$Q$13,7,FALSE)</x:f>
        <x:v>6</x:v>
      </x:c>
      <x:c r="H3192" s="20" t="n">
        <x:f>VLOOKUP(C3192,'Governorate Master'!$A$2:$Q$13,6,FALSE)</x:f>
        <x:v>0.5406771096513391</x:v>
      </x:c>
      <x:c r="I3192" s="20" t="n">
        <x:f>VLOOKUP(C3192,'Governorate Master'!$A$2:$Q$13,15,FALSE)</x:f>
        <x:v>0.026845637583892617</x:v>
      </x:c>
      <x:c r="J3192" s="12" t="str">
        <x:v>Location model input - competition/saturation context</x:v>
      </x:c>
      <x:c r="K3192" s="12" t="str">
        <x:v>Business count is from 2018 while population/context indicators are newer; use as a historical proxy, not a current market count.</x:v>
      </x:c>
    </x:row>
    <x:row r="3193">
      <x:c r="A3193" s="12" t="str">
        <x:v>8542</x:v>
      </x:c>
      <x:c r="B3193" s="12" t="str">
        <x:v>Cultural education</x:v>
      </x:c>
      <x:c r="C3193" s="12" t="str">
        <x:v>العقبة</x:v>
      </x:c>
      <x:c r="D3193" s="14" t="n">
        <x:v>21</x:v>
      </x:c>
      <x:c r="E3193" s="14" t="n">
        <x:f>VLOOKUP(C3193,'Governorate Master'!$A$2:$Q$13,3,FALSE)</x:f>
        <x:v>250900</x:v>
      </x:c>
      <x:c r="F3193" s="66" t="n">
        <x:f>IF(E3193=0,0,D3193/E3193*10000)</x:f>
        <x:v>0.8369868473495415</x:v>
      </x:c>
      <x:c r="G3193" s="67" t="n">
        <x:f>VLOOKUP(C3193,'Governorate Master'!$A$2:$Q$13,7,FALSE)</x:f>
        <x:v>36.3</x:v>
      </x:c>
      <x:c r="H3193" s="20" t="n">
        <x:f>VLOOKUP(C3193,'Governorate Master'!$A$2:$Q$13,6,FALSE)</x:f>
        <x:v>0.882024711040255</x:v>
      </x:c>
      <x:c r="I3193" s="20" t="n">
        <x:f>VLOOKUP(C3193,'Governorate Master'!$A$2:$Q$13,15,FALSE)</x:f>
        <x:v>-0.09</x:v>
      </x:c>
      <x:c r="J3193" s="12" t="str">
        <x:v>Location model input - competition/saturation context</x:v>
      </x:c>
      <x:c r="K3193" s="12" t="str">
        <x:v>Business count is from 2018 while population/context indicators are newer; use as a historical proxy, not a current market count.</x:v>
      </x:c>
    </x:row>
    <x:row r="3194">
      <x:c r="A3194" s="12" t="str">
        <x:v>8549</x:v>
      </x:c>
      <x:c r="B3194" s="12" t="str">
        <x:v>Other education n.e.c.</x:v>
      </x:c>
      <x:c r="C3194" s="12" t="str">
        <x:v>عمان</x:v>
      </x:c>
      <x:c r="D3194" s="14" t="n">
        <x:v>2</x:v>
      </x:c>
      <x:c r="E3194" s="14" t="n">
        <x:f>VLOOKUP(C3194,'Governorate Master'!$A$2:$Q$13,3,FALSE)</x:f>
        <x:v>5004600</x:v>
      </x:c>
      <x:c r="F3194" s="66" t="n">
        <x:f>IF(E3194=0,0,D3194/E3194*10000)</x:f>
        <x:v>0.003996323382488111</x:v>
      </x:c>
      <x:c r="G3194" s="67" t="n">
        <x:f>VLOOKUP(C3194,'Governorate Master'!$A$2:$Q$13,7,FALSE)</x:f>
        <x:v>660.3</x:v>
      </x:c>
      <x:c r="H3194" s="20" t="n">
        <x:f>VLOOKUP(C3194,'Governorate Master'!$A$2:$Q$13,6,FALSE)</x:f>
        <x:v>0.9721656076409703</x:v>
      </x:c>
      <x:c r="I3194" s="20" t="n">
        <x:f>VLOOKUP(C3194,'Governorate Master'!$A$2:$Q$13,15,FALSE)</x:f>
        <x:v>0.06367041198501873</x:v>
      </x:c>
      <x:c r="J3194" s="12" t="str">
        <x:v>Location model input - competition/saturation context</x:v>
      </x:c>
      <x:c r="K3194" s="12" t="str">
        <x:v>Business count is from 2018 while population/context indicators are newer; use as a historical proxy, not a current market count.</x:v>
      </x:c>
    </x:row>
    <x:row r="3195">
      <x:c r="A3195" s="12" t="str">
        <x:v>8549</x:v>
      </x:c>
      <x:c r="B3195" s="12" t="str">
        <x:v>Other education n.e.c.</x:v>
      </x:c>
      <x:c r="C3195" s="12" t="str">
        <x:v>البلقاء</x:v>
      </x:c>
      <x:c r="D3195" s="14" t="n">
        <x:v>2</x:v>
      </x:c>
      <x:c r="E3195" s="14" t="n">
        <x:f>VLOOKUP(C3195,'Governorate Master'!$A$2:$Q$13,3,FALSE)</x:f>
        <x:v>614000</x:v>
      </x:c>
      <x:c r="F3195" s="66" t="n">
        <x:f>IF(E3195=0,0,D3195/E3195*10000)</x:f>
        <x:v>0.03257328990228013</x:v>
      </x:c>
      <x:c r="G3195" s="67" t="n">
        <x:f>VLOOKUP(C3195,'Governorate Master'!$A$2:$Q$13,7,FALSE)</x:f>
        <x:v>548</x:v>
      </x:c>
      <x:c r="H3195" s="20" t="n">
        <x:f>VLOOKUP(C3195,'Governorate Master'!$A$2:$Q$13,6,FALSE)</x:f>
        <x:v>0.8210097719869707</x:v>
      </x:c>
      <x:c r="I3195" s="20" t="n">
        <x:f>VLOOKUP(C3195,'Governorate Master'!$A$2:$Q$13,15,FALSE)</x:f>
        <x:v>0.10794044665012408</x:v>
      </x:c>
      <x:c r="J3195" s="12" t="str">
        <x:v>Location model input - competition/saturation context</x:v>
      </x:c>
      <x:c r="K3195" s="12" t="str">
        <x:v>Business count is from 2018 while population/context indicators are newer; use as a historical proxy, not a current market count.</x:v>
      </x:c>
    </x:row>
    <x:row r="3196">
      <x:c r="A3196" s="12" t="str">
        <x:v>8549</x:v>
      </x:c>
      <x:c r="B3196" s="12" t="str">
        <x:v>Other education n.e.c.</x:v>
      </x:c>
      <x:c r="C3196" s="12" t="str">
        <x:v>الزرقاء</x:v>
      </x:c>
      <x:c r="D3196" s="14" t="n">
        <x:v>1</x:v>
      </x:c>
      <x:c r="E3196" s="14" t="n">
        <x:f>VLOOKUP(C3196,'Governorate Master'!$A$2:$Q$13,3,FALSE)</x:f>
        <x:v>1704500</x:v>
      </x:c>
      <x:c r="F3196" s="66" t="n">
        <x:f>IF(E3196=0,0,D3196/E3196*10000)</x:f>
        <x:v>0.005866823115283074</x:v>
      </x:c>
      <x:c r="G3196" s="67" t="n">
        <x:f>VLOOKUP(C3196,'Governorate Master'!$A$2:$Q$13,7,FALSE)</x:f>
        <x:v>358</x:v>
      </x:c>
      <x:c r="H3196" s="20" t="n">
        <x:f>VLOOKUP(C3196,'Governorate Master'!$A$2:$Q$13,6,FALSE)</x:f>
        <x:v>0.9636256966852449</x:v>
      </x:c>
      <x:c r="I3196" s="20" t="n">
        <x:f>VLOOKUP(C3196,'Governorate Master'!$A$2:$Q$13,15,FALSE)</x:f>
        <x:v>-0.06808762581409118</x:v>
      </x:c>
      <x:c r="J3196" s="12" t="str">
        <x:v>Location model input - competition/saturation context</x:v>
      </x:c>
      <x:c r="K3196" s="12" t="str">
        <x:v>Business count is from 2018 while population/context indicators are newer; use as a historical proxy, not a current market count.</x:v>
      </x:c>
    </x:row>
    <x:row r="3197">
      <x:c r="A3197" s="12" t="str">
        <x:v>8549</x:v>
      </x:c>
      <x:c r="B3197" s="12" t="str">
        <x:v>Other education n.e.c.</x:v>
      </x:c>
      <x:c r="C3197" s="12" t="str">
        <x:v>مادبا</x:v>
      </x:c>
      <x:c r="D3197" s="14" t="n">
        <x:v>0</x:v>
      </x:c>
      <x:c r="E3197" s="14" t="n">
        <x:f>VLOOKUP(C3197,'Governorate Master'!$A$2:$Q$13,3,FALSE)</x:f>
        <x:v>236200</x:v>
      </x:c>
      <x:c r="F3197" s="66" t="n">
        <x:f>IF(E3197=0,0,D3197/E3197*10000)</x:f>
        <x:v>0</x:v>
      </x:c>
      <x:c r="G3197" s="67" t="n">
        <x:f>VLOOKUP(C3197,'Governorate Master'!$A$2:$Q$13,7,FALSE)</x:f>
        <x:v>251.4</x:v>
      </x:c>
      <x:c r="H3197" s="20" t="n">
        <x:f>VLOOKUP(C3197,'Governorate Master'!$A$2:$Q$13,6,FALSE)</x:f>
        <x:v>0.7823878069432684</x:v>
      </x:c>
      <x:c r="I3197" s="20" t="n">
        <x:f>VLOOKUP(C3197,'Governorate Master'!$A$2:$Q$13,15,FALSE)</x:f>
        <x:v>-0.18823529411764706</x:v>
      </x:c>
      <x:c r="J3197" s="12" t="str">
        <x:v>Location model input - competition/saturation context</x:v>
      </x:c>
      <x:c r="K3197" s="12" t="str">
        <x:v>Business count is from 2018 while population/context indicators are newer; use as a historical proxy, not a current market count.</x:v>
      </x:c>
    </x:row>
    <x:row r="3198">
      <x:c r="A3198" s="12" t="str">
        <x:v>8549</x:v>
      </x:c>
      <x:c r="B3198" s="12" t="str">
        <x:v>Other education n.e.c.</x:v>
      </x:c>
      <x:c r="C3198" s="12" t="str">
        <x:v>إربد</x:v>
      </x:c>
      <x:c r="D3198" s="14" t="n">
        <x:v>0</x:v>
      </x:c>
      <x:c r="E3198" s="14" t="n">
        <x:f>VLOOKUP(C3198,'Governorate Master'!$A$2:$Q$13,3,FALSE)</x:f>
        <x:v>2210500</x:v>
      </x:c>
      <x:c r="F3198" s="66" t="n">
        <x:f>IF(E3198=0,0,D3198/E3198*10000)</x:f>
        <x:v>0</x:v>
      </x:c>
      <x:c r="G3198" s="67" t="n">
        <x:f>VLOOKUP(C3198,'Governorate Master'!$A$2:$Q$13,7,FALSE)</x:f>
        <x:v>1406.4</x:v>
      </x:c>
      <x:c r="H3198" s="20" t="n">
        <x:f>VLOOKUP(C3198,'Governorate Master'!$A$2:$Q$13,6,FALSE)</x:f>
        <x:v>0.9235014702555983</x:v>
      </x:c>
      <x:c r="I3198" s="20" t="n">
        <x:f>VLOOKUP(C3198,'Governorate Master'!$A$2:$Q$13,15,FALSE)</x:f>
        <x:v>0.07086922474549726</x:v>
      </x:c>
      <x:c r="J3198" s="12" t="str">
        <x:v>Location model input - competition/saturation context</x:v>
      </x:c>
      <x:c r="K3198" s="12" t="str">
        <x:v>Business count is from 2018 while population/context indicators are newer; use as a historical proxy, not a current market count.</x:v>
      </x:c>
    </x:row>
    <x:row r="3199">
      <x:c r="A3199" s="12" t="str">
        <x:v>8549</x:v>
      </x:c>
      <x:c r="B3199" s="12" t="str">
        <x:v>Other education n.e.c.</x:v>
      </x:c>
      <x:c r="C3199" s="12" t="str">
        <x:v>المفرق</x:v>
      </x:c>
      <x:c r="D3199" s="14" t="n">
        <x:v>0</x:v>
      </x:c>
      <x:c r="E3199" s="14" t="n">
        <x:f>VLOOKUP(C3199,'Governorate Master'!$A$2:$Q$13,3,FALSE)</x:f>
        <x:v>686800</x:v>
      </x:c>
      <x:c r="F3199" s="66" t="n">
        <x:f>IF(E3199=0,0,D3199/E3199*10000)</x:f>
        <x:v>0</x:v>
      </x:c>
      <x:c r="G3199" s="67" t="n">
        <x:f>VLOOKUP(C3199,'Governorate Master'!$A$2:$Q$13,7,FALSE)</x:f>
        <x:v>25.9</x:v>
      </x:c>
      <x:c r="H3199" s="20" t="n">
        <x:f>VLOOKUP(C3199,'Governorate Master'!$A$2:$Q$13,6,FALSE)</x:f>
        <x:v>0.6965637740244612</x:v>
      </x:c>
      <x:c r="I3199" s="20" t="n">
        <x:f>VLOOKUP(C3199,'Governorate Master'!$A$2:$Q$13,15,FALSE)</x:f>
        <x:v>-0.016638935108153077</x:v>
      </x:c>
      <x:c r="J3199" s="12" t="str">
        <x:v>Location model input - competition/saturation context</x:v>
      </x:c>
      <x:c r="K3199" s="12" t="str">
        <x:v>Business count is from 2018 while population/context indicators are newer; use as a historical proxy, not a current market count.</x:v>
      </x:c>
    </x:row>
    <x:row r="3200">
      <x:c r="A3200" s="12" t="str">
        <x:v>8549</x:v>
      </x:c>
      <x:c r="B3200" s="12" t="str">
        <x:v>Other education n.e.c.</x:v>
      </x:c>
      <x:c r="C3200" s="12" t="str">
        <x:v>جرش</x:v>
      </x:c>
      <x:c r="D3200" s="14" t="n">
        <x:v>0</x:v>
      </x:c>
      <x:c r="E3200" s="14" t="n">
        <x:f>VLOOKUP(C3200,'Governorate Master'!$A$2:$Q$13,3,FALSE)</x:f>
        <x:v>296000</x:v>
      </x:c>
      <x:c r="F3200" s="66" t="n">
        <x:f>IF(E3200=0,0,D3200/E3200*10000)</x:f>
        <x:v>0</x:v>
      </x:c>
      <x:c r="G3200" s="67" t="n">
        <x:f>VLOOKUP(C3200,'Governorate Master'!$A$2:$Q$13,7,FALSE)</x:f>
        <x:v>722.3</x:v>
      </x:c>
      <x:c r="H3200" s="20" t="n">
        <x:f>VLOOKUP(C3200,'Governorate Master'!$A$2:$Q$13,6,FALSE)</x:f>
        <x:v>0.7695945945945946</x:v>
      </x:c>
      <x:c r="I3200" s="20" t="n">
        <x:f>VLOOKUP(C3200,'Governorate Master'!$A$2:$Q$13,15,FALSE)</x:f>
        <x:v>-0.06527415143603134</x:v>
      </x:c>
      <x:c r="J3200" s="12" t="str">
        <x:v>Location model input - competition/saturation context</x:v>
      </x:c>
      <x:c r="K3200" s="12" t="str">
        <x:v>Business count is from 2018 while population/context indicators are newer; use as a historical proxy, not a current market count.</x:v>
      </x:c>
    </x:row>
    <x:row r="3201">
      <x:c r="A3201" s="12" t="str">
        <x:v>8549</x:v>
      </x:c>
      <x:c r="B3201" s="12" t="str">
        <x:v>Other education n.e.c.</x:v>
      </x:c>
      <x:c r="C3201" s="12" t="str">
        <x:v>عجلون</x:v>
      </x:c>
      <x:c r="D3201" s="14" t="n">
        <x:v>0</x:v>
      </x:c>
      <x:c r="E3201" s="14" t="n">
        <x:f>VLOOKUP(C3201,'Governorate Master'!$A$2:$Q$13,3,FALSE)</x:f>
        <x:v>219900</x:v>
      </x:c>
      <x:c r="F3201" s="66" t="n">
        <x:f>IF(E3201=0,0,D3201/E3201*10000)</x:f>
        <x:v>0</x:v>
      </x:c>
      <x:c r="G3201" s="67" t="n">
        <x:f>VLOOKUP(C3201,'Governorate Master'!$A$2:$Q$13,7,FALSE)</x:f>
        <x:v>524</x:v>
      </x:c>
      <x:c r="H3201" s="20" t="n">
        <x:f>VLOOKUP(C3201,'Governorate Master'!$A$2:$Q$13,6,FALSE)</x:f>
        <x:v>0.8390177353342428</x:v>
      </x:c>
      <x:c r="I3201" s="20" t="n">
        <x:f>VLOOKUP(C3201,'Governorate Master'!$A$2:$Q$13,15,FALSE)</x:f>
        <x:v>0.03614457831325301</x:v>
      </x:c>
      <x:c r="J3201" s="12" t="str">
        <x:v>Location model input - competition/saturation context</x:v>
      </x:c>
      <x:c r="K3201" s="12" t="str">
        <x:v>Business count is from 2018 while population/context indicators are newer; use as a historical proxy, not a current market count.</x:v>
      </x:c>
    </x:row>
    <x:row r="3202">
      <x:c r="A3202" s="12" t="str">
        <x:v>8549</x:v>
      </x:c>
      <x:c r="B3202" s="12" t="str">
        <x:v>Other education n.e.c.</x:v>
      </x:c>
      <x:c r="C3202" s="12" t="str">
        <x:v>الكرك</x:v>
      </x:c>
      <x:c r="D3202" s="14" t="n">
        <x:v>0</x:v>
      </x:c>
      <x:c r="E3202" s="14" t="n">
        <x:f>VLOOKUP(C3202,'Governorate Master'!$A$2:$Q$13,3,FALSE)</x:f>
        <x:v>395400</x:v>
      </x:c>
      <x:c r="F3202" s="66" t="n">
        <x:f>IF(E3202=0,0,D3202/E3202*10000)</x:f>
        <x:v>0</x:v>
      </x:c>
      <x:c r="G3202" s="67" t="n">
        <x:f>VLOOKUP(C3202,'Governorate Master'!$A$2:$Q$13,7,FALSE)</x:f>
        <x:v>113.1</x:v>
      </x:c>
      <x:c r="H3202" s="20" t="n">
        <x:f>VLOOKUP(C3202,'Governorate Master'!$A$2:$Q$13,6,FALSE)</x:f>
        <x:v>0.5912999494183105</x:v>
      </x:c>
      <x:c r="I3202" s="20" t="n">
        <x:f>VLOOKUP(C3202,'Governorate Master'!$A$2:$Q$13,15,FALSE)</x:f>
        <x:v>0.08710801393728224</x:v>
      </x:c>
      <x:c r="J3202" s="12" t="str">
        <x:v>Location model input - competition/saturation context</x:v>
      </x:c>
      <x:c r="K3202" s="12" t="str">
        <x:v>Business count is from 2018 while population/context indicators are newer; use as a historical proxy, not a current market count.</x:v>
      </x:c>
    </x:row>
    <x:row r="3203">
      <x:c r="A3203" s="12" t="str">
        <x:v>8549</x:v>
      </x:c>
      <x:c r="B3203" s="12" t="str">
        <x:v>Other education n.e.c.</x:v>
      </x:c>
      <x:c r="C3203" s="12" t="str">
        <x:v>الطفيلة</x:v>
      </x:c>
      <x:c r="D3203" s="14" t="n">
        <x:v>0</x:v>
      </x:c>
      <x:c r="E3203" s="14" t="n">
        <x:f>VLOOKUP(C3203,'Governorate Master'!$A$2:$Q$13,3,FALSE)</x:f>
        <x:v>120300</x:v>
      </x:c>
      <x:c r="F3203" s="66" t="n">
        <x:f>IF(E3203=0,0,D3203/E3203*10000)</x:f>
        <x:v>0</x:v>
      </x:c>
      <x:c r="G3203" s="67" t="n">
        <x:f>VLOOKUP(C3203,'Governorate Master'!$A$2:$Q$13,7,FALSE)</x:f>
        <x:v>54.4</x:v>
      </x:c>
      <x:c r="H3203" s="20" t="n">
        <x:f>VLOOKUP(C3203,'Governorate Master'!$A$2:$Q$13,6,FALSE)</x:f>
        <x:v>0.7797173732335827</x:v>
      </x:c>
      <x:c r="I3203" s="20" t="n">
        <x:f>VLOOKUP(C3203,'Governorate Master'!$A$2:$Q$13,15,FALSE)</x:f>
        <x:v>0.18452380952380953</x:v>
      </x:c>
      <x:c r="J3203" s="12" t="str">
        <x:v>Location model input - competition/saturation context</x:v>
      </x:c>
      <x:c r="K3203" s="12" t="str">
        <x:v>Business count is from 2018 while population/context indicators are newer; use as a historical proxy, not a current market count.</x:v>
      </x:c>
    </x:row>
    <x:row r="3204">
      <x:c r="A3204" s="12" t="str">
        <x:v>8549</x:v>
      </x:c>
      <x:c r="B3204" s="12" t="str">
        <x:v>Other education n.e.c.</x:v>
      </x:c>
      <x:c r="C3204" s="12" t="str">
        <x:v>معان</x:v>
      </x:c>
      <x:c r="D3204" s="14" t="n">
        <x:v>0</x:v>
      </x:c>
      <x:c r="E3204" s="14" t="n">
        <x:f>VLOOKUP(C3204,'Governorate Master'!$A$2:$Q$13,3,FALSE)</x:f>
        <x:v>197900</x:v>
      </x:c>
      <x:c r="F3204" s="66" t="n">
        <x:f>IF(E3204=0,0,D3204/E3204*10000)</x:f>
        <x:v>0</x:v>
      </x:c>
      <x:c r="G3204" s="67" t="n">
        <x:f>VLOOKUP(C3204,'Governorate Master'!$A$2:$Q$13,7,FALSE)</x:f>
        <x:v>6</x:v>
      </x:c>
      <x:c r="H3204" s="20" t="n">
        <x:f>VLOOKUP(C3204,'Governorate Master'!$A$2:$Q$13,6,FALSE)</x:f>
        <x:v>0.5406771096513391</x:v>
      </x:c>
      <x:c r="I3204" s="20" t="n">
        <x:f>VLOOKUP(C3204,'Governorate Master'!$A$2:$Q$13,15,FALSE)</x:f>
        <x:v>0.026845637583892617</x:v>
      </x:c>
      <x:c r="J3204" s="12" t="str">
        <x:v>Location model input - competition/saturation context</x:v>
      </x:c>
      <x:c r="K3204" s="12" t="str">
        <x:v>Business count is from 2018 while population/context indicators are newer; use as a historical proxy, not a current market count.</x:v>
      </x:c>
    </x:row>
    <x:row r="3205">
      <x:c r="A3205" s="12" t="str">
        <x:v>8549</x:v>
      </x:c>
      <x:c r="B3205" s="12" t="str">
        <x:v>Other education n.e.c.</x:v>
      </x:c>
      <x:c r="C3205" s="12" t="str">
        <x:v>العقبة</x:v>
      </x:c>
      <x:c r="D3205" s="14" t="n">
        <x:v>0</x:v>
      </x:c>
      <x:c r="E3205" s="14" t="n">
        <x:f>VLOOKUP(C3205,'Governorate Master'!$A$2:$Q$13,3,FALSE)</x:f>
        <x:v>250900</x:v>
      </x:c>
      <x:c r="F3205" s="66" t="n">
        <x:f>IF(E3205=0,0,D3205/E3205*10000)</x:f>
        <x:v>0</x:v>
      </x:c>
      <x:c r="G3205" s="67" t="n">
        <x:f>VLOOKUP(C3205,'Governorate Master'!$A$2:$Q$13,7,FALSE)</x:f>
        <x:v>36.3</x:v>
      </x:c>
      <x:c r="H3205" s="20" t="n">
        <x:f>VLOOKUP(C3205,'Governorate Master'!$A$2:$Q$13,6,FALSE)</x:f>
        <x:v>0.882024711040255</x:v>
      </x:c>
      <x:c r="I3205" s="20" t="n">
        <x:f>VLOOKUP(C3205,'Governorate Master'!$A$2:$Q$13,15,FALSE)</x:f>
        <x:v>-0.09</x:v>
      </x:c>
      <x:c r="J3205" s="12" t="str">
        <x:v>Location model input - competition/saturation context</x:v>
      </x:c>
      <x:c r="K3205" s="12" t="str">
        <x:v>Business count is from 2018 while population/context indicators are newer; use as a historical proxy, not a current market count.</x:v>
      </x:c>
    </x:row>
    <x:row r="3206">
      <x:c r="A3206" s="12" t="str">
        <x:v>8550</x:v>
      </x:c>
      <x:c r="B3206" s="12" t="str">
        <x:v>Educational support activities</x:v>
      </x:c>
      <x:c r="C3206" s="12" t="str">
        <x:v>عمان</x:v>
      </x:c>
      <x:c r="D3206" s="14" t="n">
        <x:v>4</x:v>
      </x:c>
      <x:c r="E3206" s="14" t="n">
        <x:f>VLOOKUP(C3206,'Governorate Master'!$A$2:$Q$13,3,FALSE)</x:f>
        <x:v>5004600</x:v>
      </x:c>
      <x:c r="F3206" s="66" t="n">
        <x:f>IF(E3206=0,0,D3206/E3206*10000)</x:f>
        <x:v>0.007992646764976222</x:v>
      </x:c>
      <x:c r="G3206" s="67" t="n">
        <x:f>VLOOKUP(C3206,'Governorate Master'!$A$2:$Q$13,7,FALSE)</x:f>
        <x:v>660.3</x:v>
      </x:c>
      <x:c r="H3206" s="20" t="n">
        <x:f>VLOOKUP(C3206,'Governorate Master'!$A$2:$Q$13,6,FALSE)</x:f>
        <x:v>0.9721656076409703</x:v>
      </x:c>
      <x:c r="I3206" s="20" t="n">
        <x:f>VLOOKUP(C3206,'Governorate Master'!$A$2:$Q$13,15,FALSE)</x:f>
        <x:v>0.06367041198501873</x:v>
      </x:c>
      <x:c r="J3206" s="12" t="str">
        <x:v>Location model input - competition/saturation context</x:v>
      </x:c>
      <x:c r="K3206" s="12" t="str">
        <x:v>Business count is from 2018 while population/context indicators are newer; use as a historical proxy, not a current market count.</x:v>
      </x:c>
    </x:row>
    <x:row r="3207">
      <x:c r="A3207" s="12" t="str">
        <x:v>8550</x:v>
      </x:c>
      <x:c r="B3207" s="12" t="str">
        <x:v>Educational support activities</x:v>
      </x:c>
      <x:c r="C3207" s="12" t="str">
        <x:v>البلقاء</x:v>
      </x:c>
      <x:c r="D3207" s="14" t="n">
        <x:v>0</x:v>
      </x:c>
      <x:c r="E3207" s="14" t="n">
        <x:f>VLOOKUP(C3207,'Governorate Master'!$A$2:$Q$13,3,FALSE)</x:f>
        <x:v>614000</x:v>
      </x:c>
      <x:c r="F3207" s="66" t="n">
        <x:f>IF(E3207=0,0,D3207/E3207*10000)</x:f>
        <x:v>0</x:v>
      </x:c>
      <x:c r="G3207" s="67" t="n">
        <x:f>VLOOKUP(C3207,'Governorate Master'!$A$2:$Q$13,7,FALSE)</x:f>
        <x:v>548</x:v>
      </x:c>
      <x:c r="H3207" s="20" t="n">
        <x:f>VLOOKUP(C3207,'Governorate Master'!$A$2:$Q$13,6,FALSE)</x:f>
        <x:v>0.8210097719869707</x:v>
      </x:c>
      <x:c r="I3207" s="20" t="n">
        <x:f>VLOOKUP(C3207,'Governorate Master'!$A$2:$Q$13,15,FALSE)</x:f>
        <x:v>0.10794044665012408</x:v>
      </x:c>
      <x:c r="J3207" s="12" t="str">
        <x:v>Location model input - competition/saturation context</x:v>
      </x:c>
      <x:c r="K3207" s="12" t="str">
        <x:v>Business count is from 2018 while population/context indicators are newer; use as a historical proxy, not a current market count.</x:v>
      </x:c>
    </x:row>
    <x:row r="3208">
      <x:c r="A3208" s="12" t="str">
        <x:v>8550</x:v>
      </x:c>
      <x:c r="B3208" s="12" t="str">
        <x:v>Educational support activities</x:v>
      </x:c>
      <x:c r="C3208" s="12" t="str">
        <x:v>الزرقاء</x:v>
      </x:c>
      <x:c r="D3208" s="14" t="n">
        <x:v>1</x:v>
      </x:c>
      <x:c r="E3208" s="14" t="n">
        <x:f>VLOOKUP(C3208,'Governorate Master'!$A$2:$Q$13,3,FALSE)</x:f>
        <x:v>1704500</x:v>
      </x:c>
      <x:c r="F3208" s="66" t="n">
        <x:f>IF(E3208=0,0,D3208/E3208*10000)</x:f>
        <x:v>0.005866823115283074</x:v>
      </x:c>
      <x:c r="G3208" s="67" t="n">
        <x:f>VLOOKUP(C3208,'Governorate Master'!$A$2:$Q$13,7,FALSE)</x:f>
        <x:v>358</x:v>
      </x:c>
      <x:c r="H3208" s="20" t="n">
        <x:f>VLOOKUP(C3208,'Governorate Master'!$A$2:$Q$13,6,FALSE)</x:f>
        <x:v>0.9636256966852449</x:v>
      </x:c>
      <x:c r="I3208" s="20" t="n">
        <x:f>VLOOKUP(C3208,'Governorate Master'!$A$2:$Q$13,15,FALSE)</x:f>
        <x:v>-0.06808762581409118</x:v>
      </x:c>
      <x:c r="J3208" s="12" t="str">
        <x:v>Location model input - competition/saturation context</x:v>
      </x:c>
      <x:c r="K3208" s="12" t="str">
        <x:v>Business count is from 2018 while population/context indicators are newer; use as a historical proxy, not a current market count.</x:v>
      </x:c>
    </x:row>
    <x:row r="3209">
      <x:c r="A3209" s="12" t="str">
        <x:v>8550</x:v>
      </x:c>
      <x:c r="B3209" s="12" t="str">
        <x:v>Educational support activities</x:v>
      </x:c>
      <x:c r="C3209" s="12" t="str">
        <x:v>مادبا</x:v>
      </x:c>
      <x:c r="D3209" s="14" t="n">
        <x:v>0</x:v>
      </x:c>
      <x:c r="E3209" s="14" t="n">
        <x:f>VLOOKUP(C3209,'Governorate Master'!$A$2:$Q$13,3,FALSE)</x:f>
        <x:v>236200</x:v>
      </x:c>
      <x:c r="F3209" s="66" t="n">
        <x:f>IF(E3209=0,0,D3209/E3209*10000)</x:f>
        <x:v>0</x:v>
      </x:c>
      <x:c r="G3209" s="67" t="n">
        <x:f>VLOOKUP(C3209,'Governorate Master'!$A$2:$Q$13,7,FALSE)</x:f>
        <x:v>251.4</x:v>
      </x:c>
      <x:c r="H3209" s="20" t="n">
        <x:f>VLOOKUP(C3209,'Governorate Master'!$A$2:$Q$13,6,FALSE)</x:f>
        <x:v>0.7823878069432684</x:v>
      </x:c>
      <x:c r="I3209" s="20" t="n">
        <x:f>VLOOKUP(C3209,'Governorate Master'!$A$2:$Q$13,15,FALSE)</x:f>
        <x:v>-0.18823529411764706</x:v>
      </x:c>
      <x:c r="J3209" s="12" t="str">
        <x:v>Location model input - competition/saturation context</x:v>
      </x:c>
      <x:c r="K3209" s="12" t="str">
        <x:v>Business count is from 2018 while population/context indicators are newer; use as a historical proxy, not a current market count.</x:v>
      </x:c>
    </x:row>
    <x:row r="3210">
      <x:c r="A3210" s="12" t="str">
        <x:v>8550</x:v>
      </x:c>
      <x:c r="B3210" s="12" t="str">
        <x:v>Educational support activities</x:v>
      </x:c>
      <x:c r="C3210" s="12" t="str">
        <x:v>إربد</x:v>
      </x:c>
      <x:c r="D3210" s="14" t="n">
        <x:v>0</x:v>
      </x:c>
      <x:c r="E3210" s="14" t="n">
        <x:f>VLOOKUP(C3210,'Governorate Master'!$A$2:$Q$13,3,FALSE)</x:f>
        <x:v>2210500</x:v>
      </x:c>
      <x:c r="F3210" s="66" t="n">
        <x:f>IF(E3210=0,0,D3210/E3210*10000)</x:f>
        <x:v>0</x:v>
      </x:c>
      <x:c r="G3210" s="67" t="n">
        <x:f>VLOOKUP(C3210,'Governorate Master'!$A$2:$Q$13,7,FALSE)</x:f>
        <x:v>1406.4</x:v>
      </x:c>
      <x:c r="H3210" s="20" t="n">
        <x:f>VLOOKUP(C3210,'Governorate Master'!$A$2:$Q$13,6,FALSE)</x:f>
        <x:v>0.9235014702555983</x:v>
      </x:c>
      <x:c r="I3210" s="20" t="n">
        <x:f>VLOOKUP(C3210,'Governorate Master'!$A$2:$Q$13,15,FALSE)</x:f>
        <x:v>0.07086922474549726</x:v>
      </x:c>
      <x:c r="J3210" s="12" t="str">
        <x:v>Location model input - competition/saturation context</x:v>
      </x:c>
      <x:c r="K3210" s="12" t="str">
        <x:v>Business count is from 2018 while population/context indicators are newer; use as a historical proxy, not a current market count.</x:v>
      </x:c>
    </x:row>
    <x:row r="3211">
      <x:c r="A3211" s="12" t="str">
        <x:v>8550</x:v>
      </x:c>
      <x:c r="B3211" s="12" t="str">
        <x:v>Educational support activities</x:v>
      </x:c>
      <x:c r="C3211" s="12" t="str">
        <x:v>المفرق</x:v>
      </x:c>
      <x:c r="D3211" s="14" t="n">
        <x:v>0</x:v>
      </x:c>
      <x:c r="E3211" s="14" t="n">
        <x:f>VLOOKUP(C3211,'Governorate Master'!$A$2:$Q$13,3,FALSE)</x:f>
        <x:v>686800</x:v>
      </x:c>
      <x:c r="F3211" s="66" t="n">
        <x:f>IF(E3211=0,0,D3211/E3211*10000)</x:f>
        <x:v>0</x:v>
      </x:c>
      <x:c r="G3211" s="67" t="n">
        <x:f>VLOOKUP(C3211,'Governorate Master'!$A$2:$Q$13,7,FALSE)</x:f>
        <x:v>25.9</x:v>
      </x:c>
      <x:c r="H3211" s="20" t="n">
        <x:f>VLOOKUP(C3211,'Governorate Master'!$A$2:$Q$13,6,FALSE)</x:f>
        <x:v>0.6965637740244612</x:v>
      </x:c>
      <x:c r="I3211" s="20" t="n">
        <x:f>VLOOKUP(C3211,'Governorate Master'!$A$2:$Q$13,15,FALSE)</x:f>
        <x:v>-0.016638935108153077</x:v>
      </x:c>
      <x:c r="J3211" s="12" t="str">
        <x:v>Location model input - competition/saturation context</x:v>
      </x:c>
      <x:c r="K3211" s="12" t="str">
        <x:v>Business count is from 2018 while population/context indicators are newer; use as a historical proxy, not a current market count.</x:v>
      </x:c>
    </x:row>
    <x:row r="3212">
      <x:c r="A3212" s="12" t="str">
        <x:v>8550</x:v>
      </x:c>
      <x:c r="B3212" s="12" t="str">
        <x:v>Educational support activities</x:v>
      </x:c>
      <x:c r="C3212" s="12" t="str">
        <x:v>جرش</x:v>
      </x:c>
      <x:c r="D3212" s="14" t="n">
        <x:v>0</x:v>
      </x:c>
      <x:c r="E3212" s="14" t="n">
        <x:f>VLOOKUP(C3212,'Governorate Master'!$A$2:$Q$13,3,FALSE)</x:f>
        <x:v>296000</x:v>
      </x:c>
      <x:c r="F3212" s="66" t="n">
        <x:f>IF(E3212=0,0,D3212/E3212*10000)</x:f>
        <x:v>0</x:v>
      </x:c>
      <x:c r="G3212" s="67" t="n">
        <x:f>VLOOKUP(C3212,'Governorate Master'!$A$2:$Q$13,7,FALSE)</x:f>
        <x:v>722.3</x:v>
      </x:c>
      <x:c r="H3212" s="20" t="n">
        <x:f>VLOOKUP(C3212,'Governorate Master'!$A$2:$Q$13,6,FALSE)</x:f>
        <x:v>0.7695945945945946</x:v>
      </x:c>
      <x:c r="I3212" s="20" t="n">
        <x:f>VLOOKUP(C3212,'Governorate Master'!$A$2:$Q$13,15,FALSE)</x:f>
        <x:v>-0.06527415143603134</x:v>
      </x:c>
      <x:c r="J3212" s="12" t="str">
        <x:v>Location model input - competition/saturation context</x:v>
      </x:c>
      <x:c r="K3212" s="12" t="str">
        <x:v>Business count is from 2018 while population/context indicators are newer; use as a historical proxy, not a current market count.</x:v>
      </x:c>
    </x:row>
    <x:row r="3213">
      <x:c r="A3213" s="12" t="str">
        <x:v>8550</x:v>
      </x:c>
      <x:c r="B3213" s="12" t="str">
        <x:v>Educational support activities</x:v>
      </x:c>
      <x:c r="C3213" s="12" t="str">
        <x:v>عجلون</x:v>
      </x:c>
      <x:c r="D3213" s="14" t="n">
        <x:v>0</x:v>
      </x:c>
      <x:c r="E3213" s="14" t="n">
        <x:f>VLOOKUP(C3213,'Governorate Master'!$A$2:$Q$13,3,FALSE)</x:f>
        <x:v>219900</x:v>
      </x:c>
      <x:c r="F3213" s="66" t="n">
        <x:f>IF(E3213=0,0,D3213/E3213*10000)</x:f>
        <x:v>0</x:v>
      </x:c>
      <x:c r="G3213" s="67" t="n">
        <x:f>VLOOKUP(C3213,'Governorate Master'!$A$2:$Q$13,7,FALSE)</x:f>
        <x:v>524</x:v>
      </x:c>
      <x:c r="H3213" s="20" t="n">
        <x:f>VLOOKUP(C3213,'Governorate Master'!$A$2:$Q$13,6,FALSE)</x:f>
        <x:v>0.8390177353342428</x:v>
      </x:c>
      <x:c r="I3213" s="20" t="n">
        <x:f>VLOOKUP(C3213,'Governorate Master'!$A$2:$Q$13,15,FALSE)</x:f>
        <x:v>0.03614457831325301</x:v>
      </x:c>
      <x:c r="J3213" s="12" t="str">
        <x:v>Location model input - competition/saturation context</x:v>
      </x:c>
      <x:c r="K3213" s="12" t="str">
        <x:v>Business count is from 2018 while population/context indicators are newer; use as a historical proxy, not a current market count.</x:v>
      </x:c>
    </x:row>
    <x:row r="3214">
      <x:c r="A3214" s="12" t="str">
        <x:v>8550</x:v>
      </x:c>
      <x:c r="B3214" s="12" t="str">
        <x:v>Educational support activities</x:v>
      </x:c>
      <x:c r="C3214" s="12" t="str">
        <x:v>الكرك</x:v>
      </x:c>
      <x:c r="D3214" s="14" t="n">
        <x:v>1</x:v>
      </x:c>
      <x:c r="E3214" s="14" t="n">
        <x:f>VLOOKUP(C3214,'Governorate Master'!$A$2:$Q$13,3,FALSE)</x:f>
        <x:v>395400</x:v>
      </x:c>
      <x:c r="F3214" s="66" t="n">
        <x:f>IF(E3214=0,0,D3214/E3214*10000)</x:f>
        <x:v>0.025290844714213452</x:v>
      </x:c>
      <x:c r="G3214" s="67" t="n">
        <x:f>VLOOKUP(C3214,'Governorate Master'!$A$2:$Q$13,7,FALSE)</x:f>
        <x:v>113.1</x:v>
      </x:c>
      <x:c r="H3214" s="20" t="n">
        <x:f>VLOOKUP(C3214,'Governorate Master'!$A$2:$Q$13,6,FALSE)</x:f>
        <x:v>0.5912999494183105</x:v>
      </x:c>
      <x:c r="I3214" s="20" t="n">
        <x:f>VLOOKUP(C3214,'Governorate Master'!$A$2:$Q$13,15,FALSE)</x:f>
        <x:v>0.08710801393728224</x:v>
      </x:c>
      <x:c r="J3214" s="12" t="str">
        <x:v>Location model input - competition/saturation context</x:v>
      </x:c>
      <x:c r="K3214" s="12" t="str">
        <x:v>Business count is from 2018 while population/context indicators are newer; use as a historical proxy, not a current market count.</x:v>
      </x:c>
    </x:row>
    <x:row r="3215">
      <x:c r="A3215" s="12" t="str">
        <x:v>8550</x:v>
      </x:c>
      <x:c r="B3215" s="12" t="str">
        <x:v>Educational support activities</x:v>
      </x:c>
      <x:c r="C3215" s="12" t="str">
        <x:v>الطفيلة</x:v>
      </x:c>
      <x:c r="D3215" s="14" t="n">
        <x:v>0</x:v>
      </x:c>
      <x:c r="E3215" s="14" t="n">
        <x:f>VLOOKUP(C3215,'Governorate Master'!$A$2:$Q$13,3,FALSE)</x:f>
        <x:v>120300</x:v>
      </x:c>
      <x:c r="F3215" s="66" t="n">
        <x:f>IF(E3215=0,0,D3215/E3215*10000)</x:f>
        <x:v>0</x:v>
      </x:c>
      <x:c r="G3215" s="67" t="n">
        <x:f>VLOOKUP(C3215,'Governorate Master'!$A$2:$Q$13,7,FALSE)</x:f>
        <x:v>54.4</x:v>
      </x:c>
      <x:c r="H3215" s="20" t="n">
        <x:f>VLOOKUP(C3215,'Governorate Master'!$A$2:$Q$13,6,FALSE)</x:f>
        <x:v>0.7797173732335827</x:v>
      </x:c>
      <x:c r="I3215" s="20" t="n">
        <x:f>VLOOKUP(C3215,'Governorate Master'!$A$2:$Q$13,15,FALSE)</x:f>
        <x:v>0.18452380952380953</x:v>
      </x:c>
      <x:c r="J3215" s="12" t="str">
        <x:v>Location model input - competition/saturation context</x:v>
      </x:c>
      <x:c r="K3215" s="12" t="str">
        <x:v>Business count is from 2018 while population/context indicators are newer; use as a historical proxy, not a current market count.</x:v>
      </x:c>
    </x:row>
    <x:row r="3216">
      <x:c r="A3216" s="12" t="str">
        <x:v>8550</x:v>
      </x:c>
      <x:c r="B3216" s="12" t="str">
        <x:v>Educational support activities</x:v>
      </x:c>
      <x:c r="C3216" s="12" t="str">
        <x:v>معان</x:v>
      </x:c>
      <x:c r="D3216" s="14" t="n">
        <x:v>0</x:v>
      </x:c>
      <x:c r="E3216" s="14" t="n">
        <x:f>VLOOKUP(C3216,'Governorate Master'!$A$2:$Q$13,3,FALSE)</x:f>
        <x:v>197900</x:v>
      </x:c>
      <x:c r="F3216" s="66" t="n">
        <x:f>IF(E3216=0,0,D3216/E3216*10000)</x:f>
        <x:v>0</x:v>
      </x:c>
      <x:c r="G3216" s="67" t="n">
        <x:f>VLOOKUP(C3216,'Governorate Master'!$A$2:$Q$13,7,FALSE)</x:f>
        <x:v>6</x:v>
      </x:c>
      <x:c r="H3216" s="20" t="n">
        <x:f>VLOOKUP(C3216,'Governorate Master'!$A$2:$Q$13,6,FALSE)</x:f>
        <x:v>0.5406771096513391</x:v>
      </x:c>
      <x:c r="I3216" s="20" t="n">
        <x:f>VLOOKUP(C3216,'Governorate Master'!$A$2:$Q$13,15,FALSE)</x:f>
        <x:v>0.026845637583892617</x:v>
      </x:c>
      <x:c r="J3216" s="12" t="str">
        <x:v>Location model input - competition/saturation context</x:v>
      </x:c>
      <x:c r="K3216" s="12" t="str">
        <x:v>Business count is from 2018 while population/context indicators are newer; use as a historical proxy, not a current market count.</x:v>
      </x:c>
    </x:row>
    <x:row r="3217">
      <x:c r="A3217" s="12" t="str">
        <x:v>8550</x:v>
      </x:c>
      <x:c r="B3217" s="12" t="str">
        <x:v>Educational support activities</x:v>
      </x:c>
      <x:c r="C3217" s="12" t="str">
        <x:v>العقبة</x:v>
      </x:c>
      <x:c r="D3217" s="14" t="n">
        <x:v>0</x:v>
      </x:c>
      <x:c r="E3217" s="14" t="n">
        <x:f>VLOOKUP(C3217,'Governorate Master'!$A$2:$Q$13,3,FALSE)</x:f>
        <x:v>250900</x:v>
      </x:c>
      <x:c r="F3217" s="66" t="n">
        <x:f>IF(E3217=0,0,D3217/E3217*10000)</x:f>
        <x:v>0</x:v>
      </x:c>
      <x:c r="G3217" s="67" t="n">
        <x:f>VLOOKUP(C3217,'Governorate Master'!$A$2:$Q$13,7,FALSE)</x:f>
        <x:v>36.3</x:v>
      </x:c>
      <x:c r="H3217" s="20" t="n">
        <x:f>VLOOKUP(C3217,'Governorate Master'!$A$2:$Q$13,6,FALSE)</x:f>
        <x:v>0.882024711040255</x:v>
      </x:c>
      <x:c r="I3217" s="20" t="n">
        <x:f>VLOOKUP(C3217,'Governorate Master'!$A$2:$Q$13,15,FALSE)</x:f>
        <x:v>-0.09</x:v>
      </x:c>
      <x:c r="J3217" s="12" t="str">
        <x:v>Location model input - competition/saturation context</x:v>
      </x:c>
      <x:c r="K3217" s="12" t="str">
        <x:v>Business count is from 2018 while population/context indicators are newer; use as a historical proxy, not a current market count.</x:v>
      </x:c>
    </x:row>
    <x:row r="3218">
      <x:c r="A3218" s="12" t="str">
        <x:v>8610</x:v>
      </x:c>
      <x:c r="B3218" s="12" t="str">
        <x:v>Hospital activities</x:v>
      </x:c>
      <x:c r="C3218" s="12" t="str">
        <x:v>عمان</x:v>
      </x:c>
      <x:c r="D3218" s="14" t="n">
        <x:v>37</x:v>
      </x:c>
      <x:c r="E3218" s="14" t="n">
        <x:f>VLOOKUP(C3218,'Governorate Master'!$A$2:$Q$13,3,FALSE)</x:f>
        <x:v>5004600</x:v>
      </x:c>
      <x:c r="F3218" s="66" t="n">
        <x:f>IF(E3218=0,0,D3218/E3218*10000)</x:f>
        <x:v>0.07393198257603005</x:v>
      </x:c>
      <x:c r="G3218" s="67" t="n">
        <x:f>VLOOKUP(C3218,'Governorate Master'!$A$2:$Q$13,7,FALSE)</x:f>
        <x:v>660.3</x:v>
      </x:c>
      <x:c r="H3218" s="20" t="n">
        <x:f>VLOOKUP(C3218,'Governorate Master'!$A$2:$Q$13,6,FALSE)</x:f>
        <x:v>0.9721656076409703</x:v>
      </x:c>
      <x:c r="I3218" s="20" t="n">
        <x:f>VLOOKUP(C3218,'Governorate Master'!$A$2:$Q$13,15,FALSE)</x:f>
        <x:v>0.06367041198501873</x:v>
      </x:c>
      <x:c r="J3218" s="12" t="str">
        <x:v>Location model input - competition/saturation context</x:v>
      </x:c>
      <x:c r="K3218" s="12" t="str">
        <x:v>Business count is from 2018 while population/context indicators are newer; use as a historical proxy, not a current market count.</x:v>
      </x:c>
    </x:row>
    <x:row r="3219">
      <x:c r="A3219" s="12" t="str">
        <x:v>8610</x:v>
      </x:c>
      <x:c r="B3219" s="12" t="str">
        <x:v>Hospital activities</x:v>
      </x:c>
      <x:c r="C3219" s="12" t="str">
        <x:v>البلقاء</x:v>
      </x:c>
      <x:c r="D3219" s="14" t="n">
        <x:v>1</x:v>
      </x:c>
      <x:c r="E3219" s="14" t="n">
        <x:f>VLOOKUP(C3219,'Governorate Master'!$A$2:$Q$13,3,FALSE)</x:f>
        <x:v>614000</x:v>
      </x:c>
      <x:c r="F3219" s="66" t="n">
        <x:f>IF(E3219=0,0,D3219/E3219*10000)</x:f>
        <x:v>0.016286644951140065</x:v>
      </x:c>
      <x:c r="G3219" s="67" t="n">
        <x:f>VLOOKUP(C3219,'Governorate Master'!$A$2:$Q$13,7,FALSE)</x:f>
        <x:v>548</x:v>
      </x:c>
      <x:c r="H3219" s="20" t="n">
        <x:f>VLOOKUP(C3219,'Governorate Master'!$A$2:$Q$13,6,FALSE)</x:f>
        <x:v>0.8210097719869707</x:v>
      </x:c>
      <x:c r="I3219" s="20" t="n">
        <x:f>VLOOKUP(C3219,'Governorate Master'!$A$2:$Q$13,15,FALSE)</x:f>
        <x:v>0.10794044665012408</x:v>
      </x:c>
      <x:c r="J3219" s="12" t="str">
        <x:v>Location model input - competition/saturation context</x:v>
      </x:c>
      <x:c r="K3219" s="12" t="str">
        <x:v>Business count is from 2018 while population/context indicators are newer; use as a historical proxy, not a current market count.</x:v>
      </x:c>
    </x:row>
    <x:row r="3220">
      <x:c r="A3220" s="12" t="str">
        <x:v>8610</x:v>
      </x:c>
      <x:c r="B3220" s="12" t="str">
        <x:v>Hospital activities</x:v>
      </x:c>
      <x:c r="C3220" s="12" t="str">
        <x:v>الزرقاء</x:v>
      </x:c>
      <x:c r="D3220" s="14" t="n">
        <x:v>5</x:v>
      </x:c>
      <x:c r="E3220" s="14" t="n">
        <x:f>VLOOKUP(C3220,'Governorate Master'!$A$2:$Q$13,3,FALSE)</x:f>
        <x:v>1704500</x:v>
      </x:c>
      <x:c r="F3220" s="66" t="n">
        <x:f>IF(E3220=0,0,D3220/E3220*10000)</x:f>
        <x:v>0.029334115576415375</x:v>
      </x:c>
      <x:c r="G3220" s="67" t="n">
        <x:f>VLOOKUP(C3220,'Governorate Master'!$A$2:$Q$13,7,FALSE)</x:f>
        <x:v>358</x:v>
      </x:c>
      <x:c r="H3220" s="20" t="n">
        <x:f>VLOOKUP(C3220,'Governorate Master'!$A$2:$Q$13,6,FALSE)</x:f>
        <x:v>0.9636256966852449</x:v>
      </x:c>
      <x:c r="I3220" s="20" t="n">
        <x:f>VLOOKUP(C3220,'Governorate Master'!$A$2:$Q$13,15,FALSE)</x:f>
        <x:v>-0.06808762581409118</x:v>
      </x:c>
      <x:c r="J3220" s="12" t="str">
        <x:v>Location model input - competition/saturation context</x:v>
      </x:c>
      <x:c r="K3220" s="12" t="str">
        <x:v>Business count is from 2018 while population/context indicators are newer; use as a historical proxy, not a current market count.</x:v>
      </x:c>
    </x:row>
    <x:row r="3221">
      <x:c r="A3221" s="12" t="str">
        <x:v>8610</x:v>
      </x:c>
      <x:c r="B3221" s="12" t="str">
        <x:v>Hospital activities</x:v>
      </x:c>
      <x:c r="C3221" s="12" t="str">
        <x:v>مادبا</x:v>
      </x:c>
      <x:c r="D3221" s="14" t="n">
        <x:v>2</x:v>
      </x:c>
      <x:c r="E3221" s="14" t="n">
        <x:f>VLOOKUP(C3221,'Governorate Master'!$A$2:$Q$13,3,FALSE)</x:f>
        <x:v>236200</x:v>
      </x:c>
      <x:c r="F3221" s="66" t="n">
        <x:f>IF(E3221=0,0,D3221/E3221*10000)</x:f>
        <x:v>0.0846740050804403</x:v>
      </x:c>
      <x:c r="G3221" s="67" t="n">
        <x:f>VLOOKUP(C3221,'Governorate Master'!$A$2:$Q$13,7,FALSE)</x:f>
        <x:v>251.4</x:v>
      </x:c>
      <x:c r="H3221" s="20" t="n">
        <x:f>VLOOKUP(C3221,'Governorate Master'!$A$2:$Q$13,6,FALSE)</x:f>
        <x:v>0.7823878069432684</x:v>
      </x:c>
      <x:c r="I3221" s="20" t="n">
        <x:f>VLOOKUP(C3221,'Governorate Master'!$A$2:$Q$13,15,FALSE)</x:f>
        <x:v>-0.18823529411764706</x:v>
      </x:c>
      <x:c r="J3221" s="12" t="str">
        <x:v>Location model input - competition/saturation context</x:v>
      </x:c>
      <x:c r="K3221" s="12" t="str">
        <x:v>Business count is from 2018 while population/context indicators are newer; use as a historical proxy, not a current market count.</x:v>
      </x:c>
    </x:row>
    <x:row r="3222">
      <x:c r="A3222" s="12" t="str">
        <x:v>8610</x:v>
      </x:c>
      <x:c r="B3222" s="12" t="str">
        <x:v>Hospital activities</x:v>
      </x:c>
      <x:c r="C3222" s="12" t="str">
        <x:v>إربد</x:v>
      </x:c>
      <x:c r="D3222" s="14" t="n">
        <x:v>5</x:v>
      </x:c>
      <x:c r="E3222" s="14" t="n">
        <x:f>VLOOKUP(C3222,'Governorate Master'!$A$2:$Q$13,3,FALSE)</x:f>
        <x:v>2210500</x:v>
      </x:c>
      <x:c r="F3222" s="66" t="n">
        <x:f>IF(E3222=0,0,D3222/E3222*10000)</x:f>
        <x:v>0.022619316896629722</x:v>
      </x:c>
      <x:c r="G3222" s="67" t="n">
        <x:f>VLOOKUP(C3222,'Governorate Master'!$A$2:$Q$13,7,FALSE)</x:f>
        <x:v>1406.4</x:v>
      </x:c>
      <x:c r="H3222" s="20" t="n">
        <x:f>VLOOKUP(C3222,'Governorate Master'!$A$2:$Q$13,6,FALSE)</x:f>
        <x:v>0.9235014702555983</x:v>
      </x:c>
      <x:c r="I3222" s="20" t="n">
        <x:f>VLOOKUP(C3222,'Governorate Master'!$A$2:$Q$13,15,FALSE)</x:f>
        <x:v>0.07086922474549726</x:v>
      </x:c>
      <x:c r="J3222" s="12" t="str">
        <x:v>Location model input - competition/saturation context</x:v>
      </x:c>
      <x:c r="K3222" s="12" t="str">
        <x:v>Business count is from 2018 while population/context indicators are newer; use as a historical proxy, not a current market count.</x:v>
      </x:c>
    </x:row>
    <x:row r="3223">
      <x:c r="A3223" s="12" t="str">
        <x:v>8610</x:v>
      </x:c>
      <x:c r="B3223" s="12" t="str">
        <x:v>Hospital activities</x:v>
      </x:c>
      <x:c r="C3223" s="12" t="str">
        <x:v>المفرق</x:v>
      </x:c>
      <x:c r="D3223" s="14" t="n">
        <x:v>1</x:v>
      </x:c>
      <x:c r="E3223" s="14" t="n">
        <x:f>VLOOKUP(C3223,'Governorate Master'!$A$2:$Q$13,3,FALSE)</x:f>
        <x:v>686800</x:v>
      </x:c>
      <x:c r="F3223" s="66" t="n">
        <x:f>IF(E3223=0,0,D3223/E3223*10000)</x:f>
        <x:v>0.014560279557367502</x:v>
      </x:c>
      <x:c r="G3223" s="67" t="n">
        <x:f>VLOOKUP(C3223,'Governorate Master'!$A$2:$Q$13,7,FALSE)</x:f>
        <x:v>25.9</x:v>
      </x:c>
      <x:c r="H3223" s="20" t="n">
        <x:f>VLOOKUP(C3223,'Governorate Master'!$A$2:$Q$13,6,FALSE)</x:f>
        <x:v>0.6965637740244612</x:v>
      </x:c>
      <x:c r="I3223" s="20" t="n">
        <x:f>VLOOKUP(C3223,'Governorate Master'!$A$2:$Q$13,15,FALSE)</x:f>
        <x:v>-0.016638935108153077</x:v>
      </x:c>
      <x:c r="J3223" s="12" t="str">
        <x:v>Location model input - competition/saturation context</x:v>
      </x:c>
      <x:c r="K3223" s="12" t="str">
        <x:v>Business count is from 2018 while population/context indicators are newer; use as a historical proxy, not a current market count.</x:v>
      </x:c>
    </x:row>
    <x:row r="3224">
      <x:c r="A3224" s="12" t="str">
        <x:v>8610</x:v>
      </x:c>
      <x:c r="B3224" s="12" t="str">
        <x:v>Hospital activities</x:v>
      </x:c>
      <x:c r="C3224" s="12" t="str">
        <x:v>جرش</x:v>
      </x:c>
      <x:c r="D3224" s="14" t="n">
        <x:v>0</x:v>
      </x:c>
      <x:c r="E3224" s="14" t="n">
        <x:f>VLOOKUP(C3224,'Governorate Master'!$A$2:$Q$13,3,FALSE)</x:f>
        <x:v>296000</x:v>
      </x:c>
      <x:c r="F3224" s="66" t="n">
        <x:f>IF(E3224=0,0,D3224/E3224*10000)</x:f>
        <x:v>0</x:v>
      </x:c>
      <x:c r="G3224" s="67" t="n">
        <x:f>VLOOKUP(C3224,'Governorate Master'!$A$2:$Q$13,7,FALSE)</x:f>
        <x:v>722.3</x:v>
      </x:c>
      <x:c r="H3224" s="20" t="n">
        <x:f>VLOOKUP(C3224,'Governorate Master'!$A$2:$Q$13,6,FALSE)</x:f>
        <x:v>0.7695945945945946</x:v>
      </x:c>
      <x:c r="I3224" s="20" t="n">
        <x:f>VLOOKUP(C3224,'Governorate Master'!$A$2:$Q$13,15,FALSE)</x:f>
        <x:v>-0.06527415143603134</x:v>
      </x:c>
      <x:c r="J3224" s="12" t="str">
        <x:v>Location model input - competition/saturation context</x:v>
      </x:c>
      <x:c r="K3224" s="12" t="str">
        <x:v>Business count is from 2018 while population/context indicators are newer; use as a historical proxy, not a current market count.</x:v>
      </x:c>
    </x:row>
    <x:row r="3225">
      <x:c r="A3225" s="12" t="str">
        <x:v>8610</x:v>
      </x:c>
      <x:c r="B3225" s="12" t="str">
        <x:v>Hospital activities</x:v>
      </x:c>
      <x:c r="C3225" s="12" t="str">
        <x:v>عجلون</x:v>
      </x:c>
      <x:c r="D3225" s="14" t="n">
        <x:v>0</x:v>
      </x:c>
      <x:c r="E3225" s="14" t="n">
        <x:f>VLOOKUP(C3225,'Governorate Master'!$A$2:$Q$13,3,FALSE)</x:f>
        <x:v>219900</x:v>
      </x:c>
      <x:c r="F3225" s="66" t="n">
        <x:f>IF(E3225=0,0,D3225/E3225*10000)</x:f>
        <x:v>0</x:v>
      </x:c>
      <x:c r="G3225" s="67" t="n">
        <x:f>VLOOKUP(C3225,'Governorate Master'!$A$2:$Q$13,7,FALSE)</x:f>
        <x:v>524</x:v>
      </x:c>
      <x:c r="H3225" s="20" t="n">
        <x:f>VLOOKUP(C3225,'Governorate Master'!$A$2:$Q$13,6,FALSE)</x:f>
        <x:v>0.8390177353342428</x:v>
      </x:c>
      <x:c r="I3225" s="20" t="n">
        <x:f>VLOOKUP(C3225,'Governorate Master'!$A$2:$Q$13,15,FALSE)</x:f>
        <x:v>0.03614457831325301</x:v>
      </x:c>
      <x:c r="J3225" s="12" t="str">
        <x:v>Location model input - competition/saturation context</x:v>
      </x:c>
      <x:c r="K3225" s="12" t="str">
        <x:v>Business count is from 2018 while population/context indicators are newer; use as a historical proxy, not a current market count.</x:v>
      </x:c>
    </x:row>
    <x:row r="3226">
      <x:c r="A3226" s="12" t="str">
        <x:v>8610</x:v>
      </x:c>
      <x:c r="B3226" s="12" t="str">
        <x:v>Hospital activities</x:v>
      </x:c>
      <x:c r="C3226" s="12" t="str">
        <x:v>الكرك</x:v>
      </x:c>
      <x:c r="D3226" s="14" t="n">
        <x:v>2</x:v>
      </x:c>
      <x:c r="E3226" s="14" t="n">
        <x:f>VLOOKUP(C3226,'Governorate Master'!$A$2:$Q$13,3,FALSE)</x:f>
        <x:v>395400</x:v>
      </x:c>
      <x:c r="F3226" s="66" t="n">
        <x:f>IF(E3226=0,0,D3226/E3226*10000)</x:f>
        <x:v>0.050581689428426904</x:v>
      </x:c>
      <x:c r="G3226" s="67" t="n">
        <x:f>VLOOKUP(C3226,'Governorate Master'!$A$2:$Q$13,7,FALSE)</x:f>
        <x:v>113.1</x:v>
      </x:c>
      <x:c r="H3226" s="20" t="n">
        <x:f>VLOOKUP(C3226,'Governorate Master'!$A$2:$Q$13,6,FALSE)</x:f>
        <x:v>0.5912999494183105</x:v>
      </x:c>
      <x:c r="I3226" s="20" t="n">
        <x:f>VLOOKUP(C3226,'Governorate Master'!$A$2:$Q$13,15,FALSE)</x:f>
        <x:v>0.08710801393728224</x:v>
      </x:c>
      <x:c r="J3226" s="12" t="str">
        <x:v>Location model input - competition/saturation context</x:v>
      </x:c>
      <x:c r="K3226" s="12" t="str">
        <x:v>Business count is from 2018 while population/context indicators are newer; use as a historical proxy, not a current market count.</x:v>
      </x:c>
    </x:row>
    <x:row r="3227">
      <x:c r="A3227" s="12" t="str">
        <x:v>8610</x:v>
      </x:c>
      <x:c r="B3227" s="12" t="str">
        <x:v>Hospital activities</x:v>
      </x:c>
      <x:c r="C3227" s="12" t="str">
        <x:v>الطفيلة</x:v>
      </x:c>
      <x:c r="D3227" s="14" t="n">
        <x:v>0</x:v>
      </x:c>
      <x:c r="E3227" s="14" t="n">
        <x:f>VLOOKUP(C3227,'Governorate Master'!$A$2:$Q$13,3,FALSE)</x:f>
        <x:v>120300</x:v>
      </x:c>
      <x:c r="F3227" s="66" t="n">
        <x:f>IF(E3227=0,0,D3227/E3227*10000)</x:f>
        <x:v>0</x:v>
      </x:c>
      <x:c r="G3227" s="67" t="n">
        <x:f>VLOOKUP(C3227,'Governorate Master'!$A$2:$Q$13,7,FALSE)</x:f>
        <x:v>54.4</x:v>
      </x:c>
      <x:c r="H3227" s="20" t="n">
        <x:f>VLOOKUP(C3227,'Governorate Master'!$A$2:$Q$13,6,FALSE)</x:f>
        <x:v>0.7797173732335827</x:v>
      </x:c>
      <x:c r="I3227" s="20" t="n">
        <x:f>VLOOKUP(C3227,'Governorate Master'!$A$2:$Q$13,15,FALSE)</x:f>
        <x:v>0.18452380952380953</x:v>
      </x:c>
      <x:c r="J3227" s="12" t="str">
        <x:v>Location model input - competition/saturation context</x:v>
      </x:c>
      <x:c r="K3227" s="12" t="str">
        <x:v>Business count is from 2018 while population/context indicators are newer; use as a historical proxy, not a current market count.</x:v>
      </x:c>
    </x:row>
    <x:row r="3228">
      <x:c r="A3228" s="12" t="str">
        <x:v>8610</x:v>
      </x:c>
      <x:c r="B3228" s="12" t="str">
        <x:v>Hospital activities</x:v>
      </x:c>
      <x:c r="C3228" s="12" t="str">
        <x:v>معان</x:v>
      </x:c>
      <x:c r="D3228" s="14" t="n">
        <x:v>0</x:v>
      </x:c>
      <x:c r="E3228" s="14" t="n">
        <x:f>VLOOKUP(C3228,'Governorate Master'!$A$2:$Q$13,3,FALSE)</x:f>
        <x:v>197900</x:v>
      </x:c>
      <x:c r="F3228" s="66" t="n">
        <x:f>IF(E3228=0,0,D3228/E3228*10000)</x:f>
        <x:v>0</x:v>
      </x:c>
      <x:c r="G3228" s="67" t="n">
        <x:f>VLOOKUP(C3228,'Governorate Master'!$A$2:$Q$13,7,FALSE)</x:f>
        <x:v>6</x:v>
      </x:c>
      <x:c r="H3228" s="20" t="n">
        <x:f>VLOOKUP(C3228,'Governorate Master'!$A$2:$Q$13,6,FALSE)</x:f>
        <x:v>0.5406771096513391</x:v>
      </x:c>
      <x:c r="I3228" s="20" t="n">
        <x:f>VLOOKUP(C3228,'Governorate Master'!$A$2:$Q$13,15,FALSE)</x:f>
        <x:v>0.026845637583892617</x:v>
      </x:c>
      <x:c r="J3228" s="12" t="str">
        <x:v>Location model input - competition/saturation context</x:v>
      </x:c>
      <x:c r="K3228" s="12" t="str">
        <x:v>Business count is from 2018 while population/context indicators are newer; use as a historical proxy, not a current market count.</x:v>
      </x:c>
    </x:row>
    <x:row r="3229">
      <x:c r="A3229" s="12" t="str">
        <x:v>8610</x:v>
      </x:c>
      <x:c r="B3229" s="12" t="str">
        <x:v>Hospital activities</x:v>
      </x:c>
      <x:c r="C3229" s="12" t="str">
        <x:v>العقبة</x:v>
      </x:c>
      <x:c r="D3229" s="14" t="n">
        <x:v>1</x:v>
      </x:c>
      <x:c r="E3229" s="14" t="n">
        <x:f>VLOOKUP(C3229,'Governorate Master'!$A$2:$Q$13,3,FALSE)</x:f>
        <x:v>250900</x:v>
      </x:c>
      <x:c r="F3229" s="66" t="n">
        <x:f>IF(E3229=0,0,D3229/E3229*10000)</x:f>
        <x:v>0.03985651654045436</x:v>
      </x:c>
      <x:c r="G3229" s="67" t="n">
        <x:f>VLOOKUP(C3229,'Governorate Master'!$A$2:$Q$13,7,FALSE)</x:f>
        <x:v>36.3</x:v>
      </x:c>
      <x:c r="H3229" s="20" t="n">
        <x:f>VLOOKUP(C3229,'Governorate Master'!$A$2:$Q$13,6,FALSE)</x:f>
        <x:v>0.882024711040255</x:v>
      </x:c>
      <x:c r="I3229" s="20" t="n">
        <x:f>VLOOKUP(C3229,'Governorate Master'!$A$2:$Q$13,15,FALSE)</x:f>
        <x:v>-0.09</x:v>
      </x:c>
      <x:c r="J3229" s="12" t="str">
        <x:v>Location model input - competition/saturation context</x:v>
      </x:c>
      <x:c r="K3229" s="12" t="str">
        <x:v>Business count is from 2018 while population/context indicators are newer; use as a historical proxy, not a current market count.</x:v>
      </x:c>
    </x:row>
    <x:row r="3230">
      <x:c r="A3230" s="12" t="str">
        <x:v>8620</x:v>
      </x:c>
      <x:c r="B3230" s="12" t="str">
        <x:v>Medical and dental practice activities</x:v>
      </x:c>
      <x:c r="C3230" s="12" t="str">
        <x:v>عمان</x:v>
      </x:c>
      <x:c r="D3230" s="14" t="n">
        <x:v>3130</x:v>
      </x:c>
      <x:c r="E3230" s="14" t="n">
        <x:f>VLOOKUP(C3230,'Governorate Master'!$A$2:$Q$13,3,FALSE)</x:f>
        <x:v>5004600</x:v>
      </x:c>
      <x:c r="F3230" s="66" t="n">
        <x:f>IF(E3230=0,0,D3230/E3230*10000)</x:f>
        <x:v>6.254246093593894</x:v>
      </x:c>
      <x:c r="G3230" s="67" t="n">
        <x:f>VLOOKUP(C3230,'Governorate Master'!$A$2:$Q$13,7,FALSE)</x:f>
        <x:v>660.3</x:v>
      </x:c>
      <x:c r="H3230" s="20" t="n">
        <x:f>VLOOKUP(C3230,'Governorate Master'!$A$2:$Q$13,6,FALSE)</x:f>
        <x:v>0.9721656076409703</x:v>
      </x:c>
      <x:c r="I3230" s="20" t="n">
        <x:f>VLOOKUP(C3230,'Governorate Master'!$A$2:$Q$13,15,FALSE)</x:f>
        <x:v>0.06367041198501873</x:v>
      </x:c>
      <x:c r="J3230" s="12" t="str">
        <x:v>Location model input - competition/saturation context</x:v>
      </x:c>
      <x:c r="K3230" s="12" t="str">
        <x:v>Business count is from 2018 while population/context indicators are newer; use as a historical proxy, not a current market count.</x:v>
      </x:c>
    </x:row>
    <x:row r="3231">
      <x:c r="A3231" s="12" t="str">
        <x:v>8620</x:v>
      </x:c>
      <x:c r="B3231" s="12" t="str">
        <x:v>Medical and dental practice activities</x:v>
      </x:c>
      <x:c r="C3231" s="12" t="str">
        <x:v>البلقاء</x:v>
      </x:c>
      <x:c r="D3231" s="14" t="n">
        <x:v>169</x:v>
      </x:c>
      <x:c r="E3231" s="14" t="n">
        <x:f>VLOOKUP(C3231,'Governorate Master'!$A$2:$Q$13,3,FALSE)</x:f>
        <x:v>614000</x:v>
      </x:c>
      <x:c r="F3231" s="66" t="n">
        <x:f>IF(E3231=0,0,D3231/E3231*10000)</x:f>
        <x:v>2.7524429967426713</x:v>
      </x:c>
      <x:c r="G3231" s="67" t="n">
        <x:f>VLOOKUP(C3231,'Governorate Master'!$A$2:$Q$13,7,FALSE)</x:f>
        <x:v>548</x:v>
      </x:c>
      <x:c r="H3231" s="20" t="n">
        <x:f>VLOOKUP(C3231,'Governorate Master'!$A$2:$Q$13,6,FALSE)</x:f>
        <x:v>0.8210097719869707</x:v>
      </x:c>
      <x:c r="I3231" s="20" t="n">
        <x:f>VLOOKUP(C3231,'Governorate Master'!$A$2:$Q$13,15,FALSE)</x:f>
        <x:v>0.10794044665012408</x:v>
      </x:c>
      <x:c r="J3231" s="12" t="str">
        <x:v>Location model input - competition/saturation context</x:v>
      </x:c>
      <x:c r="K3231" s="12" t="str">
        <x:v>Business count is from 2018 while population/context indicators are newer; use as a historical proxy, not a current market count.</x:v>
      </x:c>
    </x:row>
    <x:row r="3232">
      <x:c r="A3232" s="12" t="str">
        <x:v>8620</x:v>
      </x:c>
      <x:c r="B3232" s="12" t="str">
        <x:v>Medical and dental practice activities</x:v>
      </x:c>
      <x:c r="C3232" s="12" t="str">
        <x:v>الزرقاء</x:v>
      </x:c>
      <x:c r="D3232" s="14" t="n">
        <x:v>480</x:v>
      </x:c>
      <x:c r="E3232" s="14" t="n">
        <x:f>VLOOKUP(C3232,'Governorate Master'!$A$2:$Q$13,3,FALSE)</x:f>
        <x:v>1704500</x:v>
      </x:c>
      <x:c r="F3232" s="66" t="n">
        <x:f>IF(E3232=0,0,D3232/E3232*10000)</x:f>
        <x:v>2.8160750953358753</x:v>
      </x:c>
      <x:c r="G3232" s="67" t="n">
        <x:f>VLOOKUP(C3232,'Governorate Master'!$A$2:$Q$13,7,FALSE)</x:f>
        <x:v>358</x:v>
      </x:c>
      <x:c r="H3232" s="20" t="n">
        <x:f>VLOOKUP(C3232,'Governorate Master'!$A$2:$Q$13,6,FALSE)</x:f>
        <x:v>0.9636256966852449</x:v>
      </x:c>
      <x:c r="I3232" s="20" t="n">
        <x:f>VLOOKUP(C3232,'Governorate Master'!$A$2:$Q$13,15,FALSE)</x:f>
        <x:v>-0.06808762581409118</x:v>
      </x:c>
      <x:c r="J3232" s="12" t="str">
        <x:v>Location model input - competition/saturation context</x:v>
      </x:c>
      <x:c r="K3232" s="12" t="str">
        <x:v>Business count is from 2018 while population/context indicators are newer; use as a historical proxy, not a current market count.</x:v>
      </x:c>
    </x:row>
    <x:row r="3233">
      <x:c r="A3233" s="12" t="str">
        <x:v>8620</x:v>
      </x:c>
      <x:c r="B3233" s="12" t="str">
        <x:v>Medical and dental practice activities</x:v>
      </x:c>
      <x:c r="C3233" s="12" t="str">
        <x:v>مادبا</x:v>
      </x:c>
      <x:c r="D3233" s="14" t="n">
        <x:v>85</x:v>
      </x:c>
      <x:c r="E3233" s="14" t="n">
        <x:f>VLOOKUP(C3233,'Governorate Master'!$A$2:$Q$13,3,FALSE)</x:f>
        <x:v>236200</x:v>
      </x:c>
      <x:c r="F3233" s="66" t="n">
        <x:f>IF(E3233=0,0,D3233/E3233*10000)</x:f>
        <x:v>3.598645215918713</x:v>
      </x:c>
      <x:c r="G3233" s="67" t="n">
        <x:f>VLOOKUP(C3233,'Governorate Master'!$A$2:$Q$13,7,FALSE)</x:f>
        <x:v>251.4</x:v>
      </x:c>
      <x:c r="H3233" s="20" t="n">
        <x:f>VLOOKUP(C3233,'Governorate Master'!$A$2:$Q$13,6,FALSE)</x:f>
        <x:v>0.7823878069432684</x:v>
      </x:c>
      <x:c r="I3233" s="20" t="n">
        <x:f>VLOOKUP(C3233,'Governorate Master'!$A$2:$Q$13,15,FALSE)</x:f>
        <x:v>-0.18823529411764706</x:v>
      </x:c>
      <x:c r="J3233" s="12" t="str">
        <x:v>Location model input - competition/saturation context</x:v>
      </x:c>
      <x:c r="K3233" s="12" t="str">
        <x:v>Business count is from 2018 while population/context indicators are newer; use as a historical proxy, not a current market count.</x:v>
      </x:c>
    </x:row>
    <x:row r="3234">
      <x:c r="A3234" s="12" t="str">
        <x:v>8620</x:v>
      </x:c>
      <x:c r="B3234" s="12" t="str">
        <x:v>Medical and dental practice activities</x:v>
      </x:c>
      <x:c r="C3234" s="12" t="str">
        <x:v>إربد</x:v>
      </x:c>
      <x:c r="D3234" s="14" t="n">
        <x:v>501</x:v>
      </x:c>
      <x:c r="E3234" s="14" t="n">
        <x:f>VLOOKUP(C3234,'Governorate Master'!$A$2:$Q$13,3,FALSE)</x:f>
        <x:v>2210500</x:v>
      </x:c>
      <x:c r="F3234" s="66" t="n">
        <x:f>IF(E3234=0,0,D3234/E3234*10000)</x:f>
        <x:v>2.266455553042298</x:v>
      </x:c>
      <x:c r="G3234" s="67" t="n">
        <x:f>VLOOKUP(C3234,'Governorate Master'!$A$2:$Q$13,7,FALSE)</x:f>
        <x:v>1406.4</x:v>
      </x:c>
      <x:c r="H3234" s="20" t="n">
        <x:f>VLOOKUP(C3234,'Governorate Master'!$A$2:$Q$13,6,FALSE)</x:f>
        <x:v>0.9235014702555983</x:v>
      </x:c>
      <x:c r="I3234" s="20" t="n">
        <x:f>VLOOKUP(C3234,'Governorate Master'!$A$2:$Q$13,15,FALSE)</x:f>
        <x:v>0.07086922474549726</x:v>
      </x:c>
      <x:c r="J3234" s="12" t="str">
        <x:v>Location model input - competition/saturation context</x:v>
      </x:c>
      <x:c r="K3234" s="12" t="str">
        <x:v>Business count is from 2018 while population/context indicators are newer; use as a historical proxy, not a current market count.</x:v>
      </x:c>
    </x:row>
    <x:row r="3235">
      <x:c r="A3235" s="12" t="str">
        <x:v>8620</x:v>
      </x:c>
      <x:c r="B3235" s="12" t="str">
        <x:v>Medical and dental practice activities</x:v>
      </x:c>
      <x:c r="C3235" s="12" t="str">
        <x:v>المفرق</x:v>
      </x:c>
      <x:c r="D3235" s="14" t="n">
        <x:v>76</x:v>
      </x:c>
      <x:c r="E3235" s="14" t="n">
        <x:f>VLOOKUP(C3235,'Governorate Master'!$A$2:$Q$13,3,FALSE)</x:f>
        <x:v>686800</x:v>
      </x:c>
      <x:c r="F3235" s="66" t="n">
        <x:f>IF(E3235=0,0,D3235/E3235*10000)</x:f>
        <x:v>1.10658124635993</x:v>
      </x:c>
      <x:c r="G3235" s="67" t="n">
        <x:f>VLOOKUP(C3235,'Governorate Master'!$A$2:$Q$13,7,FALSE)</x:f>
        <x:v>25.9</x:v>
      </x:c>
      <x:c r="H3235" s="20" t="n">
        <x:f>VLOOKUP(C3235,'Governorate Master'!$A$2:$Q$13,6,FALSE)</x:f>
        <x:v>0.6965637740244612</x:v>
      </x:c>
      <x:c r="I3235" s="20" t="n">
        <x:f>VLOOKUP(C3235,'Governorate Master'!$A$2:$Q$13,15,FALSE)</x:f>
        <x:v>-0.016638935108153077</x:v>
      </x:c>
      <x:c r="J3235" s="12" t="str">
        <x:v>Location model input - competition/saturation context</x:v>
      </x:c>
      <x:c r="K3235" s="12" t="str">
        <x:v>Business count is from 2018 while population/context indicators are newer; use as a historical proxy, not a current market count.</x:v>
      </x:c>
    </x:row>
    <x:row r="3236">
      <x:c r="A3236" s="12" t="str">
        <x:v>8620</x:v>
      </x:c>
      <x:c r="B3236" s="12" t="str">
        <x:v>Medical and dental practice activities</x:v>
      </x:c>
      <x:c r="C3236" s="12" t="str">
        <x:v>جرش</x:v>
      </x:c>
      <x:c r="D3236" s="14" t="n">
        <x:v>41</x:v>
      </x:c>
      <x:c r="E3236" s="14" t="n">
        <x:f>VLOOKUP(C3236,'Governorate Master'!$A$2:$Q$13,3,FALSE)</x:f>
        <x:v>296000</x:v>
      </x:c>
      <x:c r="F3236" s="66" t="n">
        <x:f>IF(E3236=0,0,D3236/E3236*10000)</x:f>
        <x:v>1.3851351351351353</x:v>
      </x:c>
      <x:c r="G3236" s="67" t="n">
        <x:f>VLOOKUP(C3236,'Governorate Master'!$A$2:$Q$13,7,FALSE)</x:f>
        <x:v>722.3</x:v>
      </x:c>
      <x:c r="H3236" s="20" t="n">
        <x:f>VLOOKUP(C3236,'Governorate Master'!$A$2:$Q$13,6,FALSE)</x:f>
        <x:v>0.7695945945945946</x:v>
      </x:c>
      <x:c r="I3236" s="20" t="n">
        <x:f>VLOOKUP(C3236,'Governorate Master'!$A$2:$Q$13,15,FALSE)</x:f>
        <x:v>-0.06527415143603134</x:v>
      </x:c>
      <x:c r="J3236" s="12" t="str">
        <x:v>Location model input - competition/saturation context</x:v>
      </x:c>
      <x:c r="K3236" s="12" t="str">
        <x:v>Business count is from 2018 while population/context indicators are newer; use as a historical proxy, not a current market count.</x:v>
      </x:c>
    </x:row>
    <x:row r="3237">
      <x:c r="A3237" s="12" t="str">
        <x:v>8620</x:v>
      </x:c>
      <x:c r="B3237" s="12" t="str">
        <x:v>Medical and dental practice activities</x:v>
      </x:c>
      <x:c r="C3237" s="12" t="str">
        <x:v>عجلون</x:v>
      </x:c>
      <x:c r="D3237" s="14" t="n">
        <x:v>45</x:v>
      </x:c>
      <x:c r="E3237" s="14" t="n">
        <x:f>VLOOKUP(C3237,'Governorate Master'!$A$2:$Q$13,3,FALSE)</x:f>
        <x:v>219900</x:v>
      </x:c>
      <x:c r="F3237" s="66" t="n">
        <x:f>IF(E3237=0,0,D3237/E3237*10000)</x:f>
        <x:v>2.0463847203274215</x:v>
      </x:c>
      <x:c r="G3237" s="67" t="n">
        <x:f>VLOOKUP(C3237,'Governorate Master'!$A$2:$Q$13,7,FALSE)</x:f>
        <x:v>524</x:v>
      </x:c>
      <x:c r="H3237" s="20" t="n">
        <x:f>VLOOKUP(C3237,'Governorate Master'!$A$2:$Q$13,6,FALSE)</x:f>
        <x:v>0.8390177353342428</x:v>
      </x:c>
      <x:c r="I3237" s="20" t="n">
        <x:f>VLOOKUP(C3237,'Governorate Master'!$A$2:$Q$13,15,FALSE)</x:f>
        <x:v>0.03614457831325301</x:v>
      </x:c>
      <x:c r="J3237" s="12" t="str">
        <x:v>Location model input - competition/saturation context</x:v>
      </x:c>
      <x:c r="K3237" s="12" t="str">
        <x:v>Business count is from 2018 while population/context indicators are newer; use as a historical proxy, not a current market count.</x:v>
      </x:c>
    </x:row>
    <x:row r="3238">
      <x:c r="A3238" s="12" t="str">
        <x:v>8620</x:v>
      </x:c>
      <x:c r="B3238" s="12" t="str">
        <x:v>Medical and dental practice activities</x:v>
      </x:c>
      <x:c r="C3238" s="12" t="str">
        <x:v>الكرك</x:v>
      </x:c>
      <x:c r="D3238" s="14" t="n">
        <x:v>102</x:v>
      </x:c>
      <x:c r="E3238" s="14" t="n">
        <x:f>VLOOKUP(C3238,'Governorate Master'!$A$2:$Q$13,3,FALSE)</x:f>
        <x:v>395400</x:v>
      </x:c>
      <x:c r="F3238" s="66" t="n">
        <x:f>IF(E3238=0,0,D3238/E3238*10000)</x:f>
        <x:v>2.579666160849772</x:v>
      </x:c>
      <x:c r="G3238" s="67" t="n">
        <x:f>VLOOKUP(C3238,'Governorate Master'!$A$2:$Q$13,7,FALSE)</x:f>
        <x:v>113.1</x:v>
      </x:c>
      <x:c r="H3238" s="20" t="n">
        <x:f>VLOOKUP(C3238,'Governorate Master'!$A$2:$Q$13,6,FALSE)</x:f>
        <x:v>0.5912999494183105</x:v>
      </x:c>
      <x:c r="I3238" s="20" t="n">
        <x:f>VLOOKUP(C3238,'Governorate Master'!$A$2:$Q$13,15,FALSE)</x:f>
        <x:v>0.08710801393728224</x:v>
      </x:c>
      <x:c r="J3238" s="12" t="str">
        <x:v>Location model input - competition/saturation context</x:v>
      </x:c>
      <x:c r="K3238" s="12" t="str">
        <x:v>Business count is from 2018 while population/context indicators are newer; use as a historical proxy, not a current market count.</x:v>
      </x:c>
    </x:row>
    <x:row r="3239">
      <x:c r="A3239" s="12" t="str">
        <x:v>8620</x:v>
      </x:c>
      <x:c r="B3239" s="12" t="str">
        <x:v>Medical and dental practice activities</x:v>
      </x:c>
      <x:c r="C3239" s="12" t="str">
        <x:v>الطفيلة</x:v>
      </x:c>
      <x:c r="D3239" s="14" t="n">
        <x:v>20</x:v>
      </x:c>
      <x:c r="E3239" s="14" t="n">
        <x:f>VLOOKUP(C3239,'Governorate Master'!$A$2:$Q$13,3,FALSE)</x:f>
        <x:v>120300</x:v>
      </x:c>
      <x:c r="F3239" s="66" t="n">
        <x:f>IF(E3239=0,0,D3239/E3239*10000)</x:f>
        <x:v>1.6625103906899419</x:v>
      </x:c>
      <x:c r="G3239" s="67" t="n">
        <x:f>VLOOKUP(C3239,'Governorate Master'!$A$2:$Q$13,7,FALSE)</x:f>
        <x:v>54.4</x:v>
      </x:c>
      <x:c r="H3239" s="20" t="n">
        <x:f>VLOOKUP(C3239,'Governorate Master'!$A$2:$Q$13,6,FALSE)</x:f>
        <x:v>0.7797173732335827</x:v>
      </x:c>
      <x:c r="I3239" s="20" t="n">
        <x:f>VLOOKUP(C3239,'Governorate Master'!$A$2:$Q$13,15,FALSE)</x:f>
        <x:v>0.18452380952380953</x:v>
      </x:c>
      <x:c r="J3239" s="12" t="str">
        <x:v>Location model input - competition/saturation context</x:v>
      </x:c>
      <x:c r="K3239" s="12" t="str">
        <x:v>Business count is from 2018 while population/context indicators are newer; use as a historical proxy, not a current market count.</x:v>
      </x:c>
    </x:row>
    <x:row r="3240">
      <x:c r="A3240" s="12" t="str">
        <x:v>8620</x:v>
      </x:c>
      <x:c r="B3240" s="12" t="str">
        <x:v>Medical and dental practice activities</x:v>
      </x:c>
      <x:c r="C3240" s="12" t="str">
        <x:v>معان</x:v>
      </x:c>
      <x:c r="D3240" s="14" t="n">
        <x:v>27</x:v>
      </x:c>
      <x:c r="E3240" s="14" t="n">
        <x:f>VLOOKUP(C3240,'Governorate Master'!$A$2:$Q$13,3,FALSE)</x:f>
        <x:v>197900</x:v>
      </x:c>
      <x:c r="F3240" s="66" t="n">
        <x:f>IF(E3240=0,0,D3240/E3240*10000)</x:f>
        <x:v>1.3643254168772108</x:v>
      </x:c>
      <x:c r="G3240" s="67" t="n">
        <x:f>VLOOKUP(C3240,'Governorate Master'!$A$2:$Q$13,7,FALSE)</x:f>
        <x:v>6</x:v>
      </x:c>
      <x:c r="H3240" s="20" t="n">
        <x:f>VLOOKUP(C3240,'Governorate Master'!$A$2:$Q$13,6,FALSE)</x:f>
        <x:v>0.5406771096513391</x:v>
      </x:c>
      <x:c r="I3240" s="20" t="n">
        <x:f>VLOOKUP(C3240,'Governorate Master'!$A$2:$Q$13,15,FALSE)</x:f>
        <x:v>0.026845637583892617</x:v>
      </x:c>
      <x:c r="J3240" s="12" t="str">
        <x:v>Location model input - competition/saturation context</x:v>
      </x:c>
      <x:c r="K3240" s="12" t="str">
        <x:v>Business count is from 2018 while population/context indicators are newer; use as a historical proxy, not a current market count.</x:v>
      </x:c>
    </x:row>
    <x:row r="3241">
      <x:c r="A3241" s="12" t="str">
        <x:v>8620</x:v>
      </x:c>
      <x:c r="B3241" s="12" t="str">
        <x:v>Medical and dental practice activities</x:v>
      </x:c>
      <x:c r="C3241" s="12" t="str">
        <x:v>العقبة</x:v>
      </x:c>
      <x:c r="D3241" s="14" t="n">
        <x:v>80</x:v>
      </x:c>
      <x:c r="E3241" s="14" t="n">
        <x:f>VLOOKUP(C3241,'Governorate Master'!$A$2:$Q$13,3,FALSE)</x:f>
        <x:v>250900</x:v>
      </x:c>
      <x:c r="F3241" s="66" t="n">
        <x:f>IF(E3241=0,0,D3241/E3241*10000)</x:f>
        <x:v>3.188521323236349</x:v>
      </x:c>
      <x:c r="G3241" s="67" t="n">
        <x:f>VLOOKUP(C3241,'Governorate Master'!$A$2:$Q$13,7,FALSE)</x:f>
        <x:v>36.3</x:v>
      </x:c>
      <x:c r="H3241" s="20" t="n">
        <x:f>VLOOKUP(C3241,'Governorate Master'!$A$2:$Q$13,6,FALSE)</x:f>
        <x:v>0.882024711040255</x:v>
      </x:c>
      <x:c r="I3241" s="20" t="n">
        <x:f>VLOOKUP(C3241,'Governorate Master'!$A$2:$Q$13,15,FALSE)</x:f>
        <x:v>-0.09</x:v>
      </x:c>
      <x:c r="J3241" s="12" t="str">
        <x:v>Location model input - competition/saturation context</x:v>
      </x:c>
      <x:c r="K3241" s="12" t="str">
        <x:v>Business count is from 2018 while population/context indicators are newer; use as a historical proxy, not a current market count.</x:v>
      </x:c>
    </x:row>
    <x:row r="3242">
      <x:c r="A3242" s="12" t="str">
        <x:v>8690</x:v>
      </x:c>
      <x:c r="B3242" s="12" t="str">
        <x:v>Other human health activities</x:v>
      </x:c>
      <x:c r="C3242" s="12" t="str">
        <x:v>عمان</x:v>
      </x:c>
      <x:c r="D3242" s="14" t="n">
        <x:v>371</x:v>
      </x:c>
      <x:c r="E3242" s="14" t="n">
        <x:f>VLOOKUP(C3242,'Governorate Master'!$A$2:$Q$13,3,FALSE)</x:f>
        <x:v>5004600</x:v>
      </x:c>
      <x:c r="F3242" s="66" t="n">
        <x:f>IF(E3242=0,0,D3242/E3242*10000)</x:f>
        <x:v>0.7413179874515446</x:v>
      </x:c>
      <x:c r="G3242" s="67" t="n">
        <x:f>VLOOKUP(C3242,'Governorate Master'!$A$2:$Q$13,7,FALSE)</x:f>
        <x:v>660.3</x:v>
      </x:c>
      <x:c r="H3242" s="20" t="n">
        <x:f>VLOOKUP(C3242,'Governorate Master'!$A$2:$Q$13,6,FALSE)</x:f>
        <x:v>0.9721656076409703</x:v>
      </x:c>
      <x:c r="I3242" s="20" t="n">
        <x:f>VLOOKUP(C3242,'Governorate Master'!$A$2:$Q$13,15,FALSE)</x:f>
        <x:v>0.06367041198501873</x:v>
      </x:c>
      <x:c r="J3242" s="12" t="str">
        <x:v>Location model input - competition/saturation context</x:v>
      </x:c>
      <x:c r="K3242" s="12" t="str">
        <x:v>Business count is from 2018 while population/context indicators are newer; use as a historical proxy, not a current market count.</x:v>
      </x:c>
    </x:row>
    <x:row r="3243">
      <x:c r="A3243" s="12" t="str">
        <x:v>8690</x:v>
      </x:c>
      <x:c r="B3243" s="12" t="str">
        <x:v>Other human health activities</x:v>
      </x:c>
      <x:c r="C3243" s="12" t="str">
        <x:v>البلقاء</x:v>
      </x:c>
      <x:c r="D3243" s="14" t="n">
        <x:v>17</x:v>
      </x:c>
      <x:c r="E3243" s="14" t="n">
        <x:f>VLOOKUP(C3243,'Governorate Master'!$A$2:$Q$13,3,FALSE)</x:f>
        <x:v>614000</x:v>
      </x:c>
      <x:c r="F3243" s="66" t="n">
        <x:f>IF(E3243=0,0,D3243/E3243*10000)</x:f>
        <x:v>0.2768729641693811</x:v>
      </x:c>
      <x:c r="G3243" s="67" t="n">
        <x:f>VLOOKUP(C3243,'Governorate Master'!$A$2:$Q$13,7,FALSE)</x:f>
        <x:v>548</x:v>
      </x:c>
      <x:c r="H3243" s="20" t="n">
        <x:f>VLOOKUP(C3243,'Governorate Master'!$A$2:$Q$13,6,FALSE)</x:f>
        <x:v>0.8210097719869707</x:v>
      </x:c>
      <x:c r="I3243" s="20" t="n">
        <x:f>VLOOKUP(C3243,'Governorate Master'!$A$2:$Q$13,15,FALSE)</x:f>
        <x:v>0.10794044665012408</x:v>
      </x:c>
      <x:c r="J3243" s="12" t="str">
        <x:v>Location model input - competition/saturation context</x:v>
      </x:c>
      <x:c r="K3243" s="12" t="str">
        <x:v>Business count is from 2018 while population/context indicators are newer; use as a historical proxy, not a current market count.</x:v>
      </x:c>
    </x:row>
    <x:row r="3244">
      <x:c r="A3244" s="12" t="str">
        <x:v>8690</x:v>
      </x:c>
      <x:c r="B3244" s="12" t="str">
        <x:v>Other human health activities</x:v>
      </x:c>
      <x:c r="C3244" s="12" t="str">
        <x:v>الزرقاء</x:v>
      </x:c>
      <x:c r="D3244" s="14" t="n">
        <x:v>60</x:v>
      </x:c>
      <x:c r="E3244" s="14" t="n">
        <x:f>VLOOKUP(C3244,'Governorate Master'!$A$2:$Q$13,3,FALSE)</x:f>
        <x:v>1704500</x:v>
      </x:c>
      <x:c r="F3244" s="66" t="n">
        <x:f>IF(E3244=0,0,D3244/E3244*10000)</x:f>
        <x:v>0.3520093869169844</x:v>
      </x:c>
      <x:c r="G3244" s="67" t="n">
        <x:f>VLOOKUP(C3244,'Governorate Master'!$A$2:$Q$13,7,FALSE)</x:f>
        <x:v>358</x:v>
      </x:c>
      <x:c r="H3244" s="20" t="n">
        <x:f>VLOOKUP(C3244,'Governorate Master'!$A$2:$Q$13,6,FALSE)</x:f>
        <x:v>0.9636256966852449</x:v>
      </x:c>
      <x:c r="I3244" s="20" t="n">
        <x:f>VLOOKUP(C3244,'Governorate Master'!$A$2:$Q$13,15,FALSE)</x:f>
        <x:v>-0.06808762581409118</x:v>
      </x:c>
      <x:c r="J3244" s="12" t="str">
        <x:v>Location model input - competition/saturation context</x:v>
      </x:c>
      <x:c r="K3244" s="12" t="str">
        <x:v>Business count is from 2018 while population/context indicators are newer; use as a historical proxy, not a current market count.</x:v>
      </x:c>
    </x:row>
    <x:row r="3245">
      <x:c r="A3245" s="12" t="str">
        <x:v>8690</x:v>
      </x:c>
      <x:c r="B3245" s="12" t="str">
        <x:v>Other human health activities</x:v>
      </x:c>
      <x:c r="C3245" s="12" t="str">
        <x:v>مادبا</x:v>
      </x:c>
      <x:c r="D3245" s="14" t="n">
        <x:v>12</x:v>
      </x:c>
      <x:c r="E3245" s="14" t="n">
        <x:f>VLOOKUP(C3245,'Governorate Master'!$A$2:$Q$13,3,FALSE)</x:f>
        <x:v>236200</x:v>
      </x:c>
      <x:c r="F3245" s="66" t="n">
        <x:f>IF(E3245=0,0,D3245/E3245*10000)</x:f>
        <x:v>0.5080440304826418</x:v>
      </x:c>
      <x:c r="G3245" s="67" t="n">
        <x:f>VLOOKUP(C3245,'Governorate Master'!$A$2:$Q$13,7,FALSE)</x:f>
        <x:v>251.4</x:v>
      </x:c>
      <x:c r="H3245" s="20" t="n">
        <x:f>VLOOKUP(C3245,'Governorate Master'!$A$2:$Q$13,6,FALSE)</x:f>
        <x:v>0.7823878069432684</x:v>
      </x:c>
      <x:c r="I3245" s="20" t="n">
        <x:f>VLOOKUP(C3245,'Governorate Master'!$A$2:$Q$13,15,FALSE)</x:f>
        <x:v>-0.18823529411764706</x:v>
      </x:c>
      <x:c r="J3245" s="12" t="str">
        <x:v>Location model input - competition/saturation context</x:v>
      </x:c>
      <x:c r="K3245" s="12" t="str">
        <x:v>Business count is from 2018 while population/context indicators are newer; use as a historical proxy, not a current market count.</x:v>
      </x:c>
    </x:row>
    <x:row r="3246">
      <x:c r="A3246" s="12" t="str">
        <x:v>8690</x:v>
      </x:c>
      <x:c r="B3246" s="12" t="str">
        <x:v>Other human health activities</x:v>
      </x:c>
      <x:c r="C3246" s="12" t="str">
        <x:v>إربد</x:v>
      </x:c>
      <x:c r="D3246" s="14" t="n">
        <x:v>52</x:v>
      </x:c>
      <x:c r="E3246" s="14" t="n">
        <x:f>VLOOKUP(C3246,'Governorate Master'!$A$2:$Q$13,3,FALSE)</x:f>
        <x:v>2210500</x:v>
      </x:c>
      <x:c r="F3246" s="66" t="n">
        <x:f>IF(E3246=0,0,D3246/E3246*10000)</x:f>
        <x:v>0.23524089572494908</x:v>
      </x:c>
      <x:c r="G3246" s="67" t="n">
        <x:f>VLOOKUP(C3246,'Governorate Master'!$A$2:$Q$13,7,FALSE)</x:f>
        <x:v>1406.4</x:v>
      </x:c>
      <x:c r="H3246" s="20" t="n">
        <x:f>VLOOKUP(C3246,'Governorate Master'!$A$2:$Q$13,6,FALSE)</x:f>
        <x:v>0.9235014702555983</x:v>
      </x:c>
      <x:c r="I3246" s="20" t="n">
        <x:f>VLOOKUP(C3246,'Governorate Master'!$A$2:$Q$13,15,FALSE)</x:f>
        <x:v>0.07086922474549726</x:v>
      </x:c>
      <x:c r="J3246" s="12" t="str">
        <x:v>Location model input - competition/saturation context</x:v>
      </x:c>
      <x:c r="K3246" s="12" t="str">
        <x:v>Business count is from 2018 while population/context indicators are newer; use as a historical proxy, not a current market count.</x:v>
      </x:c>
    </x:row>
    <x:row r="3247">
      <x:c r="A3247" s="12" t="str">
        <x:v>8690</x:v>
      </x:c>
      <x:c r="B3247" s="12" t="str">
        <x:v>Other human health activities</x:v>
      </x:c>
      <x:c r="C3247" s="12" t="str">
        <x:v>المفرق</x:v>
      </x:c>
      <x:c r="D3247" s="14" t="n">
        <x:v>7</x:v>
      </x:c>
      <x:c r="E3247" s="14" t="n">
        <x:f>VLOOKUP(C3247,'Governorate Master'!$A$2:$Q$13,3,FALSE)</x:f>
        <x:v>686800</x:v>
      </x:c>
      <x:c r="F3247" s="66" t="n">
        <x:f>IF(E3247=0,0,D3247/E3247*10000)</x:f>
        <x:v>0.10192195690157252</x:v>
      </x:c>
      <x:c r="G3247" s="67" t="n">
        <x:f>VLOOKUP(C3247,'Governorate Master'!$A$2:$Q$13,7,FALSE)</x:f>
        <x:v>25.9</x:v>
      </x:c>
      <x:c r="H3247" s="20" t="n">
        <x:f>VLOOKUP(C3247,'Governorate Master'!$A$2:$Q$13,6,FALSE)</x:f>
        <x:v>0.6965637740244612</x:v>
      </x:c>
      <x:c r="I3247" s="20" t="n">
        <x:f>VLOOKUP(C3247,'Governorate Master'!$A$2:$Q$13,15,FALSE)</x:f>
        <x:v>-0.016638935108153077</x:v>
      </x:c>
      <x:c r="J3247" s="12" t="str">
        <x:v>Location model input - competition/saturation context</x:v>
      </x:c>
      <x:c r="K3247" s="12" t="str">
        <x:v>Business count is from 2018 while population/context indicators are newer; use as a historical proxy, not a current market count.</x:v>
      </x:c>
    </x:row>
    <x:row r="3248">
      <x:c r="A3248" s="12" t="str">
        <x:v>8690</x:v>
      </x:c>
      <x:c r="B3248" s="12" t="str">
        <x:v>Other human health activities</x:v>
      </x:c>
      <x:c r="C3248" s="12" t="str">
        <x:v>جرش</x:v>
      </x:c>
      <x:c r="D3248" s="14" t="n">
        <x:v>2</x:v>
      </x:c>
      <x:c r="E3248" s="14" t="n">
        <x:f>VLOOKUP(C3248,'Governorate Master'!$A$2:$Q$13,3,FALSE)</x:f>
        <x:v>296000</x:v>
      </x:c>
      <x:c r="F3248" s="66" t="n">
        <x:f>IF(E3248=0,0,D3248/E3248*10000)</x:f>
        <x:v>0.06756756756756757</x:v>
      </x:c>
      <x:c r="G3248" s="67" t="n">
        <x:f>VLOOKUP(C3248,'Governorate Master'!$A$2:$Q$13,7,FALSE)</x:f>
        <x:v>722.3</x:v>
      </x:c>
      <x:c r="H3248" s="20" t="n">
        <x:f>VLOOKUP(C3248,'Governorate Master'!$A$2:$Q$13,6,FALSE)</x:f>
        <x:v>0.7695945945945946</x:v>
      </x:c>
      <x:c r="I3248" s="20" t="n">
        <x:f>VLOOKUP(C3248,'Governorate Master'!$A$2:$Q$13,15,FALSE)</x:f>
        <x:v>-0.06527415143603134</x:v>
      </x:c>
      <x:c r="J3248" s="12" t="str">
        <x:v>Location model input - competition/saturation context</x:v>
      </x:c>
      <x:c r="K3248" s="12" t="str">
        <x:v>Business count is from 2018 while population/context indicators are newer; use as a historical proxy, not a current market count.</x:v>
      </x:c>
    </x:row>
    <x:row r="3249">
      <x:c r="A3249" s="12" t="str">
        <x:v>8690</x:v>
      </x:c>
      <x:c r="B3249" s="12" t="str">
        <x:v>Other human health activities</x:v>
      </x:c>
      <x:c r="C3249" s="12" t="str">
        <x:v>عجلون</x:v>
      </x:c>
      <x:c r="D3249" s="14" t="n">
        <x:v>1</x:v>
      </x:c>
      <x:c r="E3249" s="14" t="n">
        <x:f>VLOOKUP(C3249,'Governorate Master'!$A$2:$Q$13,3,FALSE)</x:f>
        <x:v>219900</x:v>
      </x:c>
      <x:c r="F3249" s="66" t="n">
        <x:f>IF(E3249=0,0,D3249/E3249*10000)</x:f>
        <x:v>0.04547521600727603</x:v>
      </x:c>
      <x:c r="G3249" s="67" t="n">
        <x:f>VLOOKUP(C3249,'Governorate Master'!$A$2:$Q$13,7,FALSE)</x:f>
        <x:v>524</x:v>
      </x:c>
      <x:c r="H3249" s="20" t="n">
        <x:f>VLOOKUP(C3249,'Governorate Master'!$A$2:$Q$13,6,FALSE)</x:f>
        <x:v>0.8390177353342428</x:v>
      </x:c>
      <x:c r="I3249" s="20" t="n">
        <x:f>VLOOKUP(C3249,'Governorate Master'!$A$2:$Q$13,15,FALSE)</x:f>
        <x:v>0.03614457831325301</x:v>
      </x:c>
      <x:c r="J3249" s="12" t="str">
        <x:v>Location model input - competition/saturation context</x:v>
      </x:c>
      <x:c r="K3249" s="12" t="str">
        <x:v>Business count is from 2018 while population/context indicators are newer; use as a historical proxy, not a current market count.</x:v>
      </x:c>
    </x:row>
    <x:row r="3250">
      <x:c r="A3250" s="12" t="str">
        <x:v>8690</x:v>
      </x:c>
      <x:c r="B3250" s="12" t="str">
        <x:v>Other human health activities</x:v>
      </x:c>
      <x:c r="C3250" s="12" t="str">
        <x:v>الكرك</x:v>
      </x:c>
      <x:c r="D3250" s="14" t="n">
        <x:v>13</x:v>
      </x:c>
      <x:c r="E3250" s="14" t="n">
        <x:f>VLOOKUP(C3250,'Governorate Master'!$A$2:$Q$13,3,FALSE)</x:f>
        <x:v>395400</x:v>
      </x:c>
      <x:c r="F3250" s="66" t="n">
        <x:f>IF(E3250=0,0,D3250/E3250*10000)</x:f>
        <x:v>0.3287809812847749</x:v>
      </x:c>
      <x:c r="G3250" s="67" t="n">
        <x:f>VLOOKUP(C3250,'Governorate Master'!$A$2:$Q$13,7,FALSE)</x:f>
        <x:v>113.1</x:v>
      </x:c>
      <x:c r="H3250" s="20" t="n">
        <x:f>VLOOKUP(C3250,'Governorate Master'!$A$2:$Q$13,6,FALSE)</x:f>
        <x:v>0.5912999494183105</x:v>
      </x:c>
      <x:c r="I3250" s="20" t="n">
        <x:f>VLOOKUP(C3250,'Governorate Master'!$A$2:$Q$13,15,FALSE)</x:f>
        <x:v>0.08710801393728224</x:v>
      </x:c>
      <x:c r="J3250" s="12" t="str">
        <x:v>Location model input - competition/saturation context</x:v>
      </x:c>
      <x:c r="K3250" s="12" t="str">
        <x:v>Business count is from 2018 while population/context indicators are newer; use as a historical proxy, not a current market count.</x:v>
      </x:c>
    </x:row>
    <x:row r="3251">
      <x:c r="A3251" s="12" t="str">
        <x:v>8690</x:v>
      </x:c>
      <x:c r="B3251" s="12" t="str">
        <x:v>Other human health activities</x:v>
      </x:c>
      <x:c r="C3251" s="12" t="str">
        <x:v>الطفيلة</x:v>
      </x:c>
      <x:c r="D3251" s="14" t="n">
        <x:v>4</x:v>
      </x:c>
      <x:c r="E3251" s="14" t="n">
        <x:f>VLOOKUP(C3251,'Governorate Master'!$A$2:$Q$13,3,FALSE)</x:f>
        <x:v>120300</x:v>
      </x:c>
      <x:c r="F3251" s="66" t="n">
        <x:f>IF(E3251=0,0,D3251/E3251*10000)</x:f>
        <x:v>0.3325020781379884</x:v>
      </x:c>
      <x:c r="G3251" s="67" t="n">
        <x:f>VLOOKUP(C3251,'Governorate Master'!$A$2:$Q$13,7,FALSE)</x:f>
        <x:v>54.4</x:v>
      </x:c>
      <x:c r="H3251" s="20" t="n">
        <x:f>VLOOKUP(C3251,'Governorate Master'!$A$2:$Q$13,6,FALSE)</x:f>
        <x:v>0.7797173732335827</x:v>
      </x:c>
      <x:c r="I3251" s="20" t="n">
        <x:f>VLOOKUP(C3251,'Governorate Master'!$A$2:$Q$13,15,FALSE)</x:f>
        <x:v>0.18452380952380953</x:v>
      </x:c>
      <x:c r="J3251" s="12" t="str">
        <x:v>Location model input - competition/saturation context</x:v>
      </x:c>
      <x:c r="K3251" s="12" t="str">
        <x:v>Business count is from 2018 while population/context indicators are newer; use as a historical proxy, not a current market count.</x:v>
      </x:c>
    </x:row>
    <x:row r="3252">
      <x:c r="A3252" s="12" t="str">
        <x:v>8690</x:v>
      </x:c>
      <x:c r="B3252" s="12" t="str">
        <x:v>Other human health activities</x:v>
      </x:c>
      <x:c r="C3252" s="12" t="str">
        <x:v>معان</x:v>
      </x:c>
      <x:c r="D3252" s="14" t="n">
        <x:v>6</x:v>
      </x:c>
      <x:c r="E3252" s="14" t="n">
        <x:f>VLOOKUP(C3252,'Governorate Master'!$A$2:$Q$13,3,FALSE)</x:f>
        <x:v>197900</x:v>
      </x:c>
      <x:c r="F3252" s="66" t="n">
        <x:f>IF(E3252=0,0,D3252/E3252*10000)</x:f>
        <x:v>0.30318342597271347</x:v>
      </x:c>
      <x:c r="G3252" s="67" t="n">
        <x:f>VLOOKUP(C3252,'Governorate Master'!$A$2:$Q$13,7,FALSE)</x:f>
        <x:v>6</x:v>
      </x:c>
      <x:c r="H3252" s="20" t="n">
        <x:f>VLOOKUP(C3252,'Governorate Master'!$A$2:$Q$13,6,FALSE)</x:f>
        <x:v>0.5406771096513391</x:v>
      </x:c>
      <x:c r="I3252" s="20" t="n">
        <x:f>VLOOKUP(C3252,'Governorate Master'!$A$2:$Q$13,15,FALSE)</x:f>
        <x:v>0.026845637583892617</x:v>
      </x:c>
      <x:c r="J3252" s="12" t="str">
        <x:v>Location model input - competition/saturation context</x:v>
      </x:c>
      <x:c r="K3252" s="12" t="str">
        <x:v>Business count is from 2018 while population/context indicators are newer; use as a historical proxy, not a current market count.</x:v>
      </x:c>
    </x:row>
    <x:row r="3253">
      <x:c r="A3253" s="12" t="str">
        <x:v>8690</x:v>
      </x:c>
      <x:c r="B3253" s="12" t="str">
        <x:v>Other human health activities</x:v>
      </x:c>
      <x:c r="C3253" s="12" t="str">
        <x:v>العقبة</x:v>
      </x:c>
      <x:c r="D3253" s="14" t="n">
        <x:v>17</x:v>
      </x:c>
      <x:c r="E3253" s="14" t="n">
        <x:f>VLOOKUP(C3253,'Governorate Master'!$A$2:$Q$13,3,FALSE)</x:f>
        <x:v>250900</x:v>
      </x:c>
      <x:c r="F3253" s="66" t="n">
        <x:f>IF(E3253=0,0,D3253/E3253*10000)</x:f>
        <x:v>0.6775607811877241</x:v>
      </x:c>
      <x:c r="G3253" s="67" t="n">
        <x:f>VLOOKUP(C3253,'Governorate Master'!$A$2:$Q$13,7,FALSE)</x:f>
        <x:v>36.3</x:v>
      </x:c>
      <x:c r="H3253" s="20" t="n">
        <x:f>VLOOKUP(C3253,'Governorate Master'!$A$2:$Q$13,6,FALSE)</x:f>
        <x:v>0.882024711040255</x:v>
      </x:c>
      <x:c r="I3253" s="20" t="n">
        <x:f>VLOOKUP(C3253,'Governorate Master'!$A$2:$Q$13,15,FALSE)</x:f>
        <x:v>-0.09</x:v>
      </x:c>
      <x:c r="J3253" s="12" t="str">
        <x:v>Location model input - competition/saturation context</x:v>
      </x:c>
      <x:c r="K3253" s="12" t="str">
        <x:v>Business count is from 2018 while population/context indicators are newer; use as a historical proxy, not a current market count.</x:v>
      </x:c>
    </x:row>
    <x:row r="3254">
      <x:c r="A3254" s="12" t="str">
        <x:v>8710</x:v>
      </x:c>
      <x:c r="B3254" s="12" t="str">
        <x:v>Residential nursing care facilities</x:v>
      </x:c>
      <x:c r="C3254" s="12" t="str">
        <x:v>عمان</x:v>
      </x:c>
      <x:c r="D3254" s="14" t="n">
        <x:v>9</x:v>
      </x:c>
      <x:c r="E3254" s="14" t="n">
        <x:f>VLOOKUP(C3254,'Governorate Master'!$A$2:$Q$13,3,FALSE)</x:f>
        <x:v>5004600</x:v>
      </x:c>
      <x:c r="F3254" s="66" t="n">
        <x:f>IF(E3254=0,0,D3254/E3254*10000)</x:f>
        <x:v>0.0179834552211965</x:v>
      </x:c>
      <x:c r="G3254" s="67" t="n">
        <x:f>VLOOKUP(C3254,'Governorate Master'!$A$2:$Q$13,7,FALSE)</x:f>
        <x:v>660.3</x:v>
      </x:c>
      <x:c r="H3254" s="20" t="n">
        <x:f>VLOOKUP(C3254,'Governorate Master'!$A$2:$Q$13,6,FALSE)</x:f>
        <x:v>0.9721656076409703</x:v>
      </x:c>
      <x:c r="I3254" s="20" t="n">
        <x:f>VLOOKUP(C3254,'Governorate Master'!$A$2:$Q$13,15,FALSE)</x:f>
        <x:v>0.06367041198501873</x:v>
      </x:c>
      <x:c r="J3254" s="12" t="str">
        <x:v>Location model input - competition/saturation context</x:v>
      </x:c>
      <x:c r="K3254" s="12" t="str">
        <x:v>Business count is from 2018 while population/context indicators are newer; use as a historical proxy, not a current market count.</x:v>
      </x:c>
    </x:row>
    <x:row r="3255">
      <x:c r="A3255" s="12" t="str">
        <x:v>8710</x:v>
      </x:c>
      <x:c r="B3255" s="12" t="str">
        <x:v>Residential nursing care facilities</x:v>
      </x:c>
      <x:c r="C3255" s="12" t="str">
        <x:v>البلقاء</x:v>
      </x:c>
      <x:c r="D3255" s="14" t="n">
        <x:v>1</x:v>
      </x:c>
      <x:c r="E3255" s="14" t="n">
        <x:f>VLOOKUP(C3255,'Governorate Master'!$A$2:$Q$13,3,FALSE)</x:f>
        <x:v>614000</x:v>
      </x:c>
      <x:c r="F3255" s="66" t="n">
        <x:f>IF(E3255=0,0,D3255/E3255*10000)</x:f>
        <x:v>0.016286644951140065</x:v>
      </x:c>
      <x:c r="G3255" s="67" t="n">
        <x:f>VLOOKUP(C3255,'Governorate Master'!$A$2:$Q$13,7,FALSE)</x:f>
        <x:v>548</x:v>
      </x:c>
      <x:c r="H3255" s="20" t="n">
        <x:f>VLOOKUP(C3255,'Governorate Master'!$A$2:$Q$13,6,FALSE)</x:f>
        <x:v>0.8210097719869707</x:v>
      </x:c>
      <x:c r="I3255" s="20" t="n">
        <x:f>VLOOKUP(C3255,'Governorate Master'!$A$2:$Q$13,15,FALSE)</x:f>
        <x:v>0.10794044665012408</x:v>
      </x:c>
      <x:c r="J3255" s="12" t="str">
        <x:v>Location model input - competition/saturation context</x:v>
      </x:c>
      <x:c r="K3255" s="12" t="str">
        <x:v>Business count is from 2018 while population/context indicators are newer; use as a historical proxy, not a current market count.</x:v>
      </x:c>
    </x:row>
    <x:row r="3256">
      <x:c r="A3256" s="12" t="str">
        <x:v>8710</x:v>
      </x:c>
      <x:c r="B3256" s="12" t="str">
        <x:v>Residential nursing care facilities</x:v>
      </x:c>
      <x:c r="C3256" s="12" t="str">
        <x:v>الزرقاء</x:v>
      </x:c>
      <x:c r="D3256" s="14" t="n">
        <x:v>2</x:v>
      </x:c>
      <x:c r="E3256" s="14" t="n">
        <x:f>VLOOKUP(C3256,'Governorate Master'!$A$2:$Q$13,3,FALSE)</x:f>
        <x:v>1704500</x:v>
      </x:c>
      <x:c r="F3256" s="66" t="n">
        <x:f>IF(E3256=0,0,D3256/E3256*10000)</x:f>
        <x:v>0.011733646230566148</x:v>
      </x:c>
      <x:c r="G3256" s="67" t="n">
        <x:f>VLOOKUP(C3256,'Governorate Master'!$A$2:$Q$13,7,FALSE)</x:f>
        <x:v>358</x:v>
      </x:c>
      <x:c r="H3256" s="20" t="n">
        <x:f>VLOOKUP(C3256,'Governorate Master'!$A$2:$Q$13,6,FALSE)</x:f>
        <x:v>0.9636256966852449</x:v>
      </x:c>
      <x:c r="I3256" s="20" t="n">
        <x:f>VLOOKUP(C3256,'Governorate Master'!$A$2:$Q$13,15,FALSE)</x:f>
        <x:v>-0.06808762581409118</x:v>
      </x:c>
      <x:c r="J3256" s="12" t="str">
        <x:v>Location model input - competition/saturation context</x:v>
      </x:c>
      <x:c r="K3256" s="12" t="str">
        <x:v>Business count is from 2018 while population/context indicators are newer; use as a historical proxy, not a current market count.</x:v>
      </x:c>
    </x:row>
    <x:row r="3257">
      <x:c r="A3257" s="12" t="str">
        <x:v>8710</x:v>
      </x:c>
      <x:c r="B3257" s="12" t="str">
        <x:v>Residential nursing care facilities</x:v>
      </x:c>
      <x:c r="C3257" s="12" t="str">
        <x:v>مادبا</x:v>
      </x:c>
      <x:c r="D3257" s="14" t="n">
        <x:v>0</x:v>
      </x:c>
      <x:c r="E3257" s="14" t="n">
        <x:f>VLOOKUP(C3257,'Governorate Master'!$A$2:$Q$13,3,FALSE)</x:f>
        <x:v>236200</x:v>
      </x:c>
      <x:c r="F3257" s="66" t="n">
        <x:f>IF(E3257=0,0,D3257/E3257*10000)</x:f>
        <x:v>0</x:v>
      </x:c>
      <x:c r="G3257" s="67" t="n">
        <x:f>VLOOKUP(C3257,'Governorate Master'!$A$2:$Q$13,7,FALSE)</x:f>
        <x:v>251.4</x:v>
      </x:c>
      <x:c r="H3257" s="20" t="n">
        <x:f>VLOOKUP(C3257,'Governorate Master'!$A$2:$Q$13,6,FALSE)</x:f>
        <x:v>0.7823878069432684</x:v>
      </x:c>
      <x:c r="I3257" s="20" t="n">
        <x:f>VLOOKUP(C3257,'Governorate Master'!$A$2:$Q$13,15,FALSE)</x:f>
        <x:v>-0.18823529411764706</x:v>
      </x:c>
      <x:c r="J3257" s="12" t="str">
        <x:v>Location model input - competition/saturation context</x:v>
      </x:c>
      <x:c r="K3257" s="12" t="str">
        <x:v>Business count is from 2018 while population/context indicators are newer; use as a historical proxy, not a current market count.</x:v>
      </x:c>
    </x:row>
    <x:row r="3258">
      <x:c r="A3258" s="12" t="str">
        <x:v>8710</x:v>
      </x:c>
      <x:c r="B3258" s="12" t="str">
        <x:v>Residential nursing care facilities</x:v>
      </x:c>
      <x:c r="C3258" s="12" t="str">
        <x:v>إربد</x:v>
      </x:c>
      <x:c r="D3258" s="14" t="n">
        <x:v>0</x:v>
      </x:c>
      <x:c r="E3258" s="14" t="n">
        <x:f>VLOOKUP(C3258,'Governorate Master'!$A$2:$Q$13,3,FALSE)</x:f>
        <x:v>2210500</x:v>
      </x:c>
      <x:c r="F3258" s="66" t="n">
        <x:f>IF(E3258=0,0,D3258/E3258*10000)</x:f>
        <x:v>0</x:v>
      </x:c>
      <x:c r="G3258" s="67" t="n">
        <x:f>VLOOKUP(C3258,'Governorate Master'!$A$2:$Q$13,7,FALSE)</x:f>
        <x:v>1406.4</x:v>
      </x:c>
      <x:c r="H3258" s="20" t="n">
        <x:f>VLOOKUP(C3258,'Governorate Master'!$A$2:$Q$13,6,FALSE)</x:f>
        <x:v>0.9235014702555983</x:v>
      </x:c>
      <x:c r="I3258" s="20" t="n">
        <x:f>VLOOKUP(C3258,'Governorate Master'!$A$2:$Q$13,15,FALSE)</x:f>
        <x:v>0.07086922474549726</x:v>
      </x:c>
      <x:c r="J3258" s="12" t="str">
        <x:v>Location model input - competition/saturation context</x:v>
      </x:c>
      <x:c r="K3258" s="12" t="str">
        <x:v>Business count is from 2018 while population/context indicators are newer; use as a historical proxy, not a current market count.</x:v>
      </x:c>
    </x:row>
    <x:row r="3259">
      <x:c r="A3259" s="12" t="str">
        <x:v>8710</x:v>
      </x:c>
      <x:c r="B3259" s="12" t="str">
        <x:v>Residential nursing care facilities</x:v>
      </x:c>
      <x:c r="C3259" s="12" t="str">
        <x:v>المفرق</x:v>
      </x:c>
      <x:c r="D3259" s="14" t="n">
        <x:v>0</x:v>
      </x:c>
      <x:c r="E3259" s="14" t="n">
        <x:f>VLOOKUP(C3259,'Governorate Master'!$A$2:$Q$13,3,FALSE)</x:f>
        <x:v>686800</x:v>
      </x:c>
      <x:c r="F3259" s="66" t="n">
        <x:f>IF(E3259=0,0,D3259/E3259*10000)</x:f>
        <x:v>0</x:v>
      </x:c>
      <x:c r="G3259" s="67" t="n">
        <x:f>VLOOKUP(C3259,'Governorate Master'!$A$2:$Q$13,7,FALSE)</x:f>
        <x:v>25.9</x:v>
      </x:c>
      <x:c r="H3259" s="20" t="n">
        <x:f>VLOOKUP(C3259,'Governorate Master'!$A$2:$Q$13,6,FALSE)</x:f>
        <x:v>0.6965637740244612</x:v>
      </x:c>
      <x:c r="I3259" s="20" t="n">
        <x:f>VLOOKUP(C3259,'Governorate Master'!$A$2:$Q$13,15,FALSE)</x:f>
        <x:v>-0.016638935108153077</x:v>
      </x:c>
      <x:c r="J3259" s="12" t="str">
        <x:v>Location model input - competition/saturation context</x:v>
      </x:c>
      <x:c r="K3259" s="12" t="str">
        <x:v>Business count is from 2018 while population/context indicators are newer; use as a historical proxy, not a current market count.</x:v>
      </x:c>
    </x:row>
    <x:row r="3260">
      <x:c r="A3260" s="12" t="str">
        <x:v>8710</x:v>
      </x:c>
      <x:c r="B3260" s="12" t="str">
        <x:v>Residential nursing care facilities</x:v>
      </x:c>
      <x:c r="C3260" s="12" t="str">
        <x:v>جرش</x:v>
      </x:c>
      <x:c r="D3260" s="14" t="n">
        <x:v>0</x:v>
      </x:c>
      <x:c r="E3260" s="14" t="n">
        <x:f>VLOOKUP(C3260,'Governorate Master'!$A$2:$Q$13,3,FALSE)</x:f>
        <x:v>296000</x:v>
      </x:c>
      <x:c r="F3260" s="66" t="n">
        <x:f>IF(E3260=0,0,D3260/E3260*10000)</x:f>
        <x:v>0</x:v>
      </x:c>
      <x:c r="G3260" s="67" t="n">
        <x:f>VLOOKUP(C3260,'Governorate Master'!$A$2:$Q$13,7,FALSE)</x:f>
        <x:v>722.3</x:v>
      </x:c>
      <x:c r="H3260" s="20" t="n">
        <x:f>VLOOKUP(C3260,'Governorate Master'!$A$2:$Q$13,6,FALSE)</x:f>
        <x:v>0.7695945945945946</x:v>
      </x:c>
      <x:c r="I3260" s="20" t="n">
        <x:f>VLOOKUP(C3260,'Governorate Master'!$A$2:$Q$13,15,FALSE)</x:f>
        <x:v>-0.06527415143603134</x:v>
      </x:c>
      <x:c r="J3260" s="12" t="str">
        <x:v>Location model input - competition/saturation context</x:v>
      </x:c>
      <x:c r="K3260" s="12" t="str">
        <x:v>Business count is from 2018 while population/context indicators are newer; use as a historical proxy, not a current market count.</x:v>
      </x:c>
    </x:row>
    <x:row r="3261">
      <x:c r="A3261" s="12" t="str">
        <x:v>8710</x:v>
      </x:c>
      <x:c r="B3261" s="12" t="str">
        <x:v>Residential nursing care facilities</x:v>
      </x:c>
      <x:c r="C3261" s="12" t="str">
        <x:v>عجلون</x:v>
      </x:c>
      <x:c r="D3261" s="14" t="n">
        <x:v>0</x:v>
      </x:c>
      <x:c r="E3261" s="14" t="n">
        <x:f>VLOOKUP(C3261,'Governorate Master'!$A$2:$Q$13,3,FALSE)</x:f>
        <x:v>219900</x:v>
      </x:c>
      <x:c r="F3261" s="66" t="n">
        <x:f>IF(E3261=0,0,D3261/E3261*10000)</x:f>
        <x:v>0</x:v>
      </x:c>
      <x:c r="G3261" s="67" t="n">
        <x:f>VLOOKUP(C3261,'Governorate Master'!$A$2:$Q$13,7,FALSE)</x:f>
        <x:v>524</x:v>
      </x:c>
      <x:c r="H3261" s="20" t="n">
        <x:f>VLOOKUP(C3261,'Governorate Master'!$A$2:$Q$13,6,FALSE)</x:f>
        <x:v>0.8390177353342428</x:v>
      </x:c>
      <x:c r="I3261" s="20" t="n">
        <x:f>VLOOKUP(C3261,'Governorate Master'!$A$2:$Q$13,15,FALSE)</x:f>
        <x:v>0.03614457831325301</x:v>
      </x:c>
      <x:c r="J3261" s="12" t="str">
        <x:v>Location model input - competition/saturation context</x:v>
      </x:c>
      <x:c r="K3261" s="12" t="str">
        <x:v>Business count is from 2018 while population/context indicators are newer; use as a historical proxy, not a current market count.</x:v>
      </x:c>
    </x:row>
    <x:row r="3262">
      <x:c r="A3262" s="12" t="str">
        <x:v>8710</x:v>
      </x:c>
      <x:c r="B3262" s="12" t="str">
        <x:v>Residential nursing care facilities</x:v>
      </x:c>
      <x:c r="C3262" s="12" t="str">
        <x:v>الكرك</x:v>
      </x:c>
      <x:c r="D3262" s="14" t="n">
        <x:v>0</x:v>
      </x:c>
      <x:c r="E3262" s="14" t="n">
        <x:f>VLOOKUP(C3262,'Governorate Master'!$A$2:$Q$13,3,FALSE)</x:f>
        <x:v>395400</x:v>
      </x:c>
      <x:c r="F3262" s="66" t="n">
        <x:f>IF(E3262=0,0,D3262/E3262*10000)</x:f>
        <x:v>0</x:v>
      </x:c>
      <x:c r="G3262" s="67" t="n">
        <x:f>VLOOKUP(C3262,'Governorate Master'!$A$2:$Q$13,7,FALSE)</x:f>
        <x:v>113.1</x:v>
      </x:c>
      <x:c r="H3262" s="20" t="n">
        <x:f>VLOOKUP(C3262,'Governorate Master'!$A$2:$Q$13,6,FALSE)</x:f>
        <x:v>0.5912999494183105</x:v>
      </x:c>
      <x:c r="I3262" s="20" t="n">
        <x:f>VLOOKUP(C3262,'Governorate Master'!$A$2:$Q$13,15,FALSE)</x:f>
        <x:v>0.08710801393728224</x:v>
      </x:c>
      <x:c r="J3262" s="12" t="str">
        <x:v>Location model input - competition/saturation context</x:v>
      </x:c>
      <x:c r="K3262" s="12" t="str">
        <x:v>Business count is from 2018 while population/context indicators are newer; use as a historical proxy, not a current market count.</x:v>
      </x:c>
    </x:row>
    <x:row r="3263">
      <x:c r="A3263" s="12" t="str">
        <x:v>8710</x:v>
      </x:c>
      <x:c r="B3263" s="12" t="str">
        <x:v>Residential nursing care facilities</x:v>
      </x:c>
      <x:c r="C3263" s="12" t="str">
        <x:v>الطفيلة</x:v>
      </x:c>
      <x:c r="D3263" s="14" t="n">
        <x:v>0</x:v>
      </x:c>
      <x:c r="E3263" s="14" t="n">
        <x:f>VLOOKUP(C3263,'Governorate Master'!$A$2:$Q$13,3,FALSE)</x:f>
        <x:v>120300</x:v>
      </x:c>
      <x:c r="F3263" s="66" t="n">
        <x:f>IF(E3263=0,0,D3263/E3263*10000)</x:f>
        <x:v>0</x:v>
      </x:c>
      <x:c r="G3263" s="67" t="n">
        <x:f>VLOOKUP(C3263,'Governorate Master'!$A$2:$Q$13,7,FALSE)</x:f>
        <x:v>54.4</x:v>
      </x:c>
      <x:c r="H3263" s="20" t="n">
        <x:f>VLOOKUP(C3263,'Governorate Master'!$A$2:$Q$13,6,FALSE)</x:f>
        <x:v>0.7797173732335827</x:v>
      </x:c>
      <x:c r="I3263" s="20" t="n">
        <x:f>VLOOKUP(C3263,'Governorate Master'!$A$2:$Q$13,15,FALSE)</x:f>
        <x:v>0.18452380952380953</x:v>
      </x:c>
      <x:c r="J3263" s="12" t="str">
        <x:v>Location model input - competition/saturation context</x:v>
      </x:c>
      <x:c r="K3263" s="12" t="str">
        <x:v>Business count is from 2018 while population/context indicators are newer; use as a historical proxy, not a current market count.</x:v>
      </x:c>
    </x:row>
    <x:row r="3264">
      <x:c r="A3264" s="12" t="str">
        <x:v>8710</x:v>
      </x:c>
      <x:c r="B3264" s="12" t="str">
        <x:v>Residential nursing care facilities</x:v>
      </x:c>
      <x:c r="C3264" s="12" t="str">
        <x:v>معان</x:v>
      </x:c>
      <x:c r="D3264" s="14" t="n">
        <x:v>0</x:v>
      </x:c>
      <x:c r="E3264" s="14" t="n">
        <x:f>VLOOKUP(C3264,'Governorate Master'!$A$2:$Q$13,3,FALSE)</x:f>
        <x:v>197900</x:v>
      </x:c>
      <x:c r="F3264" s="66" t="n">
        <x:f>IF(E3264=0,0,D3264/E3264*10000)</x:f>
        <x:v>0</x:v>
      </x:c>
      <x:c r="G3264" s="67" t="n">
        <x:f>VLOOKUP(C3264,'Governorate Master'!$A$2:$Q$13,7,FALSE)</x:f>
        <x:v>6</x:v>
      </x:c>
      <x:c r="H3264" s="20" t="n">
        <x:f>VLOOKUP(C3264,'Governorate Master'!$A$2:$Q$13,6,FALSE)</x:f>
        <x:v>0.5406771096513391</x:v>
      </x:c>
      <x:c r="I3264" s="20" t="n">
        <x:f>VLOOKUP(C3264,'Governorate Master'!$A$2:$Q$13,15,FALSE)</x:f>
        <x:v>0.026845637583892617</x:v>
      </x:c>
      <x:c r="J3264" s="12" t="str">
        <x:v>Location model input - competition/saturation context</x:v>
      </x:c>
      <x:c r="K3264" s="12" t="str">
        <x:v>Business count is from 2018 while population/context indicators are newer; use as a historical proxy, not a current market count.</x:v>
      </x:c>
    </x:row>
    <x:row r="3265">
      <x:c r="A3265" s="12" t="str">
        <x:v>8710</x:v>
      </x:c>
      <x:c r="B3265" s="12" t="str">
        <x:v>Residential nursing care facilities</x:v>
      </x:c>
      <x:c r="C3265" s="12" t="str">
        <x:v>العقبة</x:v>
      </x:c>
      <x:c r="D3265" s="14" t="n">
        <x:v>0</x:v>
      </x:c>
      <x:c r="E3265" s="14" t="n">
        <x:f>VLOOKUP(C3265,'Governorate Master'!$A$2:$Q$13,3,FALSE)</x:f>
        <x:v>250900</x:v>
      </x:c>
      <x:c r="F3265" s="66" t="n">
        <x:f>IF(E3265=0,0,D3265/E3265*10000)</x:f>
        <x:v>0</x:v>
      </x:c>
      <x:c r="G3265" s="67" t="n">
        <x:f>VLOOKUP(C3265,'Governorate Master'!$A$2:$Q$13,7,FALSE)</x:f>
        <x:v>36.3</x:v>
      </x:c>
      <x:c r="H3265" s="20" t="n">
        <x:f>VLOOKUP(C3265,'Governorate Master'!$A$2:$Q$13,6,FALSE)</x:f>
        <x:v>0.882024711040255</x:v>
      </x:c>
      <x:c r="I3265" s="20" t="n">
        <x:f>VLOOKUP(C3265,'Governorate Master'!$A$2:$Q$13,15,FALSE)</x:f>
        <x:v>-0.09</x:v>
      </x:c>
      <x:c r="J3265" s="12" t="str">
        <x:v>Location model input - competition/saturation context</x:v>
      </x:c>
      <x:c r="K3265" s="12" t="str">
        <x:v>Business count is from 2018 while population/context indicators are newer; use as a historical proxy, not a current market count.</x:v>
      </x:c>
    </x:row>
    <x:row r="3266">
      <x:c r="A3266" s="12" t="str">
        <x:v>8720</x:v>
      </x:c>
      <x:c r="B3266" s="12" t="str">
        <x:v>Residential care activities for mental retardation, mental health and substance abuse</x:v>
      </x:c>
      <x:c r="C3266" s="12" t="str">
        <x:v>عمان</x:v>
      </x:c>
      <x:c r="D3266" s="14" t="n">
        <x:v>36</x:v>
      </x:c>
      <x:c r="E3266" s="14" t="n">
        <x:f>VLOOKUP(C3266,'Governorate Master'!$A$2:$Q$13,3,FALSE)</x:f>
        <x:v>5004600</x:v>
      </x:c>
      <x:c r="F3266" s="66" t="n">
        <x:f>IF(E3266=0,0,D3266/E3266*10000)</x:f>
        <x:v>0.071933820884786</x:v>
      </x:c>
      <x:c r="G3266" s="67" t="n">
        <x:f>VLOOKUP(C3266,'Governorate Master'!$A$2:$Q$13,7,FALSE)</x:f>
        <x:v>660.3</x:v>
      </x:c>
      <x:c r="H3266" s="20" t="n">
        <x:f>VLOOKUP(C3266,'Governorate Master'!$A$2:$Q$13,6,FALSE)</x:f>
        <x:v>0.9721656076409703</x:v>
      </x:c>
      <x:c r="I3266" s="20" t="n">
        <x:f>VLOOKUP(C3266,'Governorate Master'!$A$2:$Q$13,15,FALSE)</x:f>
        <x:v>0.06367041198501873</x:v>
      </x:c>
      <x:c r="J3266" s="12" t="str">
        <x:v>Location model input - competition/saturation context</x:v>
      </x:c>
      <x:c r="K3266" s="12" t="str">
        <x:v>Business count is from 2018 while population/context indicators are newer; use as a historical proxy, not a current market count.</x:v>
      </x:c>
    </x:row>
    <x:row r="3267">
      <x:c r="A3267" s="12" t="str">
        <x:v>8720</x:v>
      </x:c>
      <x:c r="B3267" s="12" t="str">
        <x:v>Residential care activities for mental retardation, mental health and substance abuse</x:v>
      </x:c>
      <x:c r="C3267" s="12" t="str">
        <x:v>البلقاء</x:v>
      </x:c>
      <x:c r="D3267" s="14" t="n">
        <x:v>1</x:v>
      </x:c>
      <x:c r="E3267" s="14" t="n">
        <x:f>VLOOKUP(C3267,'Governorate Master'!$A$2:$Q$13,3,FALSE)</x:f>
        <x:v>614000</x:v>
      </x:c>
      <x:c r="F3267" s="66" t="n">
        <x:f>IF(E3267=0,0,D3267/E3267*10000)</x:f>
        <x:v>0.016286644951140065</x:v>
      </x:c>
      <x:c r="G3267" s="67" t="n">
        <x:f>VLOOKUP(C3267,'Governorate Master'!$A$2:$Q$13,7,FALSE)</x:f>
        <x:v>548</x:v>
      </x:c>
      <x:c r="H3267" s="20" t="n">
        <x:f>VLOOKUP(C3267,'Governorate Master'!$A$2:$Q$13,6,FALSE)</x:f>
        <x:v>0.8210097719869707</x:v>
      </x:c>
      <x:c r="I3267" s="20" t="n">
        <x:f>VLOOKUP(C3267,'Governorate Master'!$A$2:$Q$13,15,FALSE)</x:f>
        <x:v>0.10794044665012408</x:v>
      </x:c>
      <x:c r="J3267" s="12" t="str">
        <x:v>Location model input - competition/saturation context</x:v>
      </x:c>
      <x:c r="K3267" s="12" t="str">
        <x:v>Business count is from 2018 while population/context indicators are newer; use as a historical proxy, not a current market count.</x:v>
      </x:c>
    </x:row>
    <x:row r="3268">
      <x:c r="A3268" s="12" t="str">
        <x:v>8720</x:v>
      </x:c>
      <x:c r="B3268" s="12" t="str">
        <x:v>Residential care activities for mental retardation, mental health and substance abuse</x:v>
      </x:c>
      <x:c r="C3268" s="12" t="str">
        <x:v>الزرقاء</x:v>
      </x:c>
      <x:c r="D3268" s="14" t="n">
        <x:v>8</x:v>
      </x:c>
      <x:c r="E3268" s="14" t="n">
        <x:f>VLOOKUP(C3268,'Governorate Master'!$A$2:$Q$13,3,FALSE)</x:f>
        <x:v>1704500</x:v>
      </x:c>
      <x:c r="F3268" s="66" t="n">
        <x:f>IF(E3268=0,0,D3268/E3268*10000)</x:f>
        <x:v>0.04693458492226459</x:v>
      </x:c>
      <x:c r="G3268" s="67" t="n">
        <x:f>VLOOKUP(C3268,'Governorate Master'!$A$2:$Q$13,7,FALSE)</x:f>
        <x:v>358</x:v>
      </x:c>
      <x:c r="H3268" s="20" t="n">
        <x:f>VLOOKUP(C3268,'Governorate Master'!$A$2:$Q$13,6,FALSE)</x:f>
        <x:v>0.9636256966852449</x:v>
      </x:c>
      <x:c r="I3268" s="20" t="n">
        <x:f>VLOOKUP(C3268,'Governorate Master'!$A$2:$Q$13,15,FALSE)</x:f>
        <x:v>-0.06808762581409118</x:v>
      </x:c>
      <x:c r="J3268" s="12" t="str">
        <x:v>Location model input - competition/saturation context</x:v>
      </x:c>
      <x:c r="K3268" s="12" t="str">
        <x:v>Business count is from 2018 while population/context indicators are newer; use as a historical proxy, not a current market count.</x:v>
      </x:c>
    </x:row>
    <x:row r="3269">
      <x:c r="A3269" s="12" t="str">
        <x:v>8720</x:v>
      </x:c>
      <x:c r="B3269" s="12" t="str">
        <x:v>Residential care activities for mental retardation, mental health and substance abuse</x:v>
      </x:c>
      <x:c r="C3269" s="12" t="str">
        <x:v>مادبا</x:v>
      </x:c>
      <x:c r="D3269" s="14" t="n">
        <x:v>1</x:v>
      </x:c>
      <x:c r="E3269" s="14" t="n">
        <x:f>VLOOKUP(C3269,'Governorate Master'!$A$2:$Q$13,3,FALSE)</x:f>
        <x:v>236200</x:v>
      </x:c>
      <x:c r="F3269" s="66" t="n">
        <x:f>IF(E3269=0,0,D3269/E3269*10000)</x:f>
        <x:v>0.04233700254022015</x:v>
      </x:c>
      <x:c r="G3269" s="67" t="n">
        <x:f>VLOOKUP(C3269,'Governorate Master'!$A$2:$Q$13,7,FALSE)</x:f>
        <x:v>251.4</x:v>
      </x:c>
      <x:c r="H3269" s="20" t="n">
        <x:f>VLOOKUP(C3269,'Governorate Master'!$A$2:$Q$13,6,FALSE)</x:f>
        <x:v>0.7823878069432684</x:v>
      </x:c>
      <x:c r="I3269" s="20" t="n">
        <x:f>VLOOKUP(C3269,'Governorate Master'!$A$2:$Q$13,15,FALSE)</x:f>
        <x:v>-0.18823529411764706</x:v>
      </x:c>
      <x:c r="J3269" s="12" t="str">
        <x:v>Location model input - competition/saturation context</x:v>
      </x:c>
      <x:c r="K3269" s="12" t="str">
        <x:v>Business count is from 2018 while population/context indicators are newer; use as a historical proxy, not a current market count.</x:v>
      </x:c>
    </x:row>
    <x:row r="3270">
      <x:c r="A3270" s="12" t="str">
        <x:v>8720</x:v>
      </x:c>
      <x:c r="B3270" s="12" t="str">
        <x:v>Residential care activities for mental retardation, mental health and substance abuse</x:v>
      </x:c>
      <x:c r="C3270" s="12" t="str">
        <x:v>إربد</x:v>
      </x:c>
      <x:c r="D3270" s="14" t="n">
        <x:v>7</x:v>
      </x:c>
      <x:c r="E3270" s="14" t="n">
        <x:f>VLOOKUP(C3270,'Governorate Master'!$A$2:$Q$13,3,FALSE)</x:f>
        <x:v>2210500</x:v>
      </x:c>
      <x:c r="F3270" s="66" t="n">
        <x:f>IF(E3270=0,0,D3270/E3270*10000)</x:f>
        <x:v>0.03166704365528161</x:v>
      </x:c>
      <x:c r="G3270" s="67" t="n">
        <x:f>VLOOKUP(C3270,'Governorate Master'!$A$2:$Q$13,7,FALSE)</x:f>
        <x:v>1406.4</x:v>
      </x:c>
      <x:c r="H3270" s="20" t="n">
        <x:f>VLOOKUP(C3270,'Governorate Master'!$A$2:$Q$13,6,FALSE)</x:f>
        <x:v>0.9235014702555983</x:v>
      </x:c>
      <x:c r="I3270" s="20" t="n">
        <x:f>VLOOKUP(C3270,'Governorate Master'!$A$2:$Q$13,15,FALSE)</x:f>
        <x:v>0.07086922474549726</x:v>
      </x:c>
      <x:c r="J3270" s="12" t="str">
        <x:v>Location model input - competition/saturation context</x:v>
      </x:c>
      <x:c r="K3270" s="12" t="str">
        <x:v>Business count is from 2018 while population/context indicators are newer; use as a historical proxy, not a current market count.</x:v>
      </x:c>
    </x:row>
    <x:row r="3271">
      <x:c r="A3271" s="12" t="str">
        <x:v>8720</x:v>
      </x:c>
      <x:c r="B3271" s="12" t="str">
        <x:v>Residential care activities for mental retardation, mental health and substance abuse</x:v>
      </x:c>
      <x:c r="C3271" s="12" t="str">
        <x:v>المفرق</x:v>
      </x:c>
      <x:c r="D3271" s="14" t="n">
        <x:v>2</x:v>
      </x:c>
      <x:c r="E3271" s="14" t="n">
        <x:f>VLOOKUP(C3271,'Governorate Master'!$A$2:$Q$13,3,FALSE)</x:f>
        <x:v>686800</x:v>
      </x:c>
      <x:c r="F3271" s="66" t="n">
        <x:f>IF(E3271=0,0,D3271/E3271*10000)</x:f>
        <x:v>0.029120559114735003</x:v>
      </x:c>
      <x:c r="G3271" s="67" t="n">
        <x:f>VLOOKUP(C3271,'Governorate Master'!$A$2:$Q$13,7,FALSE)</x:f>
        <x:v>25.9</x:v>
      </x:c>
      <x:c r="H3271" s="20" t="n">
        <x:f>VLOOKUP(C3271,'Governorate Master'!$A$2:$Q$13,6,FALSE)</x:f>
        <x:v>0.6965637740244612</x:v>
      </x:c>
      <x:c r="I3271" s="20" t="n">
        <x:f>VLOOKUP(C3271,'Governorate Master'!$A$2:$Q$13,15,FALSE)</x:f>
        <x:v>-0.016638935108153077</x:v>
      </x:c>
      <x:c r="J3271" s="12" t="str">
        <x:v>Location model input - competition/saturation context</x:v>
      </x:c>
      <x:c r="K3271" s="12" t="str">
        <x:v>Business count is from 2018 while population/context indicators are newer; use as a historical proxy, not a current market count.</x:v>
      </x:c>
    </x:row>
    <x:row r="3272">
      <x:c r="A3272" s="12" t="str">
        <x:v>8720</x:v>
      </x:c>
      <x:c r="B3272" s="12" t="str">
        <x:v>Residential care activities for mental retardation, mental health and substance abuse</x:v>
      </x:c>
      <x:c r="C3272" s="12" t="str">
        <x:v>جرش</x:v>
      </x:c>
      <x:c r="D3272" s="14" t="n">
        <x:v>1</x:v>
      </x:c>
      <x:c r="E3272" s="14" t="n">
        <x:f>VLOOKUP(C3272,'Governorate Master'!$A$2:$Q$13,3,FALSE)</x:f>
        <x:v>296000</x:v>
      </x:c>
      <x:c r="F3272" s="66" t="n">
        <x:f>IF(E3272=0,0,D3272/E3272*10000)</x:f>
        <x:v>0.033783783783783786</x:v>
      </x:c>
      <x:c r="G3272" s="67" t="n">
        <x:f>VLOOKUP(C3272,'Governorate Master'!$A$2:$Q$13,7,FALSE)</x:f>
        <x:v>722.3</x:v>
      </x:c>
      <x:c r="H3272" s="20" t="n">
        <x:f>VLOOKUP(C3272,'Governorate Master'!$A$2:$Q$13,6,FALSE)</x:f>
        <x:v>0.7695945945945946</x:v>
      </x:c>
      <x:c r="I3272" s="20" t="n">
        <x:f>VLOOKUP(C3272,'Governorate Master'!$A$2:$Q$13,15,FALSE)</x:f>
        <x:v>-0.06527415143603134</x:v>
      </x:c>
      <x:c r="J3272" s="12" t="str">
        <x:v>Location model input - competition/saturation context</x:v>
      </x:c>
      <x:c r="K3272" s="12" t="str">
        <x:v>Business count is from 2018 while population/context indicators are newer; use as a historical proxy, not a current market count.</x:v>
      </x:c>
    </x:row>
    <x:row r="3273">
      <x:c r="A3273" s="12" t="str">
        <x:v>8720</x:v>
      </x:c>
      <x:c r="B3273" s="12" t="str">
        <x:v>Residential care activities for mental retardation, mental health and substance abuse</x:v>
      </x:c>
      <x:c r="C3273" s="12" t="str">
        <x:v>عجلون</x:v>
      </x:c>
      <x:c r="D3273" s="14" t="n">
        <x:v>6</x:v>
      </x:c>
      <x:c r="E3273" s="14" t="n">
        <x:f>VLOOKUP(C3273,'Governorate Master'!$A$2:$Q$13,3,FALSE)</x:f>
        <x:v>219900</x:v>
      </x:c>
      <x:c r="F3273" s="66" t="n">
        <x:f>IF(E3273=0,0,D3273/E3273*10000)</x:f>
        <x:v>0.2728512960436562</x:v>
      </x:c>
      <x:c r="G3273" s="67" t="n">
        <x:f>VLOOKUP(C3273,'Governorate Master'!$A$2:$Q$13,7,FALSE)</x:f>
        <x:v>524</x:v>
      </x:c>
      <x:c r="H3273" s="20" t="n">
        <x:f>VLOOKUP(C3273,'Governorate Master'!$A$2:$Q$13,6,FALSE)</x:f>
        <x:v>0.8390177353342428</x:v>
      </x:c>
      <x:c r="I3273" s="20" t="n">
        <x:f>VLOOKUP(C3273,'Governorate Master'!$A$2:$Q$13,15,FALSE)</x:f>
        <x:v>0.03614457831325301</x:v>
      </x:c>
      <x:c r="J3273" s="12" t="str">
        <x:v>Location model input - competition/saturation context</x:v>
      </x:c>
      <x:c r="K3273" s="12" t="str">
        <x:v>Business count is from 2018 while population/context indicators are newer; use as a historical proxy, not a current market count.</x:v>
      </x:c>
    </x:row>
    <x:row r="3274">
      <x:c r="A3274" s="12" t="str">
        <x:v>8720</x:v>
      </x:c>
      <x:c r="B3274" s="12" t="str">
        <x:v>Residential care activities for mental retardation, mental health and substance abuse</x:v>
      </x:c>
      <x:c r="C3274" s="12" t="str">
        <x:v>الكرك</x:v>
      </x:c>
      <x:c r="D3274" s="14" t="n">
        <x:v>5</x:v>
      </x:c>
      <x:c r="E3274" s="14" t="n">
        <x:f>VLOOKUP(C3274,'Governorate Master'!$A$2:$Q$13,3,FALSE)</x:f>
        <x:v>395400</x:v>
      </x:c>
      <x:c r="F3274" s="66" t="n">
        <x:f>IF(E3274=0,0,D3274/E3274*10000)</x:f>
        <x:v>0.12645422357106728</x:v>
      </x:c>
      <x:c r="G3274" s="67" t="n">
        <x:f>VLOOKUP(C3274,'Governorate Master'!$A$2:$Q$13,7,FALSE)</x:f>
        <x:v>113.1</x:v>
      </x:c>
      <x:c r="H3274" s="20" t="n">
        <x:f>VLOOKUP(C3274,'Governorate Master'!$A$2:$Q$13,6,FALSE)</x:f>
        <x:v>0.5912999494183105</x:v>
      </x:c>
      <x:c r="I3274" s="20" t="n">
        <x:f>VLOOKUP(C3274,'Governorate Master'!$A$2:$Q$13,15,FALSE)</x:f>
        <x:v>0.08710801393728224</x:v>
      </x:c>
      <x:c r="J3274" s="12" t="str">
        <x:v>Location model input - competition/saturation context</x:v>
      </x:c>
      <x:c r="K3274" s="12" t="str">
        <x:v>Business count is from 2018 while population/context indicators are newer; use as a historical proxy, not a current market count.</x:v>
      </x:c>
    </x:row>
    <x:row r="3275">
      <x:c r="A3275" s="12" t="str">
        <x:v>8720</x:v>
      </x:c>
      <x:c r="B3275" s="12" t="str">
        <x:v>Residential care activities for mental retardation, mental health and substance abuse</x:v>
      </x:c>
      <x:c r="C3275" s="12" t="str">
        <x:v>الطفيلة</x:v>
      </x:c>
      <x:c r="D3275" s="14" t="n">
        <x:v>0</x:v>
      </x:c>
      <x:c r="E3275" s="14" t="n">
        <x:f>VLOOKUP(C3275,'Governorate Master'!$A$2:$Q$13,3,FALSE)</x:f>
        <x:v>120300</x:v>
      </x:c>
      <x:c r="F3275" s="66" t="n">
        <x:f>IF(E3275=0,0,D3275/E3275*10000)</x:f>
        <x:v>0</x:v>
      </x:c>
      <x:c r="G3275" s="67" t="n">
        <x:f>VLOOKUP(C3275,'Governorate Master'!$A$2:$Q$13,7,FALSE)</x:f>
        <x:v>54.4</x:v>
      </x:c>
      <x:c r="H3275" s="20" t="n">
        <x:f>VLOOKUP(C3275,'Governorate Master'!$A$2:$Q$13,6,FALSE)</x:f>
        <x:v>0.7797173732335827</x:v>
      </x:c>
      <x:c r="I3275" s="20" t="n">
        <x:f>VLOOKUP(C3275,'Governorate Master'!$A$2:$Q$13,15,FALSE)</x:f>
        <x:v>0.18452380952380953</x:v>
      </x:c>
      <x:c r="J3275" s="12" t="str">
        <x:v>Location model input - competition/saturation context</x:v>
      </x:c>
      <x:c r="K3275" s="12" t="str">
        <x:v>Business count is from 2018 while population/context indicators are newer; use as a historical proxy, not a current market count.</x:v>
      </x:c>
    </x:row>
    <x:row r="3276">
      <x:c r="A3276" s="12" t="str">
        <x:v>8720</x:v>
      </x:c>
      <x:c r="B3276" s="12" t="str">
        <x:v>Residential care activities for mental retardation, mental health and substance abuse</x:v>
      </x:c>
      <x:c r="C3276" s="12" t="str">
        <x:v>معان</x:v>
      </x:c>
      <x:c r="D3276" s="14" t="n">
        <x:v>0</x:v>
      </x:c>
      <x:c r="E3276" s="14" t="n">
        <x:f>VLOOKUP(C3276,'Governorate Master'!$A$2:$Q$13,3,FALSE)</x:f>
        <x:v>197900</x:v>
      </x:c>
      <x:c r="F3276" s="66" t="n">
        <x:f>IF(E3276=0,0,D3276/E3276*10000)</x:f>
        <x:v>0</x:v>
      </x:c>
      <x:c r="G3276" s="67" t="n">
        <x:f>VLOOKUP(C3276,'Governorate Master'!$A$2:$Q$13,7,FALSE)</x:f>
        <x:v>6</x:v>
      </x:c>
      <x:c r="H3276" s="20" t="n">
        <x:f>VLOOKUP(C3276,'Governorate Master'!$A$2:$Q$13,6,FALSE)</x:f>
        <x:v>0.5406771096513391</x:v>
      </x:c>
      <x:c r="I3276" s="20" t="n">
        <x:f>VLOOKUP(C3276,'Governorate Master'!$A$2:$Q$13,15,FALSE)</x:f>
        <x:v>0.026845637583892617</x:v>
      </x:c>
      <x:c r="J3276" s="12" t="str">
        <x:v>Location model input - competition/saturation context</x:v>
      </x:c>
      <x:c r="K3276" s="12" t="str">
        <x:v>Business count is from 2018 while population/context indicators are newer; use as a historical proxy, not a current market count.</x:v>
      </x:c>
    </x:row>
    <x:row r="3277">
      <x:c r="A3277" s="12" t="str">
        <x:v>8720</x:v>
      </x:c>
      <x:c r="B3277" s="12" t="str">
        <x:v>Residential care activities for mental retardation, mental health and substance abuse</x:v>
      </x:c>
      <x:c r="C3277" s="12" t="str">
        <x:v>العقبة</x:v>
      </x:c>
      <x:c r="D3277" s="14" t="n">
        <x:v>2</x:v>
      </x:c>
      <x:c r="E3277" s="14" t="n">
        <x:f>VLOOKUP(C3277,'Governorate Master'!$A$2:$Q$13,3,FALSE)</x:f>
        <x:v>250900</x:v>
      </x:c>
      <x:c r="F3277" s="66" t="n">
        <x:f>IF(E3277=0,0,D3277/E3277*10000)</x:f>
        <x:v>0.07971303308090873</x:v>
      </x:c>
      <x:c r="G3277" s="67" t="n">
        <x:f>VLOOKUP(C3277,'Governorate Master'!$A$2:$Q$13,7,FALSE)</x:f>
        <x:v>36.3</x:v>
      </x:c>
      <x:c r="H3277" s="20" t="n">
        <x:f>VLOOKUP(C3277,'Governorate Master'!$A$2:$Q$13,6,FALSE)</x:f>
        <x:v>0.882024711040255</x:v>
      </x:c>
      <x:c r="I3277" s="20" t="n">
        <x:f>VLOOKUP(C3277,'Governorate Master'!$A$2:$Q$13,15,FALSE)</x:f>
        <x:v>-0.09</x:v>
      </x:c>
      <x:c r="J3277" s="12" t="str">
        <x:v>Location model input - competition/saturation context</x:v>
      </x:c>
      <x:c r="K3277" s="12" t="str">
        <x:v>Business count is from 2018 while population/context indicators are newer; use as a historical proxy, not a current market count.</x:v>
      </x:c>
    </x:row>
    <x:row r="3278">
      <x:c r="A3278" s="12" t="str">
        <x:v>8730</x:v>
      </x:c>
      <x:c r="B3278" s="12" t="str">
        <x:v>Residential care activities for the elderly and disabled</x:v>
      </x:c>
      <x:c r="C3278" s="12" t="str">
        <x:v>عمان</x:v>
      </x:c>
      <x:c r="D3278" s="14" t="n">
        <x:v>7</x:v>
      </x:c>
      <x:c r="E3278" s="14" t="n">
        <x:f>VLOOKUP(C3278,'Governorate Master'!$A$2:$Q$13,3,FALSE)</x:f>
        <x:v>5004600</x:v>
      </x:c>
      <x:c r="F3278" s="66" t="n">
        <x:f>IF(E3278=0,0,D3278/E3278*10000)</x:f>
        <x:v>0.013987131838708389</x:v>
      </x:c>
      <x:c r="G3278" s="67" t="n">
        <x:f>VLOOKUP(C3278,'Governorate Master'!$A$2:$Q$13,7,FALSE)</x:f>
        <x:v>660.3</x:v>
      </x:c>
      <x:c r="H3278" s="20" t="n">
        <x:f>VLOOKUP(C3278,'Governorate Master'!$A$2:$Q$13,6,FALSE)</x:f>
        <x:v>0.9721656076409703</x:v>
      </x:c>
      <x:c r="I3278" s="20" t="n">
        <x:f>VLOOKUP(C3278,'Governorate Master'!$A$2:$Q$13,15,FALSE)</x:f>
        <x:v>0.06367041198501873</x:v>
      </x:c>
      <x:c r="J3278" s="12" t="str">
        <x:v>Location model input - competition/saturation context</x:v>
      </x:c>
      <x:c r="K3278" s="12" t="str">
        <x:v>Business count is from 2018 while population/context indicators are newer; use as a historical proxy, not a current market count.</x:v>
      </x:c>
    </x:row>
    <x:row r="3279">
      <x:c r="A3279" s="12" t="str">
        <x:v>8730</x:v>
      </x:c>
      <x:c r="B3279" s="12" t="str">
        <x:v>Residential care activities for the elderly and disabled</x:v>
      </x:c>
      <x:c r="C3279" s="12" t="str">
        <x:v>البلقاء</x:v>
      </x:c>
      <x:c r="D3279" s="14" t="n">
        <x:v>3</x:v>
      </x:c>
      <x:c r="E3279" s="14" t="n">
        <x:f>VLOOKUP(C3279,'Governorate Master'!$A$2:$Q$13,3,FALSE)</x:f>
        <x:v>614000</x:v>
      </x:c>
      <x:c r="F3279" s="66" t="n">
        <x:f>IF(E3279=0,0,D3279/E3279*10000)</x:f>
        <x:v>0.048859934853420196</x:v>
      </x:c>
      <x:c r="G3279" s="67" t="n">
        <x:f>VLOOKUP(C3279,'Governorate Master'!$A$2:$Q$13,7,FALSE)</x:f>
        <x:v>548</x:v>
      </x:c>
      <x:c r="H3279" s="20" t="n">
        <x:f>VLOOKUP(C3279,'Governorate Master'!$A$2:$Q$13,6,FALSE)</x:f>
        <x:v>0.8210097719869707</x:v>
      </x:c>
      <x:c r="I3279" s="20" t="n">
        <x:f>VLOOKUP(C3279,'Governorate Master'!$A$2:$Q$13,15,FALSE)</x:f>
        <x:v>0.10794044665012408</x:v>
      </x:c>
      <x:c r="J3279" s="12" t="str">
        <x:v>Location model input - competition/saturation context</x:v>
      </x:c>
      <x:c r="K3279" s="12" t="str">
        <x:v>Business count is from 2018 while population/context indicators are newer; use as a historical proxy, not a current market count.</x:v>
      </x:c>
    </x:row>
    <x:row r="3280">
      <x:c r="A3280" s="12" t="str">
        <x:v>8730</x:v>
      </x:c>
      <x:c r="B3280" s="12" t="str">
        <x:v>Residential care activities for the elderly and disabled</x:v>
      </x:c>
      <x:c r="C3280" s="12" t="str">
        <x:v>الزرقاء</x:v>
      </x:c>
      <x:c r="D3280" s="14" t="n">
        <x:v>6</x:v>
      </x:c>
      <x:c r="E3280" s="14" t="n">
        <x:f>VLOOKUP(C3280,'Governorate Master'!$A$2:$Q$13,3,FALSE)</x:f>
        <x:v>1704500</x:v>
      </x:c>
      <x:c r="F3280" s="66" t="n">
        <x:f>IF(E3280=0,0,D3280/E3280*10000)</x:f>
        <x:v>0.03520093869169844</x:v>
      </x:c>
      <x:c r="G3280" s="67" t="n">
        <x:f>VLOOKUP(C3280,'Governorate Master'!$A$2:$Q$13,7,FALSE)</x:f>
        <x:v>358</x:v>
      </x:c>
      <x:c r="H3280" s="20" t="n">
        <x:f>VLOOKUP(C3280,'Governorate Master'!$A$2:$Q$13,6,FALSE)</x:f>
        <x:v>0.9636256966852449</x:v>
      </x:c>
      <x:c r="I3280" s="20" t="n">
        <x:f>VLOOKUP(C3280,'Governorate Master'!$A$2:$Q$13,15,FALSE)</x:f>
        <x:v>-0.06808762581409118</x:v>
      </x:c>
      <x:c r="J3280" s="12" t="str">
        <x:v>Location model input - competition/saturation context</x:v>
      </x:c>
      <x:c r="K3280" s="12" t="str">
        <x:v>Business count is from 2018 while population/context indicators are newer; use as a historical proxy, not a current market count.</x:v>
      </x:c>
    </x:row>
    <x:row r="3281">
      <x:c r="A3281" s="12" t="str">
        <x:v>8730</x:v>
      </x:c>
      <x:c r="B3281" s="12" t="str">
        <x:v>Residential care activities for the elderly and disabled</x:v>
      </x:c>
      <x:c r="C3281" s="12" t="str">
        <x:v>مادبا</x:v>
      </x:c>
      <x:c r="D3281" s="14" t="n">
        <x:v>0</x:v>
      </x:c>
      <x:c r="E3281" s="14" t="n">
        <x:f>VLOOKUP(C3281,'Governorate Master'!$A$2:$Q$13,3,FALSE)</x:f>
        <x:v>236200</x:v>
      </x:c>
      <x:c r="F3281" s="66" t="n">
        <x:f>IF(E3281=0,0,D3281/E3281*10000)</x:f>
        <x:v>0</x:v>
      </x:c>
      <x:c r="G3281" s="67" t="n">
        <x:f>VLOOKUP(C3281,'Governorate Master'!$A$2:$Q$13,7,FALSE)</x:f>
        <x:v>251.4</x:v>
      </x:c>
      <x:c r="H3281" s="20" t="n">
        <x:f>VLOOKUP(C3281,'Governorate Master'!$A$2:$Q$13,6,FALSE)</x:f>
        <x:v>0.7823878069432684</x:v>
      </x:c>
      <x:c r="I3281" s="20" t="n">
        <x:f>VLOOKUP(C3281,'Governorate Master'!$A$2:$Q$13,15,FALSE)</x:f>
        <x:v>-0.18823529411764706</x:v>
      </x:c>
      <x:c r="J3281" s="12" t="str">
        <x:v>Location model input - competition/saturation context</x:v>
      </x:c>
      <x:c r="K3281" s="12" t="str">
        <x:v>Business count is from 2018 while population/context indicators are newer; use as a historical proxy, not a current market count.</x:v>
      </x:c>
    </x:row>
    <x:row r="3282">
      <x:c r="A3282" s="12" t="str">
        <x:v>8730</x:v>
      </x:c>
      <x:c r="B3282" s="12" t="str">
        <x:v>Residential care activities for the elderly and disabled</x:v>
      </x:c>
      <x:c r="C3282" s="12" t="str">
        <x:v>إربد</x:v>
      </x:c>
      <x:c r="D3282" s="14" t="n">
        <x:v>5</x:v>
      </x:c>
      <x:c r="E3282" s="14" t="n">
        <x:f>VLOOKUP(C3282,'Governorate Master'!$A$2:$Q$13,3,FALSE)</x:f>
        <x:v>2210500</x:v>
      </x:c>
      <x:c r="F3282" s="66" t="n">
        <x:f>IF(E3282=0,0,D3282/E3282*10000)</x:f>
        <x:v>0.022619316896629722</x:v>
      </x:c>
      <x:c r="G3282" s="67" t="n">
        <x:f>VLOOKUP(C3282,'Governorate Master'!$A$2:$Q$13,7,FALSE)</x:f>
        <x:v>1406.4</x:v>
      </x:c>
      <x:c r="H3282" s="20" t="n">
        <x:f>VLOOKUP(C3282,'Governorate Master'!$A$2:$Q$13,6,FALSE)</x:f>
        <x:v>0.9235014702555983</x:v>
      </x:c>
      <x:c r="I3282" s="20" t="n">
        <x:f>VLOOKUP(C3282,'Governorate Master'!$A$2:$Q$13,15,FALSE)</x:f>
        <x:v>0.07086922474549726</x:v>
      </x:c>
      <x:c r="J3282" s="12" t="str">
        <x:v>Location model input - competition/saturation context</x:v>
      </x:c>
      <x:c r="K3282" s="12" t="str">
        <x:v>Business count is from 2018 while population/context indicators are newer; use as a historical proxy, not a current market count.</x:v>
      </x:c>
    </x:row>
    <x:row r="3283">
      <x:c r="A3283" s="12" t="str">
        <x:v>8730</x:v>
      </x:c>
      <x:c r="B3283" s="12" t="str">
        <x:v>Residential care activities for the elderly and disabled</x:v>
      </x:c>
      <x:c r="C3283" s="12" t="str">
        <x:v>المفرق</x:v>
      </x:c>
      <x:c r="D3283" s="14" t="n">
        <x:v>1</x:v>
      </x:c>
      <x:c r="E3283" s="14" t="n">
        <x:f>VLOOKUP(C3283,'Governorate Master'!$A$2:$Q$13,3,FALSE)</x:f>
        <x:v>686800</x:v>
      </x:c>
      <x:c r="F3283" s="66" t="n">
        <x:f>IF(E3283=0,0,D3283/E3283*10000)</x:f>
        <x:v>0.014560279557367502</x:v>
      </x:c>
      <x:c r="G3283" s="67" t="n">
        <x:f>VLOOKUP(C3283,'Governorate Master'!$A$2:$Q$13,7,FALSE)</x:f>
        <x:v>25.9</x:v>
      </x:c>
      <x:c r="H3283" s="20" t="n">
        <x:f>VLOOKUP(C3283,'Governorate Master'!$A$2:$Q$13,6,FALSE)</x:f>
        <x:v>0.6965637740244612</x:v>
      </x:c>
      <x:c r="I3283" s="20" t="n">
        <x:f>VLOOKUP(C3283,'Governorate Master'!$A$2:$Q$13,15,FALSE)</x:f>
        <x:v>-0.016638935108153077</x:v>
      </x:c>
      <x:c r="J3283" s="12" t="str">
        <x:v>Location model input - competition/saturation context</x:v>
      </x:c>
      <x:c r="K3283" s="12" t="str">
        <x:v>Business count is from 2018 while population/context indicators are newer; use as a historical proxy, not a current market count.</x:v>
      </x:c>
    </x:row>
    <x:row r="3284">
      <x:c r="A3284" s="12" t="str">
        <x:v>8730</x:v>
      </x:c>
      <x:c r="B3284" s="12" t="str">
        <x:v>Residential care activities for the elderly and disabled</x:v>
      </x:c>
      <x:c r="C3284" s="12" t="str">
        <x:v>جرش</x:v>
      </x:c>
      <x:c r="D3284" s="14" t="n">
        <x:v>0</x:v>
      </x:c>
      <x:c r="E3284" s="14" t="n">
        <x:f>VLOOKUP(C3284,'Governorate Master'!$A$2:$Q$13,3,FALSE)</x:f>
        <x:v>296000</x:v>
      </x:c>
      <x:c r="F3284" s="66" t="n">
        <x:f>IF(E3284=0,0,D3284/E3284*10000)</x:f>
        <x:v>0</x:v>
      </x:c>
      <x:c r="G3284" s="67" t="n">
        <x:f>VLOOKUP(C3284,'Governorate Master'!$A$2:$Q$13,7,FALSE)</x:f>
        <x:v>722.3</x:v>
      </x:c>
      <x:c r="H3284" s="20" t="n">
        <x:f>VLOOKUP(C3284,'Governorate Master'!$A$2:$Q$13,6,FALSE)</x:f>
        <x:v>0.7695945945945946</x:v>
      </x:c>
      <x:c r="I3284" s="20" t="n">
        <x:f>VLOOKUP(C3284,'Governorate Master'!$A$2:$Q$13,15,FALSE)</x:f>
        <x:v>-0.06527415143603134</x:v>
      </x:c>
      <x:c r="J3284" s="12" t="str">
        <x:v>Location model input - competition/saturation context</x:v>
      </x:c>
      <x:c r="K3284" s="12" t="str">
        <x:v>Business count is from 2018 while population/context indicators are newer; use as a historical proxy, not a current market count.</x:v>
      </x:c>
    </x:row>
    <x:row r="3285">
      <x:c r="A3285" s="12" t="str">
        <x:v>8730</x:v>
      </x:c>
      <x:c r="B3285" s="12" t="str">
        <x:v>Residential care activities for the elderly and disabled</x:v>
      </x:c>
      <x:c r="C3285" s="12" t="str">
        <x:v>عجلون</x:v>
      </x:c>
      <x:c r="D3285" s="14" t="n">
        <x:v>1</x:v>
      </x:c>
      <x:c r="E3285" s="14" t="n">
        <x:f>VLOOKUP(C3285,'Governorate Master'!$A$2:$Q$13,3,FALSE)</x:f>
        <x:v>219900</x:v>
      </x:c>
      <x:c r="F3285" s="66" t="n">
        <x:f>IF(E3285=0,0,D3285/E3285*10000)</x:f>
        <x:v>0.04547521600727603</x:v>
      </x:c>
      <x:c r="G3285" s="67" t="n">
        <x:f>VLOOKUP(C3285,'Governorate Master'!$A$2:$Q$13,7,FALSE)</x:f>
        <x:v>524</x:v>
      </x:c>
      <x:c r="H3285" s="20" t="n">
        <x:f>VLOOKUP(C3285,'Governorate Master'!$A$2:$Q$13,6,FALSE)</x:f>
        <x:v>0.8390177353342428</x:v>
      </x:c>
      <x:c r="I3285" s="20" t="n">
        <x:f>VLOOKUP(C3285,'Governorate Master'!$A$2:$Q$13,15,FALSE)</x:f>
        <x:v>0.03614457831325301</x:v>
      </x:c>
      <x:c r="J3285" s="12" t="str">
        <x:v>Location model input - competition/saturation context</x:v>
      </x:c>
      <x:c r="K3285" s="12" t="str">
        <x:v>Business count is from 2018 while population/context indicators are newer; use as a historical proxy, not a current market count.</x:v>
      </x:c>
    </x:row>
    <x:row r="3286">
      <x:c r="A3286" s="12" t="str">
        <x:v>8730</x:v>
      </x:c>
      <x:c r="B3286" s="12" t="str">
        <x:v>Residential care activities for the elderly and disabled</x:v>
      </x:c>
      <x:c r="C3286" s="12" t="str">
        <x:v>الكرك</x:v>
      </x:c>
      <x:c r="D3286" s="14" t="n">
        <x:v>1</x:v>
      </x:c>
      <x:c r="E3286" s="14" t="n">
        <x:f>VLOOKUP(C3286,'Governorate Master'!$A$2:$Q$13,3,FALSE)</x:f>
        <x:v>395400</x:v>
      </x:c>
      <x:c r="F3286" s="66" t="n">
        <x:f>IF(E3286=0,0,D3286/E3286*10000)</x:f>
        <x:v>0.025290844714213452</x:v>
      </x:c>
      <x:c r="G3286" s="67" t="n">
        <x:f>VLOOKUP(C3286,'Governorate Master'!$A$2:$Q$13,7,FALSE)</x:f>
        <x:v>113.1</x:v>
      </x:c>
      <x:c r="H3286" s="20" t="n">
        <x:f>VLOOKUP(C3286,'Governorate Master'!$A$2:$Q$13,6,FALSE)</x:f>
        <x:v>0.5912999494183105</x:v>
      </x:c>
      <x:c r="I3286" s="20" t="n">
        <x:f>VLOOKUP(C3286,'Governorate Master'!$A$2:$Q$13,15,FALSE)</x:f>
        <x:v>0.08710801393728224</x:v>
      </x:c>
      <x:c r="J3286" s="12" t="str">
        <x:v>Location model input - competition/saturation context</x:v>
      </x:c>
      <x:c r="K3286" s="12" t="str">
        <x:v>Business count is from 2018 while population/context indicators are newer; use as a historical proxy, not a current market count.</x:v>
      </x:c>
    </x:row>
    <x:row r="3287">
      <x:c r="A3287" s="12" t="str">
        <x:v>8730</x:v>
      </x:c>
      <x:c r="B3287" s="12" t="str">
        <x:v>Residential care activities for the elderly and disabled</x:v>
      </x:c>
      <x:c r="C3287" s="12" t="str">
        <x:v>الطفيلة</x:v>
      </x:c>
      <x:c r="D3287" s="14" t="n">
        <x:v>0</x:v>
      </x:c>
      <x:c r="E3287" s="14" t="n">
        <x:f>VLOOKUP(C3287,'Governorate Master'!$A$2:$Q$13,3,FALSE)</x:f>
        <x:v>120300</x:v>
      </x:c>
      <x:c r="F3287" s="66" t="n">
        <x:f>IF(E3287=0,0,D3287/E3287*10000)</x:f>
        <x:v>0</x:v>
      </x:c>
      <x:c r="G3287" s="67" t="n">
        <x:f>VLOOKUP(C3287,'Governorate Master'!$A$2:$Q$13,7,FALSE)</x:f>
        <x:v>54.4</x:v>
      </x:c>
      <x:c r="H3287" s="20" t="n">
        <x:f>VLOOKUP(C3287,'Governorate Master'!$A$2:$Q$13,6,FALSE)</x:f>
        <x:v>0.7797173732335827</x:v>
      </x:c>
      <x:c r="I3287" s="20" t="n">
        <x:f>VLOOKUP(C3287,'Governorate Master'!$A$2:$Q$13,15,FALSE)</x:f>
        <x:v>0.18452380952380953</x:v>
      </x:c>
      <x:c r="J3287" s="12" t="str">
        <x:v>Location model input - competition/saturation context</x:v>
      </x:c>
      <x:c r="K3287" s="12" t="str">
        <x:v>Business count is from 2018 while population/context indicators are newer; use as a historical proxy, not a current market count.</x:v>
      </x:c>
    </x:row>
    <x:row r="3288">
      <x:c r="A3288" s="12" t="str">
        <x:v>8730</x:v>
      </x:c>
      <x:c r="B3288" s="12" t="str">
        <x:v>Residential care activities for the elderly and disabled</x:v>
      </x:c>
      <x:c r="C3288" s="12" t="str">
        <x:v>معان</x:v>
      </x:c>
      <x:c r="D3288" s="14" t="n">
        <x:v>1</x:v>
      </x:c>
      <x:c r="E3288" s="14" t="n">
        <x:f>VLOOKUP(C3288,'Governorate Master'!$A$2:$Q$13,3,FALSE)</x:f>
        <x:v>197900</x:v>
      </x:c>
      <x:c r="F3288" s="66" t="n">
        <x:f>IF(E3288=0,0,D3288/E3288*10000)</x:f>
        <x:v>0.05053057099545225</x:v>
      </x:c>
      <x:c r="G3288" s="67" t="n">
        <x:f>VLOOKUP(C3288,'Governorate Master'!$A$2:$Q$13,7,FALSE)</x:f>
        <x:v>6</x:v>
      </x:c>
      <x:c r="H3288" s="20" t="n">
        <x:f>VLOOKUP(C3288,'Governorate Master'!$A$2:$Q$13,6,FALSE)</x:f>
        <x:v>0.5406771096513391</x:v>
      </x:c>
      <x:c r="I3288" s="20" t="n">
        <x:f>VLOOKUP(C3288,'Governorate Master'!$A$2:$Q$13,15,FALSE)</x:f>
        <x:v>0.026845637583892617</x:v>
      </x:c>
      <x:c r="J3288" s="12" t="str">
        <x:v>Location model input - competition/saturation context</x:v>
      </x:c>
      <x:c r="K3288" s="12" t="str">
        <x:v>Business count is from 2018 while population/context indicators are newer; use as a historical proxy, not a current market count.</x:v>
      </x:c>
    </x:row>
    <x:row r="3289">
      <x:c r="A3289" s="12" t="str">
        <x:v>8730</x:v>
      </x:c>
      <x:c r="B3289" s="12" t="str">
        <x:v>Residential care activities for the elderly and disabled</x:v>
      </x:c>
      <x:c r="C3289" s="12" t="str">
        <x:v>العقبة</x:v>
      </x:c>
      <x:c r="D3289" s="14" t="n">
        <x:v>0</x:v>
      </x:c>
      <x:c r="E3289" s="14" t="n">
        <x:f>VLOOKUP(C3289,'Governorate Master'!$A$2:$Q$13,3,FALSE)</x:f>
        <x:v>250900</x:v>
      </x:c>
      <x:c r="F3289" s="66" t="n">
        <x:f>IF(E3289=0,0,D3289/E3289*10000)</x:f>
        <x:v>0</x:v>
      </x:c>
      <x:c r="G3289" s="67" t="n">
        <x:f>VLOOKUP(C3289,'Governorate Master'!$A$2:$Q$13,7,FALSE)</x:f>
        <x:v>36.3</x:v>
      </x:c>
      <x:c r="H3289" s="20" t="n">
        <x:f>VLOOKUP(C3289,'Governorate Master'!$A$2:$Q$13,6,FALSE)</x:f>
        <x:v>0.882024711040255</x:v>
      </x:c>
      <x:c r="I3289" s="20" t="n">
        <x:f>VLOOKUP(C3289,'Governorate Master'!$A$2:$Q$13,15,FALSE)</x:f>
        <x:v>-0.09</x:v>
      </x:c>
      <x:c r="J3289" s="12" t="str">
        <x:v>Location model input - competition/saturation context</x:v>
      </x:c>
      <x:c r="K3289" s="12" t="str">
        <x:v>Business count is from 2018 while population/context indicators are newer; use as a historical proxy, not a current market count.</x:v>
      </x:c>
    </x:row>
    <x:row r="3290">
      <x:c r="A3290" s="12" t="str">
        <x:v>8790</x:v>
      </x:c>
      <x:c r="B3290" s="12" t="str">
        <x:v>Other residential care activities</x:v>
      </x:c>
      <x:c r="C3290" s="12" t="str">
        <x:v>عمان</x:v>
      </x:c>
      <x:c r="D3290" s="14" t="n">
        <x:v>11</x:v>
      </x:c>
      <x:c r="E3290" s="14" t="n">
        <x:f>VLOOKUP(C3290,'Governorate Master'!$A$2:$Q$13,3,FALSE)</x:f>
        <x:v>5004600</x:v>
      </x:c>
      <x:c r="F3290" s="66" t="n">
        <x:f>IF(E3290=0,0,D3290/E3290*10000)</x:f>
        <x:v>0.02197977860368461</x:v>
      </x:c>
      <x:c r="G3290" s="67" t="n">
        <x:f>VLOOKUP(C3290,'Governorate Master'!$A$2:$Q$13,7,FALSE)</x:f>
        <x:v>660.3</x:v>
      </x:c>
      <x:c r="H3290" s="20" t="n">
        <x:f>VLOOKUP(C3290,'Governorate Master'!$A$2:$Q$13,6,FALSE)</x:f>
        <x:v>0.9721656076409703</x:v>
      </x:c>
      <x:c r="I3290" s="20" t="n">
        <x:f>VLOOKUP(C3290,'Governorate Master'!$A$2:$Q$13,15,FALSE)</x:f>
        <x:v>0.06367041198501873</x:v>
      </x:c>
      <x:c r="J3290" s="12" t="str">
        <x:v>Location model input - competition/saturation context</x:v>
      </x:c>
      <x:c r="K3290" s="12" t="str">
        <x:v>Business count is from 2018 while population/context indicators are newer; use as a historical proxy, not a current market count.</x:v>
      </x:c>
    </x:row>
    <x:row r="3291">
      <x:c r="A3291" s="12" t="str">
        <x:v>8790</x:v>
      </x:c>
      <x:c r="B3291" s="12" t="str">
        <x:v>Other residential care activities</x:v>
      </x:c>
      <x:c r="C3291" s="12" t="str">
        <x:v>البلقاء</x:v>
      </x:c>
      <x:c r="D3291" s="14" t="n">
        <x:v>1</x:v>
      </x:c>
      <x:c r="E3291" s="14" t="n">
        <x:f>VLOOKUP(C3291,'Governorate Master'!$A$2:$Q$13,3,FALSE)</x:f>
        <x:v>614000</x:v>
      </x:c>
      <x:c r="F3291" s="66" t="n">
        <x:f>IF(E3291=0,0,D3291/E3291*10000)</x:f>
        <x:v>0.016286644951140065</x:v>
      </x:c>
      <x:c r="G3291" s="67" t="n">
        <x:f>VLOOKUP(C3291,'Governorate Master'!$A$2:$Q$13,7,FALSE)</x:f>
        <x:v>548</x:v>
      </x:c>
      <x:c r="H3291" s="20" t="n">
        <x:f>VLOOKUP(C3291,'Governorate Master'!$A$2:$Q$13,6,FALSE)</x:f>
        <x:v>0.8210097719869707</x:v>
      </x:c>
      <x:c r="I3291" s="20" t="n">
        <x:f>VLOOKUP(C3291,'Governorate Master'!$A$2:$Q$13,15,FALSE)</x:f>
        <x:v>0.10794044665012408</x:v>
      </x:c>
      <x:c r="J3291" s="12" t="str">
        <x:v>Location model input - competition/saturation context</x:v>
      </x:c>
      <x:c r="K3291" s="12" t="str">
        <x:v>Business count is from 2018 while population/context indicators are newer; use as a historical proxy, not a current market count.</x:v>
      </x:c>
    </x:row>
    <x:row r="3292">
      <x:c r="A3292" s="12" t="str">
        <x:v>8790</x:v>
      </x:c>
      <x:c r="B3292" s="12" t="str">
        <x:v>Other residential care activities</x:v>
      </x:c>
      <x:c r="C3292" s="12" t="str">
        <x:v>الزرقاء</x:v>
      </x:c>
      <x:c r="D3292" s="14" t="n">
        <x:v>1</x:v>
      </x:c>
      <x:c r="E3292" s="14" t="n">
        <x:f>VLOOKUP(C3292,'Governorate Master'!$A$2:$Q$13,3,FALSE)</x:f>
        <x:v>1704500</x:v>
      </x:c>
      <x:c r="F3292" s="66" t="n">
        <x:f>IF(E3292=0,0,D3292/E3292*10000)</x:f>
        <x:v>0.005866823115283074</x:v>
      </x:c>
      <x:c r="G3292" s="67" t="n">
        <x:f>VLOOKUP(C3292,'Governorate Master'!$A$2:$Q$13,7,FALSE)</x:f>
        <x:v>358</x:v>
      </x:c>
      <x:c r="H3292" s="20" t="n">
        <x:f>VLOOKUP(C3292,'Governorate Master'!$A$2:$Q$13,6,FALSE)</x:f>
        <x:v>0.9636256966852449</x:v>
      </x:c>
      <x:c r="I3292" s="20" t="n">
        <x:f>VLOOKUP(C3292,'Governorate Master'!$A$2:$Q$13,15,FALSE)</x:f>
        <x:v>-0.06808762581409118</x:v>
      </x:c>
      <x:c r="J3292" s="12" t="str">
        <x:v>Location model input - competition/saturation context</x:v>
      </x:c>
      <x:c r="K3292" s="12" t="str">
        <x:v>Business count is from 2018 while population/context indicators are newer; use as a historical proxy, not a current market count.</x:v>
      </x:c>
    </x:row>
    <x:row r="3293">
      <x:c r="A3293" s="12" t="str">
        <x:v>8790</x:v>
      </x:c>
      <x:c r="B3293" s="12" t="str">
        <x:v>Other residential care activities</x:v>
      </x:c>
      <x:c r="C3293" s="12" t="str">
        <x:v>مادبا</x:v>
      </x:c>
      <x:c r="D3293" s="14" t="n">
        <x:v>0</x:v>
      </x:c>
      <x:c r="E3293" s="14" t="n">
        <x:f>VLOOKUP(C3293,'Governorate Master'!$A$2:$Q$13,3,FALSE)</x:f>
        <x:v>236200</x:v>
      </x:c>
      <x:c r="F3293" s="66" t="n">
        <x:f>IF(E3293=0,0,D3293/E3293*10000)</x:f>
        <x:v>0</x:v>
      </x:c>
      <x:c r="G3293" s="67" t="n">
        <x:f>VLOOKUP(C3293,'Governorate Master'!$A$2:$Q$13,7,FALSE)</x:f>
        <x:v>251.4</x:v>
      </x:c>
      <x:c r="H3293" s="20" t="n">
        <x:f>VLOOKUP(C3293,'Governorate Master'!$A$2:$Q$13,6,FALSE)</x:f>
        <x:v>0.7823878069432684</x:v>
      </x:c>
      <x:c r="I3293" s="20" t="n">
        <x:f>VLOOKUP(C3293,'Governorate Master'!$A$2:$Q$13,15,FALSE)</x:f>
        <x:v>-0.18823529411764706</x:v>
      </x:c>
      <x:c r="J3293" s="12" t="str">
        <x:v>Location model input - competition/saturation context</x:v>
      </x:c>
      <x:c r="K3293" s="12" t="str">
        <x:v>Business count is from 2018 while population/context indicators are newer; use as a historical proxy, not a current market count.</x:v>
      </x:c>
    </x:row>
    <x:row r="3294">
      <x:c r="A3294" s="12" t="str">
        <x:v>8790</x:v>
      </x:c>
      <x:c r="B3294" s="12" t="str">
        <x:v>Other residential care activities</x:v>
      </x:c>
      <x:c r="C3294" s="12" t="str">
        <x:v>إربد</x:v>
      </x:c>
      <x:c r="D3294" s="14" t="n">
        <x:v>3</x:v>
      </x:c>
      <x:c r="E3294" s="14" t="n">
        <x:f>VLOOKUP(C3294,'Governorate Master'!$A$2:$Q$13,3,FALSE)</x:f>
        <x:v>2210500</x:v>
      </x:c>
      <x:c r="F3294" s="66" t="n">
        <x:f>IF(E3294=0,0,D3294/E3294*10000)</x:f>
        <x:v>0.013571590137977832</x:v>
      </x:c>
      <x:c r="G3294" s="67" t="n">
        <x:f>VLOOKUP(C3294,'Governorate Master'!$A$2:$Q$13,7,FALSE)</x:f>
        <x:v>1406.4</x:v>
      </x:c>
      <x:c r="H3294" s="20" t="n">
        <x:f>VLOOKUP(C3294,'Governorate Master'!$A$2:$Q$13,6,FALSE)</x:f>
        <x:v>0.9235014702555983</x:v>
      </x:c>
      <x:c r="I3294" s="20" t="n">
        <x:f>VLOOKUP(C3294,'Governorate Master'!$A$2:$Q$13,15,FALSE)</x:f>
        <x:v>0.07086922474549726</x:v>
      </x:c>
      <x:c r="J3294" s="12" t="str">
        <x:v>Location model input - competition/saturation context</x:v>
      </x:c>
      <x:c r="K3294" s="12" t="str">
        <x:v>Business count is from 2018 while population/context indicators are newer; use as a historical proxy, not a current market count.</x:v>
      </x:c>
    </x:row>
    <x:row r="3295">
      <x:c r="A3295" s="12" t="str">
        <x:v>8790</x:v>
      </x:c>
      <x:c r="B3295" s="12" t="str">
        <x:v>Other residential care activities</x:v>
      </x:c>
      <x:c r="C3295" s="12" t="str">
        <x:v>المفرق</x:v>
      </x:c>
      <x:c r="D3295" s="14" t="n">
        <x:v>1</x:v>
      </x:c>
      <x:c r="E3295" s="14" t="n">
        <x:f>VLOOKUP(C3295,'Governorate Master'!$A$2:$Q$13,3,FALSE)</x:f>
        <x:v>686800</x:v>
      </x:c>
      <x:c r="F3295" s="66" t="n">
        <x:f>IF(E3295=0,0,D3295/E3295*10000)</x:f>
        <x:v>0.014560279557367502</x:v>
      </x:c>
      <x:c r="G3295" s="67" t="n">
        <x:f>VLOOKUP(C3295,'Governorate Master'!$A$2:$Q$13,7,FALSE)</x:f>
        <x:v>25.9</x:v>
      </x:c>
      <x:c r="H3295" s="20" t="n">
        <x:f>VLOOKUP(C3295,'Governorate Master'!$A$2:$Q$13,6,FALSE)</x:f>
        <x:v>0.6965637740244612</x:v>
      </x:c>
      <x:c r="I3295" s="20" t="n">
        <x:f>VLOOKUP(C3295,'Governorate Master'!$A$2:$Q$13,15,FALSE)</x:f>
        <x:v>-0.016638935108153077</x:v>
      </x:c>
      <x:c r="J3295" s="12" t="str">
        <x:v>Location model input - competition/saturation context</x:v>
      </x:c>
      <x:c r="K3295" s="12" t="str">
        <x:v>Business count is from 2018 while population/context indicators are newer; use as a historical proxy, not a current market count.</x:v>
      </x:c>
    </x:row>
    <x:row r="3296">
      <x:c r="A3296" s="12" t="str">
        <x:v>8790</x:v>
      </x:c>
      <x:c r="B3296" s="12" t="str">
        <x:v>Other residential care activities</x:v>
      </x:c>
      <x:c r="C3296" s="12" t="str">
        <x:v>جرش</x:v>
      </x:c>
      <x:c r="D3296" s="14" t="n">
        <x:v>2</x:v>
      </x:c>
      <x:c r="E3296" s="14" t="n">
        <x:f>VLOOKUP(C3296,'Governorate Master'!$A$2:$Q$13,3,FALSE)</x:f>
        <x:v>296000</x:v>
      </x:c>
      <x:c r="F3296" s="66" t="n">
        <x:f>IF(E3296=0,0,D3296/E3296*10000)</x:f>
        <x:v>0.06756756756756757</x:v>
      </x:c>
      <x:c r="G3296" s="67" t="n">
        <x:f>VLOOKUP(C3296,'Governorate Master'!$A$2:$Q$13,7,FALSE)</x:f>
        <x:v>722.3</x:v>
      </x:c>
      <x:c r="H3296" s="20" t="n">
        <x:f>VLOOKUP(C3296,'Governorate Master'!$A$2:$Q$13,6,FALSE)</x:f>
        <x:v>0.7695945945945946</x:v>
      </x:c>
      <x:c r="I3296" s="20" t="n">
        <x:f>VLOOKUP(C3296,'Governorate Master'!$A$2:$Q$13,15,FALSE)</x:f>
        <x:v>-0.06527415143603134</x:v>
      </x:c>
      <x:c r="J3296" s="12" t="str">
        <x:v>Location model input - competition/saturation context</x:v>
      </x:c>
      <x:c r="K3296" s="12" t="str">
        <x:v>Business count is from 2018 while population/context indicators are newer; use as a historical proxy, not a current market count.</x:v>
      </x:c>
    </x:row>
    <x:row r="3297">
      <x:c r="A3297" s="12" t="str">
        <x:v>8790</x:v>
      </x:c>
      <x:c r="B3297" s="12" t="str">
        <x:v>Other residential care activities</x:v>
      </x:c>
      <x:c r="C3297" s="12" t="str">
        <x:v>عجلون</x:v>
      </x:c>
      <x:c r="D3297" s="14" t="n">
        <x:v>0</x:v>
      </x:c>
      <x:c r="E3297" s="14" t="n">
        <x:f>VLOOKUP(C3297,'Governorate Master'!$A$2:$Q$13,3,FALSE)</x:f>
        <x:v>219900</x:v>
      </x:c>
      <x:c r="F3297" s="66" t="n">
        <x:f>IF(E3297=0,0,D3297/E3297*10000)</x:f>
        <x:v>0</x:v>
      </x:c>
      <x:c r="G3297" s="67" t="n">
        <x:f>VLOOKUP(C3297,'Governorate Master'!$A$2:$Q$13,7,FALSE)</x:f>
        <x:v>524</x:v>
      </x:c>
      <x:c r="H3297" s="20" t="n">
        <x:f>VLOOKUP(C3297,'Governorate Master'!$A$2:$Q$13,6,FALSE)</x:f>
        <x:v>0.8390177353342428</x:v>
      </x:c>
      <x:c r="I3297" s="20" t="n">
        <x:f>VLOOKUP(C3297,'Governorate Master'!$A$2:$Q$13,15,FALSE)</x:f>
        <x:v>0.03614457831325301</x:v>
      </x:c>
      <x:c r="J3297" s="12" t="str">
        <x:v>Location model input - competition/saturation context</x:v>
      </x:c>
      <x:c r="K3297" s="12" t="str">
        <x:v>Business count is from 2018 while population/context indicators are newer; use as a historical proxy, not a current market count.</x:v>
      </x:c>
    </x:row>
    <x:row r="3298">
      <x:c r="A3298" s="12" t="str">
        <x:v>8790</x:v>
      </x:c>
      <x:c r="B3298" s="12" t="str">
        <x:v>Other residential care activities</x:v>
      </x:c>
      <x:c r="C3298" s="12" t="str">
        <x:v>الكرك</x:v>
      </x:c>
      <x:c r="D3298" s="14" t="n">
        <x:v>1</x:v>
      </x:c>
      <x:c r="E3298" s="14" t="n">
        <x:f>VLOOKUP(C3298,'Governorate Master'!$A$2:$Q$13,3,FALSE)</x:f>
        <x:v>395400</x:v>
      </x:c>
      <x:c r="F3298" s="66" t="n">
        <x:f>IF(E3298=0,0,D3298/E3298*10000)</x:f>
        <x:v>0.025290844714213452</x:v>
      </x:c>
      <x:c r="G3298" s="67" t="n">
        <x:f>VLOOKUP(C3298,'Governorate Master'!$A$2:$Q$13,7,FALSE)</x:f>
        <x:v>113.1</x:v>
      </x:c>
      <x:c r="H3298" s="20" t="n">
        <x:f>VLOOKUP(C3298,'Governorate Master'!$A$2:$Q$13,6,FALSE)</x:f>
        <x:v>0.5912999494183105</x:v>
      </x:c>
      <x:c r="I3298" s="20" t="n">
        <x:f>VLOOKUP(C3298,'Governorate Master'!$A$2:$Q$13,15,FALSE)</x:f>
        <x:v>0.08710801393728224</x:v>
      </x:c>
      <x:c r="J3298" s="12" t="str">
        <x:v>Location model input - competition/saturation context</x:v>
      </x:c>
      <x:c r="K3298" s="12" t="str">
        <x:v>Business count is from 2018 while population/context indicators are newer; use as a historical proxy, not a current market count.</x:v>
      </x:c>
    </x:row>
    <x:row r="3299">
      <x:c r="A3299" s="12" t="str">
        <x:v>8790</x:v>
      </x:c>
      <x:c r="B3299" s="12" t="str">
        <x:v>Other residential care activities</x:v>
      </x:c>
      <x:c r="C3299" s="12" t="str">
        <x:v>الطفيلة</x:v>
      </x:c>
      <x:c r="D3299" s="14" t="n">
        <x:v>0</x:v>
      </x:c>
      <x:c r="E3299" s="14" t="n">
        <x:f>VLOOKUP(C3299,'Governorate Master'!$A$2:$Q$13,3,FALSE)</x:f>
        <x:v>120300</x:v>
      </x:c>
      <x:c r="F3299" s="66" t="n">
        <x:f>IF(E3299=0,0,D3299/E3299*10000)</x:f>
        <x:v>0</x:v>
      </x:c>
      <x:c r="G3299" s="67" t="n">
        <x:f>VLOOKUP(C3299,'Governorate Master'!$A$2:$Q$13,7,FALSE)</x:f>
        <x:v>54.4</x:v>
      </x:c>
      <x:c r="H3299" s="20" t="n">
        <x:f>VLOOKUP(C3299,'Governorate Master'!$A$2:$Q$13,6,FALSE)</x:f>
        <x:v>0.7797173732335827</x:v>
      </x:c>
      <x:c r="I3299" s="20" t="n">
        <x:f>VLOOKUP(C3299,'Governorate Master'!$A$2:$Q$13,15,FALSE)</x:f>
        <x:v>0.18452380952380953</x:v>
      </x:c>
      <x:c r="J3299" s="12" t="str">
        <x:v>Location model input - competition/saturation context</x:v>
      </x:c>
      <x:c r="K3299" s="12" t="str">
        <x:v>Business count is from 2018 while population/context indicators are newer; use as a historical proxy, not a current market count.</x:v>
      </x:c>
    </x:row>
    <x:row r="3300">
      <x:c r="A3300" s="12" t="str">
        <x:v>8790</x:v>
      </x:c>
      <x:c r="B3300" s="12" t="str">
        <x:v>Other residential care activities</x:v>
      </x:c>
      <x:c r="C3300" s="12" t="str">
        <x:v>معان</x:v>
      </x:c>
      <x:c r="D3300" s="14" t="n">
        <x:v>2</x:v>
      </x:c>
      <x:c r="E3300" s="14" t="n">
        <x:f>VLOOKUP(C3300,'Governorate Master'!$A$2:$Q$13,3,FALSE)</x:f>
        <x:v>197900</x:v>
      </x:c>
      <x:c r="F3300" s="66" t="n">
        <x:f>IF(E3300=0,0,D3300/E3300*10000)</x:f>
        <x:v>0.1010611419909045</x:v>
      </x:c>
      <x:c r="G3300" s="67" t="n">
        <x:f>VLOOKUP(C3300,'Governorate Master'!$A$2:$Q$13,7,FALSE)</x:f>
        <x:v>6</x:v>
      </x:c>
      <x:c r="H3300" s="20" t="n">
        <x:f>VLOOKUP(C3300,'Governorate Master'!$A$2:$Q$13,6,FALSE)</x:f>
        <x:v>0.5406771096513391</x:v>
      </x:c>
      <x:c r="I3300" s="20" t="n">
        <x:f>VLOOKUP(C3300,'Governorate Master'!$A$2:$Q$13,15,FALSE)</x:f>
        <x:v>0.026845637583892617</x:v>
      </x:c>
      <x:c r="J3300" s="12" t="str">
        <x:v>Location model input - competition/saturation context</x:v>
      </x:c>
      <x:c r="K3300" s="12" t="str">
        <x:v>Business count is from 2018 while population/context indicators are newer; use as a historical proxy, not a current market count.</x:v>
      </x:c>
    </x:row>
    <x:row r="3301">
      <x:c r="A3301" s="12" t="str">
        <x:v>8790</x:v>
      </x:c>
      <x:c r="B3301" s="12" t="str">
        <x:v>Other residential care activities</x:v>
      </x:c>
      <x:c r="C3301" s="12" t="str">
        <x:v>العقبة</x:v>
      </x:c>
      <x:c r="D3301" s="14" t="n">
        <x:v>0</x:v>
      </x:c>
      <x:c r="E3301" s="14" t="n">
        <x:f>VLOOKUP(C3301,'Governorate Master'!$A$2:$Q$13,3,FALSE)</x:f>
        <x:v>250900</x:v>
      </x:c>
      <x:c r="F3301" s="66" t="n">
        <x:f>IF(E3301=0,0,D3301/E3301*10000)</x:f>
        <x:v>0</x:v>
      </x:c>
      <x:c r="G3301" s="67" t="n">
        <x:f>VLOOKUP(C3301,'Governorate Master'!$A$2:$Q$13,7,FALSE)</x:f>
        <x:v>36.3</x:v>
      </x:c>
      <x:c r="H3301" s="20" t="n">
        <x:f>VLOOKUP(C3301,'Governorate Master'!$A$2:$Q$13,6,FALSE)</x:f>
        <x:v>0.882024711040255</x:v>
      </x:c>
      <x:c r="I3301" s="20" t="n">
        <x:f>VLOOKUP(C3301,'Governorate Master'!$A$2:$Q$13,15,FALSE)</x:f>
        <x:v>-0.09</x:v>
      </x:c>
      <x:c r="J3301" s="12" t="str">
        <x:v>Location model input - competition/saturation context</x:v>
      </x:c>
      <x:c r="K3301" s="12" t="str">
        <x:v>Business count is from 2018 while population/context indicators are newer; use as a historical proxy, not a current market count.</x:v>
      </x:c>
    </x:row>
    <x:row r="3302">
      <x:c r="A3302" s="12" t="str">
        <x:v>8810</x:v>
      </x:c>
      <x:c r="B3302" s="12" t="str">
        <x:v>Social work activities without accommodation for the elderly and disabled</x:v>
      </x:c>
      <x:c r="C3302" s="12" t="str">
        <x:v>عمان</x:v>
      </x:c>
      <x:c r="D3302" s="14" t="n">
        <x:v>323</x:v>
      </x:c>
      <x:c r="E3302" s="14" t="n">
        <x:f>VLOOKUP(C3302,'Governorate Master'!$A$2:$Q$13,3,FALSE)</x:f>
        <x:v>5004600</x:v>
      </x:c>
      <x:c r="F3302" s="66" t="n">
        <x:f>IF(E3302=0,0,D3302/E3302*10000)</x:f>
        <x:v>0.64540622627183</x:v>
      </x:c>
      <x:c r="G3302" s="67" t="n">
        <x:f>VLOOKUP(C3302,'Governorate Master'!$A$2:$Q$13,7,FALSE)</x:f>
        <x:v>660.3</x:v>
      </x:c>
      <x:c r="H3302" s="20" t="n">
        <x:f>VLOOKUP(C3302,'Governorate Master'!$A$2:$Q$13,6,FALSE)</x:f>
        <x:v>0.9721656076409703</x:v>
      </x:c>
      <x:c r="I3302" s="20" t="n">
        <x:f>VLOOKUP(C3302,'Governorate Master'!$A$2:$Q$13,15,FALSE)</x:f>
        <x:v>0.06367041198501873</x:v>
      </x:c>
      <x:c r="J3302" s="12" t="str">
        <x:v>Location model input - competition/saturation context</x:v>
      </x:c>
      <x:c r="K3302" s="12" t="str">
        <x:v>Business count is from 2018 while population/context indicators are newer; use as a historical proxy, not a current market count.</x:v>
      </x:c>
    </x:row>
    <x:row r="3303">
      <x:c r="A3303" s="12" t="str">
        <x:v>8810</x:v>
      </x:c>
      <x:c r="B3303" s="12" t="str">
        <x:v>Social work activities without accommodation for the elderly and disabled</x:v>
      </x:c>
      <x:c r="C3303" s="12" t="str">
        <x:v>البلقاء</x:v>
      </x:c>
      <x:c r="D3303" s="14" t="n">
        <x:v>76</x:v>
      </x:c>
      <x:c r="E3303" s="14" t="n">
        <x:f>VLOOKUP(C3303,'Governorate Master'!$A$2:$Q$13,3,FALSE)</x:f>
        <x:v>614000</x:v>
      </x:c>
      <x:c r="F3303" s="66" t="n">
        <x:f>IF(E3303=0,0,D3303/E3303*10000)</x:f>
        <x:v>1.237785016286645</x:v>
      </x:c>
      <x:c r="G3303" s="67" t="n">
        <x:f>VLOOKUP(C3303,'Governorate Master'!$A$2:$Q$13,7,FALSE)</x:f>
        <x:v>548</x:v>
      </x:c>
      <x:c r="H3303" s="20" t="n">
        <x:f>VLOOKUP(C3303,'Governorate Master'!$A$2:$Q$13,6,FALSE)</x:f>
        <x:v>0.8210097719869707</x:v>
      </x:c>
      <x:c r="I3303" s="20" t="n">
        <x:f>VLOOKUP(C3303,'Governorate Master'!$A$2:$Q$13,15,FALSE)</x:f>
        <x:v>0.10794044665012408</x:v>
      </x:c>
      <x:c r="J3303" s="12" t="str">
        <x:v>Location model input - competition/saturation context</x:v>
      </x:c>
      <x:c r="K3303" s="12" t="str">
        <x:v>Business count is from 2018 while population/context indicators are newer; use as a historical proxy, not a current market count.</x:v>
      </x:c>
    </x:row>
    <x:row r="3304">
      <x:c r="A3304" s="12" t="str">
        <x:v>8810</x:v>
      </x:c>
      <x:c r="B3304" s="12" t="str">
        <x:v>Social work activities without accommodation for the elderly and disabled</x:v>
      </x:c>
      <x:c r="C3304" s="12" t="str">
        <x:v>الزرقاء</x:v>
      </x:c>
      <x:c r="D3304" s="14" t="n">
        <x:v>146</x:v>
      </x:c>
      <x:c r="E3304" s="14" t="n">
        <x:f>VLOOKUP(C3304,'Governorate Master'!$A$2:$Q$13,3,FALSE)</x:f>
        <x:v>1704500</x:v>
      </x:c>
      <x:c r="F3304" s="66" t="n">
        <x:f>IF(E3304=0,0,D3304/E3304*10000)</x:f>
        <x:v>0.8565561748313288</x:v>
      </x:c>
      <x:c r="G3304" s="67" t="n">
        <x:f>VLOOKUP(C3304,'Governorate Master'!$A$2:$Q$13,7,FALSE)</x:f>
        <x:v>358</x:v>
      </x:c>
      <x:c r="H3304" s="20" t="n">
        <x:f>VLOOKUP(C3304,'Governorate Master'!$A$2:$Q$13,6,FALSE)</x:f>
        <x:v>0.9636256966852449</x:v>
      </x:c>
      <x:c r="I3304" s="20" t="n">
        <x:f>VLOOKUP(C3304,'Governorate Master'!$A$2:$Q$13,15,FALSE)</x:f>
        <x:v>-0.06808762581409118</x:v>
      </x:c>
      <x:c r="J3304" s="12" t="str">
        <x:v>Location model input - competition/saturation context</x:v>
      </x:c>
      <x:c r="K3304" s="12" t="str">
        <x:v>Business count is from 2018 while population/context indicators are newer; use as a historical proxy, not a current market count.</x:v>
      </x:c>
    </x:row>
    <x:row r="3305">
      <x:c r="A3305" s="12" t="str">
        <x:v>8810</x:v>
      </x:c>
      <x:c r="B3305" s="12" t="str">
        <x:v>Social work activities without accommodation for the elderly and disabled</x:v>
      </x:c>
      <x:c r="C3305" s="12" t="str">
        <x:v>مادبا</x:v>
      </x:c>
      <x:c r="D3305" s="14" t="n">
        <x:v>21</x:v>
      </x:c>
      <x:c r="E3305" s="14" t="n">
        <x:f>VLOOKUP(C3305,'Governorate Master'!$A$2:$Q$13,3,FALSE)</x:f>
        <x:v>236200</x:v>
      </x:c>
      <x:c r="F3305" s="66" t="n">
        <x:f>IF(E3305=0,0,D3305/E3305*10000)</x:f>
        <x:v>0.8890770533446233</x:v>
      </x:c>
      <x:c r="G3305" s="67" t="n">
        <x:f>VLOOKUP(C3305,'Governorate Master'!$A$2:$Q$13,7,FALSE)</x:f>
        <x:v>251.4</x:v>
      </x:c>
      <x:c r="H3305" s="20" t="n">
        <x:f>VLOOKUP(C3305,'Governorate Master'!$A$2:$Q$13,6,FALSE)</x:f>
        <x:v>0.7823878069432684</x:v>
      </x:c>
      <x:c r="I3305" s="20" t="n">
        <x:f>VLOOKUP(C3305,'Governorate Master'!$A$2:$Q$13,15,FALSE)</x:f>
        <x:v>-0.18823529411764706</x:v>
      </x:c>
      <x:c r="J3305" s="12" t="str">
        <x:v>Location model input - competition/saturation context</x:v>
      </x:c>
      <x:c r="K3305" s="12" t="str">
        <x:v>Business count is from 2018 while population/context indicators are newer; use as a historical proxy, not a current market count.</x:v>
      </x:c>
    </x:row>
    <x:row r="3306">
      <x:c r="A3306" s="12" t="str">
        <x:v>8810</x:v>
      </x:c>
      <x:c r="B3306" s="12" t="str">
        <x:v>Social work activities without accommodation for the elderly and disabled</x:v>
      </x:c>
      <x:c r="C3306" s="12" t="str">
        <x:v>إربد</x:v>
      </x:c>
      <x:c r="D3306" s="14" t="n">
        <x:v>162</x:v>
      </x:c>
      <x:c r="E3306" s="14" t="n">
        <x:f>VLOOKUP(C3306,'Governorate Master'!$A$2:$Q$13,3,FALSE)</x:f>
        <x:v>2210500</x:v>
      </x:c>
      <x:c r="F3306" s="66" t="n">
        <x:f>IF(E3306=0,0,D3306/E3306*10000)</x:f>
        <x:v>0.732865867450803</x:v>
      </x:c>
      <x:c r="G3306" s="67" t="n">
        <x:f>VLOOKUP(C3306,'Governorate Master'!$A$2:$Q$13,7,FALSE)</x:f>
        <x:v>1406.4</x:v>
      </x:c>
      <x:c r="H3306" s="20" t="n">
        <x:f>VLOOKUP(C3306,'Governorate Master'!$A$2:$Q$13,6,FALSE)</x:f>
        <x:v>0.9235014702555983</x:v>
      </x:c>
      <x:c r="I3306" s="20" t="n">
        <x:f>VLOOKUP(C3306,'Governorate Master'!$A$2:$Q$13,15,FALSE)</x:f>
        <x:v>0.07086922474549726</x:v>
      </x:c>
      <x:c r="J3306" s="12" t="str">
        <x:v>Location model input - competition/saturation context</x:v>
      </x:c>
      <x:c r="K3306" s="12" t="str">
        <x:v>Business count is from 2018 while population/context indicators are newer; use as a historical proxy, not a current market count.</x:v>
      </x:c>
    </x:row>
    <x:row r="3307">
      <x:c r="A3307" s="12" t="str">
        <x:v>8810</x:v>
      </x:c>
      <x:c r="B3307" s="12" t="str">
        <x:v>Social work activities without accommodation for the elderly and disabled</x:v>
      </x:c>
      <x:c r="C3307" s="12" t="str">
        <x:v>المفرق</x:v>
      </x:c>
      <x:c r="D3307" s="14" t="n">
        <x:v>37</x:v>
      </x:c>
      <x:c r="E3307" s="14" t="n">
        <x:f>VLOOKUP(C3307,'Governorate Master'!$A$2:$Q$13,3,FALSE)</x:f>
        <x:v>686800</x:v>
      </x:c>
      <x:c r="F3307" s="66" t="n">
        <x:f>IF(E3307=0,0,D3307/E3307*10000)</x:f>
        <x:v>0.5387303436225975</x:v>
      </x:c>
      <x:c r="G3307" s="67" t="n">
        <x:f>VLOOKUP(C3307,'Governorate Master'!$A$2:$Q$13,7,FALSE)</x:f>
        <x:v>25.9</x:v>
      </x:c>
      <x:c r="H3307" s="20" t="n">
        <x:f>VLOOKUP(C3307,'Governorate Master'!$A$2:$Q$13,6,FALSE)</x:f>
        <x:v>0.6965637740244612</x:v>
      </x:c>
      <x:c r="I3307" s="20" t="n">
        <x:f>VLOOKUP(C3307,'Governorate Master'!$A$2:$Q$13,15,FALSE)</x:f>
        <x:v>-0.016638935108153077</x:v>
      </x:c>
      <x:c r="J3307" s="12" t="str">
        <x:v>Location model input - competition/saturation context</x:v>
      </x:c>
      <x:c r="K3307" s="12" t="str">
        <x:v>Business count is from 2018 while population/context indicators are newer; use as a historical proxy, not a current market count.</x:v>
      </x:c>
    </x:row>
    <x:row r="3308">
      <x:c r="A3308" s="12" t="str">
        <x:v>8810</x:v>
      </x:c>
      <x:c r="B3308" s="12" t="str">
        <x:v>Social work activities without accommodation for the elderly and disabled</x:v>
      </x:c>
      <x:c r="C3308" s="12" t="str">
        <x:v>جرش</x:v>
      </x:c>
      <x:c r="D3308" s="14" t="n">
        <x:v>16</x:v>
      </x:c>
      <x:c r="E3308" s="14" t="n">
        <x:f>VLOOKUP(C3308,'Governorate Master'!$A$2:$Q$13,3,FALSE)</x:f>
        <x:v>296000</x:v>
      </x:c>
      <x:c r="F3308" s="66" t="n">
        <x:f>IF(E3308=0,0,D3308/E3308*10000)</x:f>
        <x:v>0.5405405405405406</x:v>
      </x:c>
      <x:c r="G3308" s="67" t="n">
        <x:f>VLOOKUP(C3308,'Governorate Master'!$A$2:$Q$13,7,FALSE)</x:f>
        <x:v>722.3</x:v>
      </x:c>
      <x:c r="H3308" s="20" t="n">
        <x:f>VLOOKUP(C3308,'Governorate Master'!$A$2:$Q$13,6,FALSE)</x:f>
        <x:v>0.7695945945945946</x:v>
      </x:c>
      <x:c r="I3308" s="20" t="n">
        <x:f>VLOOKUP(C3308,'Governorate Master'!$A$2:$Q$13,15,FALSE)</x:f>
        <x:v>-0.06527415143603134</x:v>
      </x:c>
      <x:c r="J3308" s="12" t="str">
        <x:v>Location model input - competition/saturation context</x:v>
      </x:c>
      <x:c r="K3308" s="12" t="str">
        <x:v>Business count is from 2018 while population/context indicators are newer; use as a historical proxy, not a current market count.</x:v>
      </x:c>
    </x:row>
    <x:row r="3309">
      <x:c r="A3309" s="12" t="str">
        <x:v>8810</x:v>
      </x:c>
      <x:c r="B3309" s="12" t="str">
        <x:v>Social work activities without accommodation for the elderly and disabled</x:v>
      </x:c>
      <x:c r="C3309" s="12" t="str">
        <x:v>عجلون</x:v>
      </x:c>
      <x:c r="D3309" s="14" t="n">
        <x:v>32</x:v>
      </x:c>
      <x:c r="E3309" s="14" t="n">
        <x:f>VLOOKUP(C3309,'Governorate Master'!$A$2:$Q$13,3,FALSE)</x:f>
        <x:v>219900</x:v>
      </x:c>
      <x:c r="F3309" s="66" t="n">
        <x:f>IF(E3309=0,0,D3309/E3309*10000)</x:f>
        <x:v>1.455206912232833</x:v>
      </x:c>
      <x:c r="G3309" s="67" t="n">
        <x:f>VLOOKUP(C3309,'Governorate Master'!$A$2:$Q$13,7,FALSE)</x:f>
        <x:v>524</x:v>
      </x:c>
      <x:c r="H3309" s="20" t="n">
        <x:f>VLOOKUP(C3309,'Governorate Master'!$A$2:$Q$13,6,FALSE)</x:f>
        <x:v>0.8390177353342428</x:v>
      </x:c>
      <x:c r="I3309" s="20" t="n">
        <x:f>VLOOKUP(C3309,'Governorate Master'!$A$2:$Q$13,15,FALSE)</x:f>
        <x:v>0.03614457831325301</x:v>
      </x:c>
      <x:c r="J3309" s="12" t="str">
        <x:v>Location model input - competition/saturation context</x:v>
      </x:c>
      <x:c r="K3309" s="12" t="str">
        <x:v>Business count is from 2018 while population/context indicators are newer; use as a historical proxy, not a current market count.</x:v>
      </x:c>
    </x:row>
    <x:row r="3310">
      <x:c r="A3310" s="12" t="str">
        <x:v>8810</x:v>
      </x:c>
      <x:c r="B3310" s="12" t="str">
        <x:v>Social work activities without accommodation for the elderly and disabled</x:v>
      </x:c>
      <x:c r="C3310" s="12" t="str">
        <x:v>الكرك</x:v>
      </x:c>
      <x:c r="D3310" s="14" t="n">
        <x:v>114</x:v>
      </x:c>
      <x:c r="E3310" s="14" t="n">
        <x:f>VLOOKUP(C3310,'Governorate Master'!$A$2:$Q$13,3,FALSE)</x:f>
        <x:v>395400</x:v>
      </x:c>
      <x:c r="F3310" s="66" t="n">
        <x:f>IF(E3310=0,0,D3310/E3310*10000)</x:f>
        <x:v>2.883156297420334</x:v>
      </x:c>
      <x:c r="G3310" s="67" t="n">
        <x:f>VLOOKUP(C3310,'Governorate Master'!$A$2:$Q$13,7,FALSE)</x:f>
        <x:v>113.1</x:v>
      </x:c>
      <x:c r="H3310" s="20" t="n">
        <x:f>VLOOKUP(C3310,'Governorate Master'!$A$2:$Q$13,6,FALSE)</x:f>
        <x:v>0.5912999494183105</x:v>
      </x:c>
      <x:c r="I3310" s="20" t="n">
        <x:f>VLOOKUP(C3310,'Governorate Master'!$A$2:$Q$13,15,FALSE)</x:f>
        <x:v>0.08710801393728224</x:v>
      </x:c>
      <x:c r="J3310" s="12" t="str">
        <x:v>Location model input - competition/saturation context</x:v>
      </x:c>
      <x:c r="K3310" s="12" t="str">
        <x:v>Business count is from 2018 while population/context indicators are newer; use as a historical proxy, not a current market count.</x:v>
      </x:c>
    </x:row>
    <x:row r="3311">
      <x:c r="A3311" s="12" t="str">
        <x:v>8810</x:v>
      </x:c>
      <x:c r="B3311" s="12" t="str">
        <x:v>Social work activities without accommodation for the elderly and disabled</x:v>
      </x:c>
      <x:c r="C3311" s="12" t="str">
        <x:v>الطفيلة</x:v>
      </x:c>
      <x:c r="D3311" s="14" t="n">
        <x:v>13</x:v>
      </x:c>
      <x:c r="E3311" s="14" t="n">
        <x:f>VLOOKUP(C3311,'Governorate Master'!$A$2:$Q$13,3,FALSE)</x:f>
        <x:v>120300</x:v>
      </x:c>
      <x:c r="F3311" s="66" t="n">
        <x:f>IF(E3311=0,0,D3311/E3311*10000)</x:f>
        <x:v>1.0806317539484622</x:v>
      </x:c>
      <x:c r="G3311" s="67" t="n">
        <x:f>VLOOKUP(C3311,'Governorate Master'!$A$2:$Q$13,7,FALSE)</x:f>
        <x:v>54.4</x:v>
      </x:c>
      <x:c r="H3311" s="20" t="n">
        <x:f>VLOOKUP(C3311,'Governorate Master'!$A$2:$Q$13,6,FALSE)</x:f>
        <x:v>0.7797173732335827</x:v>
      </x:c>
      <x:c r="I3311" s="20" t="n">
        <x:f>VLOOKUP(C3311,'Governorate Master'!$A$2:$Q$13,15,FALSE)</x:f>
        <x:v>0.18452380952380953</x:v>
      </x:c>
      <x:c r="J3311" s="12" t="str">
        <x:v>Location model input - competition/saturation context</x:v>
      </x:c>
      <x:c r="K3311" s="12" t="str">
        <x:v>Business count is from 2018 while population/context indicators are newer; use as a historical proxy, not a current market count.</x:v>
      </x:c>
    </x:row>
    <x:row r="3312">
      <x:c r="A3312" s="12" t="str">
        <x:v>8810</x:v>
      </x:c>
      <x:c r="B3312" s="12" t="str">
        <x:v>Social work activities without accommodation for the elderly and disabled</x:v>
      </x:c>
      <x:c r="C3312" s="12" t="str">
        <x:v>معان</x:v>
      </x:c>
      <x:c r="D3312" s="14" t="n">
        <x:v>56</x:v>
      </x:c>
      <x:c r="E3312" s="14" t="n">
        <x:f>VLOOKUP(C3312,'Governorate Master'!$A$2:$Q$13,3,FALSE)</x:f>
        <x:v>197900</x:v>
      </x:c>
      <x:c r="F3312" s="66" t="n">
        <x:f>IF(E3312=0,0,D3312/E3312*10000)</x:f>
        <x:v>2.829711975745326</x:v>
      </x:c>
      <x:c r="G3312" s="67" t="n">
        <x:f>VLOOKUP(C3312,'Governorate Master'!$A$2:$Q$13,7,FALSE)</x:f>
        <x:v>6</x:v>
      </x:c>
      <x:c r="H3312" s="20" t="n">
        <x:f>VLOOKUP(C3312,'Governorate Master'!$A$2:$Q$13,6,FALSE)</x:f>
        <x:v>0.5406771096513391</x:v>
      </x:c>
      <x:c r="I3312" s="20" t="n">
        <x:f>VLOOKUP(C3312,'Governorate Master'!$A$2:$Q$13,15,FALSE)</x:f>
        <x:v>0.026845637583892617</x:v>
      </x:c>
      <x:c r="J3312" s="12" t="str">
        <x:v>Location model input - competition/saturation context</x:v>
      </x:c>
      <x:c r="K3312" s="12" t="str">
        <x:v>Business count is from 2018 while population/context indicators are newer; use as a historical proxy, not a current market count.</x:v>
      </x:c>
    </x:row>
    <x:row r="3313">
      <x:c r="A3313" s="12" t="str">
        <x:v>8810</x:v>
      </x:c>
      <x:c r="B3313" s="12" t="str">
        <x:v>Social work activities without accommodation for the elderly and disabled</x:v>
      </x:c>
      <x:c r="C3313" s="12" t="str">
        <x:v>العقبة</x:v>
      </x:c>
      <x:c r="D3313" s="14" t="n">
        <x:v>36</x:v>
      </x:c>
      <x:c r="E3313" s="14" t="n">
        <x:f>VLOOKUP(C3313,'Governorate Master'!$A$2:$Q$13,3,FALSE)</x:f>
        <x:v>250900</x:v>
      </x:c>
      <x:c r="F3313" s="66" t="n">
        <x:f>IF(E3313=0,0,D3313/E3313*10000)</x:f>
        <x:v>1.4348345954563573</x:v>
      </x:c>
      <x:c r="G3313" s="67" t="n">
        <x:f>VLOOKUP(C3313,'Governorate Master'!$A$2:$Q$13,7,FALSE)</x:f>
        <x:v>36.3</x:v>
      </x:c>
      <x:c r="H3313" s="20" t="n">
        <x:f>VLOOKUP(C3313,'Governorate Master'!$A$2:$Q$13,6,FALSE)</x:f>
        <x:v>0.882024711040255</x:v>
      </x:c>
      <x:c r="I3313" s="20" t="n">
        <x:f>VLOOKUP(C3313,'Governorate Master'!$A$2:$Q$13,15,FALSE)</x:f>
        <x:v>-0.09</x:v>
      </x:c>
      <x:c r="J3313" s="12" t="str">
        <x:v>Location model input - competition/saturation context</x:v>
      </x:c>
      <x:c r="K3313" s="12" t="str">
        <x:v>Business count is from 2018 while population/context indicators are newer; use as a historical proxy, not a current market count.</x:v>
      </x:c>
    </x:row>
    <x:row r="3314">
      <x:c r="A3314" s="12" t="str">
        <x:v>8890</x:v>
      </x:c>
      <x:c r="B3314" s="12" t="str">
        <x:v>Other social work activities without accommodation</x:v>
      </x:c>
      <x:c r="C3314" s="12" t="str">
        <x:v>عمان</x:v>
      </x:c>
      <x:c r="D3314" s="14" t="n">
        <x:v>5</x:v>
      </x:c>
      <x:c r="E3314" s="14" t="n">
        <x:f>VLOOKUP(C3314,'Governorate Master'!$A$2:$Q$13,3,FALSE)</x:f>
        <x:v>5004600</x:v>
      </x:c>
      <x:c r="F3314" s="66" t="n">
        <x:f>IF(E3314=0,0,D3314/E3314*10000)</x:f>
        <x:v>0.009990808456220277</x:v>
      </x:c>
      <x:c r="G3314" s="67" t="n">
        <x:f>VLOOKUP(C3314,'Governorate Master'!$A$2:$Q$13,7,FALSE)</x:f>
        <x:v>660.3</x:v>
      </x:c>
      <x:c r="H3314" s="20" t="n">
        <x:f>VLOOKUP(C3314,'Governorate Master'!$A$2:$Q$13,6,FALSE)</x:f>
        <x:v>0.9721656076409703</x:v>
      </x:c>
      <x:c r="I3314" s="20" t="n">
        <x:f>VLOOKUP(C3314,'Governorate Master'!$A$2:$Q$13,15,FALSE)</x:f>
        <x:v>0.06367041198501873</x:v>
      </x:c>
      <x:c r="J3314" s="12" t="str">
        <x:v>Location model input - competition/saturation context</x:v>
      </x:c>
      <x:c r="K3314" s="12" t="str">
        <x:v>Business count is from 2018 while population/context indicators are newer; use as a historical proxy, not a current market count.</x:v>
      </x:c>
    </x:row>
    <x:row r="3315">
      <x:c r="A3315" s="12" t="str">
        <x:v>8890</x:v>
      </x:c>
      <x:c r="B3315" s="12" t="str">
        <x:v>Other social work activities without accommodation</x:v>
      </x:c>
      <x:c r="C3315" s="12" t="str">
        <x:v>البلقاء</x:v>
      </x:c>
      <x:c r="D3315" s="14" t="n">
        <x:v>1</x:v>
      </x:c>
      <x:c r="E3315" s="14" t="n">
        <x:f>VLOOKUP(C3315,'Governorate Master'!$A$2:$Q$13,3,FALSE)</x:f>
        <x:v>614000</x:v>
      </x:c>
      <x:c r="F3315" s="66" t="n">
        <x:f>IF(E3315=0,0,D3315/E3315*10000)</x:f>
        <x:v>0.016286644951140065</x:v>
      </x:c>
      <x:c r="G3315" s="67" t="n">
        <x:f>VLOOKUP(C3315,'Governorate Master'!$A$2:$Q$13,7,FALSE)</x:f>
        <x:v>548</x:v>
      </x:c>
      <x:c r="H3315" s="20" t="n">
        <x:f>VLOOKUP(C3315,'Governorate Master'!$A$2:$Q$13,6,FALSE)</x:f>
        <x:v>0.8210097719869707</x:v>
      </x:c>
      <x:c r="I3315" s="20" t="n">
        <x:f>VLOOKUP(C3315,'Governorate Master'!$A$2:$Q$13,15,FALSE)</x:f>
        <x:v>0.10794044665012408</x:v>
      </x:c>
      <x:c r="J3315" s="12" t="str">
        <x:v>Location model input - competition/saturation context</x:v>
      </x:c>
      <x:c r="K3315" s="12" t="str">
        <x:v>Business count is from 2018 while population/context indicators are newer; use as a historical proxy, not a current market count.</x:v>
      </x:c>
    </x:row>
    <x:row r="3316">
      <x:c r="A3316" s="12" t="str">
        <x:v>8890</x:v>
      </x:c>
      <x:c r="B3316" s="12" t="str">
        <x:v>Other social work activities without accommodation</x:v>
      </x:c>
      <x:c r="C3316" s="12" t="str">
        <x:v>الزرقاء</x:v>
      </x:c>
      <x:c r="D3316" s="14" t="n">
        <x:v>3</x:v>
      </x:c>
      <x:c r="E3316" s="14" t="n">
        <x:f>VLOOKUP(C3316,'Governorate Master'!$A$2:$Q$13,3,FALSE)</x:f>
        <x:v>1704500</x:v>
      </x:c>
      <x:c r="F3316" s="66" t="n">
        <x:f>IF(E3316=0,0,D3316/E3316*10000)</x:f>
        <x:v>0.01760046934584922</x:v>
      </x:c>
      <x:c r="G3316" s="67" t="n">
        <x:f>VLOOKUP(C3316,'Governorate Master'!$A$2:$Q$13,7,FALSE)</x:f>
        <x:v>358</x:v>
      </x:c>
      <x:c r="H3316" s="20" t="n">
        <x:f>VLOOKUP(C3316,'Governorate Master'!$A$2:$Q$13,6,FALSE)</x:f>
        <x:v>0.9636256966852449</x:v>
      </x:c>
      <x:c r="I3316" s="20" t="n">
        <x:f>VLOOKUP(C3316,'Governorate Master'!$A$2:$Q$13,15,FALSE)</x:f>
        <x:v>-0.06808762581409118</x:v>
      </x:c>
      <x:c r="J3316" s="12" t="str">
        <x:v>Location model input - competition/saturation context</x:v>
      </x:c>
      <x:c r="K3316" s="12" t="str">
        <x:v>Business count is from 2018 while population/context indicators are newer; use as a historical proxy, not a current market count.</x:v>
      </x:c>
    </x:row>
    <x:row r="3317">
      <x:c r="A3317" s="12" t="str">
        <x:v>8890</x:v>
      </x:c>
      <x:c r="B3317" s="12" t="str">
        <x:v>Other social work activities without accommodation</x:v>
      </x:c>
      <x:c r="C3317" s="12" t="str">
        <x:v>مادبا</x:v>
      </x:c>
      <x:c r="D3317" s="14" t="n">
        <x:v>1</x:v>
      </x:c>
      <x:c r="E3317" s="14" t="n">
        <x:f>VLOOKUP(C3317,'Governorate Master'!$A$2:$Q$13,3,FALSE)</x:f>
        <x:v>236200</x:v>
      </x:c>
      <x:c r="F3317" s="66" t="n">
        <x:f>IF(E3317=0,0,D3317/E3317*10000)</x:f>
        <x:v>0.04233700254022015</x:v>
      </x:c>
      <x:c r="G3317" s="67" t="n">
        <x:f>VLOOKUP(C3317,'Governorate Master'!$A$2:$Q$13,7,FALSE)</x:f>
        <x:v>251.4</x:v>
      </x:c>
      <x:c r="H3317" s="20" t="n">
        <x:f>VLOOKUP(C3317,'Governorate Master'!$A$2:$Q$13,6,FALSE)</x:f>
        <x:v>0.7823878069432684</x:v>
      </x:c>
      <x:c r="I3317" s="20" t="n">
        <x:f>VLOOKUP(C3317,'Governorate Master'!$A$2:$Q$13,15,FALSE)</x:f>
        <x:v>-0.18823529411764706</x:v>
      </x:c>
      <x:c r="J3317" s="12" t="str">
        <x:v>Location model input - competition/saturation context</x:v>
      </x:c>
      <x:c r="K3317" s="12" t="str">
        <x:v>Business count is from 2018 while population/context indicators are newer; use as a historical proxy, not a current market count.</x:v>
      </x:c>
    </x:row>
    <x:row r="3318">
      <x:c r="A3318" s="12" t="str">
        <x:v>8890</x:v>
      </x:c>
      <x:c r="B3318" s="12" t="str">
        <x:v>Other social work activities without accommodation</x:v>
      </x:c>
      <x:c r="C3318" s="12" t="str">
        <x:v>إربد</x:v>
      </x:c>
      <x:c r="D3318" s="14" t="n">
        <x:v>3</x:v>
      </x:c>
      <x:c r="E3318" s="14" t="n">
        <x:f>VLOOKUP(C3318,'Governorate Master'!$A$2:$Q$13,3,FALSE)</x:f>
        <x:v>2210500</x:v>
      </x:c>
      <x:c r="F3318" s="66" t="n">
        <x:f>IF(E3318=0,0,D3318/E3318*10000)</x:f>
        <x:v>0.013571590137977832</x:v>
      </x:c>
      <x:c r="G3318" s="67" t="n">
        <x:f>VLOOKUP(C3318,'Governorate Master'!$A$2:$Q$13,7,FALSE)</x:f>
        <x:v>1406.4</x:v>
      </x:c>
      <x:c r="H3318" s="20" t="n">
        <x:f>VLOOKUP(C3318,'Governorate Master'!$A$2:$Q$13,6,FALSE)</x:f>
        <x:v>0.9235014702555983</x:v>
      </x:c>
      <x:c r="I3318" s="20" t="n">
        <x:f>VLOOKUP(C3318,'Governorate Master'!$A$2:$Q$13,15,FALSE)</x:f>
        <x:v>0.07086922474549726</x:v>
      </x:c>
      <x:c r="J3318" s="12" t="str">
        <x:v>Location model input - competition/saturation context</x:v>
      </x:c>
      <x:c r="K3318" s="12" t="str">
        <x:v>Business count is from 2018 while population/context indicators are newer; use as a historical proxy, not a current market count.</x:v>
      </x:c>
    </x:row>
    <x:row r="3319">
      <x:c r="A3319" s="12" t="str">
        <x:v>8890</x:v>
      </x:c>
      <x:c r="B3319" s="12" t="str">
        <x:v>Other social work activities without accommodation</x:v>
      </x:c>
      <x:c r="C3319" s="12" t="str">
        <x:v>المفرق</x:v>
      </x:c>
      <x:c r="D3319" s="14" t="n">
        <x:v>0</x:v>
      </x:c>
      <x:c r="E3319" s="14" t="n">
        <x:f>VLOOKUP(C3319,'Governorate Master'!$A$2:$Q$13,3,FALSE)</x:f>
        <x:v>686800</x:v>
      </x:c>
      <x:c r="F3319" s="66" t="n">
        <x:f>IF(E3319=0,0,D3319/E3319*10000)</x:f>
        <x:v>0</x:v>
      </x:c>
      <x:c r="G3319" s="67" t="n">
        <x:f>VLOOKUP(C3319,'Governorate Master'!$A$2:$Q$13,7,FALSE)</x:f>
        <x:v>25.9</x:v>
      </x:c>
      <x:c r="H3319" s="20" t="n">
        <x:f>VLOOKUP(C3319,'Governorate Master'!$A$2:$Q$13,6,FALSE)</x:f>
        <x:v>0.6965637740244612</x:v>
      </x:c>
      <x:c r="I3319" s="20" t="n">
        <x:f>VLOOKUP(C3319,'Governorate Master'!$A$2:$Q$13,15,FALSE)</x:f>
        <x:v>-0.016638935108153077</x:v>
      </x:c>
      <x:c r="J3319" s="12" t="str">
        <x:v>Location model input - competition/saturation context</x:v>
      </x:c>
      <x:c r="K3319" s="12" t="str">
        <x:v>Business count is from 2018 while population/context indicators are newer; use as a historical proxy, not a current market count.</x:v>
      </x:c>
    </x:row>
    <x:row r="3320">
      <x:c r="A3320" s="12" t="str">
        <x:v>8890</x:v>
      </x:c>
      <x:c r="B3320" s="12" t="str">
        <x:v>Other social work activities without accommodation</x:v>
      </x:c>
      <x:c r="C3320" s="12" t="str">
        <x:v>جرش</x:v>
      </x:c>
      <x:c r="D3320" s="14" t="n">
        <x:v>3</x:v>
      </x:c>
      <x:c r="E3320" s="14" t="n">
        <x:f>VLOOKUP(C3320,'Governorate Master'!$A$2:$Q$13,3,FALSE)</x:f>
        <x:v>296000</x:v>
      </x:c>
      <x:c r="F3320" s="66" t="n">
        <x:f>IF(E3320=0,0,D3320/E3320*10000)</x:f>
        <x:v>0.10135135135135134</x:v>
      </x:c>
      <x:c r="G3320" s="67" t="n">
        <x:f>VLOOKUP(C3320,'Governorate Master'!$A$2:$Q$13,7,FALSE)</x:f>
        <x:v>722.3</x:v>
      </x:c>
      <x:c r="H3320" s="20" t="n">
        <x:f>VLOOKUP(C3320,'Governorate Master'!$A$2:$Q$13,6,FALSE)</x:f>
        <x:v>0.7695945945945946</x:v>
      </x:c>
      <x:c r="I3320" s="20" t="n">
        <x:f>VLOOKUP(C3320,'Governorate Master'!$A$2:$Q$13,15,FALSE)</x:f>
        <x:v>-0.06527415143603134</x:v>
      </x:c>
      <x:c r="J3320" s="12" t="str">
        <x:v>Location model input - competition/saturation context</x:v>
      </x:c>
      <x:c r="K3320" s="12" t="str">
        <x:v>Business count is from 2018 while population/context indicators are newer; use as a historical proxy, not a current market count.</x:v>
      </x:c>
    </x:row>
    <x:row r="3321">
      <x:c r="A3321" s="12" t="str">
        <x:v>8890</x:v>
      </x:c>
      <x:c r="B3321" s="12" t="str">
        <x:v>Other social work activities without accommodation</x:v>
      </x:c>
      <x:c r="C3321" s="12" t="str">
        <x:v>عجلون</x:v>
      </x:c>
      <x:c r="D3321" s="14" t="n">
        <x:v>1</x:v>
      </x:c>
      <x:c r="E3321" s="14" t="n">
        <x:f>VLOOKUP(C3321,'Governorate Master'!$A$2:$Q$13,3,FALSE)</x:f>
        <x:v>219900</x:v>
      </x:c>
      <x:c r="F3321" s="66" t="n">
        <x:f>IF(E3321=0,0,D3321/E3321*10000)</x:f>
        <x:v>0.04547521600727603</x:v>
      </x:c>
      <x:c r="G3321" s="67" t="n">
        <x:f>VLOOKUP(C3321,'Governorate Master'!$A$2:$Q$13,7,FALSE)</x:f>
        <x:v>524</x:v>
      </x:c>
      <x:c r="H3321" s="20" t="n">
        <x:f>VLOOKUP(C3321,'Governorate Master'!$A$2:$Q$13,6,FALSE)</x:f>
        <x:v>0.8390177353342428</x:v>
      </x:c>
      <x:c r="I3321" s="20" t="n">
        <x:f>VLOOKUP(C3321,'Governorate Master'!$A$2:$Q$13,15,FALSE)</x:f>
        <x:v>0.03614457831325301</x:v>
      </x:c>
      <x:c r="J3321" s="12" t="str">
        <x:v>Location model input - competition/saturation context</x:v>
      </x:c>
      <x:c r="K3321" s="12" t="str">
        <x:v>Business count is from 2018 while population/context indicators are newer; use as a historical proxy, not a current market count.</x:v>
      </x:c>
    </x:row>
    <x:row r="3322">
      <x:c r="A3322" s="12" t="str">
        <x:v>8890</x:v>
      </x:c>
      <x:c r="B3322" s="12" t="str">
        <x:v>Other social work activities without accommodation</x:v>
      </x:c>
      <x:c r="C3322" s="12" t="str">
        <x:v>الكرك</x:v>
      </x:c>
      <x:c r="D3322" s="14" t="n">
        <x:v>2</x:v>
      </x:c>
      <x:c r="E3322" s="14" t="n">
        <x:f>VLOOKUP(C3322,'Governorate Master'!$A$2:$Q$13,3,FALSE)</x:f>
        <x:v>395400</x:v>
      </x:c>
      <x:c r="F3322" s="66" t="n">
        <x:f>IF(E3322=0,0,D3322/E3322*10000)</x:f>
        <x:v>0.050581689428426904</x:v>
      </x:c>
      <x:c r="G3322" s="67" t="n">
        <x:f>VLOOKUP(C3322,'Governorate Master'!$A$2:$Q$13,7,FALSE)</x:f>
        <x:v>113.1</x:v>
      </x:c>
      <x:c r="H3322" s="20" t="n">
        <x:f>VLOOKUP(C3322,'Governorate Master'!$A$2:$Q$13,6,FALSE)</x:f>
        <x:v>0.5912999494183105</x:v>
      </x:c>
      <x:c r="I3322" s="20" t="n">
        <x:f>VLOOKUP(C3322,'Governorate Master'!$A$2:$Q$13,15,FALSE)</x:f>
        <x:v>0.08710801393728224</x:v>
      </x:c>
      <x:c r="J3322" s="12" t="str">
        <x:v>Location model input - competition/saturation context</x:v>
      </x:c>
      <x:c r="K3322" s="12" t="str">
        <x:v>Business count is from 2018 while population/context indicators are newer; use as a historical proxy, not a current market count.</x:v>
      </x:c>
    </x:row>
    <x:row r="3323">
      <x:c r="A3323" s="12" t="str">
        <x:v>8890</x:v>
      </x:c>
      <x:c r="B3323" s="12" t="str">
        <x:v>Other social work activities without accommodation</x:v>
      </x:c>
      <x:c r="C3323" s="12" t="str">
        <x:v>الطفيلة</x:v>
      </x:c>
      <x:c r="D3323" s="14" t="n">
        <x:v>0</x:v>
      </x:c>
      <x:c r="E3323" s="14" t="n">
        <x:f>VLOOKUP(C3323,'Governorate Master'!$A$2:$Q$13,3,FALSE)</x:f>
        <x:v>120300</x:v>
      </x:c>
      <x:c r="F3323" s="66" t="n">
        <x:f>IF(E3323=0,0,D3323/E3323*10000)</x:f>
        <x:v>0</x:v>
      </x:c>
      <x:c r="G3323" s="67" t="n">
        <x:f>VLOOKUP(C3323,'Governorate Master'!$A$2:$Q$13,7,FALSE)</x:f>
        <x:v>54.4</x:v>
      </x:c>
      <x:c r="H3323" s="20" t="n">
        <x:f>VLOOKUP(C3323,'Governorate Master'!$A$2:$Q$13,6,FALSE)</x:f>
        <x:v>0.7797173732335827</x:v>
      </x:c>
      <x:c r="I3323" s="20" t="n">
        <x:f>VLOOKUP(C3323,'Governorate Master'!$A$2:$Q$13,15,FALSE)</x:f>
        <x:v>0.18452380952380953</x:v>
      </x:c>
      <x:c r="J3323" s="12" t="str">
        <x:v>Location model input - competition/saturation context</x:v>
      </x:c>
      <x:c r="K3323" s="12" t="str">
        <x:v>Business count is from 2018 while population/context indicators are newer; use as a historical proxy, not a current market count.</x:v>
      </x:c>
    </x:row>
    <x:row r="3324">
      <x:c r="A3324" s="12" t="str">
        <x:v>8890</x:v>
      </x:c>
      <x:c r="B3324" s="12" t="str">
        <x:v>Other social work activities without accommodation</x:v>
      </x:c>
      <x:c r="C3324" s="12" t="str">
        <x:v>معان</x:v>
      </x:c>
      <x:c r="D3324" s="14" t="n">
        <x:v>1</x:v>
      </x:c>
      <x:c r="E3324" s="14" t="n">
        <x:f>VLOOKUP(C3324,'Governorate Master'!$A$2:$Q$13,3,FALSE)</x:f>
        <x:v>197900</x:v>
      </x:c>
      <x:c r="F3324" s="66" t="n">
        <x:f>IF(E3324=0,0,D3324/E3324*10000)</x:f>
        <x:v>0.05053057099545225</x:v>
      </x:c>
      <x:c r="G3324" s="67" t="n">
        <x:f>VLOOKUP(C3324,'Governorate Master'!$A$2:$Q$13,7,FALSE)</x:f>
        <x:v>6</x:v>
      </x:c>
      <x:c r="H3324" s="20" t="n">
        <x:f>VLOOKUP(C3324,'Governorate Master'!$A$2:$Q$13,6,FALSE)</x:f>
        <x:v>0.5406771096513391</x:v>
      </x:c>
      <x:c r="I3324" s="20" t="n">
        <x:f>VLOOKUP(C3324,'Governorate Master'!$A$2:$Q$13,15,FALSE)</x:f>
        <x:v>0.026845637583892617</x:v>
      </x:c>
      <x:c r="J3324" s="12" t="str">
        <x:v>Location model input - competition/saturation context</x:v>
      </x:c>
      <x:c r="K3324" s="12" t="str">
        <x:v>Business count is from 2018 while population/context indicators are newer; use as a historical proxy, not a current market count.</x:v>
      </x:c>
    </x:row>
    <x:row r="3325">
      <x:c r="A3325" s="12" t="str">
        <x:v>8890</x:v>
      </x:c>
      <x:c r="B3325" s="12" t="str">
        <x:v>Other social work activities without accommodation</x:v>
      </x:c>
      <x:c r="C3325" s="12" t="str">
        <x:v>العقبة</x:v>
      </x:c>
      <x:c r="D3325" s="14" t="n">
        <x:v>0</x:v>
      </x:c>
      <x:c r="E3325" s="14" t="n">
        <x:f>VLOOKUP(C3325,'Governorate Master'!$A$2:$Q$13,3,FALSE)</x:f>
        <x:v>250900</x:v>
      </x:c>
      <x:c r="F3325" s="66" t="n">
        <x:f>IF(E3325=0,0,D3325/E3325*10000)</x:f>
        <x:v>0</x:v>
      </x:c>
      <x:c r="G3325" s="67" t="n">
        <x:f>VLOOKUP(C3325,'Governorate Master'!$A$2:$Q$13,7,FALSE)</x:f>
        <x:v>36.3</x:v>
      </x:c>
      <x:c r="H3325" s="20" t="n">
        <x:f>VLOOKUP(C3325,'Governorate Master'!$A$2:$Q$13,6,FALSE)</x:f>
        <x:v>0.882024711040255</x:v>
      </x:c>
      <x:c r="I3325" s="20" t="n">
        <x:f>VLOOKUP(C3325,'Governorate Master'!$A$2:$Q$13,15,FALSE)</x:f>
        <x:v>-0.09</x:v>
      </x:c>
      <x:c r="J3325" s="12" t="str">
        <x:v>Location model input - competition/saturation context</x:v>
      </x:c>
      <x:c r="K3325" s="12" t="str">
        <x:v>Business count is from 2018 while population/context indicators are newer; use as a historical proxy, not a current market count.</x:v>
      </x:c>
    </x:row>
    <x:row r="3326">
      <x:c r="A3326" s="12" t="str">
        <x:v>9000</x:v>
      </x:c>
      <x:c r="B3326" s="12" t="str">
        <x:v>Creative, arts and entertainment activities</x:v>
      </x:c>
      <x:c r="C3326" s="12" t="str">
        <x:v>عمان</x:v>
      </x:c>
      <x:c r="D3326" s="14" t="n">
        <x:v>10</x:v>
      </x:c>
      <x:c r="E3326" s="14" t="n">
        <x:f>VLOOKUP(C3326,'Governorate Master'!$A$2:$Q$13,3,FALSE)</x:f>
        <x:v>5004600</x:v>
      </x:c>
      <x:c r="F3326" s="66" t="n">
        <x:f>IF(E3326=0,0,D3326/E3326*10000)</x:f>
        <x:v>0.019981616912440554</x:v>
      </x:c>
      <x:c r="G3326" s="67" t="n">
        <x:f>VLOOKUP(C3326,'Governorate Master'!$A$2:$Q$13,7,FALSE)</x:f>
        <x:v>660.3</x:v>
      </x:c>
      <x:c r="H3326" s="20" t="n">
        <x:f>VLOOKUP(C3326,'Governorate Master'!$A$2:$Q$13,6,FALSE)</x:f>
        <x:v>0.9721656076409703</x:v>
      </x:c>
      <x:c r="I3326" s="20" t="n">
        <x:f>VLOOKUP(C3326,'Governorate Master'!$A$2:$Q$13,15,FALSE)</x:f>
        <x:v>0.06367041198501873</x:v>
      </x:c>
      <x:c r="J3326" s="12" t="str">
        <x:v>Location model input - competition/saturation context</x:v>
      </x:c>
      <x:c r="K3326" s="12" t="str">
        <x:v>Business count is from 2018 while population/context indicators are newer; use as a historical proxy, not a current market count.</x:v>
      </x:c>
    </x:row>
    <x:row r="3327">
      <x:c r="A3327" s="12" t="str">
        <x:v>9000</x:v>
      </x:c>
      <x:c r="B3327" s="12" t="str">
        <x:v>Creative, arts and entertainment activities</x:v>
      </x:c>
      <x:c r="C3327" s="12" t="str">
        <x:v>البلقاء</x:v>
      </x:c>
      <x:c r="D3327" s="14" t="n">
        <x:v>2</x:v>
      </x:c>
      <x:c r="E3327" s="14" t="n">
        <x:f>VLOOKUP(C3327,'Governorate Master'!$A$2:$Q$13,3,FALSE)</x:f>
        <x:v>614000</x:v>
      </x:c>
      <x:c r="F3327" s="66" t="n">
        <x:f>IF(E3327=0,0,D3327/E3327*10000)</x:f>
        <x:v>0.03257328990228013</x:v>
      </x:c>
      <x:c r="G3327" s="67" t="n">
        <x:f>VLOOKUP(C3327,'Governorate Master'!$A$2:$Q$13,7,FALSE)</x:f>
        <x:v>548</x:v>
      </x:c>
      <x:c r="H3327" s="20" t="n">
        <x:f>VLOOKUP(C3327,'Governorate Master'!$A$2:$Q$13,6,FALSE)</x:f>
        <x:v>0.8210097719869707</x:v>
      </x:c>
      <x:c r="I3327" s="20" t="n">
        <x:f>VLOOKUP(C3327,'Governorate Master'!$A$2:$Q$13,15,FALSE)</x:f>
        <x:v>0.10794044665012408</x:v>
      </x:c>
      <x:c r="J3327" s="12" t="str">
        <x:v>Location model input - competition/saturation context</x:v>
      </x:c>
      <x:c r="K3327" s="12" t="str">
        <x:v>Business count is from 2018 while population/context indicators are newer; use as a historical proxy, not a current market count.</x:v>
      </x:c>
    </x:row>
    <x:row r="3328">
      <x:c r="A3328" s="12" t="str">
        <x:v>9000</x:v>
      </x:c>
      <x:c r="B3328" s="12" t="str">
        <x:v>Creative, arts and entertainment activities</x:v>
      </x:c>
      <x:c r="C3328" s="12" t="str">
        <x:v>الزرقاء</x:v>
      </x:c>
      <x:c r="D3328" s="14" t="n">
        <x:v>2</x:v>
      </x:c>
      <x:c r="E3328" s="14" t="n">
        <x:f>VLOOKUP(C3328,'Governorate Master'!$A$2:$Q$13,3,FALSE)</x:f>
        <x:v>1704500</x:v>
      </x:c>
      <x:c r="F3328" s="66" t="n">
        <x:f>IF(E3328=0,0,D3328/E3328*10000)</x:f>
        <x:v>0.011733646230566148</x:v>
      </x:c>
      <x:c r="G3328" s="67" t="n">
        <x:f>VLOOKUP(C3328,'Governorate Master'!$A$2:$Q$13,7,FALSE)</x:f>
        <x:v>358</x:v>
      </x:c>
      <x:c r="H3328" s="20" t="n">
        <x:f>VLOOKUP(C3328,'Governorate Master'!$A$2:$Q$13,6,FALSE)</x:f>
        <x:v>0.9636256966852449</x:v>
      </x:c>
      <x:c r="I3328" s="20" t="n">
        <x:f>VLOOKUP(C3328,'Governorate Master'!$A$2:$Q$13,15,FALSE)</x:f>
        <x:v>-0.06808762581409118</x:v>
      </x:c>
      <x:c r="J3328" s="12" t="str">
        <x:v>Location model input - competition/saturation context</x:v>
      </x:c>
      <x:c r="K3328" s="12" t="str">
        <x:v>Business count is from 2018 while population/context indicators are newer; use as a historical proxy, not a current market count.</x:v>
      </x:c>
    </x:row>
    <x:row r="3329">
      <x:c r="A3329" s="12" t="str">
        <x:v>9000</x:v>
      </x:c>
      <x:c r="B3329" s="12" t="str">
        <x:v>Creative, arts and entertainment activities</x:v>
      </x:c>
      <x:c r="C3329" s="12" t="str">
        <x:v>مادبا</x:v>
      </x:c>
      <x:c r="D3329" s="14" t="n">
        <x:v>0</x:v>
      </x:c>
      <x:c r="E3329" s="14" t="n">
        <x:f>VLOOKUP(C3329,'Governorate Master'!$A$2:$Q$13,3,FALSE)</x:f>
        <x:v>236200</x:v>
      </x:c>
      <x:c r="F3329" s="66" t="n">
        <x:f>IF(E3329=0,0,D3329/E3329*10000)</x:f>
        <x:v>0</x:v>
      </x:c>
      <x:c r="G3329" s="67" t="n">
        <x:f>VLOOKUP(C3329,'Governorate Master'!$A$2:$Q$13,7,FALSE)</x:f>
        <x:v>251.4</x:v>
      </x:c>
      <x:c r="H3329" s="20" t="n">
        <x:f>VLOOKUP(C3329,'Governorate Master'!$A$2:$Q$13,6,FALSE)</x:f>
        <x:v>0.7823878069432684</x:v>
      </x:c>
      <x:c r="I3329" s="20" t="n">
        <x:f>VLOOKUP(C3329,'Governorate Master'!$A$2:$Q$13,15,FALSE)</x:f>
        <x:v>-0.18823529411764706</x:v>
      </x:c>
      <x:c r="J3329" s="12" t="str">
        <x:v>Location model input - competition/saturation context</x:v>
      </x:c>
      <x:c r="K3329" s="12" t="str">
        <x:v>Business count is from 2018 while population/context indicators are newer; use as a historical proxy, not a current market count.</x:v>
      </x:c>
    </x:row>
    <x:row r="3330">
      <x:c r="A3330" s="12" t="str">
        <x:v>9000</x:v>
      </x:c>
      <x:c r="B3330" s="12" t="str">
        <x:v>Creative, arts and entertainment activities</x:v>
      </x:c>
      <x:c r="C3330" s="12" t="str">
        <x:v>إربد</x:v>
      </x:c>
      <x:c r="D3330" s="14" t="n">
        <x:v>1</x:v>
      </x:c>
      <x:c r="E3330" s="14" t="n">
        <x:f>VLOOKUP(C3330,'Governorate Master'!$A$2:$Q$13,3,FALSE)</x:f>
        <x:v>2210500</x:v>
      </x:c>
      <x:c r="F3330" s="66" t="n">
        <x:f>IF(E3330=0,0,D3330/E3330*10000)</x:f>
        <x:v>0.004523863379325944</x:v>
      </x:c>
      <x:c r="G3330" s="67" t="n">
        <x:f>VLOOKUP(C3330,'Governorate Master'!$A$2:$Q$13,7,FALSE)</x:f>
        <x:v>1406.4</x:v>
      </x:c>
      <x:c r="H3330" s="20" t="n">
        <x:f>VLOOKUP(C3330,'Governorate Master'!$A$2:$Q$13,6,FALSE)</x:f>
        <x:v>0.9235014702555983</x:v>
      </x:c>
      <x:c r="I3330" s="20" t="n">
        <x:f>VLOOKUP(C3330,'Governorate Master'!$A$2:$Q$13,15,FALSE)</x:f>
        <x:v>0.07086922474549726</x:v>
      </x:c>
      <x:c r="J3330" s="12" t="str">
        <x:v>Location model input - competition/saturation context</x:v>
      </x:c>
      <x:c r="K3330" s="12" t="str">
        <x:v>Business count is from 2018 while population/context indicators are newer; use as a historical proxy, not a current market count.</x:v>
      </x:c>
    </x:row>
    <x:row r="3331">
      <x:c r="A3331" s="12" t="str">
        <x:v>9000</x:v>
      </x:c>
      <x:c r="B3331" s="12" t="str">
        <x:v>Creative, arts and entertainment activities</x:v>
      </x:c>
      <x:c r="C3331" s="12" t="str">
        <x:v>المفرق</x:v>
      </x:c>
      <x:c r="D3331" s="14" t="n">
        <x:v>0</x:v>
      </x:c>
      <x:c r="E3331" s="14" t="n">
        <x:f>VLOOKUP(C3331,'Governorate Master'!$A$2:$Q$13,3,FALSE)</x:f>
        <x:v>686800</x:v>
      </x:c>
      <x:c r="F3331" s="66" t="n">
        <x:f>IF(E3331=0,0,D3331/E3331*10000)</x:f>
        <x:v>0</x:v>
      </x:c>
      <x:c r="G3331" s="67" t="n">
        <x:f>VLOOKUP(C3331,'Governorate Master'!$A$2:$Q$13,7,FALSE)</x:f>
        <x:v>25.9</x:v>
      </x:c>
      <x:c r="H3331" s="20" t="n">
        <x:f>VLOOKUP(C3331,'Governorate Master'!$A$2:$Q$13,6,FALSE)</x:f>
        <x:v>0.6965637740244612</x:v>
      </x:c>
      <x:c r="I3331" s="20" t="n">
        <x:f>VLOOKUP(C3331,'Governorate Master'!$A$2:$Q$13,15,FALSE)</x:f>
        <x:v>-0.016638935108153077</x:v>
      </x:c>
      <x:c r="J3331" s="12" t="str">
        <x:v>Location model input - competition/saturation context</x:v>
      </x:c>
      <x:c r="K3331" s="12" t="str">
        <x:v>Business count is from 2018 while population/context indicators are newer; use as a historical proxy, not a current market count.</x:v>
      </x:c>
    </x:row>
    <x:row r="3332">
      <x:c r="A3332" s="12" t="str">
        <x:v>9000</x:v>
      </x:c>
      <x:c r="B3332" s="12" t="str">
        <x:v>Creative, arts and entertainment activities</x:v>
      </x:c>
      <x:c r="C3332" s="12" t="str">
        <x:v>جرش</x:v>
      </x:c>
      <x:c r="D3332" s="14" t="n">
        <x:v>0</x:v>
      </x:c>
      <x:c r="E3332" s="14" t="n">
        <x:f>VLOOKUP(C3332,'Governorate Master'!$A$2:$Q$13,3,FALSE)</x:f>
        <x:v>296000</x:v>
      </x:c>
      <x:c r="F3332" s="66" t="n">
        <x:f>IF(E3332=0,0,D3332/E3332*10000)</x:f>
        <x:v>0</x:v>
      </x:c>
      <x:c r="G3332" s="67" t="n">
        <x:f>VLOOKUP(C3332,'Governorate Master'!$A$2:$Q$13,7,FALSE)</x:f>
        <x:v>722.3</x:v>
      </x:c>
      <x:c r="H3332" s="20" t="n">
        <x:f>VLOOKUP(C3332,'Governorate Master'!$A$2:$Q$13,6,FALSE)</x:f>
        <x:v>0.7695945945945946</x:v>
      </x:c>
      <x:c r="I3332" s="20" t="n">
        <x:f>VLOOKUP(C3332,'Governorate Master'!$A$2:$Q$13,15,FALSE)</x:f>
        <x:v>-0.06527415143603134</x:v>
      </x:c>
      <x:c r="J3332" s="12" t="str">
        <x:v>Location model input - competition/saturation context</x:v>
      </x:c>
      <x:c r="K3332" s="12" t="str">
        <x:v>Business count is from 2018 while population/context indicators are newer; use as a historical proxy, not a current market count.</x:v>
      </x:c>
    </x:row>
    <x:row r="3333">
      <x:c r="A3333" s="12" t="str">
        <x:v>9000</x:v>
      </x:c>
      <x:c r="B3333" s="12" t="str">
        <x:v>Creative, arts and entertainment activities</x:v>
      </x:c>
      <x:c r="C3333" s="12" t="str">
        <x:v>عجلون</x:v>
      </x:c>
      <x:c r="D3333" s="14" t="n">
        <x:v>0</x:v>
      </x:c>
      <x:c r="E3333" s="14" t="n">
        <x:f>VLOOKUP(C3333,'Governorate Master'!$A$2:$Q$13,3,FALSE)</x:f>
        <x:v>219900</x:v>
      </x:c>
      <x:c r="F3333" s="66" t="n">
        <x:f>IF(E3333=0,0,D3333/E3333*10000)</x:f>
        <x:v>0</x:v>
      </x:c>
      <x:c r="G3333" s="67" t="n">
        <x:f>VLOOKUP(C3333,'Governorate Master'!$A$2:$Q$13,7,FALSE)</x:f>
        <x:v>524</x:v>
      </x:c>
      <x:c r="H3333" s="20" t="n">
        <x:f>VLOOKUP(C3333,'Governorate Master'!$A$2:$Q$13,6,FALSE)</x:f>
        <x:v>0.8390177353342428</x:v>
      </x:c>
      <x:c r="I3333" s="20" t="n">
        <x:f>VLOOKUP(C3333,'Governorate Master'!$A$2:$Q$13,15,FALSE)</x:f>
        <x:v>0.03614457831325301</x:v>
      </x:c>
      <x:c r="J3333" s="12" t="str">
        <x:v>Location model input - competition/saturation context</x:v>
      </x:c>
      <x:c r="K3333" s="12" t="str">
        <x:v>Business count is from 2018 while population/context indicators are newer; use as a historical proxy, not a current market count.</x:v>
      </x:c>
    </x:row>
    <x:row r="3334">
      <x:c r="A3334" s="12" t="str">
        <x:v>9000</x:v>
      </x:c>
      <x:c r="B3334" s="12" t="str">
        <x:v>Creative, arts and entertainment activities</x:v>
      </x:c>
      <x:c r="C3334" s="12" t="str">
        <x:v>الكرك</x:v>
      </x:c>
      <x:c r="D3334" s="14" t="n">
        <x:v>0</x:v>
      </x:c>
      <x:c r="E3334" s="14" t="n">
        <x:f>VLOOKUP(C3334,'Governorate Master'!$A$2:$Q$13,3,FALSE)</x:f>
        <x:v>395400</x:v>
      </x:c>
      <x:c r="F3334" s="66" t="n">
        <x:f>IF(E3334=0,0,D3334/E3334*10000)</x:f>
        <x:v>0</x:v>
      </x:c>
      <x:c r="G3334" s="67" t="n">
        <x:f>VLOOKUP(C3334,'Governorate Master'!$A$2:$Q$13,7,FALSE)</x:f>
        <x:v>113.1</x:v>
      </x:c>
      <x:c r="H3334" s="20" t="n">
        <x:f>VLOOKUP(C3334,'Governorate Master'!$A$2:$Q$13,6,FALSE)</x:f>
        <x:v>0.5912999494183105</x:v>
      </x:c>
      <x:c r="I3334" s="20" t="n">
        <x:f>VLOOKUP(C3334,'Governorate Master'!$A$2:$Q$13,15,FALSE)</x:f>
        <x:v>0.08710801393728224</x:v>
      </x:c>
      <x:c r="J3334" s="12" t="str">
        <x:v>Location model input - competition/saturation context</x:v>
      </x:c>
      <x:c r="K3334" s="12" t="str">
        <x:v>Business count is from 2018 while population/context indicators are newer; use as a historical proxy, not a current market count.</x:v>
      </x:c>
    </x:row>
    <x:row r="3335">
      <x:c r="A3335" s="12" t="str">
        <x:v>9000</x:v>
      </x:c>
      <x:c r="B3335" s="12" t="str">
        <x:v>Creative, arts and entertainment activities</x:v>
      </x:c>
      <x:c r="C3335" s="12" t="str">
        <x:v>الطفيلة</x:v>
      </x:c>
      <x:c r="D3335" s="14" t="n">
        <x:v>0</x:v>
      </x:c>
      <x:c r="E3335" s="14" t="n">
        <x:f>VLOOKUP(C3335,'Governorate Master'!$A$2:$Q$13,3,FALSE)</x:f>
        <x:v>120300</x:v>
      </x:c>
      <x:c r="F3335" s="66" t="n">
        <x:f>IF(E3335=0,0,D3335/E3335*10000)</x:f>
        <x:v>0</x:v>
      </x:c>
      <x:c r="G3335" s="67" t="n">
        <x:f>VLOOKUP(C3335,'Governorate Master'!$A$2:$Q$13,7,FALSE)</x:f>
        <x:v>54.4</x:v>
      </x:c>
      <x:c r="H3335" s="20" t="n">
        <x:f>VLOOKUP(C3335,'Governorate Master'!$A$2:$Q$13,6,FALSE)</x:f>
        <x:v>0.7797173732335827</x:v>
      </x:c>
      <x:c r="I3335" s="20" t="n">
        <x:f>VLOOKUP(C3335,'Governorate Master'!$A$2:$Q$13,15,FALSE)</x:f>
        <x:v>0.18452380952380953</x:v>
      </x:c>
      <x:c r="J3335" s="12" t="str">
        <x:v>Location model input - competition/saturation context</x:v>
      </x:c>
      <x:c r="K3335" s="12" t="str">
        <x:v>Business count is from 2018 while population/context indicators are newer; use as a historical proxy, not a current market count.</x:v>
      </x:c>
    </x:row>
    <x:row r="3336">
      <x:c r="A3336" s="12" t="str">
        <x:v>9000</x:v>
      </x:c>
      <x:c r="B3336" s="12" t="str">
        <x:v>Creative, arts and entertainment activities</x:v>
      </x:c>
      <x:c r="C3336" s="12" t="str">
        <x:v>معان</x:v>
      </x:c>
      <x:c r="D3336" s="14" t="n">
        <x:v>0</x:v>
      </x:c>
      <x:c r="E3336" s="14" t="n">
        <x:f>VLOOKUP(C3336,'Governorate Master'!$A$2:$Q$13,3,FALSE)</x:f>
        <x:v>197900</x:v>
      </x:c>
      <x:c r="F3336" s="66" t="n">
        <x:f>IF(E3336=0,0,D3336/E3336*10000)</x:f>
        <x:v>0</x:v>
      </x:c>
      <x:c r="G3336" s="67" t="n">
        <x:f>VLOOKUP(C3336,'Governorate Master'!$A$2:$Q$13,7,FALSE)</x:f>
        <x:v>6</x:v>
      </x:c>
      <x:c r="H3336" s="20" t="n">
        <x:f>VLOOKUP(C3336,'Governorate Master'!$A$2:$Q$13,6,FALSE)</x:f>
        <x:v>0.5406771096513391</x:v>
      </x:c>
      <x:c r="I3336" s="20" t="n">
        <x:f>VLOOKUP(C3336,'Governorate Master'!$A$2:$Q$13,15,FALSE)</x:f>
        <x:v>0.026845637583892617</x:v>
      </x:c>
      <x:c r="J3336" s="12" t="str">
        <x:v>Location model input - competition/saturation context</x:v>
      </x:c>
      <x:c r="K3336" s="12" t="str">
        <x:v>Business count is from 2018 while population/context indicators are newer; use as a historical proxy, not a current market count.</x:v>
      </x:c>
    </x:row>
    <x:row r="3337">
      <x:c r="A3337" s="12" t="str">
        <x:v>9000</x:v>
      </x:c>
      <x:c r="B3337" s="12" t="str">
        <x:v>Creative, arts and entertainment activities</x:v>
      </x:c>
      <x:c r="C3337" s="12" t="str">
        <x:v>العقبة</x:v>
      </x:c>
      <x:c r="D3337" s="14" t="n">
        <x:v>1</x:v>
      </x:c>
      <x:c r="E3337" s="14" t="n">
        <x:f>VLOOKUP(C3337,'Governorate Master'!$A$2:$Q$13,3,FALSE)</x:f>
        <x:v>250900</x:v>
      </x:c>
      <x:c r="F3337" s="66" t="n">
        <x:f>IF(E3337=0,0,D3337/E3337*10000)</x:f>
        <x:v>0.03985651654045436</x:v>
      </x:c>
      <x:c r="G3337" s="67" t="n">
        <x:f>VLOOKUP(C3337,'Governorate Master'!$A$2:$Q$13,7,FALSE)</x:f>
        <x:v>36.3</x:v>
      </x:c>
      <x:c r="H3337" s="20" t="n">
        <x:f>VLOOKUP(C3337,'Governorate Master'!$A$2:$Q$13,6,FALSE)</x:f>
        <x:v>0.882024711040255</x:v>
      </x:c>
      <x:c r="I3337" s="20" t="n">
        <x:f>VLOOKUP(C3337,'Governorate Master'!$A$2:$Q$13,15,FALSE)</x:f>
        <x:v>-0.09</x:v>
      </x:c>
      <x:c r="J3337" s="12" t="str">
        <x:v>Location model input - competition/saturation context</x:v>
      </x:c>
      <x:c r="K3337" s="12" t="str">
        <x:v>Business count is from 2018 while population/context indicators are newer; use as a historical proxy, not a current market count.</x:v>
      </x:c>
    </x:row>
    <x:row r="3338">
      <x:c r="A3338" s="12" t="str">
        <x:v>9101</x:v>
      </x:c>
      <x:c r="B3338" s="12" t="str">
        <x:v>Library and archives activities</x:v>
      </x:c>
      <x:c r="C3338" s="12" t="str">
        <x:v>عمان</x:v>
      </x:c>
      <x:c r="D3338" s="14" t="n">
        <x:v>4</x:v>
      </x:c>
      <x:c r="E3338" s="14" t="n">
        <x:f>VLOOKUP(C3338,'Governorate Master'!$A$2:$Q$13,3,FALSE)</x:f>
        <x:v>5004600</x:v>
      </x:c>
      <x:c r="F3338" s="66" t="n">
        <x:f>IF(E3338=0,0,D3338/E3338*10000)</x:f>
        <x:v>0.007992646764976222</x:v>
      </x:c>
      <x:c r="G3338" s="67" t="n">
        <x:f>VLOOKUP(C3338,'Governorate Master'!$A$2:$Q$13,7,FALSE)</x:f>
        <x:v>660.3</x:v>
      </x:c>
      <x:c r="H3338" s="20" t="n">
        <x:f>VLOOKUP(C3338,'Governorate Master'!$A$2:$Q$13,6,FALSE)</x:f>
        <x:v>0.9721656076409703</x:v>
      </x:c>
      <x:c r="I3338" s="20" t="n">
        <x:f>VLOOKUP(C3338,'Governorate Master'!$A$2:$Q$13,15,FALSE)</x:f>
        <x:v>0.06367041198501873</x:v>
      </x:c>
      <x:c r="J3338" s="12" t="str">
        <x:v>Location model input - competition/saturation context</x:v>
      </x:c>
      <x:c r="K3338" s="12" t="str">
        <x:v>Business count is from 2018 while population/context indicators are newer; use as a historical proxy, not a current market count.</x:v>
      </x:c>
    </x:row>
    <x:row r="3339">
      <x:c r="A3339" s="12" t="str">
        <x:v>9101</x:v>
      </x:c>
      <x:c r="B3339" s="12" t="str">
        <x:v>Library and archives activities</x:v>
      </x:c>
      <x:c r="C3339" s="12" t="str">
        <x:v>البلقاء</x:v>
      </x:c>
      <x:c r="D3339" s="14" t="n">
        <x:v>0</x:v>
      </x:c>
      <x:c r="E3339" s="14" t="n">
        <x:f>VLOOKUP(C3339,'Governorate Master'!$A$2:$Q$13,3,FALSE)</x:f>
        <x:v>614000</x:v>
      </x:c>
      <x:c r="F3339" s="66" t="n">
        <x:f>IF(E3339=0,0,D3339/E3339*10000)</x:f>
        <x:v>0</x:v>
      </x:c>
      <x:c r="G3339" s="67" t="n">
        <x:f>VLOOKUP(C3339,'Governorate Master'!$A$2:$Q$13,7,FALSE)</x:f>
        <x:v>548</x:v>
      </x:c>
      <x:c r="H3339" s="20" t="n">
        <x:f>VLOOKUP(C3339,'Governorate Master'!$A$2:$Q$13,6,FALSE)</x:f>
        <x:v>0.8210097719869707</x:v>
      </x:c>
      <x:c r="I3339" s="20" t="n">
        <x:f>VLOOKUP(C3339,'Governorate Master'!$A$2:$Q$13,15,FALSE)</x:f>
        <x:v>0.10794044665012408</x:v>
      </x:c>
      <x:c r="J3339" s="12" t="str">
        <x:v>Location model input - competition/saturation context</x:v>
      </x:c>
      <x:c r="K3339" s="12" t="str">
        <x:v>Business count is from 2018 while population/context indicators are newer; use as a historical proxy, not a current market count.</x:v>
      </x:c>
    </x:row>
    <x:row r="3340">
      <x:c r="A3340" s="12" t="str">
        <x:v>9101</x:v>
      </x:c>
      <x:c r="B3340" s="12" t="str">
        <x:v>Library and archives activities</x:v>
      </x:c>
      <x:c r="C3340" s="12" t="str">
        <x:v>الزرقاء</x:v>
      </x:c>
      <x:c r="D3340" s="14" t="n">
        <x:v>1</x:v>
      </x:c>
      <x:c r="E3340" s="14" t="n">
        <x:f>VLOOKUP(C3340,'Governorate Master'!$A$2:$Q$13,3,FALSE)</x:f>
        <x:v>1704500</x:v>
      </x:c>
      <x:c r="F3340" s="66" t="n">
        <x:f>IF(E3340=0,0,D3340/E3340*10000)</x:f>
        <x:v>0.005866823115283074</x:v>
      </x:c>
      <x:c r="G3340" s="67" t="n">
        <x:f>VLOOKUP(C3340,'Governorate Master'!$A$2:$Q$13,7,FALSE)</x:f>
        <x:v>358</x:v>
      </x:c>
      <x:c r="H3340" s="20" t="n">
        <x:f>VLOOKUP(C3340,'Governorate Master'!$A$2:$Q$13,6,FALSE)</x:f>
        <x:v>0.9636256966852449</x:v>
      </x:c>
      <x:c r="I3340" s="20" t="n">
        <x:f>VLOOKUP(C3340,'Governorate Master'!$A$2:$Q$13,15,FALSE)</x:f>
        <x:v>-0.06808762581409118</x:v>
      </x:c>
      <x:c r="J3340" s="12" t="str">
        <x:v>Location model input - competition/saturation context</x:v>
      </x:c>
      <x:c r="K3340" s="12" t="str">
        <x:v>Business count is from 2018 while population/context indicators are newer; use as a historical proxy, not a current market count.</x:v>
      </x:c>
    </x:row>
    <x:row r="3341">
      <x:c r="A3341" s="12" t="str">
        <x:v>9101</x:v>
      </x:c>
      <x:c r="B3341" s="12" t="str">
        <x:v>Library and archives activities</x:v>
      </x:c>
      <x:c r="C3341" s="12" t="str">
        <x:v>مادبا</x:v>
      </x:c>
      <x:c r="D3341" s="14" t="n">
        <x:v>0</x:v>
      </x:c>
      <x:c r="E3341" s="14" t="n">
        <x:f>VLOOKUP(C3341,'Governorate Master'!$A$2:$Q$13,3,FALSE)</x:f>
        <x:v>236200</x:v>
      </x:c>
      <x:c r="F3341" s="66" t="n">
        <x:f>IF(E3341=0,0,D3341/E3341*10000)</x:f>
        <x:v>0</x:v>
      </x:c>
      <x:c r="G3341" s="67" t="n">
        <x:f>VLOOKUP(C3341,'Governorate Master'!$A$2:$Q$13,7,FALSE)</x:f>
        <x:v>251.4</x:v>
      </x:c>
      <x:c r="H3341" s="20" t="n">
        <x:f>VLOOKUP(C3341,'Governorate Master'!$A$2:$Q$13,6,FALSE)</x:f>
        <x:v>0.7823878069432684</x:v>
      </x:c>
      <x:c r="I3341" s="20" t="n">
        <x:f>VLOOKUP(C3341,'Governorate Master'!$A$2:$Q$13,15,FALSE)</x:f>
        <x:v>-0.18823529411764706</x:v>
      </x:c>
      <x:c r="J3341" s="12" t="str">
        <x:v>Location model input - competition/saturation context</x:v>
      </x:c>
      <x:c r="K3341" s="12" t="str">
        <x:v>Business count is from 2018 while population/context indicators are newer; use as a historical proxy, not a current market count.</x:v>
      </x:c>
    </x:row>
    <x:row r="3342">
      <x:c r="A3342" s="12" t="str">
        <x:v>9101</x:v>
      </x:c>
      <x:c r="B3342" s="12" t="str">
        <x:v>Library and archives activities</x:v>
      </x:c>
      <x:c r="C3342" s="12" t="str">
        <x:v>إربد</x:v>
      </x:c>
      <x:c r="D3342" s="14" t="n">
        <x:v>0</x:v>
      </x:c>
      <x:c r="E3342" s="14" t="n">
        <x:f>VLOOKUP(C3342,'Governorate Master'!$A$2:$Q$13,3,FALSE)</x:f>
        <x:v>2210500</x:v>
      </x:c>
      <x:c r="F3342" s="66" t="n">
        <x:f>IF(E3342=0,0,D3342/E3342*10000)</x:f>
        <x:v>0</x:v>
      </x:c>
      <x:c r="G3342" s="67" t="n">
        <x:f>VLOOKUP(C3342,'Governorate Master'!$A$2:$Q$13,7,FALSE)</x:f>
        <x:v>1406.4</x:v>
      </x:c>
      <x:c r="H3342" s="20" t="n">
        <x:f>VLOOKUP(C3342,'Governorate Master'!$A$2:$Q$13,6,FALSE)</x:f>
        <x:v>0.9235014702555983</x:v>
      </x:c>
      <x:c r="I3342" s="20" t="n">
        <x:f>VLOOKUP(C3342,'Governorate Master'!$A$2:$Q$13,15,FALSE)</x:f>
        <x:v>0.07086922474549726</x:v>
      </x:c>
      <x:c r="J3342" s="12" t="str">
        <x:v>Location model input - competition/saturation context</x:v>
      </x:c>
      <x:c r="K3342" s="12" t="str">
        <x:v>Business count is from 2018 while population/context indicators are newer; use as a historical proxy, not a current market count.</x:v>
      </x:c>
    </x:row>
    <x:row r="3343">
      <x:c r="A3343" s="12" t="str">
        <x:v>9101</x:v>
      </x:c>
      <x:c r="B3343" s="12" t="str">
        <x:v>Library and archives activities</x:v>
      </x:c>
      <x:c r="C3343" s="12" t="str">
        <x:v>المفرق</x:v>
      </x:c>
      <x:c r="D3343" s="14" t="n">
        <x:v>0</x:v>
      </x:c>
      <x:c r="E3343" s="14" t="n">
        <x:f>VLOOKUP(C3343,'Governorate Master'!$A$2:$Q$13,3,FALSE)</x:f>
        <x:v>686800</x:v>
      </x:c>
      <x:c r="F3343" s="66" t="n">
        <x:f>IF(E3343=0,0,D3343/E3343*10000)</x:f>
        <x:v>0</x:v>
      </x:c>
      <x:c r="G3343" s="67" t="n">
        <x:f>VLOOKUP(C3343,'Governorate Master'!$A$2:$Q$13,7,FALSE)</x:f>
        <x:v>25.9</x:v>
      </x:c>
      <x:c r="H3343" s="20" t="n">
        <x:f>VLOOKUP(C3343,'Governorate Master'!$A$2:$Q$13,6,FALSE)</x:f>
        <x:v>0.6965637740244612</x:v>
      </x:c>
      <x:c r="I3343" s="20" t="n">
        <x:f>VLOOKUP(C3343,'Governorate Master'!$A$2:$Q$13,15,FALSE)</x:f>
        <x:v>-0.016638935108153077</x:v>
      </x:c>
      <x:c r="J3343" s="12" t="str">
        <x:v>Location model input - competition/saturation context</x:v>
      </x:c>
      <x:c r="K3343" s="12" t="str">
        <x:v>Business count is from 2018 while population/context indicators are newer; use as a historical proxy, not a current market count.</x:v>
      </x:c>
    </x:row>
    <x:row r="3344">
      <x:c r="A3344" s="12" t="str">
        <x:v>9101</x:v>
      </x:c>
      <x:c r="B3344" s="12" t="str">
        <x:v>Library and archives activities</x:v>
      </x:c>
      <x:c r="C3344" s="12" t="str">
        <x:v>جرش</x:v>
      </x:c>
      <x:c r="D3344" s="14" t="n">
        <x:v>0</x:v>
      </x:c>
      <x:c r="E3344" s="14" t="n">
        <x:f>VLOOKUP(C3344,'Governorate Master'!$A$2:$Q$13,3,FALSE)</x:f>
        <x:v>296000</x:v>
      </x:c>
      <x:c r="F3344" s="66" t="n">
        <x:f>IF(E3344=0,0,D3344/E3344*10000)</x:f>
        <x:v>0</x:v>
      </x:c>
      <x:c r="G3344" s="67" t="n">
        <x:f>VLOOKUP(C3344,'Governorate Master'!$A$2:$Q$13,7,FALSE)</x:f>
        <x:v>722.3</x:v>
      </x:c>
      <x:c r="H3344" s="20" t="n">
        <x:f>VLOOKUP(C3344,'Governorate Master'!$A$2:$Q$13,6,FALSE)</x:f>
        <x:v>0.7695945945945946</x:v>
      </x:c>
      <x:c r="I3344" s="20" t="n">
        <x:f>VLOOKUP(C3344,'Governorate Master'!$A$2:$Q$13,15,FALSE)</x:f>
        <x:v>-0.06527415143603134</x:v>
      </x:c>
      <x:c r="J3344" s="12" t="str">
        <x:v>Location model input - competition/saturation context</x:v>
      </x:c>
      <x:c r="K3344" s="12" t="str">
        <x:v>Business count is from 2018 while population/context indicators are newer; use as a historical proxy, not a current market count.</x:v>
      </x:c>
    </x:row>
    <x:row r="3345">
      <x:c r="A3345" s="12" t="str">
        <x:v>9101</x:v>
      </x:c>
      <x:c r="B3345" s="12" t="str">
        <x:v>Library and archives activities</x:v>
      </x:c>
      <x:c r="C3345" s="12" t="str">
        <x:v>عجلون</x:v>
      </x:c>
      <x:c r="D3345" s="14" t="n">
        <x:v>0</x:v>
      </x:c>
      <x:c r="E3345" s="14" t="n">
        <x:f>VLOOKUP(C3345,'Governorate Master'!$A$2:$Q$13,3,FALSE)</x:f>
        <x:v>219900</x:v>
      </x:c>
      <x:c r="F3345" s="66" t="n">
        <x:f>IF(E3345=0,0,D3345/E3345*10000)</x:f>
        <x:v>0</x:v>
      </x:c>
      <x:c r="G3345" s="67" t="n">
        <x:f>VLOOKUP(C3345,'Governorate Master'!$A$2:$Q$13,7,FALSE)</x:f>
        <x:v>524</x:v>
      </x:c>
      <x:c r="H3345" s="20" t="n">
        <x:f>VLOOKUP(C3345,'Governorate Master'!$A$2:$Q$13,6,FALSE)</x:f>
        <x:v>0.8390177353342428</x:v>
      </x:c>
      <x:c r="I3345" s="20" t="n">
        <x:f>VLOOKUP(C3345,'Governorate Master'!$A$2:$Q$13,15,FALSE)</x:f>
        <x:v>0.03614457831325301</x:v>
      </x:c>
      <x:c r="J3345" s="12" t="str">
        <x:v>Location model input - competition/saturation context</x:v>
      </x:c>
      <x:c r="K3345" s="12" t="str">
        <x:v>Business count is from 2018 while population/context indicators are newer; use as a historical proxy, not a current market count.</x:v>
      </x:c>
    </x:row>
    <x:row r="3346">
      <x:c r="A3346" s="12" t="str">
        <x:v>9101</x:v>
      </x:c>
      <x:c r="B3346" s="12" t="str">
        <x:v>Library and archives activities</x:v>
      </x:c>
      <x:c r="C3346" s="12" t="str">
        <x:v>الكرك</x:v>
      </x:c>
      <x:c r="D3346" s="14" t="n">
        <x:v>0</x:v>
      </x:c>
      <x:c r="E3346" s="14" t="n">
        <x:f>VLOOKUP(C3346,'Governorate Master'!$A$2:$Q$13,3,FALSE)</x:f>
        <x:v>395400</x:v>
      </x:c>
      <x:c r="F3346" s="66" t="n">
        <x:f>IF(E3346=0,0,D3346/E3346*10000)</x:f>
        <x:v>0</x:v>
      </x:c>
      <x:c r="G3346" s="67" t="n">
        <x:f>VLOOKUP(C3346,'Governorate Master'!$A$2:$Q$13,7,FALSE)</x:f>
        <x:v>113.1</x:v>
      </x:c>
      <x:c r="H3346" s="20" t="n">
        <x:f>VLOOKUP(C3346,'Governorate Master'!$A$2:$Q$13,6,FALSE)</x:f>
        <x:v>0.5912999494183105</x:v>
      </x:c>
      <x:c r="I3346" s="20" t="n">
        <x:f>VLOOKUP(C3346,'Governorate Master'!$A$2:$Q$13,15,FALSE)</x:f>
        <x:v>0.08710801393728224</x:v>
      </x:c>
      <x:c r="J3346" s="12" t="str">
        <x:v>Location model input - competition/saturation context</x:v>
      </x:c>
      <x:c r="K3346" s="12" t="str">
        <x:v>Business count is from 2018 while population/context indicators are newer; use as a historical proxy, not a current market count.</x:v>
      </x:c>
    </x:row>
    <x:row r="3347">
      <x:c r="A3347" s="12" t="str">
        <x:v>9101</x:v>
      </x:c>
      <x:c r="B3347" s="12" t="str">
        <x:v>Library and archives activities</x:v>
      </x:c>
      <x:c r="C3347" s="12" t="str">
        <x:v>الطفيلة</x:v>
      </x:c>
      <x:c r="D3347" s="14" t="n">
        <x:v>0</x:v>
      </x:c>
      <x:c r="E3347" s="14" t="n">
        <x:f>VLOOKUP(C3347,'Governorate Master'!$A$2:$Q$13,3,FALSE)</x:f>
        <x:v>120300</x:v>
      </x:c>
      <x:c r="F3347" s="66" t="n">
        <x:f>IF(E3347=0,0,D3347/E3347*10000)</x:f>
        <x:v>0</x:v>
      </x:c>
      <x:c r="G3347" s="67" t="n">
        <x:f>VLOOKUP(C3347,'Governorate Master'!$A$2:$Q$13,7,FALSE)</x:f>
        <x:v>54.4</x:v>
      </x:c>
      <x:c r="H3347" s="20" t="n">
        <x:f>VLOOKUP(C3347,'Governorate Master'!$A$2:$Q$13,6,FALSE)</x:f>
        <x:v>0.7797173732335827</x:v>
      </x:c>
      <x:c r="I3347" s="20" t="n">
        <x:f>VLOOKUP(C3347,'Governorate Master'!$A$2:$Q$13,15,FALSE)</x:f>
        <x:v>0.18452380952380953</x:v>
      </x:c>
      <x:c r="J3347" s="12" t="str">
        <x:v>Location model input - competition/saturation context</x:v>
      </x:c>
      <x:c r="K3347" s="12" t="str">
        <x:v>Business count is from 2018 while population/context indicators are newer; use as a historical proxy, not a current market count.</x:v>
      </x:c>
    </x:row>
    <x:row r="3348">
      <x:c r="A3348" s="12" t="str">
        <x:v>9101</x:v>
      </x:c>
      <x:c r="B3348" s="12" t="str">
        <x:v>Library and archives activities</x:v>
      </x:c>
      <x:c r="C3348" s="12" t="str">
        <x:v>معان</x:v>
      </x:c>
      <x:c r="D3348" s="14" t="n">
        <x:v>0</x:v>
      </x:c>
      <x:c r="E3348" s="14" t="n">
        <x:f>VLOOKUP(C3348,'Governorate Master'!$A$2:$Q$13,3,FALSE)</x:f>
        <x:v>197900</x:v>
      </x:c>
      <x:c r="F3348" s="66" t="n">
        <x:f>IF(E3348=0,0,D3348/E3348*10000)</x:f>
        <x:v>0</x:v>
      </x:c>
      <x:c r="G3348" s="67" t="n">
        <x:f>VLOOKUP(C3348,'Governorate Master'!$A$2:$Q$13,7,FALSE)</x:f>
        <x:v>6</x:v>
      </x:c>
      <x:c r="H3348" s="20" t="n">
        <x:f>VLOOKUP(C3348,'Governorate Master'!$A$2:$Q$13,6,FALSE)</x:f>
        <x:v>0.5406771096513391</x:v>
      </x:c>
      <x:c r="I3348" s="20" t="n">
        <x:f>VLOOKUP(C3348,'Governorate Master'!$A$2:$Q$13,15,FALSE)</x:f>
        <x:v>0.026845637583892617</x:v>
      </x:c>
      <x:c r="J3348" s="12" t="str">
        <x:v>Location model input - competition/saturation context</x:v>
      </x:c>
      <x:c r="K3348" s="12" t="str">
        <x:v>Business count is from 2018 while population/context indicators are newer; use as a historical proxy, not a current market count.</x:v>
      </x:c>
    </x:row>
    <x:row r="3349">
      <x:c r="A3349" s="12" t="str">
        <x:v>9101</x:v>
      </x:c>
      <x:c r="B3349" s="12" t="str">
        <x:v>Library and archives activities</x:v>
      </x:c>
      <x:c r="C3349" s="12" t="str">
        <x:v>العقبة</x:v>
      </x:c>
      <x:c r="D3349" s="14" t="n">
        <x:v>0</x:v>
      </x:c>
      <x:c r="E3349" s="14" t="n">
        <x:f>VLOOKUP(C3349,'Governorate Master'!$A$2:$Q$13,3,FALSE)</x:f>
        <x:v>250900</x:v>
      </x:c>
      <x:c r="F3349" s="66" t="n">
        <x:f>IF(E3349=0,0,D3349/E3349*10000)</x:f>
        <x:v>0</x:v>
      </x:c>
      <x:c r="G3349" s="67" t="n">
        <x:f>VLOOKUP(C3349,'Governorate Master'!$A$2:$Q$13,7,FALSE)</x:f>
        <x:v>36.3</x:v>
      </x:c>
      <x:c r="H3349" s="20" t="n">
        <x:f>VLOOKUP(C3349,'Governorate Master'!$A$2:$Q$13,6,FALSE)</x:f>
        <x:v>0.882024711040255</x:v>
      </x:c>
      <x:c r="I3349" s="20" t="n">
        <x:f>VLOOKUP(C3349,'Governorate Master'!$A$2:$Q$13,15,FALSE)</x:f>
        <x:v>-0.09</x:v>
      </x:c>
      <x:c r="J3349" s="12" t="str">
        <x:v>Location model input - competition/saturation context</x:v>
      </x:c>
      <x:c r="K3349" s="12" t="str">
        <x:v>Business count is from 2018 while population/context indicators are newer; use as a historical proxy, not a current market count.</x:v>
      </x:c>
    </x:row>
    <x:row r="3350">
      <x:c r="A3350" s="12" t="str">
        <x:v>9102</x:v>
      </x:c>
      <x:c r="B3350" s="12" t="str">
        <x:v>Museums activities and operation of historical sites and buildings</x:v>
      </x:c>
      <x:c r="C3350" s="12" t="str">
        <x:v>عمان</x:v>
      </x:c>
      <x:c r="D3350" s="14" t="n">
        <x:v>4</x:v>
      </x:c>
      <x:c r="E3350" s="14" t="n">
        <x:f>VLOOKUP(C3350,'Governorate Master'!$A$2:$Q$13,3,FALSE)</x:f>
        <x:v>5004600</x:v>
      </x:c>
      <x:c r="F3350" s="66" t="n">
        <x:f>IF(E3350=0,0,D3350/E3350*10000)</x:f>
        <x:v>0.007992646764976222</x:v>
      </x:c>
      <x:c r="G3350" s="67" t="n">
        <x:f>VLOOKUP(C3350,'Governorate Master'!$A$2:$Q$13,7,FALSE)</x:f>
        <x:v>660.3</x:v>
      </x:c>
      <x:c r="H3350" s="20" t="n">
        <x:f>VLOOKUP(C3350,'Governorate Master'!$A$2:$Q$13,6,FALSE)</x:f>
        <x:v>0.9721656076409703</x:v>
      </x:c>
      <x:c r="I3350" s="20" t="n">
        <x:f>VLOOKUP(C3350,'Governorate Master'!$A$2:$Q$13,15,FALSE)</x:f>
        <x:v>0.06367041198501873</x:v>
      </x:c>
      <x:c r="J3350" s="12" t="str">
        <x:v>Location model input - competition/saturation context</x:v>
      </x:c>
      <x:c r="K3350" s="12" t="str">
        <x:v>Business count is from 2018 while population/context indicators are newer; use as a historical proxy, not a current market count.</x:v>
      </x:c>
    </x:row>
    <x:row r="3351">
      <x:c r="A3351" s="12" t="str">
        <x:v>9102</x:v>
      </x:c>
      <x:c r="B3351" s="12" t="str">
        <x:v>Museums activities and operation of historical sites and buildings</x:v>
      </x:c>
      <x:c r="C3351" s="12" t="str">
        <x:v>البلقاء</x:v>
      </x:c>
      <x:c r="D3351" s="14" t="n">
        <x:v>0</x:v>
      </x:c>
      <x:c r="E3351" s="14" t="n">
        <x:f>VLOOKUP(C3351,'Governorate Master'!$A$2:$Q$13,3,FALSE)</x:f>
        <x:v>614000</x:v>
      </x:c>
      <x:c r="F3351" s="66" t="n">
        <x:f>IF(E3351=0,0,D3351/E3351*10000)</x:f>
        <x:v>0</x:v>
      </x:c>
      <x:c r="G3351" s="67" t="n">
        <x:f>VLOOKUP(C3351,'Governorate Master'!$A$2:$Q$13,7,FALSE)</x:f>
        <x:v>548</x:v>
      </x:c>
      <x:c r="H3351" s="20" t="n">
        <x:f>VLOOKUP(C3351,'Governorate Master'!$A$2:$Q$13,6,FALSE)</x:f>
        <x:v>0.8210097719869707</x:v>
      </x:c>
      <x:c r="I3351" s="20" t="n">
        <x:f>VLOOKUP(C3351,'Governorate Master'!$A$2:$Q$13,15,FALSE)</x:f>
        <x:v>0.10794044665012408</x:v>
      </x:c>
      <x:c r="J3351" s="12" t="str">
        <x:v>Location model input - competition/saturation context</x:v>
      </x:c>
      <x:c r="K3351" s="12" t="str">
        <x:v>Business count is from 2018 while population/context indicators are newer; use as a historical proxy, not a current market count.</x:v>
      </x:c>
    </x:row>
    <x:row r="3352">
      <x:c r="A3352" s="12" t="str">
        <x:v>9102</x:v>
      </x:c>
      <x:c r="B3352" s="12" t="str">
        <x:v>Museums activities and operation of historical sites and buildings</x:v>
      </x:c>
      <x:c r="C3352" s="12" t="str">
        <x:v>الزرقاء</x:v>
      </x:c>
      <x:c r="D3352" s="14" t="n">
        <x:v>0</x:v>
      </x:c>
      <x:c r="E3352" s="14" t="n">
        <x:f>VLOOKUP(C3352,'Governorate Master'!$A$2:$Q$13,3,FALSE)</x:f>
        <x:v>1704500</x:v>
      </x:c>
      <x:c r="F3352" s="66" t="n">
        <x:f>IF(E3352=0,0,D3352/E3352*10000)</x:f>
        <x:v>0</x:v>
      </x:c>
      <x:c r="G3352" s="67" t="n">
        <x:f>VLOOKUP(C3352,'Governorate Master'!$A$2:$Q$13,7,FALSE)</x:f>
        <x:v>358</x:v>
      </x:c>
      <x:c r="H3352" s="20" t="n">
        <x:f>VLOOKUP(C3352,'Governorate Master'!$A$2:$Q$13,6,FALSE)</x:f>
        <x:v>0.9636256966852449</x:v>
      </x:c>
      <x:c r="I3352" s="20" t="n">
        <x:f>VLOOKUP(C3352,'Governorate Master'!$A$2:$Q$13,15,FALSE)</x:f>
        <x:v>-0.06808762581409118</x:v>
      </x:c>
      <x:c r="J3352" s="12" t="str">
        <x:v>Location model input - competition/saturation context</x:v>
      </x:c>
      <x:c r="K3352" s="12" t="str">
        <x:v>Business count is from 2018 while population/context indicators are newer; use as a historical proxy, not a current market count.</x:v>
      </x:c>
    </x:row>
    <x:row r="3353">
      <x:c r="A3353" s="12" t="str">
        <x:v>9102</x:v>
      </x:c>
      <x:c r="B3353" s="12" t="str">
        <x:v>Museums activities and operation of historical sites and buildings</x:v>
      </x:c>
      <x:c r="C3353" s="12" t="str">
        <x:v>مادبا</x:v>
      </x:c>
      <x:c r="D3353" s="14" t="n">
        <x:v>0</x:v>
      </x:c>
      <x:c r="E3353" s="14" t="n">
        <x:f>VLOOKUP(C3353,'Governorate Master'!$A$2:$Q$13,3,FALSE)</x:f>
        <x:v>236200</x:v>
      </x:c>
      <x:c r="F3353" s="66" t="n">
        <x:f>IF(E3353=0,0,D3353/E3353*10000)</x:f>
        <x:v>0</x:v>
      </x:c>
      <x:c r="G3353" s="67" t="n">
        <x:f>VLOOKUP(C3353,'Governorate Master'!$A$2:$Q$13,7,FALSE)</x:f>
        <x:v>251.4</x:v>
      </x:c>
      <x:c r="H3353" s="20" t="n">
        <x:f>VLOOKUP(C3353,'Governorate Master'!$A$2:$Q$13,6,FALSE)</x:f>
        <x:v>0.7823878069432684</x:v>
      </x:c>
      <x:c r="I3353" s="20" t="n">
        <x:f>VLOOKUP(C3353,'Governorate Master'!$A$2:$Q$13,15,FALSE)</x:f>
        <x:v>-0.18823529411764706</x:v>
      </x:c>
      <x:c r="J3353" s="12" t="str">
        <x:v>Location model input - competition/saturation context</x:v>
      </x:c>
      <x:c r="K3353" s="12" t="str">
        <x:v>Business count is from 2018 while population/context indicators are newer; use as a historical proxy, not a current market count.</x:v>
      </x:c>
    </x:row>
    <x:row r="3354">
      <x:c r="A3354" s="12" t="str">
        <x:v>9102</x:v>
      </x:c>
      <x:c r="B3354" s="12" t="str">
        <x:v>Museums activities and operation of historical sites and buildings</x:v>
      </x:c>
      <x:c r="C3354" s="12" t="str">
        <x:v>إربد</x:v>
      </x:c>
      <x:c r="D3354" s="14" t="n">
        <x:v>0</x:v>
      </x:c>
      <x:c r="E3354" s="14" t="n">
        <x:f>VLOOKUP(C3354,'Governorate Master'!$A$2:$Q$13,3,FALSE)</x:f>
        <x:v>2210500</x:v>
      </x:c>
      <x:c r="F3354" s="66" t="n">
        <x:f>IF(E3354=0,0,D3354/E3354*10000)</x:f>
        <x:v>0</x:v>
      </x:c>
      <x:c r="G3354" s="67" t="n">
        <x:f>VLOOKUP(C3354,'Governorate Master'!$A$2:$Q$13,7,FALSE)</x:f>
        <x:v>1406.4</x:v>
      </x:c>
      <x:c r="H3354" s="20" t="n">
        <x:f>VLOOKUP(C3354,'Governorate Master'!$A$2:$Q$13,6,FALSE)</x:f>
        <x:v>0.9235014702555983</x:v>
      </x:c>
      <x:c r="I3354" s="20" t="n">
        <x:f>VLOOKUP(C3354,'Governorate Master'!$A$2:$Q$13,15,FALSE)</x:f>
        <x:v>0.07086922474549726</x:v>
      </x:c>
      <x:c r="J3354" s="12" t="str">
        <x:v>Location model input - competition/saturation context</x:v>
      </x:c>
      <x:c r="K3354" s="12" t="str">
        <x:v>Business count is from 2018 while population/context indicators are newer; use as a historical proxy, not a current market count.</x:v>
      </x:c>
    </x:row>
    <x:row r="3355">
      <x:c r="A3355" s="12" t="str">
        <x:v>9102</x:v>
      </x:c>
      <x:c r="B3355" s="12" t="str">
        <x:v>Museums activities and operation of historical sites and buildings</x:v>
      </x:c>
      <x:c r="C3355" s="12" t="str">
        <x:v>المفرق</x:v>
      </x:c>
      <x:c r="D3355" s="14" t="n">
        <x:v>0</x:v>
      </x:c>
      <x:c r="E3355" s="14" t="n">
        <x:f>VLOOKUP(C3355,'Governorate Master'!$A$2:$Q$13,3,FALSE)</x:f>
        <x:v>686800</x:v>
      </x:c>
      <x:c r="F3355" s="66" t="n">
        <x:f>IF(E3355=0,0,D3355/E3355*10000)</x:f>
        <x:v>0</x:v>
      </x:c>
      <x:c r="G3355" s="67" t="n">
        <x:f>VLOOKUP(C3355,'Governorate Master'!$A$2:$Q$13,7,FALSE)</x:f>
        <x:v>25.9</x:v>
      </x:c>
      <x:c r="H3355" s="20" t="n">
        <x:f>VLOOKUP(C3355,'Governorate Master'!$A$2:$Q$13,6,FALSE)</x:f>
        <x:v>0.6965637740244612</x:v>
      </x:c>
      <x:c r="I3355" s="20" t="n">
        <x:f>VLOOKUP(C3355,'Governorate Master'!$A$2:$Q$13,15,FALSE)</x:f>
        <x:v>-0.016638935108153077</x:v>
      </x:c>
      <x:c r="J3355" s="12" t="str">
        <x:v>Location model input - competition/saturation context</x:v>
      </x:c>
      <x:c r="K3355" s="12" t="str">
        <x:v>Business count is from 2018 while population/context indicators are newer; use as a historical proxy, not a current market count.</x:v>
      </x:c>
    </x:row>
    <x:row r="3356">
      <x:c r="A3356" s="12" t="str">
        <x:v>9102</x:v>
      </x:c>
      <x:c r="B3356" s="12" t="str">
        <x:v>Museums activities and operation of historical sites and buildings</x:v>
      </x:c>
      <x:c r="C3356" s="12" t="str">
        <x:v>جرش</x:v>
      </x:c>
      <x:c r="D3356" s="14" t="n">
        <x:v>0</x:v>
      </x:c>
      <x:c r="E3356" s="14" t="n">
        <x:f>VLOOKUP(C3356,'Governorate Master'!$A$2:$Q$13,3,FALSE)</x:f>
        <x:v>296000</x:v>
      </x:c>
      <x:c r="F3356" s="66" t="n">
        <x:f>IF(E3356=0,0,D3356/E3356*10000)</x:f>
        <x:v>0</x:v>
      </x:c>
      <x:c r="G3356" s="67" t="n">
        <x:f>VLOOKUP(C3356,'Governorate Master'!$A$2:$Q$13,7,FALSE)</x:f>
        <x:v>722.3</x:v>
      </x:c>
      <x:c r="H3356" s="20" t="n">
        <x:f>VLOOKUP(C3356,'Governorate Master'!$A$2:$Q$13,6,FALSE)</x:f>
        <x:v>0.7695945945945946</x:v>
      </x:c>
      <x:c r="I3356" s="20" t="n">
        <x:f>VLOOKUP(C3356,'Governorate Master'!$A$2:$Q$13,15,FALSE)</x:f>
        <x:v>-0.06527415143603134</x:v>
      </x:c>
      <x:c r="J3356" s="12" t="str">
        <x:v>Location model input - competition/saturation context</x:v>
      </x:c>
      <x:c r="K3356" s="12" t="str">
        <x:v>Business count is from 2018 while population/context indicators are newer; use as a historical proxy, not a current market count.</x:v>
      </x:c>
    </x:row>
    <x:row r="3357">
      <x:c r="A3357" s="12" t="str">
        <x:v>9102</x:v>
      </x:c>
      <x:c r="B3357" s="12" t="str">
        <x:v>Museums activities and operation of historical sites and buildings</x:v>
      </x:c>
      <x:c r="C3357" s="12" t="str">
        <x:v>عجلون</x:v>
      </x:c>
      <x:c r="D3357" s="14" t="n">
        <x:v>0</x:v>
      </x:c>
      <x:c r="E3357" s="14" t="n">
        <x:f>VLOOKUP(C3357,'Governorate Master'!$A$2:$Q$13,3,FALSE)</x:f>
        <x:v>219900</x:v>
      </x:c>
      <x:c r="F3357" s="66" t="n">
        <x:f>IF(E3357=0,0,D3357/E3357*10000)</x:f>
        <x:v>0</x:v>
      </x:c>
      <x:c r="G3357" s="67" t="n">
        <x:f>VLOOKUP(C3357,'Governorate Master'!$A$2:$Q$13,7,FALSE)</x:f>
        <x:v>524</x:v>
      </x:c>
      <x:c r="H3357" s="20" t="n">
        <x:f>VLOOKUP(C3357,'Governorate Master'!$A$2:$Q$13,6,FALSE)</x:f>
        <x:v>0.8390177353342428</x:v>
      </x:c>
      <x:c r="I3357" s="20" t="n">
        <x:f>VLOOKUP(C3357,'Governorate Master'!$A$2:$Q$13,15,FALSE)</x:f>
        <x:v>0.03614457831325301</x:v>
      </x:c>
      <x:c r="J3357" s="12" t="str">
        <x:v>Location model input - competition/saturation context</x:v>
      </x:c>
      <x:c r="K3357" s="12" t="str">
        <x:v>Business count is from 2018 while population/context indicators are newer; use as a historical proxy, not a current market count.</x:v>
      </x:c>
    </x:row>
    <x:row r="3358">
      <x:c r="A3358" s="12" t="str">
        <x:v>9102</x:v>
      </x:c>
      <x:c r="B3358" s="12" t="str">
        <x:v>Museums activities and operation of historical sites and buildings</x:v>
      </x:c>
      <x:c r="C3358" s="12" t="str">
        <x:v>الكرك</x:v>
      </x:c>
      <x:c r="D3358" s="14" t="n">
        <x:v>2</x:v>
      </x:c>
      <x:c r="E3358" s="14" t="n">
        <x:f>VLOOKUP(C3358,'Governorate Master'!$A$2:$Q$13,3,FALSE)</x:f>
        <x:v>395400</x:v>
      </x:c>
      <x:c r="F3358" s="66" t="n">
        <x:f>IF(E3358=0,0,D3358/E3358*10000)</x:f>
        <x:v>0.050581689428426904</x:v>
      </x:c>
      <x:c r="G3358" s="67" t="n">
        <x:f>VLOOKUP(C3358,'Governorate Master'!$A$2:$Q$13,7,FALSE)</x:f>
        <x:v>113.1</x:v>
      </x:c>
      <x:c r="H3358" s="20" t="n">
        <x:f>VLOOKUP(C3358,'Governorate Master'!$A$2:$Q$13,6,FALSE)</x:f>
        <x:v>0.5912999494183105</x:v>
      </x:c>
      <x:c r="I3358" s="20" t="n">
        <x:f>VLOOKUP(C3358,'Governorate Master'!$A$2:$Q$13,15,FALSE)</x:f>
        <x:v>0.08710801393728224</x:v>
      </x:c>
      <x:c r="J3358" s="12" t="str">
        <x:v>Location model input - competition/saturation context</x:v>
      </x:c>
      <x:c r="K3358" s="12" t="str">
        <x:v>Business count is from 2018 while population/context indicators are newer; use as a historical proxy, not a current market count.</x:v>
      </x:c>
    </x:row>
    <x:row r="3359">
      <x:c r="A3359" s="12" t="str">
        <x:v>9102</x:v>
      </x:c>
      <x:c r="B3359" s="12" t="str">
        <x:v>Museums activities and operation of historical sites and buildings</x:v>
      </x:c>
      <x:c r="C3359" s="12" t="str">
        <x:v>الطفيلة</x:v>
      </x:c>
      <x:c r="D3359" s="14" t="n">
        <x:v>0</x:v>
      </x:c>
      <x:c r="E3359" s="14" t="n">
        <x:f>VLOOKUP(C3359,'Governorate Master'!$A$2:$Q$13,3,FALSE)</x:f>
        <x:v>120300</x:v>
      </x:c>
      <x:c r="F3359" s="66" t="n">
        <x:f>IF(E3359=0,0,D3359/E3359*10000)</x:f>
        <x:v>0</x:v>
      </x:c>
      <x:c r="G3359" s="67" t="n">
        <x:f>VLOOKUP(C3359,'Governorate Master'!$A$2:$Q$13,7,FALSE)</x:f>
        <x:v>54.4</x:v>
      </x:c>
      <x:c r="H3359" s="20" t="n">
        <x:f>VLOOKUP(C3359,'Governorate Master'!$A$2:$Q$13,6,FALSE)</x:f>
        <x:v>0.7797173732335827</x:v>
      </x:c>
      <x:c r="I3359" s="20" t="n">
        <x:f>VLOOKUP(C3359,'Governorate Master'!$A$2:$Q$13,15,FALSE)</x:f>
        <x:v>0.18452380952380953</x:v>
      </x:c>
      <x:c r="J3359" s="12" t="str">
        <x:v>Location model input - competition/saturation context</x:v>
      </x:c>
      <x:c r="K3359" s="12" t="str">
        <x:v>Business count is from 2018 while population/context indicators are newer; use as a historical proxy, not a current market count.</x:v>
      </x:c>
    </x:row>
    <x:row r="3360">
      <x:c r="A3360" s="12" t="str">
        <x:v>9102</x:v>
      </x:c>
      <x:c r="B3360" s="12" t="str">
        <x:v>Museums activities and operation of historical sites and buildings</x:v>
      </x:c>
      <x:c r="C3360" s="12" t="str">
        <x:v>معان</x:v>
      </x:c>
      <x:c r="D3360" s="14" t="n">
        <x:v>1</x:v>
      </x:c>
      <x:c r="E3360" s="14" t="n">
        <x:f>VLOOKUP(C3360,'Governorate Master'!$A$2:$Q$13,3,FALSE)</x:f>
        <x:v>197900</x:v>
      </x:c>
      <x:c r="F3360" s="66" t="n">
        <x:f>IF(E3360=0,0,D3360/E3360*10000)</x:f>
        <x:v>0.05053057099545225</x:v>
      </x:c>
      <x:c r="G3360" s="67" t="n">
        <x:f>VLOOKUP(C3360,'Governorate Master'!$A$2:$Q$13,7,FALSE)</x:f>
        <x:v>6</x:v>
      </x:c>
      <x:c r="H3360" s="20" t="n">
        <x:f>VLOOKUP(C3360,'Governorate Master'!$A$2:$Q$13,6,FALSE)</x:f>
        <x:v>0.5406771096513391</x:v>
      </x:c>
      <x:c r="I3360" s="20" t="n">
        <x:f>VLOOKUP(C3360,'Governorate Master'!$A$2:$Q$13,15,FALSE)</x:f>
        <x:v>0.026845637583892617</x:v>
      </x:c>
      <x:c r="J3360" s="12" t="str">
        <x:v>Location model input - competition/saturation context</x:v>
      </x:c>
      <x:c r="K3360" s="12" t="str">
        <x:v>Business count is from 2018 while population/context indicators are newer; use as a historical proxy, not a current market count.</x:v>
      </x:c>
    </x:row>
    <x:row r="3361">
      <x:c r="A3361" s="12" t="str">
        <x:v>9102</x:v>
      </x:c>
      <x:c r="B3361" s="12" t="str">
        <x:v>Museums activities and operation of historical sites and buildings</x:v>
      </x:c>
      <x:c r="C3361" s="12" t="str">
        <x:v>العقبة</x:v>
      </x:c>
      <x:c r="D3361" s="14" t="n">
        <x:v>0</x:v>
      </x:c>
      <x:c r="E3361" s="14" t="n">
        <x:f>VLOOKUP(C3361,'Governorate Master'!$A$2:$Q$13,3,FALSE)</x:f>
        <x:v>250900</x:v>
      </x:c>
      <x:c r="F3361" s="66" t="n">
        <x:f>IF(E3361=0,0,D3361/E3361*10000)</x:f>
        <x:v>0</x:v>
      </x:c>
      <x:c r="G3361" s="67" t="n">
        <x:f>VLOOKUP(C3361,'Governorate Master'!$A$2:$Q$13,7,FALSE)</x:f>
        <x:v>36.3</x:v>
      </x:c>
      <x:c r="H3361" s="20" t="n">
        <x:f>VLOOKUP(C3361,'Governorate Master'!$A$2:$Q$13,6,FALSE)</x:f>
        <x:v>0.882024711040255</x:v>
      </x:c>
      <x:c r="I3361" s="20" t="n">
        <x:f>VLOOKUP(C3361,'Governorate Master'!$A$2:$Q$13,15,FALSE)</x:f>
        <x:v>-0.09</x:v>
      </x:c>
      <x:c r="J3361" s="12" t="str">
        <x:v>Location model input - competition/saturation context</x:v>
      </x:c>
      <x:c r="K3361" s="12" t="str">
        <x:v>Business count is from 2018 while population/context indicators are newer; use as a historical proxy, not a current market count.</x:v>
      </x:c>
    </x:row>
    <x:row r="3362">
      <x:c r="A3362" s="12" t="str">
        <x:v>9103</x:v>
      </x:c>
      <x:c r="B3362" s="12" t="str">
        <x:v>Botanical and zoological gardens and nature reserves activities</x:v>
      </x:c>
      <x:c r="C3362" s="12" t="str">
        <x:v>عمان</x:v>
      </x:c>
      <x:c r="D3362" s="14" t="n">
        <x:v>4</x:v>
      </x:c>
      <x:c r="E3362" s="14" t="n">
        <x:f>VLOOKUP(C3362,'Governorate Master'!$A$2:$Q$13,3,FALSE)</x:f>
        <x:v>5004600</x:v>
      </x:c>
      <x:c r="F3362" s="66" t="n">
        <x:f>IF(E3362=0,0,D3362/E3362*10000)</x:f>
        <x:v>0.007992646764976222</x:v>
      </x:c>
      <x:c r="G3362" s="67" t="n">
        <x:f>VLOOKUP(C3362,'Governorate Master'!$A$2:$Q$13,7,FALSE)</x:f>
        <x:v>660.3</x:v>
      </x:c>
      <x:c r="H3362" s="20" t="n">
        <x:f>VLOOKUP(C3362,'Governorate Master'!$A$2:$Q$13,6,FALSE)</x:f>
        <x:v>0.9721656076409703</x:v>
      </x:c>
      <x:c r="I3362" s="20" t="n">
        <x:f>VLOOKUP(C3362,'Governorate Master'!$A$2:$Q$13,15,FALSE)</x:f>
        <x:v>0.06367041198501873</x:v>
      </x:c>
      <x:c r="J3362" s="12" t="str">
        <x:v>Location model input - competition/saturation context</x:v>
      </x:c>
      <x:c r="K3362" s="12" t="str">
        <x:v>Business count is from 2018 while population/context indicators are newer; use as a historical proxy, not a current market count.</x:v>
      </x:c>
    </x:row>
    <x:row r="3363">
      <x:c r="A3363" s="12" t="str">
        <x:v>9103</x:v>
      </x:c>
      <x:c r="B3363" s="12" t="str">
        <x:v>Botanical and zoological gardens and nature reserves activities</x:v>
      </x:c>
      <x:c r="C3363" s="12" t="str">
        <x:v>البلقاء</x:v>
      </x:c>
      <x:c r="D3363" s="14" t="n">
        <x:v>1</x:v>
      </x:c>
      <x:c r="E3363" s="14" t="n">
        <x:f>VLOOKUP(C3363,'Governorate Master'!$A$2:$Q$13,3,FALSE)</x:f>
        <x:v>614000</x:v>
      </x:c>
      <x:c r="F3363" s="66" t="n">
        <x:f>IF(E3363=0,0,D3363/E3363*10000)</x:f>
        <x:v>0.016286644951140065</x:v>
      </x:c>
      <x:c r="G3363" s="67" t="n">
        <x:f>VLOOKUP(C3363,'Governorate Master'!$A$2:$Q$13,7,FALSE)</x:f>
        <x:v>548</x:v>
      </x:c>
      <x:c r="H3363" s="20" t="n">
        <x:f>VLOOKUP(C3363,'Governorate Master'!$A$2:$Q$13,6,FALSE)</x:f>
        <x:v>0.8210097719869707</x:v>
      </x:c>
      <x:c r="I3363" s="20" t="n">
        <x:f>VLOOKUP(C3363,'Governorate Master'!$A$2:$Q$13,15,FALSE)</x:f>
        <x:v>0.10794044665012408</x:v>
      </x:c>
      <x:c r="J3363" s="12" t="str">
        <x:v>Location model input - competition/saturation context</x:v>
      </x:c>
      <x:c r="K3363" s="12" t="str">
        <x:v>Business count is from 2018 while population/context indicators are newer; use as a historical proxy, not a current market count.</x:v>
      </x:c>
    </x:row>
    <x:row r="3364">
      <x:c r="A3364" s="12" t="str">
        <x:v>9103</x:v>
      </x:c>
      <x:c r="B3364" s="12" t="str">
        <x:v>Botanical and zoological gardens and nature reserves activities</x:v>
      </x:c>
      <x:c r="C3364" s="12" t="str">
        <x:v>الزرقاء</x:v>
      </x:c>
      <x:c r="D3364" s="14" t="n">
        <x:v>1</x:v>
      </x:c>
      <x:c r="E3364" s="14" t="n">
        <x:f>VLOOKUP(C3364,'Governorate Master'!$A$2:$Q$13,3,FALSE)</x:f>
        <x:v>1704500</x:v>
      </x:c>
      <x:c r="F3364" s="66" t="n">
        <x:f>IF(E3364=0,0,D3364/E3364*10000)</x:f>
        <x:v>0.005866823115283074</x:v>
      </x:c>
      <x:c r="G3364" s="67" t="n">
        <x:f>VLOOKUP(C3364,'Governorate Master'!$A$2:$Q$13,7,FALSE)</x:f>
        <x:v>358</x:v>
      </x:c>
      <x:c r="H3364" s="20" t="n">
        <x:f>VLOOKUP(C3364,'Governorate Master'!$A$2:$Q$13,6,FALSE)</x:f>
        <x:v>0.9636256966852449</x:v>
      </x:c>
      <x:c r="I3364" s="20" t="n">
        <x:f>VLOOKUP(C3364,'Governorate Master'!$A$2:$Q$13,15,FALSE)</x:f>
        <x:v>-0.06808762581409118</x:v>
      </x:c>
      <x:c r="J3364" s="12" t="str">
        <x:v>Location model input - competition/saturation context</x:v>
      </x:c>
      <x:c r="K3364" s="12" t="str">
        <x:v>Business count is from 2018 while population/context indicators are newer; use as a historical proxy, not a current market count.</x:v>
      </x:c>
    </x:row>
    <x:row r="3365">
      <x:c r="A3365" s="12" t="str">
        <x:v>9103</x:v>
      </x:c>
      <x:c r="B3365" s="12" t="str">
        <x:v>Botanical and zoological gardens and nature reserves activities</x:v>
      </x:c>
      <x:c r="C3365" s="12" t="str">
        <x:v>مادبا</x:v>
      </x:c>
      <x:c r="D3365" s="14" t="n">
        <x:v>0</x:v>
      </x:c>
      <x:c r="E3365" s="14" t="n">
        <x:f>VLOOKUP(C3365,'Governorate Master'!$A$2:$Q$13,3,FALSE)</x:f>
        <x:v>236200</x:v>
      </x:c>
      <x:c r="F3365" s="66" t="n">
        <x:f>IF(E3365=0,0,D3365/E3365*10000)</x:f>
        <x:v>0</x:v>
      </x:c>
      <x:c r="G3365" s="67" t="n">
        <x:f>VLOOKUP(C3365,'Governorate Master'!$A$2:$Q$13,7,FALSE)</x:f>
        <x:v>251.4</x:v>
      </x:c>
      <x:c r="H3365" s="20" t="n">
        <x:f>VLOOKUP(C3365,'Governorate Master'!$A$2:$Q$13,6,FALSE)</x:f>
        <x:v>0.7823878069432684</x:v>
      </x:c>
      <x:c r="I3365" s="20" t="n">
        <x:f>VLOOKUP(C3365,'Governorate Master'!$A$2:$Q$13,15,FALSE)</x:f>
        <x:v>-0.18823529411764706</x:v>
      </x:c>
      <x:c r="J3365" s="12" t="str">
        <x:v>Location model input - competition/saturation context</x:v>
      </x:c>
      <x:c r="K3365" s="12" t="str">
        <x:v>Business count is from 2018 while population/context indicators are newer; use as a historical proxy, not a current market count.</x:v>
      </x:c>
    </x:row>
    <x:row r="3366">
      <x:c r="A3366" s="12" t="str">
        <x:v>9103</x:v>
      </x:c>
      <x:c r="B3366" s="12" t="str">
        <x:v>Botanical and zoological gardens and nature reserves activities</x:v>
      </x:c>
      <x:c r="C3366" s="12" t="str">
        <x:v>إربد</x:v>
      </x:c>
      <x:c r="D3366" s="14" t="n">
        <x:v>2</x:v>
      </x:c>
      <x:c r="E3366" s="14" t="n">
        <x:f>VLOOKUP(C3366,'Governorate Master'!$A$2:$Q$13,3,FALSE)</x:f>
        <x:v>2210500</x:v>
      </x:c>
      <x:c r="F3366" s="66" t="n">
        <x:f>IF(E3366=0,0,D3366/E3366*10000)</x:f>
        <x:v>0.009047726758651889</x:v>
      </x:c>
      <x:c r="G3366" s="67" t="n">
        <x:f>VLOOKUP(C3366,'Governorate Master'!$A$2:$Q$13,7,FALSE)</x:f>
        <x:v>1406.4</x:v>
      </x:c>
      <x:c r="H3366" s="20" t="n">
        <x:f>VLOOKUP(C3366,'Governorate Master'!$A$2:$Q$13,6,FALSE)</x:f>
        <x:v>0.9235014702555983</x:v>
      </x:c>
      <x:c r="I3366" s="20" t="n">
        <x:f>VLOOKUP(C3366,'Governorate Master'!$A$2:$Q$13,15,FALSE)</x:f>
        <x:v>0.07086922474549726</x:v>
      </x:c>
      <x:c r="J3366" s="12" t="str">
        <x:v>Location model input - competition/saturation context</x:v>
      </x:c>
      <x:c r="K3366" s="12" t="str">
        <x:v>Business count is from 2018 while population/context indicators are newer; use as a historical proxy, not a current market count.</x:v>
      </x:c>
    </x:row>
    <x:row r="3367">
      <x:c r="A3367" s="12" t="str">
        <x:v>9103</x:v>
      </x:c>
      <x:c r="B3367" s="12" t="str">
        <x:v>Botanical and zoological gardens and nature reserves activities</x:v>
      </x:c>
      <x:c r="C3367" s="12" t="str">
        <x:v>المفرق</x:v>
      </x:c>
      <x:c r="D3367" s="14" t="n">
        <x:v>0</x:v>
      </x:c>
      <x:c r="E3367" s="14" t="n">
        <x:f>VLOOKUP(C3367,'Governorate Master'!$A$2:$Q$13,3,FALSE)</x:f>
        <x:v>686800</x:v>
      </x:c>
      <x:c r="F3367" s="66" t="n">
        <x:f>IF(E3367=0,0,D3367/E3367*10000)</x:f>
        <x:v>0</x:v>
      </x:c>
      <x:c r="G3367" s="67" t="n">
        <x:f>VLOOKUP(C3367,'Governorate Master'!$A$2:$Q$13,7,FALSE)</x:f>
        <x:v>25.9</x:v>
      </x:c>
      <x:c r="H3367" s="20" t="n">
        <x:f>VLOOKUP(C3367,'Governorate Master'!$A$2:$Q$13,6,FALSE)</x:f>
        <x:v>0.6965637740244612</x:v>
      </x:c>
      <x:c r="I3367" s="20" t="n">
        <x:f>VLOOKUP(C3367,'Governorate Master'!$A$2:$Q$13,15,FALSE)</x:f>
        <x:v>-0.016638935108153077</x:v>
      </x:c>
      <x:c r="J3367" s="12" t="str">
        <x:v>Location model input - competition/saturation context</x:v>
      </x:c>
      <x:c r="K3367" s="12" t="str">
        <x:v>Business count is from 2018 while population/context indicators are newer; use as a historical proxy, not a current market count.</x:v>
      </x:c>
    </x:row>
    <x:row r="3368">
      <x:c r="A3368" s="12" t="str">
        <x:v>9103</x:v>
      </x:c>
      <x:c r="B3368" s="12" t="str">
        <x:v>Botanical and zoological gardens and nature reserves activities</x:v>
      </x:c>
      <x:c r="C3368" s="12" t="str">
        <x:v>جرش</x:v>
      </x:c>
      <x:c r="D3368" s="14" t="n">
        <x:v>0</x:v>
      </x:c>
      <x:c r="E3368" s="14" t="n">
        <x:f>VLOOKUP(C3368,'Governorate Master'!$A$2:$Q$13,3,FALSE)</x:f>
        <x:v>296000</x:v>
      </x:c>
      <x:c r="F3368" s="66" t="n">
        <x:f>IF(E3368=0,0,D3368/E3368*10000)</x:f>
        <x:v>0</x:v>
      </x:c>
      <x:c r="G3368" s="67" t="n">
        <x:f>VLOOKUP(C3368,'Governorate Master'!$A$2:$Q$13,7,FALSE)</x:f>
        <x:v>722.3</x:v>
      </x:c>
      <x:c r="H3368" s="20" t="n">
        <x:f>VLOOKUP(C3368,'Governorate Master'!$A$2:$Q$13,6,FALSE)</x:f>
        <x:v>0.7695945945945946</x:v>
      </x:c>
      <x:c r="I3368" s="20" t="n">
        <x:f>VLOOKUP(C3368,'Governorate Master'!$A$2:$Q$13,15,FALSE)</x:f>
        <x:v>-0.06527415143603134</x:v>
      </x:c>
      <x:c r="J3368" s="12" t="str">
        <x:v>Location model input - competition/saturation context</x:v>
      </x:c>
      <x:c r="K3368" s="12" t="str">
        <x:v>Business count is from 2018 while population/context indicators are newer; use as a historical proxy, not a current market count.</x:v>
      </x:c>
    </x:row>
    <x:row r="3369">
      <x:c r="A3369" s="12" t="str">
        <x:v>9103</x:v>
      </x:c>
      <x:c r="B3369" s="12" t="str">
        <x:v>Botanical and zoological gardens and nature reserves activities</x:v>
      </x:c>
      <x:c r="C3369" s="12" t="str">
        <x:v>عجلون</x:v>
      </x:c>
      <x:c r="D3369" s="14" t="n">
        <x:v>0</x:v>
      </x:c>
      <x:c r="E3369" s="14" t="n">
        <x:f>VLOOKUP(C3369,'Governorate Master'!$A$2:$Q$13,3,FALSE)</x:f>
        <x:v>219900</x:v>
      </x:c>
      <x:c r="F3369" s="66" t="n">
        <x:f>IF(E3369=0,0,D3369/E3369*10000)</x:f>
        <x:v>0</x:v>
      </x:c>
      <x:c r="G3369" s="67" t="n">
        <x:f>VLOOKUP(C3369,'Governorate Master'!$A$2:$Q$13,7,FALSE)</x:f>
        <x:v>524</x:v>
      </x:c>
      <x:c r="H3369" s="20" t="n">
        <x:f>VLOOKUP(C3369,'Governorate Master'!$A$2:$Q$13,6,FALSE)</x:f>
        <x:v>0.8390177353342428</x:v>
      </x:c>
      <x:c r="I3369" s="20" t="n">
        <x:f>VLOOKUP(C3369,'Governorate Master'!$A$2:$Q$13,15,FALSE)</x:f>
        <x:v>0.03614457831325301</x:v>
      </x:c>
      <x:c r="J3369" s="12" t="str">
        <x:v>Location model input - competition/saturation context</x:v>
      </x:c>
      <x:c r="K3369" s="12" t="str">
        <x:v>Business count is from 2018 while population/context indicators are newer; use as a historical proxy, not a current market count.</x:v>
      </x:c>
    </x:row>
    <x:row r="3370">
      <x:c r="A3370" s="12" t="str">
        <x:v>9103</x:v>
      </x:c>
      <x:c r="B3370" s="12" t="str">
        <x:v>Botanical and zoological gardens and nature reserves activities</x:v>
      </x:c>
      <x:c r="C3370" s="12" t="str">
        <x:v>الكرك</x:v>
      </x:c>
      <x:c r="D3370" s="14" t="n">
        <x:v>2</x:v>
      </x:c>
      <x:c r="E3370" s="14" t="n">
        <x:f>VLOOKUP(C3370,'Governorate Master'!$A$2:$Q$13,3,FALSE)</x:f>
        <x:v>395400</x:v>
      </x:c>
      <x:c r="F3370" s="66" t="n">
        <x:f>IF(E3370=0,0,D3370/E3370*10000)</x:f>
        <x:v>0.050581689428426904</x:v>
      </x:c>
      <x:c r="G3370" s="67" t="n">
        <x:f>VLOOKUP(C3370,'Governorate Master'!$A$2:$Q$13,7,FALSE)</x:f>
        <x:v>113.1</x:v>
      </x:c>
      <x:c r="H3370" s="20" t="n">
        <x:f>VLOOKUP(C3370,'Governorate Master'!$A$2:$Q$13,6,FALSE)</x:f>
        <x:v>0.5912999494183105</x:v>
      </x:c>
      <x:c r="I3370" s="20" t="n">
        <x:f>VLOOKUP(C3370,'Governorate Master'!$A$2:$Q$13,15,FALSE)</x:f>
        <x:v>0.08710801393728224</x:v>
      </x:c>
      <x:c r="J3370" s="12" t="str">
        <x:v>Location model input - competition/saturation context</x:v>
      </x:c>
      <x:c r="K3370" s="12" t="str">
        <x:v>Business count is from 2018 while population/context indicators are newer; use as a historical proxy, not a current market count.</x:v>
      </x:c>
    </x:row>
    <x:row r="3371">
      <x:c r="A3371" s="12" t="str">
        <x:v>9103</x:v>
      </x:c>
      <x:c r="B3371" s="12" t="str">
        <x:v>Botanical and zoological gardens and nature reserves activities</x:v>
      </x:c>
      <x:c r="C3371" s="12" t="str">
        <x:v>الطفيلة</x:v>
      </x:c>
      <x:c r="D3371" s="14" t="n">
        <x:v>1</x:v>
      </x:c>
      <x:c r="E3371" s="14" t="n">
        <x:f>VLOOKUP(C3371,'Governorate Master'!$A$2:$Q$13,3,FALSE)</x:f>
        <x:v>120300</x:v>
      </x:c>
      <x:c r="F3371" s="66" t="n">
        <x:f>IF(E3371=0,0,D3371/E3371*10000)</x:f>
        <x:v>0.0831255195344971</x:v>
      </x:c>
      <x:c r="G3371" s="67" t="n">
        <x:f>VLOOKUP(C3371,'Governorate Master'!$A$2:$Q$13,7,FALSE)</x:f>
        <x:v>54.4</x:v>
      </x:c>
      <x:c r="H3371" s="20" t="n">
        <x:f>VLOOKUP(C3371,'Governorate Master'!$A$2:$Q$13,6,FALSE)</x:f>
        <x:v>0.7797173732335827</x:v>
      </x:c>
      <x:c r="I3371" s="20" t="n">
        <x:f>VLOOKUP(C3371,'Governorate Master'!$A$2:$Q$13,15,FALSE)</x:f>
        <x:v>0.18452380952380953</x:v>
      </x:c>
      <x:c r="J3371" s="12" t="str">
        <x:v>Location model input - competition/saturation context</x:v>
      </x:c>
      <x:c r="K3371" s="12" t="str">
        <x:v>Business count is from 2018 while population/context indicators are newer; use as a historical proxy, not a current market count.</x:v>
      </x:c>
    </x:row>
    <x:row r="3372">
      <x:c r="A3372" s="12" t="str">
        <x:v>9103</x:v>
      </x:c>
      <x:c r="B3372" s="12" t="str">
        <x:v>Botanical and zoological gardens and nature reserves activities</x:v>
      </x:c>
      <x:c r="C3372" s="12" t="str">
        <x:v>معان</x:v>
      </x:c>
      <x:c r="D3372" s="14" t="n">
        <x:v>2</x:v>
      </x:c>
      <x:c r="E3372" s="14" t="n">
        <x:f>VLOOKUP(C3372,'Governorate Master'!$A$2:$Q$13,3,FALSE)</x:f>
        <x:v>197900</x:v>
      </x:c>
      <x:c r="F3372" s="66" t="n">
        <x:f>IF(E3372=0,0,D3372/E3372*10000)</x:f>
        <x:v>0.1010611419909045</x:v>
      </x:c>
      <x:c r="G3372" s="67" t="n">
        <x:f>VLOOKUP(C3372,'Governorate Master'!$A$2:$Q$13,7,FALSE)</x:f>
        <x:v>6</x:v>
      </x:c>
      <x:c r="H3372" s="20" t="n">
        <x:f>VLOOKUP(C3372,'Governorate Master'!$A$2:$Q$13,6,FALSE)</x:f>
        <x:v>0.5406771096513391</x:v>
      </x:c>
      <x:c r="I3372" s="20" t="n">
        <x:f>VLOOKUP(C3372,'Governorate Master'!$A$2:$Q$13,15,FALSE)</x:f>
        <x:v>0.026845637583892617</x:v>
      </x:c>
      <x:c r="J3372" s="12" t="str">
        <x:v>Location model input - competition/saturation context</x:v>
      </x:c>
      <x:c r="K3372" s="12" t="str">
        <x:v>Business count is from 2018 while population/context indicators are newer; use as a historical proxy, not a current market count.</x:v>
      </x:c>
    </x:row>
    <x:row r="3373">
      <x:c r="A3373" s="12" t="str">
        <x:v>9103</x:v>
      </x:c>
      <x:c r="B3373" s="12" t="str">
        <x:v>Botanical and zoological gardens and nature reserves activities</x:v>
      </x:c>
      <x:c r="C3373" s="12" t="str">
        <x:v>العقبة</x:v>
      </x:c>
      <x:c r="D3373" s="14" t="n">
        <x:v>0</x:v>
      </x:c>
      <x:c r="E3373" s="14" t="n">
        <x:f>VLOOKUP(C3373,'Governorate Master'!$A$2:$Q$13,3,FALSE)</x:f>
        <x:v>250900</x:v>
      </x:c>
      <x:c r="F3373" s="66" t="n">
        <x:f>IF(E3373=0,0,D3373/E3373*10000)</x:f>
        <x:v>0</x:v>
      </x:c>
      <x:c r="G3373" s="67" t="n">
        <x:f>VLOOKUP(C3373,'Governorate Master'!$A$2:$Q$13,7,FALSE)</x:f>
        <x:v>36.3</x:v>
      </x:c>
      <x:c r="H3373" s="20" t="n">
        <x:f>VLOOKUP(C3373,'Governorate Master'!$A$2:$Q$13,6,FALSE)</x:f>
        <x:v>0.882024711040255</x:v>
      </x:c>
      <x:c r="I3373" s="20" t="n">
        <x:f>VLOOKUP(C3373,'Governorate Master'!$A$2:$Q$13,15,FALSE)</x:f>
        <x:v>-0.09</x:v>
      </x:c>
      <x:c r="J3373" s="12" t="str">
        <x:v>Location model input - competition/saturation context</x:v>
      </x:c>
      <x:c r="K3373" s="12" t="str">
        <x:v>Business count is from 2018 while population/context indicators are newer; use as a historical proxy, not a current market count.</x:v>
      </x:c>
    </x:row>
    <x:row r="3374">
      <x:c r="A3374" s="12" t="str">
        <x:v>9311</x:v>
      </x:c>
      <x:c r="B3374" s="12" t="str">
        <x:v>Operation of sports facilities</x:v>
      </x:c>
      <x:c r="C3374" s="12" t="str">
        <x:v>عمان</x:v>
      </x:c>
      <x:c r="D3374" s="14" t="n">
        <x:v>76</x:v>
      </x:c>
      <x:c r="E3374" s="14" t="n">
        <x:f>VLOOKUP(C3374,'Governorate Master'!$A$2:$Q$13,3,FALSE)</x:f>
        <x:v>5004600</x:v>
      </x:c>
      <x:c r="F3374" s="66" t="n">
        <x:f>IF(E3374=0,0,D3374/E3374*10000)</x:f>
        <x:v>0.15186028853454822</x:v>
      </x:c>
      <x:c r="G3374" s="67" t="n">
        <x:f>VLOOKUP(C3374,'Governorate Master'!$A$2:$Q$13,7,FALSE)</x:f>
        <x:v>660.3</x:v>
      </x:c>
      <x:c r="H3374" s="20" t="n">
        <x:f>VLOOKUP(C3374,'Governorate Master'!$A$2:$Q$13,6,FALSE)</x:f>
        <x:v>0.9721656076409703</x:v>
      </x:c>
      <x:c r="I3374" s="20" t="n">
        <x:f>VLOOKUP(C3374,'Governorate Master'!$A$2:$Q$13,15,FALSE)</x:f>
        <x:v>0.06367041198501873</x:v>
      </x:c>
      <x:c r="J3374" s="12" t="str">
        <x:v>Location model input - competition/saturation context</x:v>
      </x:c>
      <x:c r="K3374" s="12" t="str">
        <x:v>Business count is from 2018 while population/context indicators are newer; use as a historical proxy, not a current market count.</x:v>
      </x:c>
    </x:row>
    <x:row r="3375">
      <x:c r="A3375" s="12" t="str">
        <x:v>9311</x:v>
      </x:c>
      <x:c r="B3375" s="12" t="str">
        <x:v>Operation of sports facilities</x:v>
      </x:c>
      <x:c r="C3375" s="12" t="str">
        <x:v>البلقاء</x:v>
      </x:c>
      <x:c r="D3375" s="14" t="n">
        <x:v>15</x:v>
      </x:c>
      <x:c r="E3375" s="14" t="n">
        <x:f>VLOOKUP(C3375,'Governorate Master'!$A$2:$Q$13,3,FALSE)</x:f>
        <x:v>614000</x:v>
      </x:c>
      <x:c r="F3375" s="66" t="n">
        <x:f>IF(E3375=0,0,D3375/E3375*10000)</x:f>
        <x:v>0.24429967426710097</x:v>
      </x:c>
      <x:c r="G3375" s="67" t="n">
        <x:f>VLOOKUP(C3375,'Governorate Master'!$A$2:$Q$13,7,FALSE)</x:f>
        <x:v>548</x:v>
      </x:c>
      <x:c r="H3375" s="20" t="n">
        <x:f>VLOOKUP(C3375,'Governorate Master'!$A$2:$Q$13,6,FALSE)</x:f>
        <x:v>0.8210097719869707</x:v>
      </x:c>
      <x:c r="I3375" s="20" t="n">
        <x:f>VLOOKUP(C3375,'Governorate Master'!$A$2:$Q$13,15,FALSE)</x:f>
        <x:v>0.10794044665012408</x:v>
      </x:c>
      <x:c r="J3375" s="12" t="str">
        <x:v>Location model input - competition/saturation context</x:v>
      </x:c>
      <x:c r="K3375" s="12" t="str">
        <x:v>Business count is from 2018 while population/context indicators are newer; use as a historical proxy, not a current market count.</x:v>
      </x:c>
    </x:row>
    <x:row r="3376">
      <x:c r="A3376" s="12" t="str">
        <x:v>9311</x:v>
      </x:c>
      <x:c r="B3376" s="12" t="str">
        <x:v>Operation of sports facilities</x:v>
      </x:c>
      <x:c r="C3376" s="12" t="str">
        <x:v>الزرقاء</x:v>
      </x:c>
      <x:c r="D3376" s="14" t="n">
        <x:v>28</x:v>
      </x:c>
      <x:c r="E3376" s="14" t="n">
        <x:f>VLOOKUP(C3376,'Governorate Master'!$A$2:$Q$13,3,FALSE)</x:f>
        <x:v>1704500</x:v>
      </x:c>
      <x:c r="F3376" s="66" t="n">
        <x:f>IF(E3376=0,0,D3376/E3376*10000)</x:f>
        <x:v>0.1642710472279261</x:v>
      </x:c>
      <x:c r="G3376" s="67" t="n">
        <x:f>VLOOKUP(C3376,'Governorate Master'!$A$2:$Q$13,7,FALSE)</x:f>
        <x:v>358</x:v>
      </x:c>
      <x:c r="H3376" s="20" t="n">
        <x:f>VLOOKUP(C3376,'Governorate Master'!$A$2:$Q$13,6,FALSE)</x:f>
        <x:v>0.9636256966852449</x:v>
      </x:c>
      <x:c r="I3376" s="20" t="n">
        <x:f>VLOOKUP(C3376,'Governorate Master'!$A$2:$Q$13,15,FALSE)</x:f>
        <x:v>-0.06808762581409118</x:v>
      </x:c>
      <x:c r="J3376" s="12" t="str">
        <x:v>Location model input - competition/saturation context</x:v>
      </x:c>
      <x:c r="K3376" s="12" t="str">
        <x:v>Business count is from 2018 while population/context indicators are newer; use as a historical proxy, not a current market count.</x:v>
      </x:c>
    </x:row>
    <x:row r="3377">
      <x:c r="A3377" s="12" t="str">
        <x:v>9311</x:v>
      </x:c>
      <x:c r="B3377" s="12" t="str">
        <x:v>Operation of sports facilities</x:v>
      </x:c>
      <x:c r="C3377" s="12" t="str">
        <x:v>مادبا</x:v>
      </x:c>
      <x:c r="D3377" s="14" t="n">
        <x:v>5</x:v>
      </x:c>
      <x:c r="E3377" s="14" t="n">
        <x:f>VLOOKUP(C3377,'Governorate Master'!$A$2:$Q$13,3,FALSE)</x:f>
        <x:v>236200</x:v>
      </x:c>
      <x:c r="F3377" s="66" t="n">
        <x:f>IF(E3377=0,0,D3377/E3377*10000)</x:f>
        <x:v>0.21168501270110077</x:v>
      </x:c>
      <x:c r="G3377" s="67" t="n">
        <x:f>VLOOKUP(C3377,'Governorate Master'!$A$2:$Q$13,7,FALSE)</x:f>
        <x:v>251.4</x:v>
      </x:c>
      <x:c r="H3377" s="20" t="n">
        <x:f>VLOOKUP(C3377,'Governorate Master'!$A$2:$Q$13,6,FALSE)</x:f>
        <x:v>0.7823878069432684</x:v>
      </x:c>
      <x:c r="I3377" s="20" t="n">
        <x:f>VLOOKUP(C3377,'Governorate Master'!$A$2:$Q$13,15,FALSE)</x:f>
        <x:v>-0.18823529411764706</x:v>
      </x:c>
      <x:c r="J3377" s="12" t="str">
        <x:v>Location model input - competition/saturation context</x:v>
      </x:c>
      <x:c r="K3377" s="12" t="str">
        <x:v>Business count is from 2018 while population/context indicators are newer; use as a historical proxy, not a current market count.</x:v>
      </x:c>
    </x:row>
    <x:row r="3378">
      <x:c r="A3378" s="12" t="str">
        <x:v>9311</x:v>
      </x:c>
      <x:c r="B3378" s="12" t="str">
        <x:v>Operation of sports facilities</x:v>
      </x:c>
      <x:c r="C3378" s="12" t="str">
        <x:v>إربد</x:v>
      </x:c>
      <x:c r="D3378" s="14" t="n">
        <x:v>34</x:v>
      </x:c>
      <x:c r="E3378" s="14" t="n">
        <x:f>VLOOKUP(C3378,'Governorate Master'!$A$2:$Q$13,3,FALSE)</x:f>
        <x:v>2210500</x:v>
      </x:c>
      <x:c r="F3378" s="66" t="n">
        <x:f>IF(E3378=0,0,D3378/E3378*10000)</x:f>
        <x:v>0.15381135489708211</x:v>
      </x:c>
      <x:c r="G3378" s="67" t="n">
        <x:f>VLOOKUP(C3378,'Governorate Master'!$A$2:$Q$13,7,FALSE)</x:f>
        <x:v>1406.4</x:v>
      </x:c>
      <x:c r="H3378" s="20" t="n">
        <x:f>VLOOKUP(C3378,'Governorate Master'!$A$2:$Q$13,6,FALSE)</x:f>
        <x:v>0.9235014702555983</x:v>
      </x:c>
      <x:c r="I3378" s="20" t="n">
        <x:f>VLOOKUP(C3378,'Governorate Master'!$A$2:$Q$13,15,FALSE)</x:f>
        <x:v>0.07086922474549726</x:v>
      </x:c>
      <x:c r="J3378" s="12" t="str">
        <x:v>Location model input - competition/saturation context</x:v>
      </x:c>
      <x:c r="K3378" s="12" t="str">
        <x:v>Business count is from 2018 while population/context indicators are newer; use as a historical proxy, not a current market count.</x:v>
      </x:c>
    </x:row>
    <x:row r="3379">
      <x:c r="A3379" s="12" t="str">
        <x:v>9311</x:v>
      </x:c>
      <x:c r="B3379" s="12" t="str">
        <x:v>Operation of sports facilities</x:v>
      </x:c>
      <x:c r="C3379" s="12" t="str">
        <x:v>المفرق</x:v>
      </x:c>
      <x:c r="D3379" s="14" t="n">
        <x:v>7</x:v>
      </x:c>
      <x:c r="E3379" s="14" t="n">
        <x:f>VLOOKUP(C3379,'Governorate Master'!$A$2:$Q$13,3,FALSE)</x:f>
        <x:v>686800</x:v>
      </x:c>
      <x:c r="F3379" s="66" t="n">
        <x:f>IF(E3379=0,0,D3379/E3379*10000)</x:f>
        <x:v>0.10192195690157252</x:v>
      </x:c>
      <x:c r="G3379" s="67" t="n">
        <x:f>VLOOKUP(C3379,'Governorate Master'!$A$2:$Q$13,7,FALSE)</x:f>
        <x:v>25.9</x:v>
      </x:c>
      <x:c r="H3379" s="20" t="n">
        <x:f>VLOOKUP(C3379,'Governorate Master'!$A$2:$Q$13,6,FALSE)</x:f>
        <x:v>0.6965637740244612</x:v>
      </x:c>
      <x:c r="I3379" s="20" t="n">
        <x:f>VLOOKUP(C3379,'Governorate Master'!$A$2:$Q$13,15,FALSE)</x:f>
        <x:v>-0.016638935108153077</x:v>
      </x:c>
      <x:c r="J3379" s="12" t="str">
        <x:v>Location model input - competition/saturation context</x:v>
      </x:c>
      <x:c r="K3379" s="12" t="str">
        <x:v>Business count is from 2018 while population/context indicators are newer; use as a historical proxy, not a current market count.</x:v>
      </x:c>
    </x:row>
    <x:row r="3380">
      <x:c r="A3380" s="12" t="str">
        <x:v>9311</x:v>
      </x:c>
      <x:c r="B3380" s="12" t="str">
        <x:v>Operation of sports facilities</x:v>
      </x:c>
      <x:c r="C3380" s="12" t="str">
        <x:v>جرش</x:v>
      </x:c>
      <x:c r="D3380" s="14" t="n">
        <x:v>2</x:v>
      </x:c>
      <x:c r="E3380" s="14" t="n">
        <x:f>VLOOKUP(C3380,'Governorate Master'!$A$2:$Q$13,3,FALSE)</x:f>
        <x:v>296000</x:v>
      </x:c>
      <x:c r="F3380" s="66" t="n">
        <x:f>IF(E3380=0,0,D3380/E3380*10000)</x:f>
        <x:v>0.06756756756756757</x:v>
      </x:c>
      <x:c r="G3380" s="67" t="n">
        <x:f>VLOOKUP(C3380,'Governorate Master'!$A$2:$Q$13,7,FALSE)</x:f>
        <x:v>722.3</x:v>
      </x:c>
      <x:c r="H3380" s="20" t="n">
        <x:f>VLOOKUP(C3380,'Governorate Master'!$A$2:$Q$13,6,FALSE)</x:f>
        <x:v>0.7695945945945946</x:v>
      </x:c>
      <x:c r="I3380" s="20" t="n">
        <x:f>VLOOKUP(C3380,'Governorate Master'!$A$2:$Q$13,15,FALSE)</x:f>
        <x:v>-0.06527415143603134</x:v>
      </x:c>
      <x:c r="J3380" s="12" t="str">
        <x:v>Location model input - competition/saturation context</x:v>
      </x:c>
      <x:c r="K3380" s="12" t="str">
        <x:v>Business count is from 2018 while population/context indicators are newer; use as a historical proxy, not a current market count.</x:v>
      </x:c>
    </x:row>
    <x:row r="3381">
      <x:c r="A3381" s="12" t="str">
        <x:v>9311</x:v>
      </x:c>
      <x:c r="B3381" s="12" t="str">
        <x:v>Operation of sports facilities</x:v>
      </x:c>
      <x:c r="C3381" s="12" t="str">
        <x:v>عجلون</x:v>
      </x:c>
      <x:c r="D3381" s="14" t="n">
        <x:v>6</x:v>
      </x:c>
      <x:c r="E3381" s="14" t="n">
        <x:f>VLOOKUP(C3381,'Governorate Master'!$A$2:$Q$13,3,FALSE)</x:f>
        <x:v>219900</x:v>
      </x:c>
      <x:c r="F3381" s="66" t="n">
        <x:f>IF(E3381=0,0,D3381/E3381*10000)</x:f>
        <x:v>0.2728512960436562</x:v>
      </x:c>
      <x:c r="G3381" s="67" t="n">
        <x:f>VLOOKUP(C3381,'Governorate Master'!$A$2:$Q$13,7,FALSE)</x:f>
        <x:v>524</x:v>
      </x:c>
      <x:c r="H3381" s="20" t="n">
        <x:f>VLOOKUP(C3381,'Governorate Master'!$A$2:$Q$13,6,FALSE)</x:f>
        <x:v>0.8390177353342428</x:v>
      </x:c>
      <x:c r="I3381" s="20" t="n">
        <x:f>VLOOKUP(C3381,'Governorate Master'!$A$2:$Q$13,15,FALSE)</x:f>
        <x:v>0.03614457831325301</x:v>
      </x:c>
      <x:c r="J3381" s="12" t="str">
        <x:v>Location model input - competition/saturation context</x:v>
      </x:c>
      <x:c r="K3381" s="12" t="str">
        <x:v>Business count is from 2018 while population/context indicators are newer; use as a historical proxy, not a current market count.</x:v>
      </x:c>
    </x:row>
    <x:row r="3382">
      <x:c r="A3382" s="12" t="str">
        <x:v>9311</x:v>
      </x:c>
      <x:c r="B3382" s="12" t="str">
        <x:v>Operation of sports facilities</x:v>
      </x:c>
      <x:c r="C3382" s="12" t="str">
        <x:v>الكرك</x:v>
      </x:c>
      <x:c r="D3382" s="14" t="n">
        <x:v>10</x:v>
      </x:c>
      <x:c r="E3382" s="14" t="n">
        <x:f>VLOOKUP(C3382,'Governorate Master'!$A$2:$Q$13,3,FALSE)</x:f>
        <x:v>395400</x:v>
      </x:c>
      <x:c r="F3382" s="66" t="n">
        <x:f>IF(E3382=0,0,D3382/E3382*10000)</x:f>
        <x:v>0.25290844714213456</x:v>
      </x:c>
      <x:c r="G3382" s="67" t="n">
        <x:f>VLOOKUP(C3382,'Governorate Master'!$A$2:$Q$13,7,FALSE)</x:f>
        <x:v>113.1</x:v>
      </x:c>
      <x:c r="H3382" s="20" t="n">
        <x:f>VLOOKUP(C3382,'Governorate Master'!$A$2:$Q$13,6,FALSE)</x:f>
        <x:v>0.5912999494183105</x:v>
      </x:c>
      <x:c r="I3382" s="20" t="n">
        <x:f>VLOOKUP(C3382,'Governorate Master'!$A$2:$Q$13,15,FALSE)</x:f>
        <x:v>0.08710801393728224</x:v>
      </x:c>
      <x:c r="J3382" s="12" t="str">
        <x:v>Location model input - competition/saturation context</x:v>
      </x:c>
      <x:c r="K3382" s="12" t="str">
        <x:v>Business count is from 2018 while population/context indicators are newer; use as a historical proxy, not a current market count.</x:v>
      </x:c>
    </x:row>
    <x:row r="3383">
      <x:c r="A3383" s="12" t="str">
        <x:v>9311</x:v>
      </x:c>
      <x:c r="B3383" s="12" t="str">
        <x:v>Operation of sports facilities</x:v>
      </x:c>
      <x:c r="C3383" s="12" t="str">
        <x:v>الطفيلة</x:v>
      </x:c>
      <x:c r="D3383" s="14" t="n">
        <x:v>3</x:v>
      </x:c>
      <x:c r="E3383" s="14" t="n">
        <x:f>VLOOKUP(C3383,'Governorate Master'!$A$2:$Q$13,3,FALSE)</x:f>
        <x:v>120300</x:v>
      </x:c>
      <x:c r="F3383" s="66" t="n">
        <x:f>IF(E3383=0,0,D3383/E3383*10000)</x:f>
        <x:v>0.24937655860349128</x:v>
      </x:c>
      <x:c r="G3383" s="67" t="n">
        <x:f>VLOOKUP(C3383,'Governorate Master'!$A$2:$Q$13,7,FALSE)</x:f>
        <x:v>54.4</x:v>
      </x:c>
      <x:c r="H3383" s="20" t="n">
        <x:f>VLOOKUP(C3383,'Governorate Master'!$A$2:$Q$13,6,FALSE)</x:f>
        <x:v>0.7797173732335827</x:v>
      </x:c>
      <x:c r="I3383" s="20" t="n">
        <x:f>VLOOKUP(C3383,'Governorate Master'!$A$2:$Q$13,15,FALSE)</x:f>
        <x:v>0.18452380952380953</x:v>
      </x:c>
      <x:c r="J3383" s="12" t="str">
        <x:v>Location model input - competition/saturation context</x:v>
      </x:c>
      <x:c r="K3383" s="12" t="str">
        <x:v>Business count is from 2018 while population/context indicators are newer; use as a historical proxy, not a current market count.</x:v>
      </x:c>
    </x:row>
    <x:row r="3384">
      <x:c r="A3384" s="12" t="str">
        <x:v>9311</x:v>
      </x:c>
      <x:c r="B3384" s="12" t="str">
        <x:v>Operation of sports facilities</x:v>
      </x:c>
      <x:c r="C3384" s="12" t="str">
        <x:v>معان</x:v>
      </x:c>
      <x:c r="D3384" s="14" t="n">
        <x:v>3</x:v>
      </x:c>
      <x:c r="E3384" s="14" t="n">
        <x:f>VLOOKUP(C3384,'Governorate Master'!$A$2:$Q$13,3,FALSE)</x:f>
        <x:v>197900</x:v>
      </x:c>
      <x:c r="F3384" s="66" t="n">
        <x:f>IF(E3384=0,0,D3384/E3384*10000)</x:f>
        <x:v>0.15159171298635674</x:v>
      </x:c>
      <x:c r="G3384" s="67" t="n">
        <x:f>VLOOKUP(C3384,'Governorate Master'!$A$2:$Q$13,7,FALSE)</x:f>
        <x:v>6</x:v>
      </x:c>
      <x:c r="H3384" s="20" t="n">
        <x:f>VLOOKUP(C3384,'Governorate Master'!$A$2:$Q$13,6,FALSE)</x:f>
        <x:v>0.5406771096513391</x:v>
      </x:c>
      <x:c r="I3384" s="20" t="n">
        <x:f>VLOOKUP(C3384,'Governorate Master'!$A$2:$Q$13,15,FALSE)</x:f>
        <x:v>0.026845637583892617</x:v>
      </x:c>
      <x:c r="J3384" s="12" t="str">
        <x:v>Location model input - competition/saturation context</x:v>
      </x:c>
      <x:c r="K3384" s="12" t="str">
        <x:v>Business count is from 2018 while population/context indicators are newer; use as a historical proxy, not a current market count.</x:v>
      </x:c>
    </x:row>
    <x:row r="3385">
      <x:c r="A3385" s="12" t="str">
        <x:v>9311</x:v>
      </x:c>
      <x:c r="B3385" s="12" t="str">
        <x:v>Operation of sports facilities</x:v>
      </x:c>
      <x:c r="C3385" s="12" t="str">
        <x:v>العقبة</x:v>
      </x:c>
      <x:c r="D3385" s="14" t="n">
        <x:v>10</x:v>
      </x:c>
      <x:c r="E3385" s="14" t="n">
        <x:f>VLOOKUP(C3385,'Governorate Master'!$A$2:$Q$13,3,FALSE)</x:f>
        <x:v>250900</x:v>
      </x:c>
      <x:c r="F3385" s="66" t="n">
        <x:f>IF(E3385=0,0,D3385/E3385*10000)</x:f>
        <x:v>0.3985651654045436</x:v>
      </x:c>
      <x:c r="G3385" s="67" t="n">
        <x:f>VLOOKUP(C3385,'Governorate Master'!$A$2:$Q$13,7,FALSE)</x:f>
        <x:v>36.3</x:v>
      </x:c>
      <x:c r="H3385" s="20" t="n">
        <x:f>VLOOKUP(C3385,'Governorate Master'!$A$2:$Q$13,6,FALSE)</x:f>
        <x:v>0.882024711040255</x:v>
      </x:c>
      <x:c r="I3385" s="20" t="n">
        <x:f>VLOOKUP(C3385,'Governorate Master'!$A$2:$Q$13,15,FALSE)</x:f>
        <x:v>-0.09</x:v>
      </x:c>
      <x:c r="J3385" s="12" t="str">
        <x:v>Location model input - competition/saturation context</x:v>
      </x:c>
      <x:c r="K3385" s="12" t="str">
        <x:v>Business count is from 2018 while population/context indicators are newer; use as a historical proxy, not a current market count.</x:v>
      </x:c>
    </x:row>
    <x:row r="3386">
      <x:c r="A3386" s="12" t="str">
        <x:v>9312</x:v>
      </x:c>
      <x:c r="B3386" s="12" t="str">
        <x:v>Activities of sports clubs</x:v>
      </x:c>
      <x:c r="C3386" s="12" t="str">
        <x:v>عمان</x:v>
      </x:c>
      <x:c r="D3386" s="14" t="n">
        <x:v>311</x:v>
      </x:c>
      <x:c r="E3386" s="14" t="n">
        <x:f>VLOOKUP(C3386,'Governorate Master'!$A$2:$Q$13,3,FALSE)</x:f>
        <x:v>5004600</x:v>
      </x:c>
      <x:c r="F3386" s="66" t="n">
        <x:f>IF(E3386=0,0,D3386/E3386*10000)</x:f>
        <x:v>0.6214282859769013</x:v>
      </x:c>
      <x:c r="G3386" s="67" t="n">
        <x:f>VLOOKUP(C3386,'Governorate Master'!$A$2:$Q$13,7,FALSE)</x:f>
        <x:v>660.3</x:v>
      </x:c>
      <x:c r="H3386" s="20" t="n">
        <x:f>VLOOKUP(C3386,'Governorate Master'!$A$2:$Q$13,6,FALSE)</x:f>
        <x:v>0.9721656076409703</x:v>
      </x:c>
      <x:c r="I3386" s="20" t="n">
        <x:f>VLOOKUP(C3386,'Governorate Master'!$A$2:$Q$13,15,FALSE)</x:f>
        <x:v>0.06367041198501873</x:v>
      </x:c>
      <x:c r="J3386" s="12" t="str">
        <x:v>Location model input - competition/saturation context</x:v>
      </x:c>
      <x:c r="K3386" s="12" t="str">
        <x:v>Business count is from 2018 while population/context indicators are newer; use as a historical proxy, not a current market count.</x:v>
      </x:c>
    </x:row>
    <x:row r="3387">
      <x:c r="A3387" s="12" t="str">
        <x:v>9312</x:v>
      </x:c>
      <x:c r="B3387" s="12" t="str">
        <x:v>Activities of sports clubs</x:v>
      </x:c>
      <x:c r="C3387" s="12" t="str">
        <x:v>البلقاء</x:v>
      </x:c>
      <x:c r="D3387" s="14" t="n">
        <x:v>46</x:v>
      </x:c>
      <x:c r="E3387" s="14" t="n">
        <x:f>VLOOKUP(C3387,'Governorate Master'!$A$2:$Q$13,3,FALSE)</x:f>
        <x:v>614000</x:v>
      </x:c>
      <x:c r="F3387" s="66" t="n">
        <x:f>IF(E3387=0,0,D3387/E3387*10000)</x:f>
        <x:v>0.749185667752443</x:v>
      </x:c>
      <x:c r="G3387" s="67" t="n">
        <x:f>VLOOKUP(C3387,'Governorate Master'!$A$2:$Q$13,7,FALSE)</x:f>
        <x:v>548</x:v>
      </x:c>
      <x:c r="H3387" s="20" t="n">
        <x:f>VLOOKUP(C3387,'Governorate Master'!$A$2:$Q$13,6,FALSE)</x:f>
        <x:v>0.8210097719869707</x:v>
      </x:c>
      <x:c r="I3387" s="20" t="n">
        <x:f>VLOOKUP(C3387,'Governorate Master'!$A$2:$Q$13,15,FALSE)</x:f>
        <x:v>0.10794044665012408</x:v>
      </x:c>
      <x:c r="J3387" s="12" t="str">
        <x:v>Location model input - competition/saturation context</x:v>
      </x:c>
      <x:c r="K3387" s="12" t="str">
        <x:v>Business count is from 2018 while population/context indicators are newer; use as a historical proxy, not a current market count.</x:v>
      </x:c>
    </x:row>
    <x:row r="3388">
      <x:c r="A3388" s="12" t="str">
        <x:v>9312</x:v>
      </x:c>
      <x:c r="B3388" s="12" t="str">
        <x:v>Activities of sports clubs</x:v>
      </x:c>
      <x:c r="C3388" s="12" t="str">
        <x:v>الزرقاء</x:v>
      </x:c>
      <x:c r="D3388" s="14" t="n">
        <x:v>101</x:v>
      </x:c>
      <x:c r="E3388" s="14" t="n">
        <x:f>VLOOKUP(C3388,'Governorate Master'!$A$2:$Q$13,3,FALSE)</x:f>
        <x:v>1704500</x:v>
      </x:c>
      <x:c r="F3388" s="66" t="n">
        <x:f>IF(E3388=0,0,D3388/E3388*10000)</x:f>
        <x:v>0.5925491346435905</x:v>
      </x:c>
      <x:c r="G3388" s="67" t="n">
        <x:f>VLOOKUP(C3388,'Governorate Master'!$A$2:$Q$13,7,FALSE)</x:f>
        <x:v>358</x:v>
      </x:c>
      <x:c r="H3388" s="20" t="n">
        <x:f>VLOOKUP(C3388,'Governorate Master'!$A$2:$Q$13,6,FALSE)</x:f>
        <x:v>0.9636256966852449</x:v>
      </x:c>
      <x:c r="I3388" s="20" t="n">
        <x:f>VLOOKUP(C3388,'Governorate Master'!$A$2:$Q$13,15,FALSE)</x:f>
        <x:v>-0.06808762581409118</x:v>
      </x:c>
      <x:c r="J3388" s="12" t="str">
        <x:v>Location model input - competition/saturation context</x:v>
      </x:c>
      <x:c r="K3388" s="12" t="str">
        <x:v>Business count is from 2018 while population/context indicators are newer; use as a historical proxy, not a current market count.</x:v>
      </x:c>
    </x:row>
    <x:row r="3389">
      <x:c r="A3389" s="12" t="str">
        <x:v>9312</x:v>
      </x:c>
      <x:c r="B3389" s="12" t="str">
        <x:v>Activities of sports clubs</x:v>
      </x:c>
      <x:c r="C3389" s="12" t="str">
        <x:v>مادبا</x:v>
      </x:c>
      <x:c r="D3389" s="14" t="n">
        <x:v>15</x:v>
      </x:c>
      <x:c r="E3389" s="14" t="n">
        <x:f>VLOOKUP(C3389,'Governorate Master'!$A$2:$Q$13,3,FALSE)</x:f>
        <x:v>236200</x:v>
      </x:c>
      <x:c r="F3389" s="66" t="n">
        <x:f>IF(E3389=0,0,D3389/E3389*10000)</x:f>
        <x:v>0.6350550381033023</x:v>
      </x:c>
      <x:c r="G3389" s="67" t="n">
        <x:f>VLOOKUP(C3389,'Governorate Master'!$A$2:$Q$13,7,FALSE)</x:f>
        <x:v>251.4</x:v>
      </x:c>
      <x:c r="H3389" s="20" t="n">
        <x:f>VLOOKUP(C3389,'Governorate Master'!$A$2:$Q$13,6,FALSE)</x:f>
        <x:v>0.7823878069432684</x:v>
      </x:c>
      <x:c r="I3389" s="20" t="n">
        <x:f>VLOOKUP(C3389,'Governorate Master'!$A$2:$Q$13,15,FALSE)</x:f>
        <x:v>-0.18823529411764706</x:v>
      </x:c>
      <x:c r="J3389" s="12" t="str">
        <x:v>Location model input - competition/saturation context</x:v>
      </x:c>
      <x:c r="K3389" s="12" t="str">
        <x:v>Business count is from 2018 while population/context indicators are newer; use as a historical proxy, not a current market count.</x:v>
      </x:c>
    </x:row>
    <x:row r="3390">
      <x:c r="A3390" s="12" t="str">
        <x:v>9312</x:v>
      </x:c>
      <x:c r="B3390" s="12" t="str">
        <x:v>Activities of sports clubs</x:v>
      </x:c>
      <x:c r="C3390" s="12" t="str">
        <x:v>إربد</x:v>
      </x:c>
      <x:c r="D3390" s="14" t="n">
        <x:v>95</x:v>
      </x:c>
      <x:c r="E3390" s="14" t="n">
        <x:f>VLOOKUP(C3390,'Governorate Master'!$A$2:$Q$13,3,FALSE)</x:f>
        <x:v>2210500</x:v>
      </x:c>
      <x:c r="F3390" s="66" t="n">
        <x:f>IF(E3390=0,0,D3390/E3390*10000)</x:f>
        <x:v>0.4297670210359647</x:v>
      </x:c>
      <x:c r="G3390" s="67" t="n">
        <x:f>VLOOKUP(C3390,'Governorate Master'!$A$2:$Q$13,7,FALSE)</x:f>
        <x:v>1406.4</x:v>
      </x:c>
      <x:c r="H3390" s="20" t="n">
        <x:f>VLOOKUP(C3390,'Governorate Master'!$A$2:$Q$13,6,FALSE)</x:f>
        <x:v>0.9235014702555983</x:v>
      </x:c>
      <x:c r="I3390" s="20" t="n">
        <x:f>VLOOKUP(C3390,'Governorate Master'!$A$2:$Q$13,15,FALSE)</x:f>
        <x:v>0.07086922474549726</x:v>
      </x:c>
      <x:c r="J3390" s="12" t="str">
        <x:v>Location model input - competition/saturation context</x:v>
      </x:c>
      <x:c r="K3390" s="12" t="str">
        <x:v>Business count is from 2018 while population/context indicators are newer; use as a historical proxy, not a current market count.</x:v>
      </x:c>
    </x:row>
    <x:row r="3391">
      <x:c r="A3391" s="12" t="str">
        <x:v>9312</x:v>
      </x:c>
      <x:c r="B3391" s="12" t="str">
        <x:v>Activities of sports clubs</x:v>
      </x:c>
      <x:c r="C3391" s="12" t="str">
        <x:v>المفرق</x:v>
      </x:c>
      <x:c r="D3391" s="14" t="n">
        <x:v>10</x:v>
      </x:c>
      <x:c r="E3391" s="14" t="n">
        <x:f>VLOOKUP(C3391,'Governorate Master'!$A$2:$Q$13,3,FALSE)</x:f>
        <x:v>686800</x:v>
      </x:c>
      <x:c r="F3391" s="66" t="n">
        <x:f>IF(E3391=0,0,D3391/E3391*10000)</x:f>
        <x:v>0.145602795573675</x:v>
      </x:c>
      <x:c r="G3391" s="67" t="n">
        <x:f>VLOOKUP(C3391,'Governorate Master'!$A$2:$Q$13,7,FALSE)</x:f>
        <x:v>25.9</x:v>
      </x:c>
      <x:c r="H3391" s="20" t="n">
        <x:f>VLOOKUP(C3391,'Governorate Master'!$A$2:$Q$13,6,FALSE)</x:f>
        <x:v>0.6965637740244612</x:v>
      </x:c>
      <x:c r="I3391" s="20" t="n">
        <x:f>VLOOKUP(C3391,'Governorate Master'!$A$2:$Q$13,15,FALSE)</x:f>
        <x:v>-0.016638935108153077</x:v>
      </x:c>
      <x:c r="J3391" s="12" t="str">
        <x:v>Location model input - competition/saturation context</x:v>
      </x:c>
      <x:c r="K3391" s="12" t="str">
        <x:v>Business count is from 2018 while population/context indicators are newer; use as a historical proxy, not a current market count.</x:v>
      </x:c>
    </x:row>
    <x:row r="3392">
      <x:c r="A3392" s="12" t="str">
        <x:v>9312</x:v>
      </x:c>
      <x:c r="B3392" s="12" t="str">
        <x:v>Activities of sports clubs</x:v>
      </x:c>
      <x:c r="C3392" s="12" t="str">
        <x:v>جرش</x:v>
      </x:c>
      <x:c r="D3392" s="14" t="n">
        <x:v>14</x:v>
      </x:c>
      <x:c r="E3392" s="14" t="n">
        <x:f>VLOOKUP(C3392,'Governorate Master'!$A$2:$Q$13,3,FALSE)</x:f>
        <x:v>296000</x:v>
      </x:c>
      <x:c r="F3392" s="66" t="n">
        <x:f>IF(E3392=0,0,D3392/E3392*10000)</x:f>
        <x:v>0.47297297297297297</x:v>
      </x:c>
      <x:c r="G3392" s="67" t="n">
        <x:f>VLOOKUP(C3392,'Governorate Master'!$A$2:$Q$13,7,FALSE)</x:f>
        <x:v>722.3</x:v>
      </x:c>
      <x:c r="H3392" s="20" t="n">
        <x:f>VLOOKUP(C3392,'Governorate Master'!$A$2:$Q$13,6,FALSE)</x:f>
        <x:v>0.7695945945945946</x:v>
      </x:c>
      <x:c r="I3392" s="20" t="n">
        <x:f>VLOOKUP(C3392,'Governorate Master'!$A$2:$Q$13,15,FALSE)</x:f>
        <x:v>-0.06527415143603134</x:v>
      </x:c>
      <x:c r="J3392" s="12" t="str">
        <x:v>Location model input - competition/saturation context</x:v>
      </x:c>
      <x:c r="K3392" s="12" t="str">
        <x:v>Business count is from 2018 while population/context indicators are newer; use as a historical proxy, not a current market count.</x:v>
      </x:c>
    </x:row>
    <x:row r="3393">
      <x:c r="A3393" s="12" t="str">
        <x:v>9312</x:v>
      </x:c>
      <x:c r="B3393" s="12" t="str">
        <x:v>Activities of sports clubs</x:v>
      </x:c>
      <x:c r="C3393" s="12" t="str">
        <x:v>عجلون</x:v>
      </x:c>
      <x:c r="D3393" s="14" t="n">
        <x:v>17</x:v>
      </x:c>
      <x:c r="E3393" s="14" t="n">
        <x:f>VLOOKUP(C3393,'Governorate Master'!$A$2:$Q$13,3,FALSE)</x:f>
        <x:v>219900</x:v>
      </x:c>
      <x:c r="F3393" s="66" t="n">
        <x:f>IF(E3393=0,0,D3393/E3393*10000)</x:f>
        <x:v>0.7730786721236925</x:v>
      </x:c>
      <x:c r="G3393" s="67" t="n">
        <x:f>VLOOKUP(C3393,'Governorate Master'!$A$2:$Q$13,7,FALSE)</x:f>
        <x:v>524</x:v>
      </x:c>
      <x:c r="H3393" s="20" t="n">
        <x:f>VLOOKUP(C3393,'Governorate Master'!$A$2:$Q$13,6,FALSE)</x:f>
        <x:v>0.8390177353342428</x:v>
      </x:c>
      <x:c r="I3393" s="20" t="n">
        <x:f>VLOOKUP(C3393,'Governorate Master'!$A$2:$Q$13,15,FALSE)</x:f>
        <x:v>0.03614457831325301</x:v>
      </x:c>
      <x:c r="J3393" s="12" t="str">
        <x:v>Location model input - competition/saturation context</x:v>
      </x:c>
      <x:c r="K3393" s="12" t="str">
        <x:v>Business count is from 2018 while population/context indicators are newer; use as a historical proxy, not a current market count.</x:v>
      </x:c>
    </x:row>
    <x:row r="3394">
      <x:c r="A3394" s="12" t="str">
        <x:v>9312</x:v>
      </x:c>
      <x:c r="B3394" s="12" t="str">
        <x:v>Activities of sports clubs</x:v>
      </x:c>
      <x:c r="C3394" s="12" t="str">
        <x:v>الكرك</x:v>
      </x:c>
      <x:c r="D3394" s="14" t="n">
        <x:v>33</x:v>
      </x:c>
      <x:c r="E3394" s="14" t="n">
        <x:f>VLOOKUP(C3394,'Governorate Master'!$A$2:$Q$13,3,FALSE)</x:f>
        <x:v>395400</x:v>
      </x:c>
      <x:c r="F3394" s="66" t="n">
        <x:f>IF(E3394=0,0,D3394/E3394*10000)</x:f>
        <x:v>0.8345978755690441</x:v>
      </x:c>
      <x:c r="G3394" s="67" t="n">
        <x:f>VLOOKUP(C3394,'Governorate Master'!$A$2:$Q$13,7,FALSE)</x:f>
        <x:v>113.1</x:v>
      </x:c>
      <x:c r="H3394" s="20" t="n">
        <x:f>VLOOKUP(C3394,'Governorate Master'!$A$2:$Q$13,6,FALSE)</x:f>
        <x:v>0.5912999494183105</x:v>
      </x:c>
      <x:c r="I3394" s="20" t="n">
        <x:f>VLOOKUP(C3394,'Governorate Master'!$A$2:$Q$13,15,FALSE)</x:f>
        <x:v>0.08710801393728224</x:v>
      </x:c>
      <x:c r="J3394" s="12" t="str">
        <x:v>Location model input - competition/saturation context</x:v>
      </x:c>
      <x:c r="K3394" s="12" t="str">
        <x:v>Business count is from 2018 while population/context indicators are newer; use as a historical proxy, not a current market count.</x:v>
      </x:c>
    </x:row>
    <x:row r="3395">
      <x:c r="A3395" s="12" t="str">
        <x:v>9312</x:v>
      </x:c>
      <x:c r="B3395" s="12" t="str">
        <x:v>Activities of sports clubs</x:v>
      </x:c>
      <x:c r="C3395" s="12" t="str">
        <x:v>الطفيلة</x:v>
      </x:c>
      <x:c r="D3395" s="14" t="n">
        <x:v>6</x:v>
      </x:c>
      <x:c r="E3395" s="14" t="n">
        <x:f>VLOOKUP(C3395,'Governorate Master'!$A$2:$Q$13,3,FALSE)</x:f>
        <x:v>120300</x:v>
      </x:c>
      <x:c r="F3395" s="66" t="n">
        <x:f>IF(E3395=0,0,D3395/E3395*10000)</x:f>
        <x:v>0.49875311720698257</x:v>
      </x:c>
      <x:c r="G3395" s="67" t="n">
        <x:f>VLOOKUP(C3395,'Governorate Master'!$A$2:$Q$13,7,FALSE)</x:f>
        <x:v>54.4</x:v>
      </x:c>
      <x:c r="H3395" s="20" t="n">
        <x:f>VLOOKUP(C3395,'Governorate Master'!$A$2:$Q$13,6,FALSE)</x:f>
        <x:v>0.7797173732335827</x:v>
      </x:c>
      <x:c r="I3395" s="20" t="n">
        <x:f>VLOOKUP(C3395,'Governorate Master'!$A$2:$Q$13,15,FALSE)</x:f>
        <x:v>0.18452380952380953</x:v>
      </x:c>
      <x:c r="J3395" s="12" t="str">
        <x:v>Location model input - competition/saturation context</x:v>
      </x:c>
      <x:c r="K3395" s="12" t="str">
        <x:v>Business count is from 2018 while population/context indicators are newer; use as a historical proxy, not a current market count.</x:v>
      </x:c>
    </x:row>
    <x:row r="3396">
      <x:c r="A3396" s="12" t="str">
        <x:v>9312</x:v>
      </x:c>
      <x:c r="B3396" s="12" t="str">
        <x:v>Activities of sports clubs</x:v>
      </x:c>
      <x:c r="C3396" s="12" t="str">
        <x:v>معان</x:v>
      </x:c>
      <x:c r="D3396" s="14" t="n">
        <x:v>14</x:v>
      </x:c>
      <x:c r="E3396" s="14" t="n">
        <x:f>VLOOKUP(C3396,'Governorate Master'!$A$2:$Q$13,3,FALSE)</x:f>
        <x:v>197900</x:v>
      </x:c>
      <x:c r="F3396" s="66" t="n">
        <x:f>IF(E3396=0,0,D3396/E3396*10000)</x:f>
        <x:v>0.7074279939363315</x:v>
      </x:c>
      <x:c r="G3396" s="67" t="n">
        <x:f>VLOOKUP(C3396,'Governorate Master'!$A$2:$Q$13,7,FALSE)</x:f>
        <x:v>6</x:v>
      </x:c>
      <x:c r="H3396" s="20" t="n">
        <x:f>VLOOKUP(C3396,'Governorate Master'!$A$2:$Q$13,6,FALSE)</x:f>
        <x:v>0.5406771096513391</x:v>
      </x:c>
      <x:c r="I3396" s="20" t="n">
        <x:f>VLOOKUP(C3396,'Governorate Master'!$A$2:$Q$13,15,FALSE)</x:f>
        <x:v>0.026845637583892617</x:v>
      </x:c>
      <x:c r="J3396" s="12" t="str">
        <x:v>Location model input - competition/saturation context</x:v>
      </x:c>
      <x:c r="K3396" s="12" t="str">
        <x:v>Business count is from 2018 while population/context indicators are newer; use as a historical proxy, not a current market count.</x:v>
      </x:c>
    </x:row>
    <x:row r="3397">
      <x:c r="A3397" s="12" t="str">
        <x:v>9312</x:v>
      </x:c>
      <x:c r="B3397" s="12" t="str">
        <x:v>Activities of sports clubs</x:v>
      </x:c>
      <x:c r="C3397" s="12" t="str">
        <x:v>العقبة</x:v>
      </x:c>
      <x:c r="D3397" s="14" t="n">
        <x:v>26</x:v>
      </x:c>
      <x:c r="E3397" s="14" t="n">
        <x:f>VLOOKUP(C3397,'Governorate Master'!$A$2:$Q$13,3,FALSE)</x:f>
        <x:v>250900</x:v>
      </x:c>
      <x:c r="F3397" s="66" t="n">
        <x:f>IF(E3397=0,0,D3397/E3397*10000)</x:f>
        <x:v>1.0362694300518134</x:v>
      </x:c>
      <x:c r="G3397" s="67" t="n">
        <x:f>VLOOKUP(C3397,'Governorate Master'!$A$2:$Q$13,7,FALSE)</x:f>
        <x:v>36.3</x:v>
      </x:c>
      <x:c r="H3397" s="20" t="n">
        <x:f>VLOOKUP(C3397,'Governorate Master'!$A$2:$Q$13,6,FALSE)</x:f>
        <x:v>0.882024711040255</x:v>
      </x:c>
      <x:c r="I3397" s="20" t="n">
        <x:f>VLOOKUP(C3397,'Governorate Master'!$A$2:$Q$13,15,FALSE)</x:f>
        <x:v>-0.09</x:v>
      </x:c>
      <x:c r="J3397" s="12" t="str">
        <x:v>Location model input - competition/saturation context</x:v>
      </x:c>
      <x:c r="K3397" s="12" t="str">
        <x:v>Business count is from 2018 while population/context indicators are newer; use as a historical proxy, not a current market count.</x:v>
      </x:c>
    </x:row>
    <x:row r="3398">
      <x:c r="A3398" s="12" t="str">
        <x:v>9319</x:v>
      </x:c>
      <x:c r="B3398" s="12" t="str">
        <x:v>Other sports activities</x:v>
      </x:c>
      <x:c r="C3398" s="12" t="str">
        <x:v>عمان</x:v>
      </x:c>
      <x:c r="D3398" s="14" t="n">
        <x:v>2</x:v>
      </x:c>
      <x:c r="E3398" s="14" t="n">
        <x:f>VLOOKUP(C3398,'Governorate Master'!$A$2:$Q$13,3,FALSE)</x:f>
        <x:v>5004600</x:v>
      </x:c>
      <x:c r="F3398" s="66" t="n">
        <x:f>IF(E3398=0,0,D3398/E3398*10000)</x:f>
        <x:v>0.003996323382488111</x:v>
      </x:c>
      <x:c r="G3398" s="67" t="n">
        <x:f>VLOOKUP(C3398,'Governorate Master'!$A$2:$Q$13,7,FALSE)</x:f>
        <x:v>660.3</x:v>
      </x:c>
      <x:c r="H3398" s="20" t="n">
        <x:f>VLOOKUP(C3398,'Governorate Master'!$A$2:$Q$13,6,FALSE)</x:f>
        <x:v>0.9721656076409703</x:v>
      </x:c>
      <x:c r="I3398" s="20" t="n">
        <x:f>VLOOKUP(C3398,'Governorate Master'!$A$2:$Q$13,15,FALSE)</x:f>
        <x:v>0.06367041198501873</x:v>
      </x:c>
      <x:c r="J3398" s="12" t="str">
        <x:v>Location model input - competition/saturation context</x:v>
      </x:c>
      <x:c r="K3398" s="12" t="str">
        <x:v>Business count is from 2018 while population/context indicators are newer; use as a historical proxy, not a current market count.</x:v>
      </x:c>
    </x:row>
    <x:row r="3399">
      <x:c r="A3399" s="12" t="str">
        <x:v>9319</x:v>
      </x:c>
      <x:c r="B3399" s="12" t="str">
        <x:v>Other sports activities</x:v>
      </x:c>
      <x:c r="C3399" s="12" t="str">
        <x:v>البلقاء</x:v>
      </x:c>
      <x:c r="D3399" s="14" t="n">
        <x:v>0</x:v>
      </x:c>
      <x:c r="E3399" s="14" t="n">
        <x:f>VLOOKUP(C3399,'Governorate Master'!$A$2:$Q$13,3,FALSE)</x:f>
        <x:v>614000</x:v>
      </x:c>
      <x:c r="F3399" s="66" t="n">
        <x:f>IF(E3399=0,0,D3399/E3399*10000)</x:f>
        <x:v>0</x:v>
      </x:c>
      <x:c r="G3399" s="67" t="n">
        <x:f>VLOOKUP(C3399,'Governorate Master'!$A$2:$Q$13,7,FALSE)</x:f>
        <x:v>548</x:v>
      </x:c>
      <x:c r="H3399" s="20" t="n">
        <x:f>VLOOKUP(C3399,'Governorate Master'!$A$2:$Q$13,6,FALSE)</x:f>
        <x:v>0.8210097719869707</x:v>
      </x:c>
      <x:c r="I3399" s="20" t="n">
        <x:f>VLOOKUP(C3399,'Governorate Master'!$A$2:$Q$13,15,FALSE)</x:f>
        <x:v>0.10794044665012408</x:v>
      </x:c>
      <x:c r="J3399" s="12" t="str">
        <x:v>Location model input - competition/saturation context</x:v>
      </x:c>
      <x:c r="K3399" s="12" t="str">
        <x:v>Business count is from 2018 while population/context indicators are newer; use as a historical proxy, not a current market count.</x:v>
      </x:c>
    </x:row>
    <x:row r="3400">
      <x:c r="A3400" s="12" t="str">
        <x:v>9319</x:v>
      </x:c>
      <x:c r="B3400" s="12" t="str">
        <x:v>Other sports activities</x:v>
      </x:c>
      <x:c r="C3400" s="12" t="str">
        <x:v>الزرقاء</x:v>
      </x:c>
      <x:c r="D3400" s="14" t="n">
        <x:v>0</x:v>
      </x:c>
      <x:c r="E3400" s="14" t="n">
        <x:f>VLOOKUP(C3400,'Governorate Master'!$A$2:$Q$13,3,FALSE)</x:f>
        <x:v>1704500</x:v>
      </x:c>
      <x:c r="F3400" s="66" t="n">
        <x:f>IF(E3400=0,0,D3400/E3400*10000)</x:f>
        <x:v>0</x:v>
      </x:c>
      <x:c r="G3400" s="67" t="n">
        <x:f>VLOOKUP(C3400,'Governorate Master'!$A$2:$Q$13,7,FALSE)</x:f>
        <x:v>358</x:v>
      </x:c>
      <x:c r="H3400" s="20" t="n">
        <x:f>VLOOKUP(C3400,'Governorate Master'!$A$2:$Q$13,6,FALSE)</x:f>
        <x:v>0.9636256966852449</x:v>
      </x:c>
      <x:c r="I3400" s="20" t="n">
        <x:f>VLOOKUP(C3400,'Governorate Master'!$A$2:$Q$13,15,FALSE)</x:f>
        <x:v>-0.06808762581409118</x:v>
      </x:c>
      <x:c r="J3400" s="12" t="str">
        <x:v>Location model input - competition/saturation context</x:v>
      </x:c>
      <x:c r="K3400" s="12" t="str">
        <x:v>Business count is from 2018 while population/context indicators are newer; use as a historical proxy, not a current market count.</x:v>
      </x:c>
    </x:row>
    <x:row r="3401">
      <x:c r="A3401" s="12" t="str">
        <x:v>9319</x:v>
      </x:c>
      <x:c r="B3401" s="12" t="str">
        <x:v>Other sports activities</x:v>
      </x:c>
      <x:c r="C3401" s="12" t="str">
        <x:v>مادبا</x:v>
      </x:c>
      <x:c r="D3401" s="14" t="n">
        <x:v>0</x:v>
      </x:c>
      <x:c r="E3401" s="14" t="n">
        <x:f>VLOOKUP(C3401,'Governorate Master'!$A$2:$Q$13,3,FALSE)</x:f>
        <x:v>236200</x:v>
      </x:c>
      <x:c r="F3401" s="66" t="n">
        <x:f>IF(E3401=0,0,D3401/E3401*10000)</x:f>
        <x:v>0</x:v>
      </x:c>
      <x:c r="G3401" s="67" t="n">
        <x:f>VLOOKUP(C3401,'Governorate Master'!$A$2:$Q$13,7,FALSE)</x:f>
        <x:v>251.4</x:v>
      </x:c>
      <x:c r="H3401" s="20" t="n">
        <x:f>VLOOKUP(C3401,'Governorate Master'!$A$2:$Q$13,6,FALSE)</x:f>
        <x:v>0.7823878069432684</x:v>
      </x:c>
      <x:c r="I3401" s="20" t="n">
        <x:f>VLOOKUP(C3401,'Governorate Master'!$A$2:$Q$13,15,FALSE)</x:f>
        <x:v>-0.18823529411764706</x:v>
      </x:c>
      <x:c r="J3401" s="12" t="str">
        <x:v>Location model input - competition/saturation context</x:v>
      </x:c>
      <x:c r="K3401" s="12" t="str">
        <x:v>Business count is from 2018 while population/context indicators are newer; use as a historical proxy, not a current market count.</x:v>
      </x:c>
    </x:row>
    <x:row r="3402">
      <x:c r="A3402" s="12" t="str">
        <x:v>9319</x:v>
      </x:c>
      <x:c r="B3402" s="12" t="str">
        <x:v>Other sports activities</x:v>
      </x:c>
      <x:c r="C3402" s="12" t="str">
        <x:v>إربد</x:v>
      </x:c>
      <x:c r="D3402" s="14" t="n">
        <x:v>0</x:v>
      </x:c>
      <x:c r="E3402" s="14" t="n">
        <x:f>VLOOKUP(C3402,'Governorate Master'!$A$2:$Q$13,3,FALSE)</x:f>
        <x:v>2210500</x:v>
      </x:c>
      <x:c r="F3402" s="66" t="n">
        <x:f>IF(E3402=0,0,D3402/E3402*10000)</x:f>
        <x:v>0</x:v>
      </x:c>
      <x:c r="G3402" s="67" t="n">
        <x:f>VLOOKUP(C3402,'Governorate Master'!$A$2:$Q$13,7,FALSE)</x:f>
        <x:v>1406.4</x:v>
      </x:c>
      <x:c r="H3402" s="20" t="n">
        <x:f>VLOOKUP(C3402,'Governorate Master'!$A$2:$Q$13,6,FALSE)</x:f>
        <x:v>0.9235014702555983</x:v>
      </x:c>
      <x:c r="I3402" s="20" t="n">
        <x:f>VLOOKUP(C3402,'Governorate Master'!$A$2:$Q$13,15,FALSE)</x:f>
        <x:v>0.07086922474549726</x:v>
      </x:c>
      <x:c r="J3402" s="12" t="str">
        <x:v>Location model input - competition/saturation context</x:v>
      </x:c>
      <x:c r="K3402" s="12" t="str">
        <x:v>Business count is from 2018 while population/context indicators are newer; use as a historical proxy, not a current market count.</x:v>
      </x:c>
    </x:row>
    <x:row r="3403">
      <x:c r="A3403" s="12" t="str">
        <x:v>9319</x:v>
      </x:c>
      <x:c r="B3403" s="12" t="str">
        <x:v>Other sports activities</x:v>
      </x:c>
      <x:c r="C3403" s="12" t="str">
        <x:v>المفرق</x:v>
      </x:c>
      <x:c r="D3403" s="14" t="n">
        <x:v>0</x:v>
      </x:c>
      <x:c r="E3403" s="14" t="n">
        <x:f>VLOOKUP(C3403,'Governorate Master'!$A$2:$Q$13,3,FALSE)</x:f>
        <x:v>686800</x:v>
      </x:c>
      <x:c r="F3403" s="66" t="n">
        <x:f>IF(E3403=0,0,D3403/E3403*10000)</x:f>
        <x:v>0</x:v>
      </x:c>
      <x:c r="G3403" s="67" t="n">
        <x:f>VLOOKUP(C3403,'Governorate Master'!$A$2:$Q$13,7,FALSE)</x:f>
        <x:v>25.9</x:v>
      </x:c>
      <x:c r="H3403" s="20" t="n">
        <x:f>VLOOKUP(C3403,'Governorate Master'!$A$2:$Q$13,6,FALSE)</x:f>
        <x:v>0.6965637740244612</x:v>
      </x:c>
      <x:c r="I3403" s="20" t="n">
        <x:f>VLOOKUP(C3403,'Governorate Master'!$A$2:$Q$13,15,FALSE)</x:f>
        <x:v>-0.016638935108153077</x:v>
      </x:c>
      <x:c r="J3403" s="12" t="str">
        <x:v>Location model input - competition/saturation context</x:v>
      </x:c>
      <x:c r="K3403" s="12" t="str">
        <x:v>Business count is from 2018 while population/context indicators are newer; use as a historical proxy, not a current market count.</x:v>
      </x:c>
    </x:row>
    <x:row r="3404">
      <x:c r="A3404" s="12" t="str">
        <x:v>9319</x:v>
      </x:c>
      <x:c r="B3404" s="12" t="str">
        <x:v>Other sports activities</x:v>
      </x:c>
      <x:c r="C3404" s="12" t="str">
        <x:v>جرش</x:v>
      </x:c>
      <x:c r="D3404" s="14" t="n">
        <x:v>0</x:v>
      </x:c>
      <x:c r="E3404" s="14" t="n">
        <x:f>VLOOKUP(C3404,'Governorate Master'!$A$2:$Q$13,3,FALSE)</x:f>
        <x:v>296000</x:v>
      </x:c>
      <x:c r="F3404" s="66" t="n">
        <x:f>IF(E3404=0,0,D3404/E3404*10000)</x:f>
        <x:v>0</x:v>
      </x:c>
      <x:c r="G3404" s="67" t="n">
        <x:f>VLOOKUP(C3404,'Governorate Master'!$A$2:$Q$13,7,FALSE)</x:f>
        <x:v>722.3</x:v>
      </x:c>
      <x:c r="H3404" s="20" t="n">
        <x:f>VLOOKUP(C3404,'Governorate Master'!$A$2:$Q$13,6,FALSE)</x:f>
        <x:v>0.7695945945945946</x:v>
      </x:c>
      <x:c r="I3404" s="20" t="n">
        <x:f>VLOOKUP(C3404,'Governorate Master'!$A$2:$Q$13,15,FALSE)</x:f>
        <x:v>-0.06527415143603134</x:v>
      </x:c>
      <x:c r="J3404" s="12" t="str">
        <x:v>Location model input - competition/saturation context</x:v>
      </x:c>
      <x:c r="K3404" s="12" t="str">
        <x:v>Business count is from 2018 while population/context indicators are newer; use as a historical proxy, not a current market count.</x:v>
      </x:c>
    </x:row>
    <x:row r="3405">
      <x:c r="A3405" s="12" t="str">
        <x:v>9319</x:v>
      </x:c>
      <x:c r="B3405" s="12" t="str">
        <x:v>Other sports activities</x:v>
      </x:c>
      <x:c r="C3405" s="12" t="str">
        <x:v>عجلون</x:v>
      </x:c>
      <x:c r="D3405" s="14" t="n">
        <x:v>0</x:v>
      </x:c>
      <x:c r="E3405" s="14" t="n">
        <x:f>VLOOKUP(C3405,'Governorate Master'!$A$2:$Q$13,3,FALSE)</x:f>
        <x:v>219900</x:v>
      </x:c>
      <x:c r="F3405" s="66" t="n">
        <x:f>IF(E3405=0,0,D3405/E3405*10000)</x:f>
        <x:v>0</x:v>
      </x:c>
      <x:c r="G3405" s="67" t="n">
        <x:f>VLOOKUP(C3405,'Governorate Master'!$A$2:$Q$13,7,FALSE)</x:f>
        <x:v>524</x:v>
      </x:c>
      <x:c r="H3405" s="20" t="n">
        <x:f>VLOOKUP(C3405,'Governorate Master'!$A$2:$Q$13,6,FALSE)</x:f>
        <x:v>0.8390177353342428</x:v>
      </x:c>
      <x:c r="I3405" s="20" t="n">
        <x:f>VLOOKUP(C3405,'Governorate Master'!$A$2:$Q$13,15,FALSE)</x:f>
        <x:v>0.03614457831325301</x:v>
      </x:c>
      <x:c r="J3405" s="12" t="str">
        <x:v>Location model input - competition/saturation context</x:v>
      </x:c>
      <x:c r="K3405" s="12" t="str">
        <x:v>Business count is from 2018 while population/context indicators are newer; use as a historical proxy, not a current market count.</x:v>
      </x:c>
    </x:row>
    <x:row r="3406">
      <x:c r="A3406" s="12" t="str">
        <x:v>9319</x:v>
      </x:c>
      <x:c r="B3406" s="12" t="str">
        <x:v>Other sports activities</x:v>
      </x:c>
      <x:c r="C3406" s="12" t="str">
        <x:v>الكرك</x:v>
      </x:c>
      <x:c r="D3406" s="14" t="n">
        <x:v>0</x:v>
      </x:c>
      <x:c r="E3406" s="14" t="n">
        <x:f>VLOOKUP(C3406,'Governorate Master'!$A$2:$Q$13,3,FALSE)</x:f>
        <x:v>395400</x:v>
      </x:c>
      <x:c r="F3406" s="66" t="n">
        <x:f>IF(E3406=0,0,D3406/E3406*10000)</x:f>
        <x:v>0</x:v>
      </x:c>
      <x:c r="G3406" s="67" t="n">
        <x:f>VLOOKUP(C3406,'Governorate Master'!$A$2:$Q$13,7,FALSE)</x:f>
        <x:v>113.1</x:v>
      </x:c>
      <x:c r="H3406" s="20" t="n">
        <x:f>VLOOKUP(C3406,'Governorate Master'!$A$2:$Q$13,6,FALSE)</x:f>
        <x:v>0.5912999494183105</x:v>
      </x:c>
      <x:c r="I3406" s="20" t="n">
        <x:f>VLOOKUP(C3406,'Governorate Master'!$A$2:$Q$13,15,FALSE)</x:f>
        <x:v>0.08710801393728224</x:v>
      </x:c>
      <x:c r="J3406" s="12" t="str">
        <x:v>Location model input - competition/saturation context</x:v>
      </x:c>
      <x:c r="K3406" s="12" t="str">
        <x:v>Business count is from 2018 while population/context indicators are newer; use as a historical proxy, not a current market count.</x:v>
      </x:c>
    </x:row>
    <x:row r="3407">
      <x:c r="A3407" s="12" t="str">
        <x:v>9319</x:v>
      </x:c>
      <x:c r="B3407" s="12" t="str">
        <x:v>Other sports activities</x:v>
      </x:c>
      <x:c r="C3407" s="12" t="str">
        <x:v>الطفيلة</x:v>
      </x:c>
      <x:c r="D3407" s="14" t="n">
        <x:v>0</x:v>
      </x:c>
      <x:c r="E3407" s="14" t="n">
        <x:f>VLOOKUP(C3407,'Governorate Master'!$A$2:$Q$13,3,FALSE)</x:f>
        <x:v>120300</x:v>
      </x:c>
      <x:c r="F3407" s="66" t="n">
        <x:f>IF(E3407=0,0,D3407/E3407*10000)</x:f>
        <x:v>0</x:v>
      </x:c>
      <x:c r="G3407" s="67" t="n">
        <x:f>VLOOKUP(C3407,'Governorate Master'!$A$2:$Q$13,7,FALSE)</x:f>
        <x:v>54.4</x:v>
      </x:c>
      <x:c r="H3407" s="20" t="n">
        <x:f>VLOOKUP(C3407,'Governorate Master'!$A$2:$Q$13,6,FALSE)</x:f>
        <x:v>0.7797173732335827</x:v>
      </x:c>
      <x:c r="I3407" s="20" t="n">
        <x:f>VLOOKUP(C3407,'Governorate Master'!$A$2:$Q$13,15,FALSE)</x:f>
        <x:v>0.18452380952380953</x:v>
      </x:c>
      <x:c r="J3407" s="12" t="str">
        <x:v>Location model input - competition/saturation context</x:v>
      </x:c>
      <x:c r="K3407" s="12" t="str">
        <x:v>Business count is from 2018 while population/context indicators are newer; use as a historical proxy, not a current market count.</x:v>
      </x:c>
    </x:row>
    <x:row r="3408">
      <x:c r="A3408" s="12" t="str">
        <x:v>9319</x:v>
      </x:c>
      <x:c r="B3408" s="12" t="str">
        <x:v>Other sports activities</x:v>
      </x:c>
      <x:c r="C3408" s="12" t="str">
        <x:v>معان</x:v>
      </x:c>
      <x:c r="D3408" s="14" t="n">
        <x:v>0</x:v>
      </x:c>
      <x:c r="E3408" s="14" t="n">
        <x:f>VLOOKUP(C3408,'Governorate Master'!$A$2:$Q$13,3,FALSE)</x:f>
        <x:v>197900</x:v>
      </x:c>
      <x:c r="F3408" s="66" t="n">
        <x:f>IF(E3408=0,0,D3408/E3408*10000)</x:f>
        <x:v>0</x:v>
      </x:c>
      <x:c r="G3408" s="67" t="n">
        <x:f>VLOOKUP(C3408,'Governorate Master'!$A$2:$Q$13,7,FALSE)</x:f>
        <x:v>6</x:v>
      </x:c>
      <x:c r="H3408" s="20" t="n">
        <x:f>VLOOKUP(C3408,'Governorate Master'!$A$2:$Q$13,6,FALSE)</x:f>
        <x:v>0.5406771096513391</x:v>
      </x:c>
      <x:c r="I3408" s="20" t="n">
        <x:f>VLOOKUP(C3408,'Governorate Master'!$A$2:$Q$13,15,FALSE)</x:f>
        <x:v>0.026845637583892617</x:v>
      </x:c>
      <x:c r="J3408" s="12" t="str">
        <x:v>Location model input - competition/saturation context</x:v>
      </x:c>
      <x:c r="K3408" s="12" t="str">
        <x:v>Business count is from 2018 while population/context indicators are newer; use as a historical proxy, not a current market count.</x:v>
      </x:c>
    </x:row>
    <x:row r="3409">
      <x:c r="A3409" s="12" t="str">
        <x:v>9319</x:v>
      </x:c>
      <x:c r="B3409" s="12" t="str">
        <x:v>Other sports activities</x:v>
      </x:c>
      <x:c r="C3409" s="12" t="str">
        <x:v>العقبة</x:v>
      </x:c>
      <x:c r="D3409" s="14" t="n">
        <x:v>0</x:v>
      </x:c>
      <x:c r="E3409" s="14" t="n">
        <x:f>VLOOKUP(C3409,'Governorate Master'!$A$2:$Q$13,3,FALSE)</x:f>
        <x:v>250900</x:v>
      </x:c>
      <x:c r="F3409" s="66" t="n">
        <x:f>IF(E3409=0,0,D3409/E3409*10000)</x:f>
        <x:v>0</x:v>
      </x:c>
      <x:c r="G3409" s="67" t="n">
        <x:f>VLOOKUP(C3409,'Governorate Master'!$A$2:$Q$13,7,FALSE)</x:f>
        <x:v>36.3</x:v>
      </x:c>
      <x:c r="H3409" s="20" t="n">
        <x:f>VLOOKUP(C3409,'Governorate Master'!$A$2:$Q$13,6,FALSE)</x:f>
        <x:v>0.882024711040255</x:v>
      </x:c>
      <x:c r="I3409" s="20" t="n">
        <x:f>VLOOKUP(C3409,'Governorate Master'!$A$2:$Q$13,15,FALSE)</x:f>
        <x:v>-0.09</x:v>
      </x:c>
      <x:c r="J3409" s="12" t="str">
        <x:v>Location model input - competition/saturation context</x:v>
      </x:c>
      <x:c r="K3409" s="12" t="str">
        <x:v>Business count is from 2018 while population/context indicators are newer; use as a historical proxy, not a current market count.</x:v>
      </x:c>
    </x:row>
    <x:row r="3410">
      <x:c r="A3410" s="12" t="str">
        <x:v>9321</x:v>
      </x:c>
      <x:c r="B3410" s="12" t="str">
        <x:v>Activities of amusement parks and theme parks</x:v>
      </x:c>
      <x:c r="C3410" s="12" t="str">
        <x:v>عمان</x:v>
      </x:c>
      <x:c r="D3410" s="14" t="n">
        <x:v>12</x:v>
      </x:c>
      <x:c r="E3410" s="14" t="n">
        <x:f>VLOOKUP(C3410,'Governorate Master'!$A$2:$Q$13,3,FALSE)</x:f>
        <x:v>5004600</x:v>
      </x:c>
      <x:c r="F3410" s="66" t="n">
        <x:f>IF(E3410=0,0,D3410/E3410*10000)</x:f>
        <x:v>0.023977940294928664</x:v>
      </x:c>
      <x:c r="G3410" s="67" t="n">
        <x:f>VLOOKUP(C3410,'Governorate Master'!$A$2:$Q$13,7,FALSE)</x:f>
        <x:v>660.3</x:v>
      </x:c>
      <x:c r="H3410" s="20" t="n">
        <x:f>VLOOKUP(C3410,'Governorate Master'!$A$2:$Q$13,6,FALSE)</x:f>
        <x:v>0.9721656076409703</x:v>
      </x:c>
      <x:c r="I3410" s="20" t="n">
        <x:f>VLOOKUP(C3410,'Governorate Master'!$A$2:$Q$13,15,FALSE)</x:f>
        <x:v>0.06367041198501873</x:v>
      </x:c>
      <x:c r="J3410" s="12" t="str">
        <x:v>Location model input - competition/saturation context</x:v>
      </x:c>
      <x:c r="K3410" s="12" t="str">
        <x:v>Business count is from 2018 while population/context indicators are newer; use as a historical proxy, not a current market count.</x:v>
      </x:c>
    </x:row>
    <x:row r="3411">
      <x:c r="A3411" s="12" t="str">
        <x:v>9321</x:v>
      </x:c>
      <x:c r="B3411" s="12" t="str">
        <x:v>Activities of amusement parks and theme parks</x:v>
      </x:c>
      <x:c r="C3411" s="12" t="str">
        <x:v>البلقاء</x:v>
      </x:c>
      <x:c r="D3411" s="14" t="n">
        <x:v>4</x:v>
      </x:c>
      <x:c r="E3411" s="14" t="n">
        <x:f>VLOOKUP(C3411,'Governorate Master'!$A$2:$Q$13,3,FALSE)</x:f>
        <x:v>614000</x:v>
      </x:c>
      <x:c r="F3411" s="66" t="n">
        <x:f>IF(E3411=0,0,D3411/E3411*10000)</x:f>
        <x:v>0.06514657980456026</x:v>
      </x:c>
      <x:c r="G3411" s="67" t="n">
        <x:f>VLOOKUP(C3411,'Governorate Master'!$A$2:$Q$13,7,FALSE)</x:f>
        <x:v>548</x:v>
      </x:c>
      <x:c r="H3411" s="20" t="n">
        <x:f>VLOOKUP(C3411,'Governorate Master'!$A$2:$Q$13,6,FALSE)</x:f>
        <x:v>0.8210097719869707</x:v>
      </x:c>
      <x:c r="I3411" s="20" t="n">
        <x:f>VLOOKUP(C3411,'Governorate Master'!$A$2:$Q$13,15,FALSE)</x:f>
        <x:v>0.10794044665012408</x:v>
      </x:c>
      <x:c r="J3411" s="12" t="str">
        <x:v>Location model input - competition/saturation context</x:v>
      </x:c>
      <x:c r="K3411" s="12" t="str">
        <x:v>Business count is from 2018 while population/context indicators are newer; use as a historical proxy, not a current market count.</x:v>
      </x:c>
    </x:row>
    <x:row r="3412">
      <x:c r="A3412" s="12" t="str">
        <x:v>9321</x:v>
      </x:c>
      <x:c r="B3412" s="12" t="str">
        <x:v>Activities of amusement parks and theme parks</x:v>
      </x:c>
      <x:c r="C3412" s="12" t="str">
        <x:v>الزرقاء</x:v>
      </x:c>
      <x:c r="D3412" s="14" t="n">
        <x:v>3</x:v>
      </x:c>
      <x:c r="E3412" s="14" t="n">
        <x:f>VLOOKUP(C3412,'Governorate Master'!$A$2:$Q$13,3,FALSE)</x:f>
        <x:v>1704500</x:v>
      </x:c>
      <x:c r="F3412" s="66" t="n">
        <x:f>IF(E3412=0,0,D3412/E3412*10000)</x:f>
        <x:v>0.01760046934584922</x:v>
      </x:c>
      <x:c r="G3412" s="67" t="n">
        <x:f>VLOOKUP(C3412,'Governorate Master'!$A$2:$Q$13,7,FALSE)</x:f>
        <x:v>358</x:v>
      </x:c>
      <x:c r="H3412" s="20" t="n">
        <x:f>VLOOKUP(C3412,'Governorate Master'!$A$2:$Q$13,6,FALSE)</x:f>
        <x:v>0.9636256966852449</x:v>
      </x:c>
      <x:c r="I3412" s="20" t="n">
        <x:f>VLOOKUP(C3412,'Governorate Master'!$A$2:$Q$13,15,FALSE)</x:f>
        <x:v>-0.06808762581409118</x:v>
      </x:c>
      <x:c r="J3412" s="12" t="str">
        <x:v>Location model input - competition/saturation context</x:v>
      </x:c>
      <x:c r="K3412" s="12" t="str">
        <x:v>Business count is from 2018 while population/context indicators are newer; use as a historical proxy, not a current market count.</x:v>
      </x:c>
    </x:row>
    <x:row r="3413">
      <x:c r="A3413" s="12" t="str">
        <x:v>9321</x:v>
      </x:c>
      <x:c r="B3413" s="12" t="str">
        <x:v>Activities of amusement parks and theme parks</x:v>
      </x:c>
      <x:c r="C3413" s="12" t="str">
        <x:v>مادبا</x:v>
      </x:c>
      <x:c r="D3413" s="14" t="n">
        <x:v>1</x:v>
      </x:c>
      <x:c r="E3413" s="14" t="n">
        <x:f>VLOOKUP(C3413,'Governorate Master'!$A$2:$Q$13,3,FALSE)</x:f>
        <x:v>236200</x:v>
      </x:c>
      <x:c r="F3413" s="66" t="n">
        <x:f>IF(E3413=0,0,D3413/E3413*10000)</x:f>
        <x:v>0.04233700254022015</x:v>
      </x:c>
      <x:c r="G3413" s="67" t="n">
        <x:f>VLOOKUP(C3413,'Governorate Master'!$A$2:$Q$13,7,FALSE)</x:f>
        <x:v>251.4</x:v>
      </x:c>
      <x:c r="H3413" s="20" t="n">
        <x:f>VLOOKUP(C3413,'Governorate Master'!$A$2:$Q$13,6,FALSE)</x:f>
        <x:v>0.7823878069432684</x:v>
      </x:c>
      <x:c r="I3413" s="20" t="n">
        <x:f>VLOOKUP(C3413,'Governorate Master'!$A$2:$Q$13,15,FALSE)</x:f>
        <x:v>-0.18823529411764706</x:v>
      </x:c>
      <x:c r="J3413" s="12" t="str">
        <x:v>Location model input - competition/saturation context</x:v>
      </x:c>
      <x:c r="K3413" s="12" t="str">
        <x:v>Business count is from 2018 while population/context indicators are newer; use as a historical proxy, not a current market count.</x:v>
      </x:c>
    </x:row>
    <x:row r="3414">
      <x:c r="A3414" s="12" t="str">
        <x:v>9321</x:v>
      </x:c>
      <x:c r="B3414" s="12" t="str">
        <x:v>Activities of amusement parks and theme parks</x:v>
      </x:c>
      <x:c r="C3414" s="12" t="str">
        <x:v>إربد</x:v>
      </x:c>
      <x:c r="D3414" s="14" t="n">
        <x:v>2</x:v>
      </x:c>
      <x:c r="E3414" s="14" t="n">
        <x:f>VLOOKUP(C3414,'Governorate Master'!$A$2:$Q$13,3,FALSE)</x:f>
        <x:v>2210500</x:v>
      </x:c>
      <x:c r="F3414" s="66" t="n">
        <x:f>IF(E3414=0,0,D3414/E3414*10000)</x:f>
        <x:v>0.009047726758651889</x:v>
      </x:c>
      <x:c r="G3414" s="67" t="n">
        <x:f>VLOOKUP(C3414,'Governorate Master'!$A$2:$Q$13,7,FALSE)</x:f>
        <x:v>1406.4</x:v>
      </x:c>
      <x:c r="H3414" s="20" t="n">
        <x:f>VLOOKUP(C3414,'Governorate Master'!$A$2:$Q$13,6,FALSE)</x:f>
        <x:v>0.9235014702555983</x:v>
      </x:c>
      <x:c r="I3414" s="20" t="n">
        <x:f>VLOOKUP(C3414,'Governorate Master'!$A$2:$Q$13,15,FALSE)</x:f>
        <x:v>0.07086922474549726</x:v>
      </x:c>
      <x:c r="J3414" s="12" t="str">
        <x:v>Location model input - competition/saturation context</x:v>
      </x:c>
      <x:c r="K3414" s="12" t="str">
        <x:v>Business count is from 2018 while population/context indicators are newer; use as a historical proxy, not a current market count.</x:v>
      </x:c>
    </x:row>
    <x:row r="3415">
      <x:c r="A3415" s="12" t="str">
        <x:v>9321</x:v>
      </x:c>
      <x:c r="B3415" s="12" t="str">
        <x:v>Activities of amusement parks and theme parks</x:v>
      </x:c>
      <x:c r="C3415" s="12" t="str">
        <x:v>المفرق</x:v>
      </x:c>
      <x:c r="D3415" s="14" t="n">
        <x:v>0</x:v>
      </x:c>
      <x:c r="E3415" s="14" t="n">
        <x:f>VLOOKUP(C3415,'Governorate Master'!$A$2:$Q$13,3,FALSE)</x:f>
        <x:v>686800</x:v>
      </x:c>
      <x:c r="F3415" s="66" t="n">
        <x:f>IF(E3415=0,0,D3415/E3415*10000)</x:f>
        <x:v>0</x:v>
      </x:c>
      <x:c r="G3415" s="67" t="n">
        <x:f>VLOOKUP(C3415,'Governorate Master'!$A$2:$Q$13,7,FALSE)</x:f>
        <x:v>25.9</x:v>
      </x:c>
      <x:c r="H3415" s="20" t="n">
        <x:f>VLOOKUP(C3415,'Governorate Master'!$A$2:$Q$13,6,FALSE)</x:f>
        <x:v>0.6965637740244612</x:v>
      </x:c>
      <x:c r="I3415" s="20" t="n">
        <x:f>VLOOKUP(C3415,'Governorate Master'!$A$2:$Q$13,15,FALSE)</x:f>
        <x:v>-0.016638935108153077</x:v>
      </x:c>
      <x:c r="J3415" s="12" t="str">
        <x:v>Location model input - competition/saturation context</x:v>
      </x:c>
      <x:c r="K3415" s="12" t="str">
        <x:v>Business count is from 2018 while population/context indicators are newer; use as a historical proxy, not a current market count.</x:v>
      </x:c>
    </x:row>
    <x:row r="3416">
      <x:c r="A3416" s="12" t="str">
        <x:v>9321</x:v>
      </x:c>
      <x:c r="B3416" s="12" t="str">
        <x:v>Activities of amusement parks and theme parks</x:v>
      </x:c>
      <x:c r="C3416" s="12" t="str">
        <x:v>جرش</x:v>
      </x:c>
      <x:c r="D3416" s="14" t="n">
        <x:v>0</x:v>
      </x:c>
      <x:c r="E3416" s="14" t="n">
        <x:f>VLOOKUP(C3416,'Governorate Master'!$A$2:$Q$13,3,FALSE)</x:f>
        <x:v>296000</x:v>
      </x:c>
      <x:c r="F3416" s="66" t="n">
        <x:f>IF(E3416=0,0,D3416/E3416*10000)</x:f>
        <x:v>0</x:v>
      </x:c>
      <x:c r="G3416" s="67" t="n">
        <x:f>VLOOKUP(C3416,'Governorate Master'!$A$2:$Q$13,7,FALSE)</x:f>
        <x:v>722.3</x:v>
      </x:c>
      <x:c r="H3416" s="20" t="n">
        <x:f>VLOOKUP(C3416,'Governorate Master'!$A$2:$Q$13,6,FALSE)</x:f>
        <x:v>0.7695945945945946</x:v>
      </x:c>
      <x:c r="I3416" s="20" t="n">
        <x:f>VLOOKUP(C3416,'Governorate Master'!$A$2:$Q$13,15,FALSE)</x:f>
        <x:v>-0.06527415143603134</x:v>
      </x:c>
      <x:c r="J3416" s="12" t="str">
        <x:v>Location model input - competition/saturation context</x:v>
      </x:c>
      <x:c r="K3416" s="12" t="str">
        <x:v>Business count is from 2018 while population/context indicators are newer; use as a historical proxy, not a current market count.</x:v>
      </x:c>
    </x:row>
    <x:row r="3417">
      <x:c r="A3417" s="12" t="str">
        <x:v>9321</x:v>
      </x:c>
      <x:c r="B3417" s="12" t="str">
        <x:v>Activities of amusement parks and theme parks</x:v>
      </x:c>
      <x:c r="C3417" s="12" t="str">
        <x:v>عجلون</x:v>
      </x:c>
      <x:c r="D3417" s="14" t="n">
        <x:v>0</x:v>
      </x:c>
      <x:c r="E3417" s="14" t="n">
        <x:f>VLOOKUP(C3417,'Governorate Master'!$A$2:$Q$13,3,FALSE)</x:f>
        <x:v>219900</x:v>
      </x:c>
      <x:c r="F3417" s="66" t="n">
        <x:f>IF(E3417=0,0,D3417/E3417*10000)</x:f>
        <x:v>0</x:v>
      </x:c>
      <x:c r="G3417" s="67" t="n">
        <x:f>VLOOKUP(C3417,'Governorate Master'!$A$2:$Q$13,7,FALSE)</x:f>
        <x:v>524</x:v>
      </x:c>
      <x:c r="H3417" s="20" t="n">
        <x:f>VLOOKUP(C3417,'Governorate Master'!$A$2:$Q$13,6,FALSE)</x:f>
        <x:v>0.8390177353342428</x:v>
      </x:c>
      <x:c r="I3417" s="20" t="n">
        <x:f>VLOOKUP(C3417,'Governorate Master'!$A$2:$Q$13,15,FALSE)</x:f>
        <x:v>0.03614457831325301</x:v>
      </x:c>
      <x:c r="J3417" s="12" t="str">
        <x:v>Location model input - competition/saturation context</x:v>
      </x:c>
      <x:c r="K3417" s="12" t="str">
        <x:v>Business count is from 2018 while population/context indicators are newer; use as a historical proxy, not a current market count.</x:v>
      </x:c>
    </x:row>
    <x:row r="3418">
      <x:c r="A3418" s="12" t="str">
        <x:v>9321</x:v>
      </x:c>
      <x:c r="B3418" s="12" t="str">
        <x:v>Activities of amusement parks and theme parks</x:v>
      </x:c>
      <x:c r="C3418" s="12" t="str">
        <x:v>الكرك</x:v>
      </x:c>
      <x:c r="D3418" s="14" t="n">
        <x:v>1</x:v>
      </x:c>
      <x:c r="E3418" s="14" t="n">
        <x:f>VLOOKUP(C3418,'Governorate Master'!$A$2:$Q$13,3,FALSE)</x:f>
        <x:v>395400</x:v>
      </x:c>
      <x:c r="F3418" s="66" t="n">
        <x:f>IF(E3418=0,0,D3418/E3418*10000)</x:f>
        <x:v>0.025290844714213452</x:v>
      </x:c>
      <x:c r="G3418" s="67" t="n">
        <x:f>VLOOKUP(C3418,'Governorate Master'!$A$2:$Q$13,7,FALSE)</x:f>
        <x:v>113.1</x:v>
      </x:c>
      <x:c r="H3418" s="20" t="n">
        <x:f>VLOOKUP(C3418,'Governorate Master'!$A$2:$Q$13,6,FALSE)</x:f>
        <x:v>0.5912999494183105</x:v>
      </x:c>
      <x:c r="I3418" s="20" t="n">
        <x:f>VLOOKUP(C3418,'Governorate Master'!$A$2:$Q$13,15,FALSE)</x:f>
        <x:v>0.08710801393728224</x:v>
      </x:c>
      <x:c r="J3418" s="12" t="str">
        <x:v>Location model input - competition/saturation context</x:v>
      </x:c>
      <x:c r="K3418" s="12" t="str">
        <x:v>Business count is from 2018 while population/context indicators are newer; use as a historical proxy, not a current market count.</x:v>
      </x:c>
    </x:row>
    <x:row r="3419">
      <x:c r="A3419" s="12" t="str">
        <x:v>9321</x:v>
      </x:c>
      <x:c r="B3419" s="12" t="str">
        <x:v>Activities of amusement parks and theme parks</x:v>
      </x:c>
      <x:c r="C3419" s="12" t="str">
        <x:v>الطفيلة</x:v>
      </x:c>
      <x:c r="D3419" s="14" t="n">
        <x:v>0</x:v>
      </x:c>
      <x:c r="E3419" s="14" t="n">
        <x:f>VLOOKUP(C3419,'Governorate Master'!$A$2:$Q$13,3,FALSE)</x:f>
        <x:v>120300</x:v>
      </x:c>
      <x:c r="F3419" s="66" t="n">
        <x:f>IF(E3419=0,0,D3419/E3419*10000)</x:f>
        <x:v>0</x:v>
      </x:c>
      <x:c r="G3419" s="67" t="n">
        <x:f>VLOOKUP(C3419,'Governorate Master'!$A$2:$Q$13,7,FALSE)</x:f>
        <x:v>54.4</x:v>
      </x:c>
      <x:c r="H3419" s="20" t="n">
        <x:f>VLOOKUP(C3419,'Governorate Master'!$A$2:$Q$13,6,FALSE)</x:f>
        <x:v>0.7797173732335827</x:v>
      </x:c>
      <x:c r="I3419" s="20" t="n">
        <x:f>VLOOKUP(C3419,'Governorate Master'!$A$2:$Q$13,15,FALSE)</x:f>
        <x:v>0.18452380952380953</x:v>
      </x:c>
      <x:c r="J3419" s="12" t="str">
        <x:v>Location model input - competition/saturation context</x:v>
      </x:c>
      <x:c r="K3419" s="12" t="str">
        <x:v>Business count is from 2018 while population/context indicators are newer; use as a historical proxy, not a current market count.</x:v>
      </x:c>
    </x:row>
    <x:row r="3420">
      <x:c r="A3420" s="12" t="str">
        <x:v>9321</x:v>
      </x:c>
      <x:c r="B3420" s="12" t="str">
        <x:v>Activities of amusement parks and theme parks</x:v>
      </x:c>
      <x:c r="C3420" s="12" t="str">
        <x:v>معان</x:v>
      </x:c>
      <x:c r="D3420" s="14" t="n">
        <x:v>1</x:v>
      </x:c>
      <x:c r="E3420" s="14" t="n">
        <x:f>VLOOKUP(C3420,'Governorate Master'!$A$2:$Q$13,3,FALSE)</x:f>
        <x:v>197900</x:v>
      </x:c>
      <x:c r="F3420" s="66" t="n">
        <x:f>IF(E3420=0,0,D3420/E3420*10000)</x:f>
        <x:v>0.05053057099545225</x:v>
      </x:c>
      <x:c r="G3420" s="67" t="n">
        <x:f>VLOOKUP(C3420,'Governorate Master'!$A$2:$Q$13,7,FALSE)</x:f>
        <x:v>6</x:v>
      </x:c>
      <x:c r="H3420" s="20" t="n">
        <x:f>VLOOKUP(C3420,'Governorate Master'!$A$2:$Q$13,6,FALSE)</x:f>
        <x:v>0.5406771096513391</x:v>
      </x:c>
      <x:c r="I3420" s="20" t="n">
        <x:f>VLOOKUP(C3420,'Governorate Master'!$A$2:$Q$13,15,FALSE)</x:f>
        <x:v>0.026845637583892617</x:v>
      </x:c>
      <x:c r="J3420" s="12" t="str">
        <x:v>Location model input - competition/saturation context</x:v>
      </x:c>
      <x:c r="K3420" s="12" t="str">
        <x:v>Business count is from 2018 while population/context indicators are newer; use as a historical proxy, not a current market count.</x:v>
      </x:c>
    </x:row>
    <x:row r="3421">
      <x:c r="A3421" s="12" t="str">
        <x:v>9321</x:v>
      </x:c>
      <x:c r="B3421" s="12" t="str">
        <x:v>Activities of amusement parks and theme parks</x:v>
      </x:c>
      <x:c r="C3421" s="12" t="str">
        <x:v>العقبة</x:v>
      </x:c>
      <x:c r="D3421" s="14" t="n">
        <x:v>1</x:v>
      </x:c>
      <x:c r="E3421" s="14" t="n">
        <x:f>VLOOKUP(C3421,'Governorate Master'!$A$2:$Q$13,3,FALSE)</x:f>
        <x:v>250900</x:v>
      </x:c>
      <x:c r="F3421" s="66" t="n">
        <x:f>IF(E3421=0,0,D3421/E3421*10000)</x:f>
        <x:v>0.03985651654045436</x:v>
      </x:c>
      <x:c r="G3421" s="67" t="n">
        <x:f>VLOOKUP(C3421,'Governorate Master'!$A$2:$Q$13,7,FALSE)</x:f>
        <x:v>36.3</x:v>
      </x:c>
      <x:c r="H3421" s="20" t="n">
        <x:f>VLOOKUP(C3421,'Governorate Master'!$A$2:$Q$13,6,FALSE)</x:f>
        <x:v>0.882024711040255</x:v>
      </x:c>
      <x:c r="I3421" s="20" t="n">
        <x:f>VLOOKUP(C3421,'Governorate Master'!$A$2:$Q$13,15,FALSE)</x:f>
        <x:v>-0.09</x:v>
      </x:c>
      <x:c r="J3421" s="12" t="str">
        <x:v>Location model input - competition/saturation context</x:v>
      </x:c>
      <x:c r="K3421" s="12" t="str">
        <x:v>Business count is from 2018 while population/context indicators are newer; use as a historical proxy, not a current market count.</x:v>
      </x:c>
    </x:row>
    <x:row r="3422">
      <x:c r="A3422" s="12" t="str">
        <x:v>9329</x:v>
      </x:c>
      <x:c r="B3422" s="12" t="str">
        <x:v>Other amusement and recreation activities n.e.c.</x:v>
      </x:c>
      <x:c r="C3422" s="12" t="str">
        <x:v>عمان</x:v>
      </x:c>
      <x:c r="D3422" s="14" t="n">
        <x:v>418</x:v>
      </x:c>
      <x:c r="E3422" s="14" t="n">
        <x:f>VLOOKUP(C3422,'Governorate Master'!$A$2:$Q$13,3,FALSE)</x:f>
        <x:v>5004600</x:v>
      </x:c>
      <x:c r="F3422" s="66" t="n">
        <x:f>IF(E3422=0,0,D3422/E3422*10000)</x:f>
        <x:v>0.8352315869400152</x:v>
      </x:c>
      <x:c r="G3422" s="67" t="n">
        <x:f>VLOOKUP(C3422,'Governorate Master'!$A$2:$Q$13,7,FALSE)</x:f>
        <x:v>660.3</x:v>
      </x:c>
      <x:c r="H3422" s="20" t="n">
        <x:f>VLOOKUP(C3422,'Governorate Master'!$A$2:$Q$13,6,FALSE)</x:f>
        <x:v>0.9721656076409703</x:v>
      </x:c>
      <x:c r="I3422" s="20" t="n">
        <x:f>VLOOKUP(C3422,'Governorate Master'!$A$2:$Q$13,15,FALSE)</x:f>
        <x:v>0.06367041198501873</x:v>
      </x:c>
      <x:c r="J3422" s="12" t="str">
        <x:v>Location model input - competition/saturation context</x:v>
      </x:c>
      <x:c r="K3422" s="12" t="str">
        <x:v>Business count is from 2018 while population/context indicators are newer; use as a historical proxy, not a current market count.</x:v>
      </x:c>
    </x:row>
    <x:row r="3423">
      <x:c r="A3423" s="12" t="str">
        <x:v>9329</x:v>
      </x:c>
      <x:c r="B3423" s="12" t="str">
        <x:v>Other amusement and recreation activities n.e.c.</x:v>
      </x:c>
      <x:c r="C3423" s="12" t="str">
        <x:v>البلقاء</x:v>
      </x:c>
      <x:c r="D3423" s="14" t="n">
        <x:v>69</x:v>
      </x:c>
      <x:c r="E3423" s="14" t="n">
        <x:f>VLOOKUP(C3423,'Governorate Master'!$A$2:$Q$13,3,FALSE)</x:f>
        <x:v>614000</x:v>
      </x:c>
      <x:c r="F3423" s="66" t="n">
        <x:f>IF(E3423=0,0,D3423/E3423*10000)</x:f>
        <x:v>1.1237785016286646</x:v>
      </x:c>
      <x:c r="G3423" s="67" t="n">
        <x:f>VLOOKUP(C3423,'Governorate Master'!$A$2:$Q$13,7,FALSE)</x:f>
        <x:v>548</x:v>
      </x:c>
      <x:c r="H3423" s="20" t="n">
        <x:f>VLOOKUP(C3423,'Governorate Master'!$A$2:$Q$13,6,FALSE)</x:f>
        <x:v>0.8210097719869707</x:v>
      </x:c>
      <x:c r="I3423" s="20" t="n">
        <x:f>VLOOKUP(C3423,'Governorate Master'!$A$2:$Q$13,15,FALSE)</x:f>
        <x:v>0.10794044665012408</x:v>
      </x:c>
      <x:c r="J3423" s="12" t="str">
        <x:v>Location model input - competition/saturation context</x:v>
      </x:c>
      <x:c r="K3423" s="12" t="str">
        <x:v>Business count is from 2018 while population/context indicators are newer; use as a historical proxy, not a current market count.</x:v>
      </x:c>
    </x:row>
    <x:row r="3424">
      <x:c r="A3424" s="12" t="str">
        <x:v>9329</x:v>
      </x:c>
      <x:c r="B3424" s="12" t="str">
        <x:v>Other amusement and recreation activities n.e.c.</x:v>
      </x:c>
      <x:c r="C3424" s="12" t="str">
        <x:v>الزرقاء</x:v>
      </x:c>
      <x:c r="D3424" s="14" t="n">
        <x:v>170</x:v>
      </x:c>
      <x:c r="E3424" s="14" t="n">
        <x:f>VLOOKUP(C3424,'Governorate Master'!$A$2:$Q$13,3,FALSE)</x:f>
        <x:v>1704500</x:v>
      </x:c>
      <x:c r="F3424" s="66" t="n">
        <x:f>IF(E3424=0,0,D3424/E3424*10000)</x:f>
        <x:v>0.9973599295981227</x:v>
      </x:c>
      <x:c r="G3424" s="67" t="n">
        <x:f>VLOOKUP(C3424,'Governorate Master'!$A$2:$Q$13,7,FALSE)</x:f>
        <x:v>358</x:v>
      </x:c>
      <x:c r="H3424" s="20" t="n">
        <x:f>VLOOKUP(C3424,'Governorate Master'!$A$2:$Q$13,6,FALSE)</x:f>
        <x:v>0.9636256966852449</x:v>
      </x:c>
      <x:c r="I3424" s="20" t="n">
        <x:f>VLOOKUP(C3424,'Governorate Master'!$A$2:$Q$13,15,FALSE)</x:f>
        <x:v>-0.06808762581409118</x:v>
      </x:c>
      <x:c r="J3424" s="12" t="str">
        <x:v>Location model input - competition/saturation context</x:v>
      </x:c>
      <x:c r="K3424" s="12" t="str">
        <x:v>Business count is from 2018 while population/context indicators are newer; use as a historical proxy, not a current market count.</x:v>
      </x:c>
    </x:row>
    <x:row r="3425">
      <x:c r="A3425" s="12" t="str">
        <x:v>9329</x:v>
      </x:c>
      <x:c r="B3425" s="12" t="str">
        <x:v>Other amusement and recreation activities n.e.c.</x:v>
      </x:c>
      <x:c r="C3425" s="12" t="str">
        <x:v>مادبا</x:v>
      </x:c>
      <x:c r="D3425" s="14" t="n">
        <x:v>38</x:v>
      </x:c>
      <x:c r="E3425" s="14" t="n">
        <x:f>VLOOKUP(C3425,'Governorate Master'!$A$2:$Q$13,3,FALSE)</x:f>
        <x:v>236200</x:v>
      </x:c>
      <x:c r="F3425" s="66" t="n">
        <x:f>IF(E3425=0,0,D3425/E3425*10000)</x:f>
        <x:v>1.608806096528366</x:v>
      </x:c>
      <x:c r="G3425" s="67" t="n">
        <x:f>VLOOKUP(C3425,'Governorate Master'!$A$2:$Q$13,7,FALSE)</x:f>
        <x:v>251.4</x:v>
      </x:c>
      <x:c r="H3425" s="20" t="n">
        <x:f>VLOOKUP(C3425,'Governorate Master'!$A$2:$Q$13,6,FALSE)</x:f>
        <x:v>0.7823878069432684</x:v>
      </x:c>
      <x:c r="I3425" s="20" t="n">
        <x:f>VLOOKUP(C3425,'Governorate Master'!$A$2:$Q$13,15,FALSE)</x:f>
        <x:v>-0.18823529411764706</x:v>
      </x:c>
      <x:c r="J3425" s="12" t="str">
        <x:v>Location model input - competition/saturation context</x:v>
      </x:c>
      <x:c r="K3425" s="12" t="str">
        <x:v>Business count is from 2018 while population/context indicators are newer; use as a historical proxy, not a current market count.</x:v>
      </x:c>
    </x:row>
    <x:row r="3426">
      <x:c r="A3426" s="12" t="str">
        <x:v>9329</x:v>
      </x:c>
      <x:c r="B3426" s="12" t="str">
        <x:v>Other amusement and recreation activities n.e.c.</x:v>
      </x:c>
      <x:c r="C3426" s="12" t="str">
        <x:v>إربد</x:v>
      </x:c>
      <x:c r="D3426" s="14" t="n">
        <x:v>117</x:v>
      </x:c>
      <x:c r="E3426" s="14" t="n">
        <x:f>VLOOKUP(C3426,'Governorate Master'!$A$2:$Q$13,3,FALSE)</x:f>
        <x:v>2210500</x:v>
      </x:c>
      <x:c r="F3426" s="66" t="n">
        <x:f>IF(E3426=0,0,D3426/E3426*10000)</x:f>
        <x:v>0.5292920153811355</x:v>
      </x:c>
      <x:c r="G3426" s="67" t="n">
        <x:f>VLOOKUP(C3426,'Governorate Master'!$A$2:$Q$13,7,FALSE)</x:f>
        <x:v>1406.4</x:v>
      </x:c>
      <x:c r="H3426" s="20" t="n">
        <x:f>VLOOKUP(C3426,'Governorate Master'!$A$2:$Q$13,6,FALSE)</x:f>
        <x:v>0.9235014702555983</x:v>
      </x:c>
      <x:c r="I3426" s="20" t="n">
        <x:f>VLOOKUP(C3426,'Governorate Master'!$A$2:$Q$13,15,FALSE)</x:f>
        <x:v>0.07086922474549726</x:v>
      </x:c>
      <x:c r="J3426" s="12" t="str">
        <x:v>Location model input - competition/saturation context</x:v>
      </x:c>
      <x:c r="K3426" s="12" t="str">
        <x:v>Business count is from 2018 while population/context indicators are newer; use as a historical proxy, not a current market count.</x:v>
      </x:c>
    </x:row>
    <x:row r="3427">
      <x:c r="A3427" s="12" t="str">
        <x:v>9329</x:v>
      </x:c>
      <x:c r="B3427" s="12" t="str">
        <x:v>Other amusement and recreation activities n.e.c.</x:v>
      </x:c>
      <x:c r="C3427" s="12" t="str">
        <x:v>المفرق</x:v>
      </x:c>
      <x:c r="D3427" s="14" t="n">
        <x:v>29</x:v>
      </x:c>
      <x:c r="E3427" s="14" t="n">
        <x:f>VLOOKUP(C3427,'Governorate Master'!$A$2:$Q$13,3,FALSE)</x:f>
        <x:v>686800</x:v>
      </x:c>
      <x:c r="F3427" s="66" t="n">
        <x:f>IF(E3427=0,0,D3427/E3427*10000)</x:f>
        <x:v>0.4222481071636575</x:v>
      </x:c>
      <x:c r="G3427" s="67" t="n">
        <x:f>VLOOKUP(C3427,'Governorate Master'!$A$2:$Q$13,7,FALSE)</x:f>
        <x:v>25.9</x:v>
      </x:c>
      <x:c r="H3427" s="20" t="n">
        <x:f>VLOOKUP(C3427,'Governorate Master'!$A$2:$Q$13,6,FALSE)</x:f>
        <x:v>0.6965637740244612</x:v>
      </x:c>
      <x:c r="I3427" s="20" t="n">
        <x:f>VLOOKUP(C3427,'Governorate Master'!$A$2:$Q$13,15,FALSE)</x:f>
        <x:v>-0.016638935108153077</x:v>
      </x:c>
      <x:c r="J3427" s="12" t="str">
        <x:v>Location model input - competition/saturation context</x:v>
      </x:c>
      <x:c r="K3427" s="12" t="str">
        <x:v>Business count is from 2018 while population/context indicators are newer; use as a historical proxy, not a current market count.</x:v>
      </x:c>
    </x:row>
    <x:row r="3428">
      <x:c r="A3428" s="12" t="str">
        <x:v>9329</x:v>
      </x:c>
      <x:c r="B3428" s="12" t="str">
        <x:v>Other amusement and recreation activities n.e.c.</x:v>
      </x:c>
      <x:c r="C3428" s="12" t="str">
        <x:v>جرش</x:v>
      </x:c>
      <x:c r="D3428" s="14" t="n">
        <x:v>28</x:v>
      </x:c>
      <x:c r="E3428" s="14" t="n">
        <x:f>VLOOKUP(C3428,'Governorate Master'!$A$2:$Q$13,3,FALSE)</x:f>
        <x:v>296000</x:v>
      </x:c>
      <x:c r="F3428" s="66" t="n">
        <x:f>IF(E3428=0,0,D3428/E3428*10000)</x:f>
        <x:v>0.9459459459459459</x:v>
      </x:c>
      <x:c r="G3428" s="67" t="n">
        <x:f>VLOOKUP(C3428,'Governorate Master'!$A$2:$Q$13,7,FALSE)</x:f>
        <x:v>722.3</x:v>
      </x:c>
      <x:c r="H3428" s="20" t="n">
        <x:f>VLOOKUP(C3428,'Governorate Master'!$A$2:$Q$13,6,FALSE)</x:f>
        <x:v>0.7695945945945946</x:v>
      </x:c>
      <x:c r="I3428" s="20" t="n">
        <x:f>VLOOKUP(C3428,'Governorate Master'!$A$2:$Q$13,15,FALSE)</x:f>
        <x:v>-0.06527415143603134</x:v>
      </x:c>
      <x:c r="J3428" s="12" t="str">
        <x:v>Location model input - competition/saturation context</x:v>
      </x:c>
      <x:c r="K3428" s="12" t="str">
        <x:v>Business count is from 2018 while population/context indicators are newer; use as a historical proxy, not a current market count.</x:v>
      </x:c>
    </x:row>
    <x:row r="3429">
      <x:c r="A3429" s="12" t="str">
        <x:v>9329</x:v>
      </x:c>
      <x:c r="B3429" s="12" t="str">
        <x:v>Other amusement and recreation activities n.e.c.</x:v>
      </x:c>
      <x:c r="C3429" s="12" t="str">
        <x:v>عجلون</x:v>
      </x:c>
      <x:c r="D3429" s="14" t="n">
        <x:v>27</x:v>
      </x:c>
      <x:c r="E3429" s="14" t="n">
        <x:f>VLOOKUP(C3429,'Governorate Master'!$A$2:$Q$13,3,FALSE)</x:f>
        <x:v>219900</x:v>
      </x:c>
      <x:c r="F3429" s="66" t="n">
        <x:f>IF(E3429=0,0,D3429/E3429*10000)</x:f>
        <x:v>1.2278308321964528</x:v>
      </x:c>
      <x:c r="G3429" s="67" t="n">
        <x:f>VLOOKUP(C3429,'Governorate Master'!$A$2:$Q$13,7,FALSE)</x:f>
        <x:v>524</x:v>
      </x:c>
      <x:c r="H3429" s="20" t="n">
        <x:f>VLOOKUP(C3429,'Governorate Master'!$A$2:$Q$13,6,FALSE)</x:f>
        <x:v>0.8390177353342428</x:v>
      </x:c>
      <x:c r="I3429" s="20" t="n">
        <x:f>VLOOKUP(C3429,'Governorate Master'!$A$2:$Q$13,15,FALSE)</x:f>
        <x:v>0.03614457831325301</x:v>
      </x:c>
      <x:c r="J3429" s="12" t="str">
        <x:v>Location model input - competition/saturation context</x:v>
      </x:c>
      <x:c r="K3429" s="12" t="str">
        <x:v>Business count is from 2018 while population/context indicators are newer; use as a historical proxy, not a current market count.</x:v>
      </x:c>
    </x:row>
    <x:row r="3430">
      <x:c r="A3430" s="12" t="str">
        <x:v>9329</x:v>
      </x:c>
      <x:c r="B3430" s="12" t="str">
        <x:v>Other amusement and recreation activities n.e.c.</x:v>
      </x:c>
      <x:c r="C3430" s="12" t="str">
        <x:v>الكرك</x:v>
      </x:c>
      <x:c r="D3430" s="14" t="n">
        <x:v>55</x:v>
      </x:c>
      <x:c r="E3430" s="14" t="n">
        <x:f>VLOOKUP(C3430,'Governorate Master'!$A$2:$Q$13,3,FALSE)</x:f>
        <x:v>395400</x:v>
      </x:c>
      <x:c r="F3430" s="66" t="n">
        <x:f>IF(E3430=0,0,D3430/E3430*10000)</x:f>
        <x:v>1.3909964592817399</x:v>
      </x:c>
      <x:c r="G3430" s="67" t="n">
        <x:f>VLOOKUP(C3430,'Governorate Master'!$A$2:$Q$13,7,FALSE)</x:f>
        <x:v>113.1</x:v>
      </x:c>
      <x:c r="H3430" s="20" t="n">
        <x:f>VLOOKUP(C3430,'Governorate Master'!$A$2:$Q$13,6,FALSE)</x:f>
        <x:v>0.5912999494183105</x:v>
      </x:c>
      <x:c r="I3430" s="20" t="n">
        <x:f>VLOOKUP(C3430,'Governorate Master'!$A$2:$Q$13,15,FALSE)</x:f>
        <x:v>0.08710801393728224</x:v>
      </x:c>
      <x:c r="J3430" s="12" t="str">
        <x:v>Location model input - competition/saturation context</x:v>
      </x:c>
      <x:c r="K3430" s="12" t="str">
        <x:v>Business count is from 2018 while population/context indicators are newer; use as a historical proxy, not a current market count.</x:v>
      </x:c>
    </x:row>
    <x:row r="3431">
      <x:c r="A3431" s="12" t="str">
        <x:v>9329</x:v>
      </x:c>
      <x:c r="B3431" s="12" t="str">
        <x:v>Other amusement and recreation activities n.e.c.</x:v>
      </x:c>
      <x:c r="C3431" s="12" t="str">
        <x:v>الطفيلة</x:v>
      </x:c>
      <x:c r="D3431" s="14" t="n">
        <x:v>22</x:v>
      </x:c>
      <x:c r="E3431" s="14" t="n">
        <x:f>VLOOKUP(C3431,'Governorate Master'!$A$2:$Q$13,3,FALSE)</x:f>
        <x:v>120300</x:v>
      </x:c>
      <x:c r="F3431" s="66" t="n">
        <x:f>IF(E3431=0,0,D3431/E3431*10000)</x:f>
        <x:v>1.828761429758936</x:v>
      </x:c>
      <x:c r="G3431" s="67" t="n">
        <x:f>VLOOKUP(C3431,'Governorate Master'!$A$2:$Q$13,7,FALSE)</x:f>
        <x:v>54.4</x:v>
      </x:c>
      <x:c r="H3431" s="20" t="n">
        <x:f>VLOOKUP(C3431,'Governorate Master'!$A$2:$Q$13,6,FALSE)</x:f>
        <x:v>0.7797173732335827</x:v>
      </x:c>
      <x:c r="I3431" s="20" t="n">
        <x:f>VLOOKUP(C3431,'Governorate Master'!$A$2:$Q$13,15,FALSE)</x:f>
        <x:v>0.18452380952380953</x:v>
      </x:c>
      <x:c r="J3431" s="12" t="str">
        <x:v>Location model input - competition/saturation context</x:v>
      </x:c>
      <x:c r="K3431" s="12" t="str">
        <x:v>Business count is from 2018 while population/context indicators are newer; use as a historical proxy, not a current market count.</x:v>
      </x:c>
    </x:row>
    <x:row r="3432">
      <x:c r="A3432" s="12" t="str">
        <x:v>9329</x:v>
      </x:c>
      <x:c r="B3432" s="12" t="str">
        <x:v>Other amusement and recreation activities n.e.c.</x:v>
      </x:c>
      <x:c r="C3432" s="12" t="str">
        <x:v>معان</x:v>
      </x:c>
      <x:c r="D3432" s="14" t="n">
        <x:v>32</x:v>
      </x:c>
      <x:c r="E3432" s="14" t="n">
        <x:f>VLOOKUP(C3432,'Governorate Master'!$A$2:$Q$13,3,FALSE)</x:f>
        <x:v>197900</x:v>
      </x:c>
      <x:c r="F3432" s="66" t="n">
        <x:f>IF(E3432=0,0,D3432/E3432*10000)</x:f>
        <x:v>1.616978271854472</x:v>
      </x:c>
      <x:c r="G3432" s="67" t="n">
        <x:f>VLOOKUP(C3432,'Governorate Master'!$A$2:$Q$13,7,FALSE)</x:f>
        <x:v>6</x:v>
      </x:c>
      <x:c r="H3432" s="20" t="n">
        <x:f>VLOOKUP(C3432,'Governorate Master'!$A$2:$Q$13,6,FALSE)</x:f>
        <x:v>0.5406771096513391</x:v>
      </x:c>
      <x:c r="I3432" s="20" t="n">
        <x:f>VLOOKUP(C3432,'Governorate Master'!$A$2:$Q$13,15,FALSE)</x:f>
        <x:v>0.026845637583892617</x:v>
      </x:c>
      <x:c r="J3432" s="12" t="str">
        <x:v>Location model input - competition/saturation context</x:v>
      </x:c>
      <x:c r="K3432" s="12" t="str">
        <x:v>Business count is from 2018 while population/context indicators are newer; use as a historical proxy, not a current market count.</x:v>
      </x:c>
    </x:row>
    <x:row r="3433">
      <x:c r="A3433" s="12" t="str">
        <x:v>9329</x:v>
      </x:c>
      <x:c r="B3433" s="12" t="str">
        <x:v>Other amusement and recreation activities n.e.c.</x:v>
      </x:c>
      <x:c r="C3433" s="12" t="str">
        <x:v>العقبة</x:v>
      </x:c>
      <x:c r="D3433" s="14" t="n">
        <x:v>17</x:v>
      </x:c>
      <x:c r="E3433" s="14" t="n">
        <x:f>VLOOKUP(C3433,'Governorate Master'!$A$2:$Q$13,3,FALSE)</x:f>
        <x:v>250900</x:v>
      </x:c>
      <x:c r="F3433" s="66" t="n">
        <x:f>IF(E3433=0,0,D3433/E3433*10000)</x:f>
        <x:v>0.6775607811877241</x:v>
      </x:c>
      <x:c r="G3433" s="67" t="n">
        <x:f>VLOOKUP(C3433,'Governorate Master'!$A$2:$Q$13,7,FALSE)</x:f>
        <x:v>36.3</x:v>
      </x:c>
      <x:c r="H3433" s="20" t="n">
        <x:f>VLOOKUP(C3433,'Governorate Master'!$A$2:$Q$13,6,FALSE)</x:f>
        <x:v>0.882024711040255</x:v>
      </x:c>
      <x:c r="I3433" s="20" t="n">
        <x:f>VLOOKUP(C3433,'Governorate Master'!$A$2:$Q$13,15,FALSE)</x:f>
        <x:v>-0.09</x:v>
      </x:c>
      <x:c r="J3433" s="12" t="str">
        <x:v>Location model input - competition/saturation context</x:v>
      </x:c>
      <x:c r="K3433" s="12" t="str">
        <x:v>Business count is from 2018 while population/context indicators are newer; use as a historical proxy, not a current market count.</x:v>
      </x:c>
    </x:row>
    <x:row r="3434">
      <x:c r="A3434" s="12" t="str">
        <x:v>9411</x:v>
      </x:c>
      <x:c r="B3434" s="12" t="str">
        <x:v>Activities of business and employers membership organizations</x:v>
      </x:c>
      <x:c r="C3434" s="12" t="str">
        <x:v>عمان</x:v>
      </x:c>
      <x:c r="D3434" s="14" t="n">
        <x:v>9</x:v>
      </x:c>
      <x:c r="E3434" s="14" t="n">
        <x:f>VLOOKUP(C3434,'Governorate Master'!$A$2:$Q$13,3,FALSE)</x:f>
        <x:v>5004600</x:v>
      </x:c>
      <x:c r="F3434" s="66" t="n">
        <x:f>IF(E3434=0,0,D3434/E3434*10000)</x:f>
        <x:v>0.0179834552211965</x:v>
      </x:c>
      <x:c r="G3434" s="67" t="n">
        <x:f>VLOOKUP(C3434,'Governorate Master'!$A$2:$Q$13,7,FALSE)</x:f>
        <x:v>660.3</x:v>
      </x:c>
      <x:c r="H3434" s="20" t="n">
        <x:f>VLOOKUP(C3434,'Governorate Master'!$A$2:$Q$13,6,FALSE)</x:f>
        <x:v>0.9721656076409703</x:v>
      </x:c>
      <x:c r="I3434" s="20" t="n">
        <x:f>VLOOKUP(C3434,'Governorate Master'!$A$2:$Q$13,15,FALSE)</x:f>
        <x:v>0.06367041198501873</x:v>
      </x:c>
      <x:c r="J3434" s="12" t="str">
        <x:v>Location model input - competition/saturation context</x:v>
      </x:c>
      <x:c r="K3434" s="12" t="str">
        <x:v>Business count is from 2018 while population/context indicators are newer; use as a historical proxy, not a current market count.</x:v>
      </x:c>
    </x:row>
    <x:row r="3435">
      <x:c r="A3435" s="12" t="str">
        <x:v>9411</x:v>
      </x:c>
      <x:c r="B3435" s="12" t="str">
        <x:v>Activities of business and employers membership organizations</x:v>
      </x:c>
      <x:c r="C3435" s="12" t="str">
        <x:v>البلقاء</x:v>
      </x:c>
      <x:c r="D3435" s="14" t="n">
        <x:v>0</x:v>
      </x:c>
      <x:c r="E3435" s="14" t="n">
        <x:f>VLOOKUP(C3435,'Governorate Master'!$A$2:$Q$13,3,FALSE)</x:f>
        <x:v>614000</x:v>
      </x:c>
      <x:c r="F3435" s="66" t="n">
        <x:f>IF(E3435=0,0,D3435/E3435*10000)</x:f>
        <x:v>0</x:v>
      </x:c>
      <x:c r="G3435" s="67" t="n">
        <x:f>VLOOKUP(C3435,'Governorate Master'!$A$2:$Q$13,7,FALSE)</x:f>
        <x:v>548</x:v>
      </x:c>
      <x:c r="H3435" s="20" t="n">
        <x:f>VLOOKUP(C3435,'Governorate Master'!$A$2:$Q$13,6,FALSE)</x:f>
        <x:v>0.8210097719869707</x:v>
      </x:c>
      <x:c r="I3435" s="20" t="n">
        <x:f>VLOOKUP(C3435,'Governorate Master'!$A$2:$Q$13,15,FALSE)</x:f>
        <x:v>0.10794044665012408</x:v>
      </x:c>
      <x:c r="J3435" s="12" t="str">
        <x:v>Location model input - competition/saturation context</x:v>
      </x:c>
      <x:c r="K3435" s="12" t="str">
        <x:v>Business count is from 2018 while population/context indicators are newer; use as a historical proxy, not a current market count.</x:v>
      </x:c>
    </x:row>
    <x:row r="3436">
      <x:c r="A3436" s="12" t="str">
        <x:v>9411</x:v>
      </x:c>
      <x:c r="B3436" s="12" t="str">
        <x:v>Activities of business and employers membership organizations</x:v>
      </x:c>
      <x:c r="C3436" s="12" t="str">
        <x:v>الزرقاء</x:v>
      </x:c>
      <x:c r="D3436" s="14" t="n">
        <x:v>0</x:v>
      </x:c>
      <x:c r="E3436" s="14" t="n">
        <x:f>VLOOKUP(C3436,'Governorate Master'!$A$2:$Q$13,3,FALSE)</x:f>
        <x:v>1704500</x:v>
      </x:c>
      <x:c r="F3436" s="66" t="n">
        <x:f>IF(E3436=0,0,D3436/E3436*10000)</x:f>
        <x:v>0</x:v>
      </x:c>
      <x:c r="G3436" s="67" t="n">
        <x:f>VLOOKUP(C3436,'Governorate Master'!$A$2:$Q$13,7,FALSE)</x:f>
        <x:v>358</x:v>
      </x:c>
      <x:c r="H3436" s="20" t="n">
        <x:f>VLOOKUP(C3436,'Governorate Master'!$A$2:$Q$13,6,FALSE)</x:f>
        <x:v>0.9636256966852449</x:v>
      </x:c>
      <x:c r="I3436" s="20" t="n">
        <x:f>VLOOKUP(C3436,'Governorate Master'!$A$2:$Q$13,15,FALSE)</x:f>
        <x:v>-0.06808762581409118</x:v>
      </x:c>
      <x:c r="J3436" s="12" t="str">
        <x:v>Location model input - competition/saturation context</x:v>
      </x:c>
      <x:c r="K3436" s="12" t="str">
        <x:v>Business count is from 2018 while population/context indicators are newer; use as a historical proxy, not a current market count.</x:v>
      </x:c>
    </x:row>
    <x:row r="3437">
      <x:c r="A3437" s="12" t="str">
        <x:v>9411</x:v>
      </x:c>
      <x:c r="B3437" s="12" t="str">
        <x:v>Activities of business and employers membership organizations</x:v>
      </x:c>
      <x:c r="C3437" s="12" t="str">
        <x:v>مادبا</x:v>
      </x:c>
      <x:c r="D3437" s="14" t="n">
        <x:v>0</x:v>
      </x:c>
      <x:c r="E3437" s="14" t="n">
        <x:f>VLOOKUP(C3437,'Governorate Master'!$A$2:$Q$13,3,FALSE)</x:f>
        <x:v>236200</x:v>
      </x:c>
      <x:c r="F3437" s="66" t="n">
        <x:f>IF(E3437=0,0,D3437/E3437*10000)</x:f>
        <x:v>0</x:v>
      </x:c>
      <x:c r="G3437" s="67" t="n">
        <x:f>VLOOKUP(C3437,'Governorate Master'!$A$2:$Q$13,7,FALSE)</x:f>
        <x:v>251.4</x:v>
      </x:c>
      <x:c r="H3437" s="20" t="n">
        <x:f>VLOOKUP(C3437,'Governorate Master'!$A$2:$Q$13,6,FALSE)</x:f>
        <x:v>0.7823878069432684</x:v>
      </x:c>
      <x:c r="I3437" s="20" t="n">
        <x:f>VLOOKUP(C3437,'Governorate Master'!$A$2:$Q$13,15,FALSE)</x:f>
        <x:v>-0.18823529411764706</x:v>
      </x:c>
      <x:c r="J3437" s="12" t="str">
        <x:v>Location model input - competition/saturation context</x:v>
      </x:c>
      <x:c r="K3437" s="12" t="str">
        <x:v>Business count is from 2018 while population/context indicators are newer; use as a historical proxy, not a current market count.</x:v>
      </x:c>
    </x:row>
    <x:row r="3438">
      <x:c r="A3438" s="12" t="str">
        <x:v>9411</x:v>
      </x:c>
      <x:c r="B3438" s="12" t="str">
        <x:v>Activities of business and employers membership organizations</x:v>
      </x:c>
      <x:c r="C3438" s="12" t="str">
        <x:v>إربد</x:v>
      </x:c>
      <x:c r="D3438" s="14" t="n">
        <x:v>3</x:v>
      </x:c>
      <x:c r="E3438" s="14" t="n">
        <x:f>VLOOKUP(C3438,'Governorate Master'!$A$2:$Q$13,3,FALSE)</x:f>
        <x:v>2210500</x:v>
      </x:c>
      <x:c r="F3438" s="66" t="n">
        <x:f>IF(E3438=0,0,D3438/E3438*10000)</x:f>
        <x:v>0.013571590137977832</x:v>
      </x:c>
      <x:c r="G3438" s="67" t="n">
        <x:f>VLOOKUP(C3438,'Governorate Master'!$A$2:$Q$13,7,FALSE)</x:f>
        <x:v>1406.4</x:v>
      </x:c>
      <x:c r="H3438" s="20" t="n">
        <x:f>VLOOKUP(C3438,'Governorate Master'!$A$2:$Q$13,6,FALSE)</x:f>
        <x:v>0.9235014702555983</x:v>
      </x:c>
      <x:c r="I3438" s="20" t="n">
        <x:f>VLOOKUP(C3438,'Governorate Master'!$A$2:$Q$13,15,FALSE)</x:f>
        <x:v>0.07086922474549726</x:v>
      </x:c>
      <x:c r="J3438" s="12" t="str">
        <x:v>Location model input - competition/saturation context</x:v>
      </x:c>
      <x:c r="K3438" s="12" t="str">
        <x:v>Business count is from 2018 while population/context indicators are newer; use as a historical proxy, not a current market count.</x:v>
      </x:c>
    </x:row>
    <x:row r="3439">
      <x:c r="A3439" s="12" t="str">
        <x:v>9411</x:v>
      </x:c>
      <x:c r="B3439" s="12" t="str">
        <x:v>Activities of business and employers membership organizations</x:v>
      </x:c>
      <x:c r="C3439" s="12" t="str">
        <x:v>المفرق</x:v>
      </x:c>
      <x:c r="D3439" s="14" t="n">
        <x:v>0</x:v>
      </x:c>
      <x:c r="E3439" s="14" t="n">
        <x:f>VLOOKUP(C3439,'Governorate Master'!$A$2:$Q$13,3,FALSE)</x:f>
        <x:v>686800</x:v>
      </x:c>
      <x:c r="F3439" s="66" t="n">
        <x:f>IF(E3439=0,0,D3439/E3439*10000)</x:f>
        <x:v>0</x:v>
      </x:c>
      <x:c r="G3439" s="67" t="n">
        <x:f>VLOOKUP(C3439,'Governorate Master'!$A$2:$Q$13,7,FALSE)</x:f>
        <x:v>25.9</x:v>
      </x:c>
      <x:c r="H3439" s="20" t="n">
        <x:f>VLOOKUP(C3439,'Governorate Master'!$A$2:$Q$13,6,FALSE)</x:f>
        <x:v>0.6965637740244612</x:v>
      </x:c>
      <x:c r="I3439" s="20" t="n">
        <x:f>VLOOKUP(C3439,'Governorate Master'!$A$2:$Q$13,15,FALSE)</x:f>
        <x:v>-0.016638935108153077</x:v>
      </x:c>
      <x:c r="J3439" s="12" t="str">
        <x:v>Location model input - competition/saturation context</x:v>
      </x:c>
      <x:c r="K3439" s="12" t="str">
        <x:v>Business count is from 2018 while population/context indicators are newer; use as a historical proxy, not a current market count.</x:v>
      </x:c>
    </x:row>
    <x:row r="3440">
      <x:c r="A3440" s="12" t="str">
        <x:v>9411</x:v>
      </x:c>
      <x:c r="B3440" s="12" t="str">
        <x:v>Activities of business and employers membership organizations</x:v>
      </x:c>
      <x:c r="C3440" s="12" t="str">
        <x:v>جرش</x:v>
      </x:c>
      <x:c r="D3440" s="14" t="n">
        <x:v>2</x:v>
      </x:c>
      <x:c r="E3440" s="14" t="n">
        <x:f>VLOOKUP(C3440,'Governorate Master'!$A$2:$Q$13,3,FALSE)</x:f>
        <x:v>296000</x:v>
      </x:c>
      <x:c r="F3440" s="66" t="n">
        <x:f>IF(E3440=0,0,D3440/E3440*10000)</x:f>
        <x:v>0.06756756756756757</x:v>
      </x:c>
      <x:c r="G3440" s="67" t="n">
        <x:f>VLOOKUP(C3440,'Governorate Master'!$A$2:$Q$13,7,FALSE)</x:f>
        <x:v>722.3</x:v>
      </x:c>
      <x:c r="H3440" s="20" t="n">
        <x:f>VLOOKUP(C3440,'Governorate Master'!$A$2:$Q$13,6,FALSE)</x:f>
        <x:v>0.7695945945945946</x:v>
      </x:c>
      <x:c r="I3440" s="20" t="n">
        <x:f>VLOOKUP(C3440,'Governorate Master'!$A$2:$Q$13,15,FALSE)</x:f>
        <x:v>-0.06527415143603134</x:v>
      </x:c>
      <x:c r="J3440" s="12" t="str">
        <x:v>Location model input - competition/saturation context</x:v>
      </x:c>
      <x:c r="K3440" s="12" t="str">
        <x:v>Business count is from 2018 while population/context indicators are newer; use as a historical proxy, not a current market count.</x:v>
      </x:c>
    </x:row>
    <x:row r="3441">
      <x:c r="A3441" s="12" t="str">
        <x:v>9411</x:v>
      </x:c>
      <x:c r="B3441" s="12" t="str">
        <x:v>Activities of business and employers membership organizations</x:v>
      </x:c>
      <x:c r="C3441" s="12" t="str">
        <x:v>عجلون</x:v>
      </x:c>
      <x:c r="D3441" s="14" t="n">
        <x:v>1</x:v>
      </x:c>
      <x:c r="E3441" s="14" t="n">
        <x:f>VLOOKUP(C3441,'Governorate Master'!$A$2:$Q$13,3,FALSE)</x:f>
        <x:v>219900</x:v>
      </x:c>
      <x:c r="F3441" s="66" t="n">
        <x:f>IF(E3441=0,0,D3441/E3441*10000)</x:f>
        <x:v>0.04547521600727603</x:v>
      </x:c>
      <x:c r="G3441" s="67" t="n">
        <x:f>VLOOKUP(C3441,'Governorate Master'!$A$2:$Q$13,7,FALSE)</x:f>
        <x:v>524</x:v>
      </x:c>
      <x:c r="H3441" s="20" t="n">
        <x:f>VLOOKUP(C3441,'Governorate Master'!$A$2:$Q$13,6,FALSE)</x:f>
        <x:v>0.8390177353342428</x:v>
      </x:c>
      <x:c r="I3441" s="20" t="n">
        <x:f>VLOOKUP(C3441,'Governorate Master'!$A$2:$Q$13,15,FALSE)</x:f>
        <x:v>0.03614457831325301</x:v>
      </x:c>
      <x:c r="J3441" s="12" t="str">
        <x:v>Location model input - competition/saturation context</x:v>
      </x:c>
      <x:c r="K3441" s="12" t="str">
        <x:v>Business count is from 2018 while population/context indicators are newer; use as a historical proxy, not a current market count.</x:v>
      </x:c>
    </x:row>
    <x:row r="3442">
      <x:c r="A3442" s="12" t="str">
        <x:v>9411</x:v>
      </x:c>
      <x:c r="B3442" s="12" t="str">
        <x:v>Activities of business and employers membership organizations</x:v>
      </x:c>
      <x:c r="C3442" s="12" t="str">
        <x:v>الكرك</x:v>
      </x:c>
      <x:c r="D3442" s="14" t="n">
        <x:v>4</x:v>
      </x:c>
      <x:c r="E3442" s="14" t="n">
        <x:f>VLOOKUP(C3442,'Governorate Master'!$A$2:$Q$13,3,FALSE)</x:f>
        <x:v>395400</x:v>
      </x:c>
      <x:c r="F3442" s="66" t="n">
        <x:f>IF(E3442=0,0,D3442/E3442*10000)</x:f>
        <x:v>0.10116337885685381</x:v>
      </x:c>
      <x:c r="G3442" s="67" t="n">
        <x:f>VLOOKUP(C3442,'Governorate Master'!$A$2:$Q$13,7,FALSE)</x:f>
        <x:v>113.1</x:v>
      </x:c>
      <x:c r="H3442" s="20" t="n">
        <x:f>VLOOKUP(C3442,'Governorate Master'!$A$2:$Q$13,6,FALSE)</x:f>
        <x:v>0.5912999494183105</x:v>
      </x:c>
      <x:c r="I3442" s="20" t="n">
        <x:f>VLOOKUP(C3442,'Governorate Master'!$A$2:$Q$13,15,FALSE)</x:f>
        <x:v>0.08710801393728224</x:v>
      </x:c>
      <x:c r="J3442" s="12" t="str">
        <x:v>Location model input - competition/saturation context</x:v>
      </x:c>
      <x:c r="K3442" s="12" t="str">
        <x:v>Business count is from 2018 while population/context indicators are newer; use as a historical proxy, not a current market count.</x:v>
      </x:c>
    </x:row>
    <x:row r="3443">
      <x:c r="A3443" s="12" t="str">
        <x:v>9411</x:v>
      </x:c>
      <x:c r="B3443" s="12" t="str">
        <x:v>Activities of business and employers membership organizations</x:v>
      </x:c>
      <x:c r="C3443" s="12" t="str">
        <x:v>الطفيلة</x:v>
      </x:c>
      <x:c r="D3443" s="14" t="n">
        <x:v>1</x:v>
      </x:c>
      <x:c r="E3443" s="14" t="n">
        <x:f>VLOOKUP(C3443,'Governorate Master'!$A$2:$Q$13,3,FALSE)</x:f>
        <x:v>120300</x:v>
      </x:c>
      <x:c r="F3443" s="66" t="n">
        <x:f>IF(E3443=0,0,D3443/E3443*10000)</x:f>
        <x:v>0.0831255195344971</x:v>
      </x:c>
      <x:c r="G3443" s="67" t="n">
        <x:f>VLOOKUP(C3443,'Governorate Master'!$A$2:$Q$13,7,FALSE)</x:f>
        <x:v>54.4</x:v>
      </x:c>
      <x:c r="H3443" s="20" t="n">
        <x:f>VLOOKUP(C3443,'Governorate Master'!$A$2:$Q$13,6,FALSE)</x:f>
        <x:v>0.7797173732335827</x:v>
      </x:c>
      <x:c r="I3443" s="20" t="n">
        <x:f>VLOOKUP(C3443,'Governorate Master'!$A$2:$Q$13,15,FALSE)</x:f>
        <x:v>0.18452380952380953</x:v>
      </x:c>
      <x:c r="J3443" s="12" t="str">
        <x:v>Location model input - competition/saturation context</x:v>
      </x:c>
      <x:c r="K3443" s="12" t="str">
        <x:v>Business count is from 2018 while population/context indicators are newer; use as a historical proxy, not a current market count.</x:v>
      </x:c>
    </x:row>
    <x:row r="3444">
      <x:c r="A3444" s="12" t="str">
        <x:v>9411</x:v>
      </x:c>
      <x:c r="B3444" s="12" t="str">
        <x:v>Activities of business and employers membership organizations</x:v>
      </x:c>
      <x:c r="C3444" s="12" t="str">
        <x:v>معان</x:v>
      </x:c>
      <x:c r="D3444" s="14" t="n">
        <x:v>2</x:v>
      </x:c>
      <x:c r="E3444" s="14" t="n">
        <x:f>VLOOKUP(C3444,'Governorate Master'!$A$2:$Q$13,3,FALSE)</x:f>
        <x:v>197900</x:v>
      </x:c>
      <x:c r="F3444" s="66" t="n">
        <x:f>IF(E3444=0,0,D3444/E3444*10000)</x:f>
        <x:v>0.1010611419909045</x:v>
      </x:c>
      <x:c r="G3444" s="67" t="n">
        <x:f>VLOOKUP(C3444,'Governorate Master'!$A$2:$Q$13,7,FALSE)</x:f>
        <x:v>6</x:v>
      </x:c>
      <x:c r="H3444" s="20" t="n">
        <x:f>VLOOKUP(C3444,'Governorate Master'!$A$2:$Q$13,6,FALSE)</x:f>
        <x:v>0.5406771096513391</x:v>
      </x:c>
      <x:c r="I3444" s="20" t="n">
        <x:f>VLOOKUP(C3444,'Governorate Master'!$A$2:$Q$13,15,FALSE)</x:f>
        <x:v>0.026845637583892617</x:v>
      </x:c>
      <x:c r="J3444" s="12" t="str">
        <x:v>Location model input - competition/saturation context</x:v>
      </x:c>
      <x:c r="K3444" s="12" t="str">
        <x:v>Business count is from 2018 while population/context indicators are newer; use as a historical proxy, not a current market count.</x:v>
      </x:c>
    </x:row>
    <x:row r="3445">
      <x:c r="A3445" s="12" t="str">
        <x:v>9411</x:v>
      </x:c>
      <x:c r="B3445" s="12" t="str">
        <x:v>Activities of business and employers membership organizations</x:v>
      </x:c>
      <x:c r="C3445" s="12" t="str">
        <x:v>العقبة</x:v>
      </x:c>
      <x:c r="D3445" s="14" t="n">
        <x:v>1</x:v>
      </x:c>
      <x:c r="E3445" s="14" t="n">
        <x:f>VLOOKUP(C3445,'Governorate Master'!$A$2:$Q$13,3,FALSE)</x:f>
        <x:v>250900</x:v>
      </x:c>
      <x:c r="F3445" s="66" t="n">
        <x:f>IF(E3445=0,0,D3445/E3445*10000)</x:f>
        <x:v>0.03985651654045436</x:v>
      </x:c>
      <x:c r="G3445" s="67" t="n">
        <x:f>VLOOKUP(C3445,'Governorate Master'!$A$2:$Q$13,7,FALSE)</x:f>
        <x:v>36.3</x:v>
      </x:c>
      <x:c r="H3445" s="20" t="n">
        <x:f>VLOOKUP(C3445,'Governorate Master'!$A$2:$Q$13,6,FALSE)</x:f>
        <x:v>0.882024711040255</x:v>
      </x:c>
      <x:c r="I3445" s="20" t="n">
        <x:f>VLOOKUP(C3445,'Governorate Master'!$A$2:$Q$13,15,FALSE)</x:f>
        <x:v>-0.09</x:v>
      </x:c>
      <x:c r="J3445" s="12" t="str">
        <x:v>Location model input - competition/saturation context</x:v>
      </x:c>
      <x:c r="K3445" s="12" t="str">
        <x:v>Business count is from 2018 while population/context indicators are newer; use as a historical proxy, not a current market count.</x:v>
      </x:c>
    </x:row>
    <x:row r="3446">
      <x:c r="A3446" s="12" t="str">
        <x:v>9412</x:v>
      </x:c>
      <x:c r="B3446" s="12" t="str">
        <x:v>Activities of professional membership organizations</x:v>
      </x:c>
      <x:c r="C3446" s="12" t="str">
        <x:v>عمان</x:v>
      </x:c>
      <x:c r="D3446" s="14" t="n">
        <x:v>3</x:v>
      </x:c>
      <x:c r="E3446" s="14" t="n">
        <x:f>VLOOKUP(C3446,'Governorate Master'!$A$2:$Q$13,3,FALSE)</x:f>
        <x:v>5004600</x:v>
      </x:c>
      <x:c r="F3446" s="66" t="n">
        <x:f>IF(E3446=0,0,D3446/E3446*10000)</x:f>
        <x:v>0.005994485073732166</x:v>
      </x:c>
      <x:c r="G3446" s="67" t="n">
        <x:f>VLOOKUP(C3446,'Governorate Master'!$A$2:$Q$13,7,FALSE)</x:f>
        <x:v>660.3</x:v>
      </x:c>
      <x:c r="H3446" s="20" t="n">
        <x:f>VLOOKUP(C3446,'Governorate Master'!$A$2:$Q$13,6,FALSE)</x:f>
        <x:v>0.9721656076409703</x:v>
      </x:c>
      <x:c r="I3446" s="20" t="n">
        <x:f>VLOOKUP(C3446,'Governorate Master'!$A$2:$Q$13,15,FALSE)</x:f>
        <x:v>0.06367041198501873</x:v>
      </x:c>
      <x:c r="J3446" s="12" t="str">
        <x:v>Location model input - competition/saturation context</x:v>
      </x:c>
      <x:c r="K3446" s="12" t="str">
        <x:v>Business count is from 2018 while population/context indicators are newer; use as a historical proxy, not a current market count.</x:v>
      </x:c>
    </x:row>
    <x:row r="3447">
      <x:c r="A3447" s="12" t="str">
        <x:v>9412</x:v>
      </x:c>
      <x:c r="B3447" s="12" t="str">
        <x:v>Activities of professional membership organizations</x:v>
      </x:c>
      <x:c r="C3447" s="12" t="str">
        <x:v>البلقاء</x:v>
      </x:c>
      <x:c r="D3447" s="14" t="n">
        <x:v>0</x:v>
      </x:c>
      <x:c r="E3447" s="14" t="n">
        <x:f>VLOOKUP(C3447,'Governorate Master'!$A$2:$Q$13,3,FALSE)</x:f>
        <x:v>614000</x:v>
      </x:c>
      <x:c r="F3447" s="66" t="n">
        <x:f>IF(E3447=0,0,D3447/E3447*10000)</x:f>
        <x:v>0</x:v>
      </x:c>
      <x:c r="G3447" s="67" t="n">
        <x:f>VLOOKUP(C3447,'Governorate Master'!$A$2:$Q$13,7,FALSE)</x:f>
        <x:v>548</x:v>
      </x:c>
      <x:c r="H3447" s="20" t="n">
        <x:f>VLOOKUP(C3447,'Governorate Master'!$A$2:$Q$13,6,FALSE)</x:f>
        <x:v>0.8210097719869707</x:v>
      </x:c>
      <x:c r="I3447" s="20" t="n">
        <x:f>VLOOKUP(C3447,'Governorate Master'!$A$2:$Q$13,15,FALSE)</x:f>
        <x:v>0.10794044665012408</x:v>
      </x:c>
      <x:c r="J3447" s="12" t="str">
        <x:v>Location model input - competition/saturation context</x:v>
      </x:c>
      <x:c r="K3447" s="12" t="str">
        <x:v>Business count is from 2018 while population/context indicators are newer; use as a historical proxy, not a current market count.</x:v>
      </x:c>
    </x:row>
    <x:row r="3448">
      <x:c r="A3448" s="12" t="str">
        <x:v>9412</x:v>
      </x:c>
      <x:c r="B3448" s="12" t="str">
        <x:v>Activities of professional membership organizations</x:v>
      </x:c>
      <x:c r="C3448" s="12" t="str">
        <x:v>الزرقاء</x:v>
      </x:c>
      <x:c r="D3448" s="14" t="n">
        <x:v>0</x:v>
      </x:c>
      <x:c r="E3448" s="14" t="n">
        <x:f>VLOOKUP(C3448,'Governorate Master'!$A$2:$Q$13,3,FALSE)</x:f>
        <x:v>1704500</x:v>
      </x:c>
      <x:c r="F3448" s="66" t="n">
        <x:f>IF(E3448=0,0,D3448/E3448*10000)</x:f>
        <x:v>0</x:v>
      </x:c>
      <x:c r="G3448" s="67" t="n">
        <x:f>VLOOKUP(C3448,'Governorate Master'!$A$2:$Q$13,7,FALSE)</x:f>
        <x:v>358</x:v>
      </x:c>
      <x:c r="H3448" s="20" t="n">
        <x:f>VLOOKUP(C3448,'Governorate Master'!$A$2:$Q$13,6,FALSE)</x:f>
        <x:v>0.9636256966852449</x:v>
      </x:c>
      <x:c r="I3448" s="20" t="n">
        <x:f>VLOOKUP(C3448,'Governorate Master'!$A$2:$Q$13,15,FALSE)</x:f>
        <x:v>-0.06808762581409118</x:v>
      </x:c>
      <x:c r="J3448" s="12" t="str">
        <x:v>Location model input - competition/saturation context</x:v>
      </x:c>
      <x:c r="K3448" s="12" t="str">
        <x:v>Business count is from 2018 while population/context indicators are newer; use as a historical proxy, not a current market count.</x:v>
      </x:c>
    </x:row>
    <x:row r="3449">
      <x:c r="A3449" s="12" t="str">
        <x:v>9412</x:v>
      </x:c>
      <x:c r="B3449" s="12" t="str">
        <x:v>Activities of professional membership organizations</x:v>
      </x:c>
      <x:c r="C3449" s="12" t="str">
        <x:v>مادبا</x:v>
      </x:c>
      <x:c r="D3449" s="14" t="n">
        <x:v>2</x:v>
      </x:c>
      <x:c r="E3449" s="14" t="n">
        <x:f>VLOOKUP(C3449,'Governorate Master'!$A$2:$Q$13,3,FALSE)</x:f>
        <x:v>236200</x:v>
      </x:c>
      <x:c r="F3449" s="66" t="n">
        <x:f>IF(E3449=0,0,D3449/E3449*10000)</x:f>
        <x:v>0.0846740050804403</x:v>
      </x:c>
      <x:c r="G3449" s="67" t="n">
        <x:f>VLOOKUP(C3449,'Governorate Master'!$A$2:$Q$13,7,FALSE)</x:f>
        <x:v>251.4</x:v>
      </x:c>
      <x:c r="H3449" s="20" t="n">
        <x:f>VLOOKUP(C3449,'Governorate Master'!$A$2:$Q$13,6,FALSE)</x:f>
        <x:v>0.7823878069432684</x:v>
      </x:c>
      <x:c r="I3449" s="20" t="n">
        <x:f>VLOOKUP(C3449,'Governorate Master'!$A$2:$Q$13,15,FALSE)</x:f>
        <x:v>-0.18823529411764706</x:v>
      </x:c>
      <x:c r="J3449" s="12" t="str">
        <x:v>Location model input - competition/saturation context</x:v>
      </x:c>
      <x:c r="K3449" s="12" t="str">
        <x:v>Business count is from 2018 while population/context indicators are newer; use as a historical proxy, not a current market count.</x:v>
      </x:c>
    </x:row>
    <x:row r="3450">
      <x:c r="A3450" s="12" t="str">
        <x:v>9412</x:v>
      </x:c>
      <x:c r="B3450" s="12" t="str">
        <x:v>Activities of professional membership organizations</x:v>
      </x:c>
      <x:c r="C3450" s="12" t="str">
        <x:v>إربد</x:v>
      </x:c>
      <x:c r="D3450" s="14" t="n">
        <x:v>0</x:v>
      </x:c>
      <x:c r="E3450" s="14" t="n">
        <x:f>VLOOKUP(C3450,'Governorate Master'!$A$2:$Q$13,3,FALSE)</x:f>
        <x:v>2210500</x:v>
      </x:c>
      <x:c r="F3450" s="66" t="n">
        <x:f>IF(E3450=0,0,D3450/E3450*10000)</x:f>
        <x:v>0</x:v>
      </x:c>
      <x:c r="G3450" s="67" t="n">
        <x:f>VLOOKUP(C3450,'Governorate Master'!$A$2:$Q$13,7,FALSE)</x:f>
        <x:v>1406.4</x:v>
      </x:c>
      <x:c r="H3450" s="20" t="n">
        <x:f>VLOOKUP(C3450,'Governorate Master'!$A$2:$Q$13,6,FALSE)</x:f>
        <x:v>0.9235014702555983</x:v>
      </x:c>
      <x:c r="I3450" s="20" t="n">
        <x:f>VLOOKUP(C3450,'Governorate Master'!$A$2:$Q$13,15,FALSE)</x:f>
        <x:v>0.07086922474549726</x:v>
      </x:c>
      <x:c r="J3450" s="12" t="str">
        <x:v>Location model input - competition/saturation context</x:v>
      </x:c>
      <x:c r="K3450" s="12" t="str">
        <x:v>Business count is from 2018 while population/context indicators are newer; use as a historical proxy, not a current market count.</x:v>
      </x:c>
    </x:row>
    <x:row r="3451">
      <x:c r="A3451" s="12" t="str">
        <x:v>9412</x:v>
      </x:c>
      <x:c r="B3451" s="12" t="str">
        <x:v>Activities of professional membership organizations</x:v>
      </x:c>
      <x:c r="C3451" s="12" t="str">
        <x:v>المفرق</x:v>
      </x:c>
      <x:c r="D3451" s="14" t="n">
        <x:v>0</x:v>
      </x:c>
      <x:c r="E3451" s="14" t="n">
        <x:f>VLOOKUP(C3451,'Governorate Master'!$A$2:$Q$13,3,FALSE)</x:f>
        <x:v>686800</x:v>
      </x:c>
      <x:c r="F3451" s="66" t="n">
        <x:f>IF(E3451=0,0,D3451/E3451*10000)</x:f>
        <x:v>0</x:v>
      </x:c>
      <x:c r="G3451" s="67" t="n">
        <x:f>VLOOKUP(C3451,'Governorate Master'!$A$2:$Q$13,7,FALSE)</x:f>
        <x:v>25.9</x:v>
      </x:c>
      <x:c r="H3451" s="20" t="n">
        <x:f>VLOOKUP(C3451,'Governorate Master'!$A$2:$Q$13,6,FALSE)</x:f>
        <x:v>0.6965637740244612</x:v>
      </x:c>
      <x:c r="I3451" s="20" t="n">
        <x:f>VLOOKUP(C3451,'Governorate Master'!$A$2:$Q$13,15,FALSE)</x:f>
        <x:v>-0.016638935108153077</x:v>
      </x:c>
      <x:c r="J3451" s="12" t="str">
        <x:v>Location model input - competition/saturation context</x:v>
      </x:c>
      <x:c r="K3451" s="12" t="str">
        <x:v>Business count is from 2018 while population/context indicators are newer; use as a historical proxy, not a current market count.</x:v>
      </x:c>
    </x:row>
    <x:row r="3452">
      <x:c r="A3452" s="12" t="str">
        <x:v>9412</x:v>
      </x:c>
      <x:c r="B3452" s="12" t="str">
        <x:v>Activities of professional membership organizations</x:v>
      </x:c>
      <x:c r="C3452" s="12" t="str">
        <x:v>جرش</x:v>
      </x:c>
      <x:c r="D3452" s="14" t="n">
        <x:v>0</x:v>
      </x:c>
      <x:c r="E3452" s="14" t="n">
        <x:f>VLOOKUP(C3452,'Governorate Master'!$A$2:$Q$13,3,FALSE)</x:f>
        <x:v>296000</x:v>
      </x:c>
      <x:c r="F3452" s="66" t="n">
        <x:f>IF(E3452=0,0,D3452/E3452*10000)</x:f>
        <x:v>0</x:v>
      </x:c>
      <x:c r="G3452" s="67" t="n">
        <x:f>VLOOKUP(C3452,'Governorate Master'!$A$2:$Q$13,7,FALSE)</x:f>
        <x:v>722.3</x:v>
      </x:c>
      <x:c r="H3452" s="20" t="n">
        <x:f>VLOOKUP(C3452,'Governorate Master'!$A$2:$Q$13,6,FALSE)</x:f>
        <x:v>0.7695945945945946</x:v>
      </x:c>
      <x:c r="I3452" s="20" t="n">
        <x:f>VLOOKUP(C3452,'Governorate Master'!$A$2:$Q$13,15,FALSE)</x:f>
        <x:v>-0.06527415143603134</x:v>
      </x:c>
      <x:c r="J3452" s="12" t="str">
        <x:v>Location model input - competition/saturation context</x:v>
      </x:c>
      <x:c r="K3452" s="12" t="str">
        <x:v>Business count is from 2018 while population/context indicators are newer; use as a historical proxy, not a current market count.</x:v>
      </x:c>
    </x:row>
    <x:row r="3453">
      <x:c r="A3453" s="12" t="str">
        <x:v>9412</x:v>
      </x:c>
      <x:c r="B3453" s="12" t="str">
        <x:v>Activities of professional membership organizations</x:v>
      </x:c>
      <x:c r="C3453" s="12" t="str">
        <x:v>عجلون</x:v>
      </x:c>
      <x:c r="D3453" s="14" t="n">
        <x:v>1</x:v>
      </x:c>
      <x:c r="E3453" s="14" t="n">
        <x:f>VLOOKUP(C3453,'Governorate Master'!$A$2:$Q$13,3,FALSE)</x:f>
        <x:v>219900</x:v>
      </x:c>
      <x:c r="F3453" s="66" t="n">
        <x:f>IF(E3453=0,0,D3453/E3453*10000)</x:f>
        <x:v>0.04547521600727603</x:v>
      </x:c>
      <x:c r="G3453" s="67" t="n">
        <x:f>VLOOKUP(C3453,'Governorate Master'!$A$2:$Q$13,7,FALSE)</x:f>
        <x:v>524</x:v>
      </x:c>
      <x:c r="H3453" s="20" t="n">
        <x:f>VLOOKUP(C3453,'Governorate Master'!$A$2:$Q$13,6,FALSE)</x:f>
        <x:v>0.8390177353342428</x:v>
      </x:c>
      <x:c r="I3453" s="20" t="n">
        <x:f>VLOOKUP(C3453,'Governorate Master'!$A$2:$Q$13,15,FALSE)</x:f>
        <x:v>0.03614457831325301</x:v>
      </x:c>
      <x:c r="J3453" s="12" t="str">
        <x:v>Location model input - competition/saturation context</x:v>
      </x:c>
      <x:c r="K3453" s="12" t="str">
        <x:v>Business count is from 2018 while population/context indicators are newer; use as a historical proxy, not a current market count.</x:v>
      </x:c>
    </x:row>
    <x:row r="3454">
      <x:c r="A3454" s="12" t="str">
        <x:v>9412</x:v>
      </x:c>
      <x:c r="B3454" s="12" t="str">
        <x:v>Activities of professional membership organizations</x:v>
      </x:c>
      <x:c r="C3454" s="12" t="str">
        <x:v>الكرك</x:v>
      </x:c>
      <x:c r="D3454" s="14" t="n">
        <x:v>0</x:v>
      </x:c>
      <x:c r="E3454" s="14" t="n">
        <x:f>VLOOKUP(C3454,'Governorate Master'!$A$2:$Q$13,3,FALSE)</x:f>
        <x:v>395400</x:v>
      </x:c>
      <x:c r="F3454" s="66" t="n">
        <x:f>IF(E3454=0,0,D3454/E3454*10000)</x:f>
        <x:v>0</x:v>
      </x:c>
      <x:c r="G3454" s="67" t="n">
        <x:f>VLOOKUP(C3454,'Governorate Master'!$A$2:$Q$13,7,FALSE)</x:f>
        <x:v>113.1</x:v>
      </x:c>
      <x:c r="H3454" s="20" t="n">
        <x:f>VLOOKUP(C3454,'Governorate Master'!$A$2:$Q$13,6,FALSE)</x:f>
        <x:v>0.5912999494183105</x:v>
      </x:c>
      <x:c r="I3454" s="20" t="n">
        <x:f>VLOOKUP(C3454,'Governorate Master'!$A$2:$Q$13,15,FALSE)</x:f>
        <x:v>0.08710801393728224</x:v>
      </x:c>
      <x:c r="J3454" s="12" t="str">
        <x:v>Location model input - competition/saturation context</x:v>
      </x:c>
      <x:c r="K3454" s="12" t="str">
        <x:v>Business count is from 2018 while population/context indicators are newer; use as a historical proxy, not a current market count.</x:v>
      </x:c>
    </x:row>
    <x:row r="3455">
      <x:c r="A3455" s="12" t="str">
        <x:v>9412</x:v>
      </x:c>
      <x:c r="B3455" s="12" t="str">
        <x:v>Activities of professional membership organizations</x:v>
      </x:c>
      <x:c r="C3455" s="12" t="str">
        <x:v>الطفيلة</x:v>
      </x:c>
      <x:c r="D3455" s="14" t="n">
        <x:v>0</x:v>
      </x:c>
      <x:c r="E3455" s="14" t="n">
        <x:f>VLOOKUP(C3455,'Governorate Master'!$A$2:$Q$13,3,FALSE)</x:f>
        <x:v>120300</x:v>
      </x:c>
      <x:c r="F3455" s="66" t="n">
        <x:f>IF(E3455=0,0,D3455/E3455*10000)</x:f>
        <x:v>0</x:v>
      </x:c>
      <x:c r="G3455" s="67" t="n">
        <x:f>VLOOKUP(C3455,'Governorate Master'!$A$2:$Q$13,7,FALSE)</x:f>
        <x:v>54.4</x:v>
      </x:c>
      <x:c r="H3455" s="20" t="n">
        <x:f>VLOOKUP(C3455,'Governorate Master'!$A$2:$Q$13,6,FALSE)</x:f>
        <x:v>0.7797173732335827</x:v>
      </x:c>
      <x:c r="I3455" s="20" t="n">
        <x:f>VLOOKUP(C3455,'Governorate Master'!$A$2:$Q$13,15,FALSE)</x:f>
        <x:v>0.18452380952380953</x:v>
      </x:c>
      <x:c r="J3455" s="12" t="str">
        <x:v>Location model input - competition/saturation context</x:v>
      </x:c>
      <x:c r="K3455" s="12" t="str">
        <x:v>Business count is from 2018 while population/context indicators are newer; use as a historical proxy, not a current market count.</x:v>
      </x:c>
    </x:row>
    <x:row r="3456">
      <x:c r="A3456" s="12" t="str">
        <x:v>9412</x:v>
      </x:c>
      <x:c r="B3456" s="12" t="str">
        <x:v>Activities of professional membership organizations</x:v>
      </x:c>
      <x:c r="C3456" s="12" t="str">
        <x:v>معان</x:v>
      </x:c>
      <x:c r="D3456" s="14" t="n">
        <x:v>1</x:v>
      </x:c>
      <x:c r="E3456" s="14" t="n">
        <x:f>VLOOKUP(C3456,'Governorate Master'!$A$2:$Q$13,3,FALSE)</x:f>
        <x:v>197900</x:v>
      </x:c>
      <x:c r="F3456" s="66" t="n">
        <x:f>IF(E3456=0,0,D3456/E3456*10000)</x:f>
        <x:v>0.05053057099545225</x:v>
      </x:c>
      <x:c r="G3456" s="67" t="n">
        <x:f>VLOOKUP(C3456,'Governorate Master'!$A$2:$Q$13,7,FALSE)</x:f>
        <x:v>6</x:v>
      </x:c>
      <x:c r="H3456" s="20" t="n">
        <x:f>VLOOKUP(C3456,'Governorate Master'!$A$2:$Q$13,6,FALSE)</x:f>
        <x:v>0.5406771096513391</x:v>
      </x:c>
      <x:c r="I3456" s="20" t="n">
        <x:f>VLOOKUP(C3456,'Governorate Master'!$A$2:$Q$13,15,FALSE)</x:f>
        <x:v>0.026845637583892617</x:v>
      </x:c>
      <x:c r="J3456" s="12" t="str">
        <x:v>Location model input - competition/saturation context</x:v>
      </x:c>
      <x:c r="K3456" s="12" t="str">
        <x:v>Business count is from 2018 while population/context indicators are newer; use as a historical proxy, not a current market count.</x:v>
      </x:c>
    </x:row>
    <x:row r="3457">
      <x:c r="A3457" s="12" t="str">
        <x:v>9412</x:v>
      </x:c>
      <x:c r="B3457" s="12" t="str">
        <x:v>Activities of professional membership organizations</x:v>
      </x:c>
      <x:c r="C3457" s="12" t="str">
        <x:v>العقبة</x:v>
      </x:c>
      <x:c r="D3457" s="14" t="n">
        <x:v>0</x:v>
      </x:c>
      <x:c r="E3457" s="14" t="n">
        <x:f>VLOOKUP(C3457,'Governorate Master'!$A$2:$Q$13,3,FALSE)</x:f>
        <x:v>250900</x:v>
      </x:c>
      <x:c r="F3457" s="66" t="n">
        <x:f>IF(E3457=0,0,D3457/E3457*10000)</x:f>
        <x:v>0</x:v>
      </x:c>
      <x:c r="G3457" s="67" t="n">
        <x:f>VLOOKUP(C3457,'Governorate Master'!$A$2:$Q$13,7,FALSE)</x:f>
        <x:v>36.3</x:v>
      </x:c>
      <x:c r="H3457" s="20" t="n">
        <x:f>VLOOKUP(C3457,'Governorate Master'!$A$2:$Q$13,6,FALSE)</x:f>
        <x:v>0.882024711040255</x:v>
      </x:c>
      <x:c r="I3457" s="20" t="n">
        <x:f>VLOOKUP(C3457,'Governorate Master'!$A$2:$Q$13,15,FALSE)</x:f>
        <x:v>-0.09</x:v>
      </x:c>
      <x:c r="J3457" s="12" t="str">
        <x:v>Location model input - competition/saturation context</x:v>
      </x:c>
      <x:c r="K3457" s="12" t="str">
        <x:v>Business count is from 2018 while population/context indicators are newer; use as a historical proxy, not a current market count.</x:v>
      </x:c>
    </x:row>
    <x:row r="3458">
      <x:c r="A3458" s="12" t="str">
        <x:v>9420</x:v>
      </x:c>
      <x:c r="B3458" s="12" t="str">
        <x:v>Activities of trade unions</x:v>
      </x:c>
      <x:c r="C3458" s="12" t="str">
        <x:v>عمان</x:v>
      </x:c>
      <x:c r="D3458" s="14" t="n">
        <x:v>27</x:v>
      </x:c>
      <x:c r="E3458" s="14" t="n">
        <x:f>VLOOKUP(C3458,'Governorate Master'!$A$2:$Q$13,3,FALSE)</x:f>
        <x:v>5004600</x:v>
      </x:c>
      <x:c r="F3458" s="66" t="n">
        <x:f>IF(E3458=0,0,D3458/E3458*10000)</x:f>
        <x:v>0.053950365663589496</x:v>
      </x:c>
      <x:c r="G3458" s="67" t="n">
        <x:f>VLOOKUP(C3458,'Governorate Master'!$A$2:$Q$13,7,FALSE)</x:f>
        <x:v>660.3</x:v>
      </x:c>
      <x:c r="H3458" s="20" t="n">
        <x:f>VLOOKUP(C3458,'Governorate Master'!$A$2:$Q$13,6,FALSE)</x:f>
        <x:v>0.9721656076409703</x:v>
      </x:c>
      <x:c r="I3458" s="20" t="n">
        <x:f>VLOOKUP(C3458,'Governorate Master'!$A$2:$Q$13,15,FALSE)</x:f>
        <x:v>0.06367041198501873</x:v>
      </x:c>
      <x:c r="J3458" s="12" t="str">
        <x:v>Location model input - competition/saturation context</x:v>
      </x:c>
      <x:c r="K3458" s="12" t="str">
        <x:v>Business count is from 2018 while population/context indicators are newer; use as a historical proxy, not a current market count.</x:v>
      </x:c>
    </x:row>
    <x:row r="3459">
      <x:c r="A3459" s="12" t="str">
        <x:v>9420</x:v>
      </x:c>
      <x:c r="B3459" s="12" t="str">
        <x:v>Activities of trade unions</x:v>
      </x:c>
      <x:c r="C3459" s="12" t="str">
        <x:v>البلقاء</x:v>
      </x:c>
      <x:c r="D3459" s="14" t="n">
        <x:v>1</x:v>
      </x:c>
      <x:c r="E3459" s="14" t="n">
        <x:f>VLOOKUP(C3459,'Governorate Master'!$A$2:$Q$13,3,FALSE)</x:f>
        <x:v>614000</x:v>
      </x:c>
      <x:c r="F3459" s="66" t="n">
        <x:f>IF(E3459=0,0,D3459/E3459*10000)</x:f>
        <x:v>0.016286644951140065</x:v>
      </x:c>
      <x:c r="G3459" s="67" t="n">
        <x:f>VLOOKUP(C3459,'Governorate Master'!$A$2:$Q$13,7,FALSE)</x:f>
        <x:v>548</x:v>
      </x:c>
      <x:c r="H3459" s="20" t="n">
        <x:f>VLOOKUP(C3459,'Governorate Master'!$A$2:$Q$13,6,FALSE)</x:f>
        <x:v>0.8210097719869707</x:v>
      </x:c>
      <x:c r="I3459" s="20" t="n">
        <x:f>VLOOKUP(C3459,'Governorate Master'!$A$2:$Q$13,15,FALSE)</x:f>
        <x:v>0.10794044665012408</x:v>
      </x:c>
      <x:c r="J3459" s="12" t="str">
        <x:v>Location model input - competition/saturation context</x:v>
      </x:c>
      <x:c r="K3459" s="12" t="str">
        <x:v>Business count is from 2018 while population/context indicators are newer; use as a historical proxy, not a current market count.</x:v>
      </x:c>
    </x:row>
    <x:row r="3460">
      <x:c r="A3460" s="12" t="str">
        <x:v>9420</x:v>
      </x:c>
      <x:c r="B3460" s="12" t="str">
        <x:v>Activities of trade unions</x:v>
      </x:c>
      <x:c r="C3460" s="12" t="str">
        <x:v>الزرقاء</x:v>
      </x:c>
      <x:c r="D3460" s="14" t="n">
        <x:v>1</x:v>
      </x:c>
      <x:c r="E3460" s="14" t="n">
        <x:f>VLOOKUP(C3460,'Governorate Master'!$A$2:$Q$13,3,FALSE)</x:f>
        <x:v>1704500</x:v>
      </x:c>
      <x:c r="F3460" s="66" t="n">
        <x:f>IF(E3460=0,0,D3460/E3460*10000)</x:f>
        <x:v>0.005866823115283074</x:v>
      </x:c>
      <x:c r="G3460" s="67" t="n">
        <x:f>VLOOKUP(C3460,'Governorate Master'!$A$2:$Q$13,7,FALSE)</x:f>
        <x:v>358</x:v>
      </x:c>
      <x:c r="H3460" s="20" t="n">
        <x:f>VLOOKUP(C3460,'Governorate Master'!$A$2:$Q$13,6,FALSE)</x:f>
        <x:v>0.9636256966852449</x:v>
      </x:c>
      <x:c r="I3460" s="20" t="n">
        <x:f>VLOOKUP(C3460,'Governorate Master'!$A$2:$Q$13,15,FALSE)</x:f>
        <x:v>-0.06808762581409118</x:v>
      </x:c>
      <x:c r="J3460" s="12" t="str">
        <x:v>Location model input - competition/saturation context</x:v>
      </x:c>
      <x:c r="K3460" s="12" t="str">
        <x:v>Business count is from 2018 while population/context indicators are newer; use as a historical proxy, not a current market count.</x:v>
      </x:c>
    </x:row>
    <x:row r="3461">
      <x:c r="A3461" s="12" t="str">
        <x:v>9420</x:v>
      </x:c>
      <x:c r="B3461" s="12" t="str">
        <x:v>Activities of trade unions</x:v>
      </x:c>
      <x:c r="C3461" s="12" t="str">
        <x:v>مادبا</x:v>
      </x:c>
      <x:c r="D3461" s="14" t="n">
        <x:v>0</x:v>
      </x:c>
      <x:c r="E3461" s="14" t="n">
        <x:f>VLOOKUP(C3461,'Governorate Master'!$A$2:$Q$13,3,FALSE)</x:f>
        <x:v>236200</x:v>
      </x:c>
      <x:c r="F3461" s="66" t="n">
        <x:f>IF(E3461=0,0,D3461/E3461*10000)</x:f>
        <x:v>0</x:v>
      </x:c>
      <x:c r="G3461" s="67" t="n">
        <x:f>VLOOKUP(C3461,'Governorate Master'!$A$2:$Q$13,7,FALSE)</x:f>
        <x:v>251.4</x:v>
      </x:c>
      <x:c r="H3461" s="20" t="n">
        <x:f>VLOOKUP(C3461,'Governorate Master'!$A$2:$Q$13,6,FALSE)</x:f>
        <x:v>0.7823878069432684</x:v>
      </x:c>
      <x:c r="I3461" s="20" t="n">
        <x:f>VLOOKUP(C3461,'Governorate Master'!$A$2:$Q$13,15,FALSE)</x:f>
        <x:v>-0.18823529411764706</x:v>
      </x:c>
      <x:c r="J3461" s="12" t="str">
        <x:v>Location model input - competition/saturation context</x:v>
      </x:c>
      <x:c r="K3461" s="12" t="str">
        <x:v>Business count is from 2018 while population/context indicators are newer; use as a historical proxy, not a current market count.</x:v>
      </x:c>
    </x:row>
    <x:row r="3462">
      <x:c r="A3462" s="12" t="str">
        <x:v>9420</x:v>
      </x:c>
      <x:c r="B3462" s="12" t="str">
        <x:v>Activities of trade unions</x:v>
      </x:c>
      <x:c r="C3462" s="12" t="str">
        <x:v>إربد</x:v>
      </x:c>
      <x:c r="D3462" s="14" t="n">
        <x:v>0</x:v>
      </x:c>
      <x:c r="E3462" s="14" t="n">
        <x:f>VLOOKUP(C3462,'Governorate Master'!$A$2:$Q$13,3,FALSE)</x:f>
        <x:v>2210500</x:v>
      </x:c>
      <x:c r="F3462" s="66" t="n">
        <x:f>IF(E3462=0,0,D3462/E3462*10000)</x:f>
        <x:v>0</x:v>
      </x:c>
      <x:c r="G3462" s="67" t="n">
        <x:f>VLOOKUP(C3462,'Governorate Master'!$A$2:$Q$13,7,FALSE)</x:f>
        <x:v>1406.4</x:v>
      </x:c>
      <x:c r="H3462" s="20" t="n">
        <x:f>VLOOKUP(C3462,'Governorate Master'!$A$2:$Q$13,6,FALSE)</x:f>
        <x:v>0.9235014702555983</x:v>
      </x:c>
      <x:c r="I3462" s="20" t="n">
        <x:f>VLOOKUP(C3462,'Governorate Master'!$A$2:$Q$13,15,FALSE)</x:f>
        <x:v>0.07086922474549726</x:v>
      </x:c>
      <x:c r="J3462" s="12" t="str">
        <x:v>Location model input - competition/saturation context</x:v>
      </x:c>
      <x:c r="K3462" s="12" t="str">
        <x:v>Business count is from 2018 while population/context indicators are newer; use as a historical proxy, not a current market count.</x:v>
      </x:c>
    </x:row>
    <x:row r="3463">
      <x:c r="A3463" s="12" t="str">
        <x:v>9420</x:v>
      </x:c>
      <x:c r="B3463" s="12" t="str">
        <x:v>Activities of trade unions</x:v>
      </x:c>
      <x:c r="C3463" s="12" t="str">
        <x:v>المفرق</x:v>
      </x:c>
      <x:c r="D3463" s="14" t="n">
        <x:v>0</x:v>
      </x:c>
      <x:c r="E3463" s="14" t="n">
        <x:f>VLOOKUP(C3463,'Governorate Master'!$A$2:$Q$13,3,FALSE)</x:f>
        <x:v>686800</x:v>
      </x:c>
      <x:c r="F3463" s="66" t="n">
        <x:f>IF(E3463=0,0,D3463/E3463*10000)</x:f>
        <x:v>0</x:v>
      </x:c>
      <x:c r="G3463" s="67" t="n">
        <x:f>VLOOKUP(C3463,'Governorate Master'!$A$2:$Q$13,7,FALSE)</x:f>
        <x:v>25.9</x:v>
      </x:c>
      <x:c r="H3463" s="20" t="n">
        <x:f>VLOOKUP(C3463,'Governorate Master'!$A$2:$Q$13,6,FALSE)</x:f>
        <x:v>0.6965637740244612</x:v>
      </x:c>
      <x:c r="I3463" s="20" t="n">
        <x:f>VLOOKUP(C3463,'Governorate Master'!$A$2:$Q$13,15,FALSE)</x:f>
        <x:v>-0.016638935108153077</x:v>
      </x:c>
      <x:c r="J3463" s="12" t="str">
        <x:v>Location model input - competition/saturation context</x:v>
      </x:c>
      <x:c r="K3463" s="12" t="str">
        <x:v>Business count is from 2018 while population/context indicators are newer; use as a historical proxy, not a current market count.</x:v>
      </x:c>
    </x:row>
    <x:row r="3464">
      <x:c r="A3464" s="12" t="str">
        <x:v>9420</x:v>
      </x:c>
      <x:c r="B3464" s="12" t="str">
        <x:v>Activities of trade unions</x:v>
      </x:c>
      <x:c r="C3464" s="12" t="str">
        <x:v>جرش</x:v>
      </x:c>
      <x:c r="D3464" s="14" t="n">
        <x:v>0</x:v>
      </x:c>
      <x:c r="E3464" s="14" t="n">
        <x:f>VLOOKUP(C3464,'Governorate Master'!$A$2:$Q$13,3,FALSE)</x:f>
        <x:v>296000</x:v>
      </x:c>
      <x:c r="F3464" s="66" t="n">
        <x:f>IF(E3464=0,0,D3464/E3464*10000)</x:f>
        <x:v>0</x:v>
      </x:c>
      <x:c r="G3464" s="67" t="n">
        <x:f>VLOOKUP(C3464,'Governorate Master'!$A$2:$Q$13,7,FALSE)</x:f>
        <x:v>722.3</x:v>
      </x:c>
      <x:c r="H3464" s="20" t="n">
        <x:f>VLOOKUP(C3464,'Governorate Master'!$A$2:$Q$13,6,FALSE)</x:f>
        <x:v>0.7695945945945946</x:v>
      </x:c>
      <x:c r="I3464" s="20" t="n">
        <x:f>VLOOKUP(C3464,'Governorate Master'!$A$2:$Q$13,15,FALSE)</x:f>
        <x:v>-0.06527415143603134</x:v>
      </x:c>
      <x:c r="J3464" s="12" t="str">
        <x:v>Location model input - competition/saturation context</x:v>
      </x:c>
      <x:c r="K3464" s="12" t="str">
        <x:v>Business count is from 2018 while population/context indicators are newer; use as a historical proxy, not a current market count.</x:v>
      </x:c>
    </x:row>
    <x:row r="3465">
      <x:c r="A3465" s="12" t="str">
        <x:v>9420</x:v>
      </x:c>
      <x:c r="B3465" s="12" t="str">
        <x:v>Activities of trade unions</x:v>
      </x:c>
      <x:c r="C3465" s="12" t="str">
        <x:v>عجلون</x:v>
      </x:c>
      <x:c r="D3465" s="14" t="n">
        <x:v>0</x:v>
      </x:c>
      <x:c r="E3465" s="14" t="n">
        <x:f>VLOOKUP(C3465,'Governorate Master'!$A$2:$Q$13,3,FALSE)</x:f>
        <x:v>219900</x:v>
      </x:c>
      <x:c r="F3465" s="66" t="n">
        <x:f>IF(E3465=0,0,D3465/E3465*10000)</x:f>
        <x:v>0</x:v>
      </x:c>
      <x:c r="G3465" s="67" t="n">
        <x:f>VLOOKUP(C3465,'Governorate Master'!$A$2:$Q$13,7,FALSE)</x:f>
        <x:v>524</x:v>
      </x:c>
      <x:c r="H3465" s="20" t="n">
        <x:f>VLOOKUP(C3465,'Governorate Master'!$A$2:$Q$13,6,FALSE)</x:f>
        <x:v>0.8390177353342428</x:v>
      </x:c>
      <x:c r="I3465" s="20" t="n">
        <x:f>VLOOKUP(C3465,'Governorate Master'!$A$2:$Q$13,15,FALSE)</x:f>
        <x:v>0.03614457831325301</x:v>
      </x:c>
      <x:c r="J3465" s="12" t="str">
        <x:v>Location model input - competition/saturation context</x:v>
      </x:c>
      <x:c r="K3465" s="12" t="str">
        <x:v>Business count is from 2018 while population/context indicators are newer; use as a historical proxy, not a current market count.</x:v>
      </x:c>
    </x:row>
    <x:row r="3466">
      <x:c r="A3466" s="12" t="str">
        <x:v>9420</x:v>
      </x:c>
      <x:c r="B3466" s="12" t="str">
        <x:v>Activities of trade unions</x:v>
      </x:c>
      <x:c r="C3466" s="12" t="str">
        <x:v>الكرك</x:v>
      </x:c>
      <x:c r="D3466" s="14" t="n">
        <x:v>1</x:v>
      </x:c>
      <x:c r="E3466" s="14" t="n">
        <x:f>VLOOKUP(C3466,'Governorate Master'!$A$2:$Q$13,3,FALSE)</x:f>
        <x:v>395400</x:v>
      </x:c>
      <x:c r="F3466" s="66" t="n">
        <x:f>IF(E3466=0,0,D3466/E3466*10000)</x:f>
        <x:v>0.025290844714213452</x:v>
      </x:c>
      <x:c r="G3466" s="67" t="n">
        <x:f>VLOOKUP(C3466,'Governorate Master'!$A$2:$Q$13,7,FALSE)</x:f>
        <x:v>113.1</x:v>
      </x:c>
      <x:c r="H3466" s="20" t="n">
        <x:f>VLOOKUP(C3466,'Governorate Master'!$A$2:$Q$13,6,FALSE)</x:f>
        <x:v>0.5912999494183105</x:v>
      </x:c>
      <x:c r="I3466" s="20" t="n">
        <x:f>VLOOKUP(C3466,'Governorate Master'!$A$2:$Q$13,15,FALSE)</x:f>
        <x:v>0.08710801393728224</x:v>
      </x:c>
      <x:c r="J3466" s="12" t="str">
        <x:v>Location model input - competition/saturation context</x:v>
      </x:c>
      <x:c r="K3466" s="12" t="str">
        <x:v>Business count is from 2018 while population/context indicators are newer; use as a historical proxy, not a current market count.</x:v>
      </x:c>
    </x:row>
    <x:row r="3467">
      <x:c r="A3467" s="12" t="str">
        <x:v>9420</x:v>
      </x:c>
      <x:c r="B3467" s="12" t="str">
        <x:v>Activities of trade unions</x:v>
      </x:c>
      <x:c r="C3467" s="12" t="str">
        <x:v>الطفيلة</x:v>
      </x:c>
      <x:c r="D3467" s="14" t="n">
        <x:v>0</x:v>
      </x:c>
      <x:c r="E3467" s="14" t="n">
        <x:f>VLOOKUP(C3467,'Governorate Master'!$A$2:$Q$13,3,FALSE)</x:f>
        <x:v>120300</x:v>
      </x:c>
      <x:c r="F3467" s="66" t="n">
        <x:f>IF(E3467=0,0,D3467/E3467*10000)</x:f>
        <x:v>0</x:v>
      </x:c>
      <x:c r="G3467" s="67" t="n">
        <x:f>VLOOKUP(C3467,'Governorate Master'!$A$2:$Q$13,7,FALSE)</x:f>
        <x:v>54.4</x:v>
      </x:c>
      <x:c r="H3467" s="20" t="n">
        <x:f>VLOOKUP(C3467,'Governorate Master'!$A$2:$Q$13,6,FALSE)</x:f>
        <x:v>0.7797173732335827</x:v>
      </x:c>
      <x:c r="I3467" s="20" t="n">
        <x:f>VLOOKUP(C3467,'Governorate Master'!$A$2:$Q$13,15,FALSE)</x:f>
        <x:v>0.18452380952380953</x:v>
      </x:c>
      <x:c r="J3467" s="12" t="str">
        <x:v>Location model input - competition/saturation context</x:v>
      </x:c>
      <x:c r="K3467" s="12" t="str">
        <x:v>Business count is from 2018 while population/context indicators are newer; use as a historical proxy, not a current market count.</x:v>
      </x:c>
    </x:row>
    <x:row r="3468">
      <x:c r="A3468" s="12" t="str">
        <x:v>9420</x:v>
      </x:c>
      <x:c r="B3468" s="12" t="str">
        <x:v>Activities of trade unions</x:v>
      </x:c>
      <x:c r="C3468" s="12" t="str">
        <x:v>معان</x:v>
      </x:c>
      <x:c r="D3468" s="14" t="n">
        <x:v>0</x:v>
      </x:c>
      <x:c r="E3468" s="14" t="n">
        <x:f>VLOOKUP(C3468,'Governorate Master'!$A$2:$Q$13,3,FALSE)</x:f>
        <x:v>197900</x:v>
      </x:c>
      <x:c r="F3468" s="66" t="n">
        <x:f>IF(E3468=0,0,D3468/E3468*10000)</x:f>
        <x:v>0</x:v>
      </x:c>
      <x:c r="G3468" s="67" t="n">
        <x:f>VLOOKUP(C3468,'Governorate Master'!$A$2:$Q$13,7,FALSE)</x:f>
        <x:v>6</x:v>
      </x:c>
      <x:c r="H3468" s="20" t="n">
        <x:f>VLOOKUP(C3468,'Governorate Master'!$A$2:$Q$13,6,FALSE)</x:f>
        <x:v>0.5406771096513391</x:v>
      </x:c>
      <x:c r="I3468" s="20" t="n">
        <x:f>VLOOKUP(C3468,'Governorate Master'!$A$2:$Q$13,15,FALSE)</x:f>
        <x:v>0.026845637583892617</x:v>
      </x:c>
      <x:c r="J3468" s="12" t="str">
        <x:v>Location model input - competition/saturation context</x:v>
      </x:c>
      <x:c r="K3468" s="12" t="str">
        <x:v>Business count is from 2018 while population/context indicators are newer; use as a historical proxy, not a current market count.</x:v>
      </x:c>
    </x:row>
    <x:row r="3469">
      <x:c r="A3469" s="12" t="str">
        <x:v>9420</x:v>
      </x:c>
      <x:c r="B3469" s="12" t="str">
        <x:v>Activities of trade unions</x:v>
      </x:c>
      <x:c r="C3469" s="12" t="str">
        <x:v>العقبة</x:v>
      </x:c>
      <x:c r="D3469" s="14" t="n">
        <x:v>2</x:v>
      </x:c>
      <x:c r="E3469" s="14" t="n">
        <x:f>VLOOKUP(C3469,'Governorate Master'!$A$2:$Q$13,3,FALSE)</x:f>
        <x:v>250900</x:v>
      </x:c>
      <x:c r="F3469" s="66" t="n">
        <x:f>IF(E3469=0,0,D3469/E3469*10000)</x:f>
        <x:v>0.07971303308090873</x:v>
      </x:c>
      <x:c r="G3469" s="67" t="n">
        <x:f>VLOOKUP(C3469,'Governorate Master'!$A$2:$Q$13,7,FALSE)</x:f>
        <x:v>36.3</x:v>
      </x:c>
      <x:c r="H3469" s="20" t="n">
        <x:f>VLOOKUP(C3469,'Governorate Master'!$A$2:$Q$13,6,FALSE)</x:f>
        <x:v>0.882024711040255</x:v>
      </x:c>
      <x:c r="I3469" s="20" t="n">
        <x:f>VLOOKUP(C3469,'Governorate Master'!$A$2:$Q$13,15,FALSE)</x:f>
        <x:v>-0.09</x:v>
      </x:c>
      <x:c r="J3469" s="12" t="str">
        <x:v>Location model input - competition/saturation context</x:v>
      </x:c>
      <x:c r="K3469" s="12" t="str">
        <x:v>Business count is from 2018 while population/context indicators are newer; use as a historical proxy, not a current market count.</x:v>
      </x:c>
    </x:row>
    <x:row r="3470">
      <x:c r="A3470" s="12" t="str">
        <x:v>9491</x:v>
      </x:c>
      <x:c r="B3470" s="12" t="str">
        <x:v>Activities of religious organizations</x:v>
      </x:c>
      <x:c r="C3470" s="12" t="str">
        <x:v>عمان</x:v>
      </x:c>
      <x:c r="D3470" s="14" t="n">
        <x:v>84</x:v>
      </x:c>
      <x:c r="E3470" s="14" t="n">
        <x:f>VLOOKUP(C3470,'Governorate Master'!$A$2:$Q$13,3,FALSE)</x:f>
        <x:v>5004600</x:v>
      </x:c>
      <x:c r="F3470" s="66" t="n">
        <x:f>IF(E3470=0,0,D3470/E3470*10000)</x:f>
        <x:v>0.16784558206450065</x:v>
      </x:c>
      <x:c r="G3470" s="67" t="n">
        <x:f>VLOOKUP(C3470,'Governorate Master'!$A$2:$Q$13,7,FALSE)</x:f>
        <x:v>660.3</x:v>
      </x:c>
      <x:c r="H3470" s="20" t="n">
        <x:f>VLOOKUP(C3470,'Governorate Master'!$A$2:$Q$13,6,FALSE)</x:f>
        <x:v>0.9721656076409703</x:v>
      </x:c>
      <x:c r="I3470" s="20" t="n">
        <x:f>VLOOKUP(C3470,'Governorate Master'!$A$2:$Q$13,15,FALSE)</x:f>
        <x:v>0.06367041198501873</x:v>
      </x:c>
      <x:c r="J3470" s="12" t="str">
        <x:v>Location model input - competition/saturation context</x:v>
      </x:c>
      <x:c r="K3470" s="12" t="str">
        <x:v>Business count is from 2018 while population/context indicators are newer; use as a historical proxy, not a current market count.</x:v>
      </x:c>
    </x:row>
    <x:row r="3471">
      <x:c r="A3471" s="12" t="str">
        <x:v>9491</x:v>
      </x:c>
      <x:c r="B3471" s="12" t="str">
        <x:v>Activities of religious organizations</x:v>
      </x:c>
      <x:c r="C3471" s="12" t="str">
        <x:v>البلقاء</x:v>
      </x:c>
      <x:c r="D3471" s="14" t="n">
        <x:v>21</x:v>
      </x:c>
      <x:c r="E3471" s="14" t="n">
        <x:f>VLOOKUP(C3471,'Governorate Master'!$A$2:$Q$13,3,FALSE)</x:f>
        <x:v>614000</x:v>
      </x:c>
      <x:c r="F3471" s="66" t="n">
        <x:f>IF(E3471=0,0,D3471/E3471*10000)</x:f>
        <x:v>0.34201954397394135</x:v>
      </x:c>
      <x:c r="G3471" s="67" t="n">
        <x:f>VLOOKUP(C3471,'Governorate Master'!$A$2:$Q$13,7,FALSE)</x:f>
        <x:v>548</x:v>
      </x:c>
      <x:c r="H3471" s="20" t="n">
        <x:f>VLOOKUP(C3471,'Governorate Master'!$A$2:$Q$13,6,FALSE)</x:f>
        <x:v>0.8210097719869707</x:v>
      </x:c>
      <x:c r="I3471" s="20" t="n">
        <x:f>VLOOKUP(C3471,'Governorate Master'!$A$2:$Q$13,15,FALSE)</x:f>
        <x:v>0.10794044665012408</x:v>
      </x:c>
      <x:c r="J3471" s="12" t="str">
        <x:v>Location model input - competition/saturation context</x:v>
      </x:c>
      <x:c r="K3471" s="12" t="str">
        <x:v>Business count is from 2018 while population/context indicators are newer; use as a historical proxy, not a current market count.</x:v>
      </x:c>
    </x:row>
    <x:row r="3472">
      <x:c r="A3472" s="12" t="str">
        <x:v>9491</x:v>
      </x:c>
      <x:c r="B3472" s="12" t="str">
        <x:v>Activities of religious organizations</x:v>
      </x:c>
      <x:c r="C3472" s="12" t="str">
        <x:v>الزرقاء</x:v>
      </x:c>
      <x:c r="D3472" s="14" t="n">
        <x:v>36</x:v>
      </x:c>
      <x:c r="E3472" s="14" t="n">
        <x:f>VLOOKUP(C3472,'Governorate Master'!$A$2:$Q$13,3,FALSE)</x:f>
        <x:v>1704500</x:v>
      </x:c>
      <x:c r="F3472" s="66" t="n">
        <x:f>IF(E3472=0,0,D3472/E3472*10000)</x:f>
        <x:v>0.21120563215019067</x:v>
      </x:c>
      <x:c r="G3472" s="67" t="n">
        <x:f>VLOOKUP(C3472,'Governorate Master'!$A$2:$Q$13,7,FALSE)</x:f>
        <x:v>358</x:v>
      </x:c>
      <x:c r="H3472" s="20" t="n">
        <x:f>VLOOKUP(C3472,'Governorate Master'!$A$2:$Q$13,6,FALSE)</x:f>
        <x:v>0.9636256966852449</x:v>
      </x:c>
      <x:c r="I3472" s="20" t="n">
        <x:f>VLOOKUP(C3472,'Governorate Master'!$A$2:$Q$13,15,FALSE)</x:f>
        <x:v>-0.06808762581409118</x:v>
      </x:c>
      <x:c r="J3472" s="12" t="str">
        <x:v>Location model input - competition/saturation context</x:v>
      </x:c>
      <x:c r="K3472" s="12" t="str">
        <x:v>Business count is from 2018 while population/context indicators are newer; use as a historical proxy, not a current market count.</x:v>
      </x:c>
    </x:row>
    <x:row r="3473">
      <x:c r="A3473" s="12" t="str">
        <x:v>9491</x:v>
      </x:c>
      <x:c r="B3473" s="12" t="str">
        <x:v>Activities of religious organizations</x:v>
      </x:c>
      <x:c r="C3473" s="12" t="str">
        <x:v>مادبا</x:v>
      </x:c>
      <x:c r="D3473" s="14" t="n">
        <x:v>9</x:v>
      </x:c>
      <x:c r="E3473" s="14" t="n">
        <x:f>VLOOKUP(C3473,'Governorate Master'!$A$2:$Q$13,3,FALSE)</x:f>
        <x:v>236200</x:v>
      </x:c>
      <x:c r="F3473" s="66" t="n">
        <x:f>IF(E3473=0,0,D3473/E3473*10000)</x:f>
        <x:v>0.3810330228619814</x:v>
      </x:c>
      <x:c r="G3473" s="67" t="n">
        <x:f>VLOOKUP(C3473,'Governorate Master'!$A$2:$Q$13,7,FALSE)</x:f>
        <x:v>251.4</x:v>
      </x:c>
      <x:c r="H3473" s="20" t="n">
        <x:f>VLOOKUP(C3473,'Governorate Master'!$A$2:$Q$13,6,FALSE)</x:f>
        <x:v>0.7823878069432684</x:v>
      </x:c>
      <x:c r="I3473" s="20" t="n">
        <x:f>VLOOKUP(C3473,'Governorate Master'!$A$2:$Q$13,15,FALSE)</x:f>
        <x:v>-0.18823529411764706</x:v>
      </x:c>
      <x:c r="J3473" s="12" t="str">
        <x:v>Location model input - competition/saturation context</x:v>
      </x:c>
      <x:c r="K3473" s="12" t="str">
        <x:v>Business count is from 2018 while population/context indicators are newer; use as a historical proxy, not a current market count.</x:v>
      </x:c>
    </x:row>
    <x:row r="3474">
      <x:c r="A3474" s="12" t="str">
        <x:v>9491</x:v>
      </x:c>
      <x:c r="B3474" s="12" t="str">
        <x:v>Activities of religious organizations</x:v>
      </x:c>
      <x:c r="C3474" s="12" t="str">
        <x:v>إربد</x:v>
      </x:c>
      <x:c r="D3474" s="14" t="n">
        <x:v>32</x:v>
      </x:c>
      <x:c r="E3474" s="14" t="n">
        <x:f>VLOOKUP(C3474,'Governorate Master'!$A$2:$Q$13,3,FALSE)</x:f>
        <x:v>2210500</x:v>
      </x:c>
      <x:c r="F3474" s="66" t="n">
        <x:f>IF(E3474=0,0,D3474/E3474*10000)</x:f>
        <x:v>0.14476362813843022</x:v>
      </x:c>
      <x:c r="G3474" s="67" t="n">
        <x:f>VLOOKUP(C3474,'Governorate Master'!$A$2:$Q$13,7,FALSE)</x:f>
        <x:v>1406.4</x:v>
      </x:c>
      <x:c r="H3474" s="20" t="n">
        <x:f>VLOOKUP(C3474,'Governorate Master'!$A$2:$Q$13,6,FALSE)</x:f>
        <x:v>0.9235014702555983</x:v>
      </x:c>
      <x:c r="I3474" s="20" t="n">
        <x:f>VLOOKUP(C3474,'Governorate Master'!$A$2:$Q$13,15,FALSE)</x:f>
        <x:v>0.07086922474549726</x:v>
      </x:c>
      <x:c r="J3474" s="12" t="str">
        <x:v>Location model input - competition/saturation context</x:v>
      </x:c>
      <x:c r="K3474" s="12" t="str">
        <x:v>Business count is from 2018 while population/context indicators are newer; use as a historical proxy, not a current market count.</x:v>
      </x:c>
    </x:row>
    <x:row r="3475">
      <x:c r="A3475" s="12" t="str">
        <x:v>9491</x:v>
      </x:c>
      <x:c r="B3475" s="12" t="str">
        <x:v>Activities of religious organizations</x:v>
      </x:c>
      <x:c r="C3475" s="12" t="str">
        <x:v>المفرق</x:v>
      </x:c>
      <x:c r="D3475" s="14" t="n">
        <x:v>10</x:v>
      </x:c>
      <x:c r="E3475" s="14" t="n">
        <x:f>VLOOKUP(C3475,'Governorate Master'!$A$2:$Q$13,3,FALSE)</x:f>
        <x:v>686800</x:v>
      </x:c>
      <x:c r="F3475" s="66" t="n">
        <x:f>IF(E3475=0,0,D3475/E3475*10000)</x:f>
        <x:v>0.145602795573675</x:v>
      </x:c>
      <x:c r="G3475" s="67" t="n">
        <x:f>VLOOKUP(C3475,'Governorate Master'!$A$2:$Q$13,7,FALSE)</x:f>
        <x:v>25.9</x:v>
      </x:c>
      <x:c r="H3475" s="20" t="n">
        <x:f>VLOOKUP(C3475,'Governorate Master'!$A$2:$Q$13,6,FALSE)</x:f>
        <x:v>0.6965637740244612</x:v>
      </x:c>
      <x:c r="I3475" s="20" t="n">
        <x:f>VLOOKUP(C3475,'Governorate Master'!$A$2:$Q$13,15,FALSE)</x:f>
        <x:v>-0.016638935108153077</x:v>
      </x:c>
      <x:c r="J3475" s="12" t="str">
        <x:v>Location model input - competition/saturation context</x:v>
      </x:c>
      <x:c r="K3475" s="12" t="str">
        <x:v>Business count is from 2018 while population/context indicators are newer; use as a historical proxy, not a current market count.</x:v>
      </x:c>
    </x:row>
    <x:row r="3476">
      <x:c r="A3476" s="12" t="str">
        <x:v>9491</x:v>
      </x:c>
      <x:c r="B3476" s="12" t="str">
        <x:v>Activities of religious organizations</x:v>
      </x:c>
      <x:c r="C3476" s="12" t="str">
        <x:v>جرش</x:v>
      </x:c>
      <x:c r="D3476" s="14" t="n">
        <x:v>3</x:v>
      </x:c>
      <x:c r="E3476" s="14" t="n">
        <x:f>VLOOKUP(C3476,'Governorate Master'!$A$2:$Q$13,3,FALSE)</x:f>
        <x:v>296000</x:v>
      </x:c>
      <x:c r="F3476" s="66" t="n">
        <x:f>IF(E3476=0,0,D3476/E3476*10000)</x:f>
        <x:v>0.10135135135135134</x:v>
      </x:c>
      <x:c r="G3476" s="67" t="n">
        <x:f>VLOOKUP(C3476,'Governorate Master'!$A$2:$Q$13,7,FALSE)</x:f>
        <x:v>722.3</x:v>
      </x:c>
      <x:c r="H3476" s="20" t="n">
        <x:f>VLOOKUP(C3476,'Governorate Master'!$A$2:$Q$13,6,FALSE)</x:f>
        <x:v>0.7695945945945946</x:v>
      </x:c>
      <x:c r="I3476" s="20" t="n">
        <x:f>VLOOKUP(C3476,'Governorate Master'!$A$2:$Q$13,15,FALSE)</x:f>
        <x:v>-0.06527415143603134</x:v>
      </x:c>
      <x:c r="J3476" s="12" t="str">
        <x:v>Location model input - competition/saturation context</x:v>
      </x:c>
      <x:c r="K3476" s="12" t="str">
        <x:v>Business count is from 2018 while population/context indicators are newer; use as a historical proxy, not a current market count.</x:v>
      </x:c>
    </x:row>
    <x:row r="3477">
      <x:c r="A3477" s="12" t="str">
        <x:v>9491</x:v>
      </x:c>
      <x:c r="B3477" s="12" t="str">
        <x:v>Activities of religious organizations</x:v>
      </x:c>
      <x:c r="C3477" s="12" t="str">
        <x:v>عجلون</x:v>
      </x:c>
      <x:c r="D3477" s="14" t="n">
        <x:v>5</x:v>
      </x:c>
      <x:c r="E3477" s="14" t="n">
        <x:f>VLOOKUP(C3477,'Governorate Master'!$A$2:$Q$13,3,FALSE)</x:f>
        <x:v>219900</x:v>
      </x:c>
      <x:c r="F3477" s="66" t="n">
        <x:f>IF(E3477=0,0,D3477/E3477*10000)</x:f>
        <x:v>0.22737608003638016</x:v>
      </x:c>
      <x:c r="G3477" s="67" t="n">
        <x:f>VLOOKUP(C3477,'Governorate Master'!$A$2:$Q$13,7,FALSE)</x:f>
        <x:v>524</x:v>
      </x:c>
      <x:c r="H3477" s="20" t="n">
        <x:f>VLOOKUP(C3477,'Governorate Master'!$A$2:$Q$13,6,FALSE)</x:f>
        <x:v>0.8390177353342428</x:v>
      </x:c>
      <x:c r="I3477" s="20" t="n">
        <x:f>VLOOKUP(C3477,'Governorate Master'!$A$2:$Q$13,15,FALSE)</x:f>
        <x:v>0.03614457831325301</x:v>
      </x:c>
      <x:c r="J3477" s="12" t="str">
        <x:v>Location model input - competition/saturation context</x:v>
      </x:c>
      <x:c r="K3477" s="12" t="str">
        <x:v>Business count is from 2018 while population/context indicators are newer; use as a historical proxy, not a current market count.</x:v>
      </x:c>
    </x:row>
    <x:row r="3478">
      <x:c r="A3478" s="12" t="str">
        <x:v>9491</x:v>
      </x:c>
      <x:c r="B3478" s="12" t="str">
        <x:v>Activities of religious organizations</x:v>
      </x:c>
      <x:c r="C3478" s="12" t="str">
        <x:v>الكرك</x:v>
      </x:c>
      <x:c r="D3478" s="14" t="n">
        <x:v>19</x:v>
      </x:c>
      <x:c r="E3478" s="14" t="n">
        <x:f>VLOOKUP(C3478,'Governorate Master'!$A$2:$Q$13,3,FALSE)</x:f>
        <x:v>395400</x:v>
      </x:c>
      <x:c r="F3478" s="66" t="n">
        <x:f>IF(E3478=0,0,D3478/E3478*10000)</x:f>
        <x:v>0.4805260495700556</x:v>
      </x:c>
      <x:c r="G3478" s="67" t="n">
        <x:f>VLOOKUP(C3478,'Governorate Master'!$A$2:$Q$13,7,FALSE)</x:f>
        <x:v>113.1</x:v>
      </x:c>
      <x:c r="H3478" s="20" t="n">
        <x:f>VLOOKUP(C3478,'Governorate Master'!$A$2:$Q$13,6,FALSE)</x:f>
        <x:v>0.5912999494183105</x:v>
      </x:c>
      <x:c r="I3478" s="20" t="n">
        <x:f>VLOOKUP(C3478,'Governorate Master'!$A$2:$Q$13,15,FALSE)</x:f>
        <x:v>0.08710801393728224</x:v>
      </x:c>
      <x:c r="J3478" s="12" t="str">
        <x:v>Location model input - competition/saturation context</x:v>
      </x:c>
      <x:c r="K3478" s="12" t="str">
        <x:v>Business count is from 2018 while population/context indicators are newer; use as a historical proxy, not a current market count.</x:v>
      </x:c>
    </x:row>
    <x:row r="3479">
      <x:c r="A3479" s="12" t="str">
        <x:v>9491</x:v>
      </x:c>
      <x:c r="B3479" s="12" t="str">
        <x:v>Activities of religious organizations</x:v>
      </x:c>
      <x:c r="C3479" s="12" t="str">
        <x:v>الطفيلة</x:v>
      </x:c>
      <x:c r="D3479" s="14" t="n">
        <x:v>4</x:v>
      </x:c>
      <x:c r="E3479" s="14" t="n">
        <x:f>VLOOKUP(C3479,'Governorate Master'!$A$2:$Q$13,3,FALSE)</x:f>
        <x:v>120300</x:v>
      </x:c>
      <x:c r="F3479" s="66" t="n">
        <x:f>IF(E3479=0,0,D3479/E3479*10000)</x:f>
        <x:v>0.3325020781379884</x:v>
      </x:c>
      <x:c r="G3479" s="67" t="n">
        <x:f>VLOOKUP(C3479,'Governorate Master'!$A$2:$Q$13,7,FALSE)</x:f>
        <x:v>54.4</x:v>
      </x:c>
      <x:c r="H3479" s="20" t="n">
        <x:f>VLOOKUP(C3479,'Governorate Master'!$A$2:$Q$13,6,FALSE)</x:f>
        <x:v>0.7797173732335827</x:v>
      </x:c>
      <x:c r="I3479" s="20" t="n">
        <x:f>VLOOKUP(C3479,'Governorate Master'!$A$2:$Q$13,15,FALSE)</x:f>
        <x:v>0.18452380952380953</x:v>
      </x:c>
      <x:c r="J3479" s="12" t="str">
        <x:v>Location model input - competition/saturation context</x:v>
      </x:c>
      <x:c r="K3479" s="12" t="str">
        <x:v>Business count is from 2018 while population/context indicators are newer; use as a historical proxy, not a current market count.</x:v>
      </x:c>
    </x:row>
    <x:row r="3480">
      <x:c r="A3480" s="12" t="str">
        <x:v>9491</x:v>
      </x:c>
      <x:c r="B3480" s="12" t="str">
        <x:v>Activities of religious organizations</x:v>
      </x:c>
      <x:c r="C3480" s="12" t="str">
        <x:v>معان</x:v>
      </x:c>
      <x:c r="D3480" s="14" t="n">
        <x:v>3</x:v>
      </x:c>
      <x:c r="E3480" s="14" t="n">
        <x:f>VLOOKUP(C3480,'Governorate Master'!$A$2:$Q$13,3,FALSE)</x:f>
        <x:v>197900</x:v>
      </x:c>
      <x:c r="F3480" s="66" t="n">
        <x:f>IF(E3480=0,0,D3480/E3480*10000)</x:f>
        <x:v>0.15159171298635674</x:v>
      </x:c>
      <x:c r="G3480" s="67" t="n">
        <x:f>VLOOKUP(C3480,'Governorate Master'!$A$2:$Q$13,7,FALSE)</x:f>
        <x:v>6</x:v>
      </x:c>
      <x:c r="H3480" s="20" t="n">
        <x:f>VLOOKUP(C3480,'Governorate Master'!$A$2:$Q$13,6,FALSE)</x:f>
        <x:v>0.5406771096513391</x:v>
      </x:c>
      <x:c r="I3480" s="20" t="n">
        <x:f>VLOOKUP(C3480,'Governorate Master'!$A$2:$Q$13,15,FALSE)</x:f>
        <x:v>0.026845637583892617</x:v>
      </x:c>
      <x:c r="J3480" s="12" t="str">
        <x:v>Location model input - competition/saturation context</x:v>
      </x:c>
      <x:c r="K3480" s="12" t="str">
        <x:v>Business count is from 2018 while population/context indicators are newer; use as a historical proxy, not a current market count.</x:v>
      </x:c>
    </x:row>
    <x:row r="3481">
      <x:c r="A3481" s="12" t="str">
        <x:v>9491</x:v>
      </x:c>
      <x:c r="B3481" s="12" t="str">
        <x:v>Activities of religious organizations</x:v>
      </x:c>
      <x:c r="C3481" s="12" t="str">
        <x:v>العقبة</x:v>
      </x:c>
      <x:c r="D3481" s="14" t="n">
        <x:v>7</x:v>
      </x:c>
      <x:c r="E3481" s="14" t="n">
        <x:f>VLOOKUP(C3481,'Governorate Master'!$A$2:$Q$13,3,FALSE)</x:f>
        <x:v>250900</x:v>
      </x:c>
      <x:c r="F3481" s="66" t="n">
        <x:f>IF(E3481=0,0,D3481/E3481*10000)</x:f>
        <x:v>0.27899561578318055</x:v>
      </x:c>
      <x:c r="G3481" s="67" t="n">
        <x:f>VLOOKUP(C3481,'Governorate Master'!$A$2:$Q$13,7,FALSE)</x:f>
        <x:v>36.3</x:v>
      </x:c>
      <x:c r="H3481" s="20" t="n">
        <x:f>VLOOKUP(C3481,'Governorate Master'!$A$2:$Q$13,6,FALSE)</x:f>
        <x:v>0.882024711040255</x:v>
      </x:c>
      <x:c r="I3481" s="20" t="n">
        <x:f>VLOOKUP(C3481,'Governorate Master'!$A$2:$Q$13,15,FALSE)</x:f>
        <x:v>-0.09</x:v>
      </x:c>
      <x:c r="J3481" s="12" t="str">
        <x:v>Location model input - competition/saturation context</x:v>
      </x:c>
      <x:c r="K3481" s="12" t="str">
        <x:v>Business count is from 2018 while population/context indicators are newer; use as a historical proxy, not a current market count.</x:v>
      </x:c>
    </x:row>
    <x:row r="3482">
      <x:c r="A3482" s="12" t="str">
        <x:v>9492</x:v>
      </x:c>
      <x:c r="B3482" s="12" t="str">
        <x:v>Activities of political organizations</x:v>
      </x:c>
      <x:c r="C3482" s="12" t="str">
        <x:v>عمان</x:v>
      </x:c>
      <x:c r="D3482" s="14" t="n">
        <x:v>23</x:v>
      </x:c>
      <x:c r="E3482" s="14" t="n">
        <x:f>VLOOKUP(C3482,'Governorate Master'!$A$2:$Q$13,3,FALSE)</x:f>
        <x:v>5004600</x:v>
      </x:c>
      <x:c r="F3482" s="66" t="n">
        <x:f>IF(E3482=0,0,D3482/E3482*10000)</x:f>
        <x:v>0.045957718898613276</x:v>
      </x:c>
      <x:c r="G3482" s="67" t="n">
        <x:f>VLOOKUP(C3482,'Governorate Master'!$A$2:$Q$13,7,FALSE)</x:f>
        <x:v>660.3</x:v>
      </x:c>
      <x:c r="H3482" s="20" t="n">
        <x:f>VLOOKUP(C3482,'Governorate Master'!$A$2:$Q$13,6,FALSE)</x:f>
        <x:v>0.9721656076409703</x:v>
      </x:c>
      <x:c r="I3482" s="20" t="n">
        <x:f>VLOOKUP(C3482,'Governorate Master'!$A$2:$Q$13,15,FALSE)</x:f>
        <x:v>0.06367041198501873</x:v>
      </x:c>
      <x:c r="J3482" s="12" t="str">
        <x:v>Location model input - competition/saturation context</x:v>
      </x:c>
      <x:c r="K3482" s="12" t="str">
        <x:v>Business count is from 2018 while population/context indicators are newer; use as a historical proxy, not a current market count.</x:v>
      </x:c>
    </x:row>
    <x:row r="3483">
      <x:c r="A3483" s="12" t="str">
        <x:v>9492</x:v>
      </x:c>
      <x:c r="B3483" s="12" t="str">
        <x:v>Activities of political organizations</x:v>
      </x:c>
      <x:c r="C3483" s="12" t="str">
        <x:v>البلقاء</x:v>
      </x:c>
      <x:c r="D3483" s="14" t="n">
        <x:v>6</x:v>
      </x:c>
      <x:c r="E3483" s="14" t="n">
        <x:f>VLOOKUP(C3483,'Governorate Master'!$A$2:$Q$13,3,FALSE)</x:f>
        <x:v>614000</x:v>
      </x:c>
      <x:c r="F3483" s="66" t="n">
        <x:f>IF(E3483=0,0,D3483/E3483*10000)</x:f>
        <x:v>0.09771986970684039</x:v>
      </x:c>
      <x:c r="G3483" s="67" t="n">
        <x:f>VLOOKUP(C3483,'Governorate Master'!$A$2:$Q$13,7,FALSE)</x:f>
        <x:v>548</x:v>
      </x:c>
      <x:c r="H3483" s="20" t="n">
        <x:f>VLOOKUP(C3483,'Governorate Master'!$A$2:$Q$13,6,FALSE)</x:f>
        <x:v>0.8210097719869707</x:v>
      </x:c>
      <x:c r="I3483" s="20" t="n">
        <x:f>VLOOKUP(C3483,'Governorate Master'!$A$2:$Q$13,15,FALSE)</x:f>
        <x:v>0.10794044665012408</x:v>
      </x:c>
      <x:c r="J3483" s="12" t="str">
        <x:v>Location model input - competition/saturation context</x:v>
      </x:c>
      <x:c r="K3483" s="12" t="str">
        <x:v>Business count is from 2018 while population/context indicators are newer; use as a historical proxy, not a current market count.</x:v>
      </x:c>
    </x:row>
    <x:row r="3484">
      <x:c r="A3484" s="12" t="str">
        <x:v>9492</x:v>
      </x:c>
      <x:c r="B3484" s="12" t="str">
        <x:v>Activities of political organizations</x:v>
      </x:c>
      <x:c r="C3484" s="12" t="str">
        <x:v>الزرقاء</x:v>
      </x:c>
      <x:c r="D3484" s="14" t="n">
        <x:v>1</x:v>
      </x:c>
      <x:c r="E3484" s="14" t="n">
        <x:f>VLOOKUP(C3484,'Governorate Master'!$A$2:$Q$13,3,FALSE)</x:f>
        <x:v>1704500</x:v>
      </x:c>
      <x:c r="F3484" s="66" t="n">
        <x:f>IF(E3484=0,0,D3484/E3484*10000)</x:f>
        <x:v>0.005866823115283074</x:v>
      </x:c>
      <x:c r="G3484" s="67" t="n">
        <x:f>VLOOKUP(C3484,'Governorate Master'!$A$2:$Q$13,7,FALSE)</x:f>
        <x:v>358</x:v>
      </x:c>
      <x:c r="H3484" s="20" t="n">
        <x:f>VLOOKUP(C3484,'Governorate Master'!$A$2:$Q$13,6,FALSE)</x:f>
        <x:v>0.9636256966852449</x:v>
      </x:c>
      <x:c r="I3484" s="20" t="n">
        <x:f>VLOOKUP(C3484,'Governorate Master'!$A$2:$Q$13,15,FALSE)</x:f>
        <x:v>-0.06808762581409118</x:v>
      </x:c>
      <x:c r="J3484" s="12" t="str">
        <x:v>Location model input - competition/saturation context</x:v>
      </x:c>
      <x:c r="K3484" s="12" t="str">
        <x:v>Business count is from 2018 while population/context indicators are newer; use as a historical proxy, not a current market count.</x:v>
      </x:c>
    </x:row>
    <x:row r="3485">
      <x:c r="A3485" s="12" t="str">
        <x:v>9492</x:v>
      </x:c>
      <x:c r="B3485" s="12" t="str">
        <x:v>Activities of political organizations</x:v>
      </x:c>
      <x:c r="C3485" s="12" t="str">
        <x:v>مادبا</x:v>
      </x:c>
      <x:c r="D3485" s="14" t="n">
        <x:v>0</x:v>
      </x:c>
      <x:c r="E3485" s="14" t="n">
        <x:f>VLOOKUP(C3485,'Governorate Master'!$A$2:$Q$13,3,FALSE)</x:f>
        <x:v>236200</x:v>
      </x:c>
      <x:c r="F3485" s="66" t="n">
        <x:f>IF(E3485=0,0,D3485/E3485*10000)</x:f>
        <x:v>0</x:v>
      </x:c>
      <x:c r="G3485" s="67" t="n">
        <x:f>VLOOKUP(C3485,'Governorate Master'!$A$2:$Q$13,7,FALSE)</x:f>
        <x:v>251.4</x:v>
      </x:c>
      <x:c r="H3485" s="20" t="n">
        <x:f>VLOOKUP(C3485,'Governorate Master'!$A$2:$Q$13,6,FALSE)</x:f>
        <x:v>0.7823878069432684</x:v>
      </x:c>
      <x:c r="I3485" s="20" t="n">
        <x:f>VLOOKUP(C3485,'Governorate Master'!$A$2:$Q$13,15,FALSE)</x:f>
        <x:v>-0.18823529411764706</x:v>
      </x:c>
      <x:c r="J3485" s="12" t="str">
        <x:v>Location model input - competition/saturation context</x:v>
      </x:c>
      <x:c r="K3485" s="12" t="str">
        <x:v>Business count is from 2018 while population/context indicators are newer; use as a historical proxy, not a current market count.</x:v>
      </x:c>
    </x:row>
    <x:row r="3486">
      <x:c r="A3486" s="12" t="str">
        <x:v>9492</x:v>
      </x:c>
      <x:c r="B3486" s="12" t="str">
        <x:v>Activities of political organizations</x:v>
      </x:c>
      <x:c r="C3486" s="12" t="str">
        <x:v>إربد</x:v>
      </x:c>
      <x:c r="D3486" s="14" t="n">
        <x:v>0</x:v>
      </x:c>
      <x:c r="E3486" s="14" t="n">
        <x:f>VLOOKUP(C3486,'Governorate Master'!$A$2:$Q$13,3,FALSE)</x:f>
        <x:v>2210500</x:v>
      </x:c>
      <x:c r="F3486" s="66" t="n">
        <x:f>IF(E3486=0,0,D3486/E3486*10000)</x:f>
        <x:v>0</x:v>
      </x:c>
      <x:c r="G3486" s="67" t="n">
        <x:f>VLOOKUP(C3486,'Governorate Master'!$A$2:$Q$13,7,FALSE)</x:f>
        <x:v>1406.4</x:v>
      </x:c>
      <x:c r="H3486" s="20" t="n">
        <x:f>VLOOKUP(C3486,'Governorate Master'!$A$2:$Q$13,6,FALSE)</x:f>
        <x:v>0.9235014702555983</x:v>
      </x:c>
      <x:c r="I3486" s="20" t="n">
        <x:f>VLOOKUP(C3486,'Governorate Master'!$A$2:$Q$13,15,FALSE)</x:f>
        <x:v>0.07086922474549726</x:v>
      </x:c>
      <x:c r="J3486" s="12" t="str">
        <x:v>Location model input - competition/saturation context</x:v>
      </x:c>
      <x:c r="K3486" s="12" t="str">
        <x:v>Business count is from 2018 while population/context indicators are newer; use as a historical proxy, not a current market count.</x:v>
      </x:c>
    </x:row>
    <x:row r="3487">
      <x:c r="A3487" s="12" t="str">
        <x:v>9492</x:v>
      </x:c>
      <x:c r="B3487" s="12" t="str">
        <x:v>Activities of political organizations</x:v>
      </x:c>
      <x:c r="C3487" s="12" t="str">
        <x:v>المفرق</x:v>
      </x:c>
      <x:c r="D3487" s="14" t="n">
        <x:v>0</x:v>
      </x:c>
      <x:c r="E3487" s="14" t="n">
        <x:f>VLOOKUP(C3487,'Governorate Master'!$A$2:$Q$13,3,FALSE)</x:f>
        <x:v>686800</x:v>
      </x:c>
      <x:c r="F3487" s="66" t="n">
        <x:f>IF(E3487=0,0,D3487/E3487*10000)</x:f>
        <x:v>0</x:v>
      </x:c>
      <x:c r="G3487" s="67" t="n">
        <x:f>VLOOKUP(C3487,'Governorate Master'!$A$2:$Q$13,7,FALSE)</x:f>
        <x:v>25.9</x:v>
      </x:c>
      <x:c r="H3487" s="20" t="n">
        <x:f>VLOOKUP(C3487,'Governorate Master'!$A$2:$Q$13,6,FALSE)</x:f>
        <x:v>0.6965637740244612</x:v>
      </x:c>
      <x:c r="I3487" s="20" t="n">
        <x:f>VLOOKUP(C3487,'Governorate Master'!$A$2:$Q$13,15,FALSE)</x:f>
        <x:v>-0.016638935108153077</x:v>
      </x:c>
      <x:c r="J3487" s="12" t="str">
        <x:v>Location model input - competition/saturation context</x:v>
      </x:c>
      <x:c r="K3487" s="12" t="str">
        <x:v>Business count is from 2018 while population/context indicators are newer; use as a historical proxy, not a current market count.</x:v>
      </x:c>
    </x:row>
    <x:row r="3488">
      <x:c r="A3488" s="12" t="str">
        <x:v>9492</x:v>
      </x:c>
      <x:c r="B3488" s="12" t="str">
        <x:v>Activities of political organizations</x:v>
      </x:c>
      <x:c r="C3488" s="12" t="str">
        <x:v>جرش</x:v>
      </x:c>
      <x:c r="D3488" s="14" t="n">
        <x:v>0</x:v>
      </x:c>
      <x:c r="E3488" s="14" t="n">
        <x:f>VLOOKUP(C3488,'Governorate Master'!$A$2:$Q$13,3,FALSE)</x:f>
        <x:v>296000</x:v>
      </x:c>
      <x:c r="F3488" s="66" t="n">
        <x:f>IF(E3488=0,0,D3488/E3488*10000)</x:f>
        <x:v>0</x:v>
      </x:c>
      <x:c r="G3488" s="67" t="n">
        <x:f>VLOOKUP(C3488,'Governorate Master'!$A$2:$Q$13,7,FALSE)</x:f>
        <x:v>722.3</x:v>
      </x:c>
      <x:c r="H3488" s="20" t="n">
        <x:f>VLOOKUP(C3488,'Governorate Master'!$A$2:$Q$13,6,FALSE)</x:f>
        <x:v>0.7695945945945946</x:v>
      </x:c>
      <x:c r="I3488" s="20" t="n">
        <x:f>VLOOKUP(C3488,'Governorate Master'!$A$2:$Q$13,15,FALSE)</x:f>
        <x:v>-0.06527415143603134</x:v>
      </x:c>
      <x:c r="J3488" s="12" t="str">
        <x:v>Location model input - competition/saturation context</x:v>
      </x:c>
      <x:c r="K3488" s="12" t="str">
        <x:v>Business count is from 2018 while population/context indicators are newer; use as a historical proxy, not a current market count.</x:v>
      </x:c>
    </x:row>
    <x:row r="3489">
      <x:c r="A3489" s="12" t="str">
        <x:v>9492</x:v>
      </x:c>
      <x:c r="B3489" s="12" t="str">
        <x:v>Activities of political organizations</x:v>
      </x:c>
      <x:c r="C3489" s="12" t="str">
        <x:v>عجلون</x:v>
      </x:c>
      <x:c r="D3489" s="14" t="n">
        <x:v>1</x:v>
      </x:c>
      <x:c r="E3489" s="14" t="n">
        <x:f>VLOOKUP(C3489,'Governorate Master'!$A$2:$Q$13,3,FALSE)</x:f>
        <x:v>219900</x:v>
      </x:c>
      <x:c r="F3489" s="66" t="n">
        <x:f>IF(E3489=0,0,D3489/E3489*10000)</x:f>
        <x:v>0.04547521600727603</x:v>
      </x:c>
      <x:c r="G3489" s="67" t="n">
        <x:f>VLOOKUP(C3489,'Governorate Master'!$A$2:$Q$13,7,FALSE)</x:f>
        <x:v>524</x:v>
      </x:c>
      <x:c r="H3489" s="20" t="n">
        <x:f>VLOOKUP(C3489,'Governorate Master'!$A$2:$Q$13,6,FALSE)</x:f>
        <x:v>0.8390177353342428</x:v>
      </x:c>
      <x:c r="I3489" s="20" t="n">
        <x:f>VLOOKUP(C3489,'Governorate Master'!$A$2:$Q$13,15,FALSE)</x:f>
        <x:v>0.03614457831325301</x:v>
      </x:c>
      <x:c r="J3489" s="12" t="str">
        <x:v>Location model input - competition/saturation context</x:v>
      </x:c>
      <x:c r="K3489" s="12" t="str">
        <x:v>Business count is from 2018 while population/context indicators are newer; use as a historical proxy, not a current market count.</x:v>
      </x:c>
    </x:row>
    <x:row r="3490">
      <x:c r="A3490" s="12" t="str">
        <x:v>9492</x:v>
      </x:c>
      <x:c r="B3490" s="12" t="str">
        <x:v>Activities of political organizations</x:v>
      </x:c>
      <x:c r="C3490" s="12" t="str">
        <x:v>الكرك</x:v>
      </x:c>
      <x:c r="D3490" s="14" t="n">
        <x:v>0</x:v>
      </x:c>
      <x:c r="E3490" s="14" t="n">
        <x:f>VLOOKUP(C3490,'Governorate Master'!$A$2:$Q$13,3,FALSE)</x:f>
        <x:v>395400</x:v>
      </x:c>
      <x:c r="F3490" s="66" t="n">
        <x:f>IF(E3490=0,0,D3490/E3490*10000)</x:f>
        <x:v>0</x:v>
      </x:c>
      <x:c r="G3490" s="67" t="n">
        <x:f>VLOOKUP(C3490,'Governorate Master'!$A$2:$Q$13,7,FALSE)</x:f>
        <x:v>113.1</x:v>
      </x:c>
      <x:c r="H3490" s="20" t="n">
        <x:f>VLOOKUP(C3490,'Governorate Master'!$A$2:$Q$13,6,FALSE)</x:f>
        <x:v>0.5912999494183105</x:v>
      </x:c>
      <x:c r="I3490" s="20" t="n">
        <x:f>VLOOKUP(C3490,'Governorate Master'!$A$2:$Q$13,15,FALSE)</x:f>
        <x:v>0.08710801393728224</x:v>
      </x:c>
      <x:c r="J3490" s="12" t="str">
        <x:v>Location model input - competition/saturation context</x:v>
      </x:c>
      <x:c r="K3490" s="12" t="str">
        <x:v>Business count is from 2018 while population/context indicators are newer; use as a historical proxy, not a current market count.</x:v>
      </x:c>
    </x:row>
    <x:row r="3491">
      <x:c r="A3491" s="12" t="str">
        <x:v>9492</x:v>
      </x:c>
      <x:c r="B3491" s="12" t="str">
        <x:v>Activities of political organizations</x:v>
      </x:c>
      <x:c r="C3491" s="12" t="str">
        <x:v>الطفيلة</x:v>
      </x:c>
      <x:c r="D3491" s="14" t="n">
        <x:v>0</x:v>
      </x:c>
      <x:c r="E3491" s="14" t="n">
        <x:f>VLOOKUP(C3491,'Governorate Master'!$A$2:$Q$13,3,FALSE)</x:f>
        <x:v>120300</x:v>
      </x:c>
      <x:c r="F3491" s="66" t="n">
        <x:f>IF(E3491=0,0,D3491/E3491*10000)</x:f>
        <x:v>0</x:v>
      </x:c>
      <x:c r="G3491" s="67" t="n">
        <x:f>VLOOKUP(C3491,'Governorate Master'!$A$2:$Q$13,7,FALSE)</x:f>
        <x:v>54.4</x:v>
      </x:c>
      <x:c r="H3491" s="20" t="n">
        <x:f>VLOOKUP(C3491,'Governorate Master'!$A$2:$Q$13,6,FALSE)</x:f>
        <x:v>0.7797173732335827</x:v>
      </x:c>
      <x:c r="I3491" s="20" t="n">
        <x:f>VLOOKUP(C3491,'Governorate Master'!$A$2:$Q$13,15,FALSE)</x:f>
        <x:v>0.18452380952380953</x:v>
      </x:c>
      <x:c r="J3491" s="12" t="str">
        <x:v>Location model input - competition/saturation context</x:v>
      </x:c>
      <x:c r="K3491" s="12" t="str">
        <x:v>Business count is from 2018 while population/context indicators are newer; use as a historical proxy, not a current market count.</x:v>
      </x:c>
    </x:row>
    <x:row r="3492">
      <x:c r="A3492" s="12" t="str">
        <x:v>9492</x:v>
      </x:c>
      <x:c r="B3492" s="12" t="str">
        <x:v>Activities of political organizations</x:v>
      </x:c>
      <x:c r="C3492" s="12" t="str">
        <x:v>معان</x:v>
      </x:c>
      <x:c r="D3492" s="14" t="n">
        <x:v>0</x:v>
      </x:c>
      <x:c r="E3492" s="14" t="n">
        <x:f>VLOOKUP(C3492,'Governorate Master'!$A$2:$Q$13,3,FALSE)</x:f>
        <x:v>197900</x:v>
      </x:c>
      <x:c r="F3492" s="66" t="n">
        <x:f>IF(E3492=0,0,D3492/E3492*10000)</x:f>
        <x:v>0</x:v>
      </x:c>
      <x:c r="G3492" s="67" t="n">
        <x:f>VLOOKUP(C3492,'Governorate Master'!$A$2:$Q$13,7,FALSE)</x:f>
        <x:v>6</x:v>
      </x:c>
      <x:c r="H3492" s="20" t="n">
        <x:f>VLOOKUP(C3492,'Governorate Master'!$A$2:$Q$13,6,FALSE)</x:f>
        <x:v>0.5406771096513391</x:v>
      </x:c>
      <x:c r="I3492" s="20" t="n">
        <x:f>VLOOKUP(C3492,'Governorate Master'!$A$2:$Q$13,15,FALSE)</x:f>
        <x:v>0.026845637583892617</x:v>
      </x:c>
      <x:c r="J3492" s="12" t="str">
        <x:v>Location model input - competition/saturation context</x:v>
      </x:c>
      <x:c r="K3492" s="12" t="str">
        <x:v>Business count is from 2018 while population/context indicators are newer; use as a historical proxy, not a current market count.</x:v>
      </x:c>
    </x:row>
    <x:row r="3493">
      <x:c r="A3493" s="12" t="str">
        <x:v>9492</x:v>
      </x:c>
      <x:c r="B3493" s="12" t="str">
        <x:v>Activities of political organizations</x:v>
      </x:c>
      <x:c r="C3493" s="12" t="str">
        <x:v>العقبة</x:v>
      </x:c>
      <x:c r="D3493" s="14" t="n">
        <x:v>1</x:v>
      </x:c>
      <x:c r="E3493" s="14" t="n">
        <x:f>VLOOKUP(C3493,'Governorate Master'!$A$2:$Q$13,3,FALSE)</x:f>
        <x:v>250900</x:v>
      </x:c>
      <x:c r="F3493" s="66" t="n">
        <x:f>IF(E3493=0,0,D3493/E3493*10000)</x:f>
        <x:v>0.03985651654045436</x:v>
      </x:c>
      <x:c r="G3493" s="67" t="n">
        <x:f>VLOOKUP(C3493,'Governorate Master'!$A$2:$Q$13,7,FALSE)</x:f>
        <x:v>36.3</x:v>
      </x:c>
      <x:c r="H3493" s="20" t="n">
        <x:f>VLOOKUP(C3493,'Governorate Master'!$A$2:$Q$13,6,FALSE)</x:f>
        <x:v>0.882024711040255</x:v>
      </x:c>
      <x:c r="I3493" s="20" t="n">
        <x:f>VLOOKUP(C3493,'Governorate Master'!$A$2:$Q$13,15,FALSE)</x:f>
        <x:v>-0.09</x:v>
      </x:c>
      <x:c r="J3493" s="12" t="str">
        <x:v>Location model input - competition/saturation context</x:v>
      </x:c>
      <x:c r="K3493" s="12" t="str">
        <x:v>Business count is from 2018 while population/context indicators are newer; use as a historical proxy, not a current market count.</x:v>
      </x:c>
    </x:row>
    <x:row r="3494">
      <x:c r="A3494" s="12" t="str">
        <x:v>9499</x:v>
      </x:c>
      <x:c r="B3494" s="12" t="str">
        <x:v>Activities of other membership organizations n.e.c.</x:v>
      </x:c>
      <x:c r="C3494" s="12" t="str">
        <x:v>عمان</x:v>
      </x:c>
      <x:c r="D3494" s="14" t="n">
        <x:v>23</x:v>
      </x:c>
      <x:c r="E3494" s="14" t="n">
        <x:f>VLOOKUP(C3494,'Governorate Master'!$A$2:$Q$13,3,FALSE)</x:f>
        <x:v>5004600</x:v>
      </x:c>
      <x:c r="F3494" s="66" t="n">
        <x:f>IF(E3494=0,0,D3494/E3494*10000)</x:f>
        <x:v>0.045957718898613276</x:v>
      </x:c>
      <x:c r="G3494" s="67" t="n">
        <x:f>VLOOKUP(C3494,'Governorate Master'!$A$2:$Q$13,7,FALSE)</x:f>
        <x:v>660.3</x:v>
      </x:c>
      <x:c r="H3494" s="20" t="n">
        <x:f>VLOOKUP(C3494,'Governorate Master'!$A$2:$Q$13,6,FALSE)</x:f>
        <x:v>0.9721656076409703</x:v>
      </x:c>
      <x:c r="I3494" s="20" t="n">
        <x:f>VLOOKUP(C3494,'Governorate Master'!$A$2:$Q$13,15,FALSE)</x:f>
        <x:v>0.06367041198501873</x:v>
      </x:c>
      <x:c r="J3494" s="12" t="str">
        <x:v>Location model input - competition/saturation context</x:v>
      </x:c>
      <x:c r="K3494" s="12" t="str">
        <x:v>Business count is from 2018 while population/context indicators are newer; use as a historical proxy, not a current market count.</x:v>
      </x:c>
    </x:row>
    <x:row r="3495">
      <x:c r="A3495" s="12" t="str">
        <x:v>9499</x:v>
      </x:c>
      <x:c r="B3495" s="12" t="str">
        <x:v>Activities of other membership organizations n.e.c.</x:v>
      </x:c>
      <x:c r="C3495" s="12" t="str">
        <x:v>البلقاء</x:v>
      </x:c>
      <x:c r="D3495" s="14" t="n">
        <x:v>0</x:v>
      </x:c>
      <x:c r="E3495" s="14" t="n">
        <x:f>VLOOKUP(C3495,'Governorate Master'!$A$2:$Q$13,3,FALSE)</x:f>
        <x:v>614000</x:v>
      </x:c>
      <x:c r="F3495" s="66" t="n">
        <x:f>IF(E3495=0,0,D3495/E3495*10000)</x:f>
        <x:v>0</x:v>
      </x:c>
      <x:c r="G3495" s="67" t="n">
        <x:f>VLOOKUP(C3495,'Governorate Master'!$A$2:$Q$13,7,FALSE)</x:f>
        <x:v>548</x:v>
      </x:c>
      <x:c r="H3495" s="20" t="n">
        <x:f>VLOOKUP(C3495,'Governorate Master'!$A$2:$Q$13,6,FALSE)</x:f>
        <x:v>0.8210097719869707</x:v>
      </x:c>
      <x:c r="I3495" s="20" t="n">
        <x:f>VLOOKUP(C3495,'Governorate Master'!$A$2:$Q$13,15,FALSE)</x:f>
        <x:v>0.10794044665012408</x:v>
      </x:c>
      <x:c r="J3495" s="12" t="str">
        <x:v>Location model input - competition/saturation context</x:v>
      </x:c>
      <x:c r="K3495" s="12" t="str">
        <x:v>Business count is from 2018 while population/context indicators are newer; use as a historical proxy, not a current market count.</x:v>
      </x:c>
    </x:row>
    <x:row r="3496">
      <x:c r="A3496" s="12" t="str">
        <x:v>9499</x:v>
      </x:c>
      <x:c r="B3496" s="12" t="str">
        <x:v>Activities of other membership organizations n.e.c.</x:v>
      </x:c>
      <x:c r="C3496" s="12" t="str">
        <x:v>الزرقاء</x:v>
      </x:c>
      <x:c r="D3496" s="14" t="n">
        <x:v>0</x:v>
      </x:c>
      <x:c r="E3496" s="14" t="n">
        <x:f>VLOOKUP(C3496,'Governorate Master'!$A$2:$Q$13,3,FALSE)</x:f>
        <x:v>1704500</x:v>
      </x:c>
      <x:c r="F3496" s="66" t="n">
        <x:f>IF(E3496=0,0,D3496/E3496*10000)</x:f>
        <x:v>0</x:v>
      </x:c>
      <x:c r="G3496" s="67" t="n">
        <x:f>VLOOKUP(C3496,'Governorate Master'!$A$2:$Q$13,7,FALSE)</x:f>
        <x:v>358</x:v>
      </x:c>
      <x:c r="H3496" s="20" t="n">
        <x:f>VLOOKUP(C3496,'Governorate Master'!$A$2:$Q$13,6,FALSE)</x:f>
        <x:v>0.9636256966852449</x:v>
      </x:c>
      <x:c r="I3496" s="20" t="n">
        <x:f>VLOOKUP(C3496,'Governorate Master'!$A$2:$Q$13,15,FALSE)</x:f>
        <x:v>-0.06808762581409118</x:v>
      </x:c>
      <x:c r="J3496" s="12" t="str">
        <x:v>Location model input - competition/saturation context</x:v>
      </x:c>
      <x:c r="K3496" s="12" t="str">
        <x:v>Business count is from 2018 while population/context indicators are newer; use as a historical proxy, not a current market count.</x:v>
      </x:c>
    </x:row>
    <x:row r="3497">
      <x:c r="A3497" s="12" t="str">
        <x:v>9499</x:v>
      </x:c>
      <x:c r="B3497" s="12" t="str">
        <x:v>Activities of other membership organizations n.e.c.</x:v>
      </x:c>
      <x:c r="C3497" s="12" t="str">
        <x:v>مادبا</x:v>
      </x:c>
      <x:c r="D3497" s="14" t="n">
        <x:v>1</x:v>
      </x:c>
      <x:c r="E3497" s="14" t="n">
        <x:f>VLOOKUP(C3497,'Governorate Master'!$A$2:$Q$13,3,FALSE)</x:f>
        <x:v>236200</x:v>
      </x:c>
      <x:c r="F3497" s="66" t="n">
        <x:f>IF(E3497=0,0,D3497/E3497*10000)</x:f>
        <x:v>0.04233700254022015</x:v>
      </x:c>
      <x:c r="G3497" s="67" t="n">
        <x:f>VLOOKUP(C3497,'Governorate Master'!$A$2:$Q$13,7,FALSE)</x:f>
        <x:v>251.4</x:v>
      </x:c>
      <x:c r="H3497" s="20" t="n">
        <x:f>VLOOKUP(C3497,'Governorate Master'!$A$2:$Q$13,6,FALSE)</x:f>
        <x:v>0.7823878069432684</x:v>
      </x:c>
      <x:c r="I3497" s="20" t="n">
        <x:f>VLOOKUP(C3497,'Governorate Master'!$A$2:$Q$13,15,FALSE)</x:f>
        <x:v>-0.18823529411764706</x:v>
      </x:c>
      <x:c r="J3497" s="12" t="str">
        <x:v>Location model input - competition/saturation context</x:v>
      </x:c>
      <x:c r="K3497" s="12" t="str">
        <x:v>Business count is from 2018 while population/context indicators are newer; use as a historical proxy, not a current market count.</x:v>
      </x:c>
    </x:row>
    <x:row r="3498">
      <x:c r="A3498" s="12" t="str">
        <x:v>9499</x:v>
      </x:c>
      <x:c r="B3498" s="12" t="str">
        <x:v>Activities of other membership organizations n.e.c.</x:v>
      </x:c>
      <x:c r="C3498" s="12" t="str">
        <x:v>إربد</x:v>
      </x:c>
      <x:c r="D3498" s="14" t="n">
        <x:v>0</x:v>
      </x:c>
      <x:c r="E3498" s="14" t="n">
        <x:f>VLOOKUP(C3498,'Governorate Master'!$A$2:$Q$13,3,FALSE)</x:f>
        <x:v>2210500</x:v>
      </x:c>
      <x:c r="F3498" s="66" t="n">
        <x:f>IF(E3498=0,0,D3498/E3498*10000)</x:f>
        <x:v>0</x:v>
      </x:c>
      <x:c r="G3498" s="67" t="n">
        <x:f>VLOOKUP(C3498,'Governorate Master'!$A$2:$Q$13,7,FALSE)</x:f>
        <x:v>1406.4</x:v>
      </x:c>
      <x:c r="H3498" s="20" t="n">
        <x:f>VLOOKUP(C3498,'Governorate Master'!$A$2:$Q$13,6,FALSE)</x:f>
        <x:v>0.9235014702555983</x:v>
      </x:c>
      <x:c r="I3498" s="20" t="n">
        <x:f>VLOOKUP(C3498,'Governorate Master'!$A$2:$Q$13,15,FALSE)</x:f>
        <x:v>0.07086922474549726</x:v>
      </x:c>
      <x:c r="J3498" s="12" t="str">
        <x:v>Location model input - competition/saturation context</x:v>
      </x:c>
      <x:c r="K3498" s="12" t="str">
        <x:v>Business count is from 2018 while population/context indicators are newer; use as a historical proxy, not a current market count.</x:v>
      </x:c>
    </x:row>
    <x:row r="3499">
      <x:c r="A3499" s="12" t="str">
        <x:v>9499</x:v>
      </x:c>
      <x:c r="B3499" s="12" t="str">
        <x:v>Activities of other membership organizations n.e.c.</x:v>
      </x:c>
      <x:c r="C3499" s="12" t="str">
        <x:v>المفرق</x:v>
      </x:c>
      <x:c r="D3499" s="14" t="n">
        <x:v>0</x:v>
      </x:c>
      <x:c r="E3499" s="14" t="n">
        <x:f>VLOOKUP(C3499,'Governorate Master'!$A$2:$Q$13,3,FALSE)</x:f>
        <x:v>686800</x:v>
      </x:c>
      <x:c r="F3499" s="66" t="n">
        <x:f>IF(E3499=0,0,D3499/E3499*10000)</x:f>
        <x:v>0</x:v>
      </x:c>
      <x:c r="G3499" s="67" t="n">
        <x:f>VLOOKUP(C3499,'Governorate Master'!$A$2:$Q$13,7,FALSE)</x:f>
        <x:v>25.9</x:v>
      </x:c>
      <x:c r="H3499" s="20" t="n">
        <x:f>VLOOKUP(C3499,'Governorate Master'!$A$2:$Q$13,6,FALSE)</x:f>
        <x:v>0.6965637740244612</x:v>
      </x:c>
      <x:c r="I3499" s="20" t="n">
        <x:f>VLOOKUP(C3499,'Governorate Master'!$A$2:$Q$13,15,FALSE)</x:f>
        <x:v>-0.016638935108153077</x:v>
      </x:c>
      <x:c r="J3499" s="12" t="str">
        <x:v>Location model input - competition/saturation context</x:v>
      </x:c>
      <x:c r="K3499" s="12" t="str">
        <x:v>Business count is from 2018 while population/context indicators are newer; use as a historical proxy, not a current market count.</x:v>
      </x:c>
    </x:row>
    <x:row r="3500">
      <x:c r="A3500" s="12" t="str">
        <x:v>9499</x:v>
      </x:c>
      <x:c r="B3500" s="12" t="str">
        <x:v>Activities of other membership organizations n.e.c.</x:v>
      </x:c>
      <x:c r="C3500" s="12" t="str">
        <x:v>جرش</x:v>
      </x:c>
      <x:c r="D3500" s="14" t="n">
        <x:v>1</x:v>
      </x:c>
      <x:c r="E3500" s="14" t="n">
        <x:f>VLOOKUP(C3500,'Governorate Master'!$A$2:$Q$13,3,FALSE)</x:f>
        <x:v>296000</x:v>
      </x:c>
      <x:c r="F3500" s="66" t="n">
        <x:f>IF(E3500=0,0,D3500/E3500*10000)</x:f>
        <x:v>0.033783783783783786</x:v>
      </x:c>
      <x:c r="G3500" s="67" t="n">
        <x:f>VLOOKUP(C3500,'Governorate Master'!$A$2:$Q$13,7,FALSE)</x:f>
        <x:v>722.3</x:v>
      </x:c>
      <x:c r="H3500" s="20" t="n">
        <x:f>VLOOKUP(C3500,'Governorate Master'!$A$2:$Q$13,6,FALSE)</x:f>
        <x:v>0.7695945945945946</x:v>
      </x:c>
      <x:c r="I3500" s="20" t="n">
        <x:f>VLOOKUP(C3500,'Governorate Master'!$A$2:$Q$13,15,FALSE)</x:f>
        <x:v>-0.06527415143603134</x:v>
      </x:c>
      <x:c r="J3500" s="12" t="str">
        <x:v>Location model input - competition/saturation context</x:v>
      </x:c>
      <x:c r="K3500" s="12" t="str">
        <x:v>Business count is from 2018 while population/context indicators are newer; use as a historical proxy, not a current market count.</x:v>
      </x:c>
    </x:row>
    <x:row r="3501">
      <x:c r="A3501" s="12" t="str">
        <x:v>9499</x:v>
      </x:c>
      <x:c r="B3501" s="12" t="str">
        <x:v>Activities of other membership organizations n.e.c.</x:v>
      </x:c>
      <x:c r="C3501" s="12" t="str">
        <x:v>عجلون</x:v>
      </x:c>
      <x:c r="D3501" s="14" t="n">
        <x:v>1</x:v>
      </x:c>
      <x:c r="E3501" s="14" t="n">
        <x:f>VLOOKUP(C3501,'Governorate Master'!$A$2:$Q$13,3,FALSE)</x:f>
        <x:v>219900</x:v>
      </x:c>
      <x:c r="F3501" s="66" t="n">
        <x:f>IF(E3501=0,0,D3501/E3501*10000)</x:f>
        <x:v>0.04547521600727603</x:v>
      </x:c>
      <x:c r="G3501" s="67" t="n">
        <x:f>VLOOKUP(C3501,'Governorate Master'!$A$2:$Q$13,7,FALSE)</x:f>
        <x:v>524</x:v>
      </x:c>
      <x:c r="H3501" s="20" t="n">
        <x:f>VLOOKUP(C3501,'Governorate Master'!$A$2:$Q$13,6,FALSE)</x:f>
        <x:v>0.8390177353342428</x:v>
      </x:c>
      <x:c r="I3501" s="20" t="n">
        <x:f>VLOOKUP(C3501,'Governorate Master'!$A$2:$Q$13,15,FALSE)</x:f>
        <x:v>0.03614457831325301</x:v>
      </x:c>
      <x:c r="J3501" s="12" t="str">
        <x:v>Location model input - competition/saturation context</x:v>
      </x:c>
      <x:c r="K3501" s="12" t="str">
        <x:v>Business count is from 2018 while population/context indicators are newer; use as a historical proxy, not a current market count.</x:v>
      </x:c>
    </x:row>
    <x:row r="3502">
      <x:c r="A3502" s="12" t="str">
        <x:v>9499</x:v>
      </x:c>
      <x:c r="B3502" s="12" t="str">
        <x:v>Activities of other membership organizations n.e.c.</x:v>
      </x:c>
      <x:c r="C3502" s="12" t="str">
        <x:v>الكرك</x:v>
      </x:c>
      <x:c r="D3502" s="14" t="n">
        <x:v>1</x:v>
      </x:c>
      <x:c r="E3502" s="14" t="n">
        <x:f>VLOOKUP(C3502,'Governorate Master'!$A$2:$Q$13,3,FALSE)</x:f>
        <x:v>395400</x:v>
      </x:c>
      <x:c r="F3502" s="66" t="n">
        <x:f>IF(E3502=0,0,D3502/E3502*10000)</x:f>
        <x:v>0.025290844714213452</x:v>
      </x:c>
      <x:c r="G3502" s="67" t="n">
        <x:f>VLOOKUP(C3502,'Governorate Master'!$A$2:$Q$13,7,FALSE)</x:f>
        <x:v>113.1</x:v>
      </x:c>
      <x:c r="H3502" s="20" t="n">
        <x:f>VLOOKUP(C3502,'Governorate Master'!$A$2:$Q$13,6,FALSE)</x:f>
        <x:v>0.5912999494183105</x:v>
      </x:c>
      <x:c r="I3502" s="20" t="n">
        <x:f>VLOOKUP(C3502,'Governorate Master'!$A$2:$Q$13,15,FALSE)</x:f>
        <x:v>0.08710801393728224</x:v>
      </x:c>
      <x:c r="J3502" s="12" t="str">
        <x:v>Location model input - competition/saturation context</x:v>
      </x:c>
      <x:c r="K3502" s="12" t="str">
        <x:v>Business count is from 2018 while population/context indicators are newer; use as a historical proxy, not a current market count.</x:v>
      </x:c>
    </x:row>
    <x:row r="3503">
      <x:c r="A3503" s="12" t="str">
        <x:v>9499</x:v>
      </x:c>
      <x:c r="B3503" s="12" t="str">
        <x:v>Activities of other membership organizations n.e.c.</x:v>
      </x:c>
      <x:c r="C3503" s="12" t="str">
        <x:v>الطفيلة</x:v>
      </x:c>
      <x:c r="D3503" s="14" t="n">
        <x:v>0</x:v>
      </x:c>
      <x:c r="E3503" s="14" t="n">
        <x:f>VLOOKUP(C3503,'Governorate Master'!$A$2:$Q$13,3,FALSE)</x:f>
        <x:v>120300</x:v>
      </x:c>
      <x:c r="F3503" s="66" t="n">
        <x:f>IF(E3503=0,0,D3503/E3503*10000)</x:f>
        <x:v>0</x:v>
      </x:c>
      <x:c r="G3503" s="67" t="n">
        <x:f>VLOOKUP(C3503,'Governorate Master'!$A$2:$Q$13,7,FALSE)</x:f>
        <x:v>54.4</x:v>
      </x:c>
      <x:c r="H3503" s="20" t="n">
        <x:f>VLOOKUP(C3503,'Governorate Master'!$A$2:$Q$13,6,FALSE)</x:f>
        <x:v>0.7797173732335827</x:v>
      </x:c>
      <x:c r="I3503" s="20" t="n">
        <x:f>VLOOKUP(C3503,'Governorate Master'!$A$2:$Q$13,15,FALSE)</x:f>
        <x:v>0.18452380952380953</x:v>
      </x:c>
      <x:c r="J3503" s="12" t="str">
        <x:v>Location model input - competition/saturation context</x:v>
      </x:c>
      <x:c r="K3503" s="12" t="str">
        <x:v>Business count is from 2018 while population/context indicators are newer; use as a historical proxy, not a current market count.</x:v>
      </x:c>
    </x:row>
    <x:row r="3504">
      <x:c r="A3504" s="12" t="str">
        <x:v>9499</x:v>
      </x:c>
      <x:c r="B3504" s="12" t="str">
        <x:v>Activities of other membership organizations n.e.c.</x:v>
      </x:c>
      <x:c r="C3504" s="12" t="str">
        <x:v>معان</x:v>
      </x:c>
      <x:c r="D3504" s="14" t="n">
        <x:v>1</x:v>
      </x:c>
      <x:c r="E3504" s="14" t="n">
        <x:f>VLOOKUP(C3504,'Governorate Master'!$A$2:$Q$13,3,FALSE)</x:f>
        <x:v>197900</x:v>
      </x:c>
      <x:c r="F3504" s="66" t="n">
        <x:f>IF(E3504=0,0,D3504/E3504*10000)</x:f>
        <x:v>0.05053057099545225</x:v>
      </x:c>
      <x:c r="G3504" s="67" t="n">
        <x:f>VLOOKUP(C3504,'Governorate Master'!$A$2:$Q$13,7,FALSE)</x:f>
        <x:v>6</x:v>
      </x:c>
      <x:c r="H3504" s="20" t="n">
        <x:f>VLOOKUP(C3504,'Governorate Master'!$A$2:$Q$13,6,FALSE)</x:f>
        <x:v>0.5406771096513391</x:v>
      </x:c>
      <x:c r="I3504" s="20" t="n">
        <x:f>VLOOKUP(C3504,'Governorate Master'!$A$2:$Q$13,15,FALSE)</x:f>
        <x:v>0.026845637583892617</x:v>
      </x:c>
      <x:c r="J3504" s="12" t="str">
        <x:v>Location model input - competition/saturation context</x:v>
      </x:c>
      <x:c r="K3504" s="12" t="str">
        <x:v>Business count is from 2018 while population/context indicators are newer; use as a historical proxy, not a current market count.</x:v>
      </x:c>
    </x:row>
    <x:row r="3505">
      <x:c r="A3505" s="12" t="str">
        <x:v>9499</x:v>
      </x:c>
      <x:c r="B3505" s="12" t="str">
        <x:v>Activities of other membership organizations n.e.c.</x:v>
      </x:c>
      <x:c r="C3505" s="12" t="str">
        <x:v>العقبة</x:v>
      </x:c>
      <x:c r="D3505" s="14" t="n">
        <x:v>2</x:v>
      </x:c>
      <x:c r="E3505" s="14" t="n">
        <x:f>VLOOKUP(C3505,'Governorate Master'!$A$2:$Q$13,3,FALSE)</x:f>
        <x:v>250900</x:v>
      </x:c>
      <x:c r="F3505" s="66" t="n">
        <x:f>IF(E3505=0,0,D3505/E3505*10000)</x:f>
        <x:v>0.07971303308090873</x:v>
      </x:c>
      <x:c r="G3505" s="67" t="n">
        <x:f>VLOOKUP(C3505,'Governorate Master'!$A$2:$Q$13,7,FALSE)</x:f>
        <x:v>36.3</x:v>
      </x:c>
      <x:c r="H3505" s="20" t="n">
        <x:f>VLOOKUP(C3505,'Governorate Master'!$A$2:$Q$13,6,FALSE)</x:f>
        <x:v>0.882024711040255</x:v>
      </x:c>
      <x:c r="I3505" s="20" t="n">
        <x:f>VLOOKUP(C3505,'Governorate Master'!$A$2:$Q$13,15,FALSE)</x:f>
        <x:v>-0.09</x:v>
      </x:c>
      <x:c r="J3505" s="12" t="str">
        <x:v>Location model input - competition/saturation context</x:v>
      </x:c>
      <x:c r="K3505" s="12" t="str">
        <x:v>Business count is from 2018 while population/context indicators are newer; use as a historical proxy, not a current market count.</x:v>
      </x:c>
    </x:row>
    <x:row r="3506">
      <x:c r="A3506" s="12" t="str">
        <x:v>9511</x:v>
      </x:c>
      <x:c r="B3506" s="12" t="str">
        <x:v>Repair of computers and peripheral equipment</x:v>
      </x:c>
      <x:c r="C3506" s="12" t="str">
        <x:v>عمان</x:v>
      </x:c>
      <x:c r="D3506" s="14" t="n">
        <x:v>102</x:v>
      </x:c>
      <x:c r="E3506" s="14" t="n">
        <x:f>VLOOKUP(C3506,'Governorate Master'!$A$2:$Q$13,3,FALSE)</x:f>
        <x:v>5004600</x:v>
      </x:c>
      <x:c r="F3506" s="66" t="n">
        <x:f>IF(E3506=0,0,D3506/E3506*10000)</x:f>
        <x:v>0.20381249250689368</x:v>
      </x:c>
      <x:c r="G3506" s="67" t="n">
        <x:f>VLOOKUP(C3506,'Governorate Master'!$A$2:$Q$13,7,FALSE)</x:f>
        <x:v>660.3</x:v>
      </x:c>
      <x:c r="H3506" s="20" t="n">
        <x:f>VLOOKUP(C3506,'Governorate Master'!$A$2:$Q$13,6,FALSE)</x:f>
        <x:v>0.9721656076409703</x:v>
      </x:c>
      <x:c r="I3506" s="20" t="n">
        <x:f>VLOOKUP(C3506,'Governorate Master'!$A$2:$Q$13,15,FALSE)</x:f>
        <x:v>0.06367041198501873</x:v>
      </x:c>
      <x:c r="J3506" s="12" t="str">
        <x:v>Location model input - competition/saturation context</x:v>
      </x:c>
      <x:c r="K3506" s="12" t="str">
        <x:v>Business count is from 2018 while population/context indicators are newer; use as a historical proxy, not a current market count.</x:v>
      </x:c>
    </x:row>
    <x:row r="3507">
      <x:c r="A3507" s="12" t="str">
        <x:v>9511</x:v>
      </x:c>
      <x:c r="B3507" s="12" t="str">
        <x:v>Repair of computers and peripheral equipment</x:v>
      </x:c>
      <x:c r="C3507" s="12" t="str">
        <x:v>البلقاء</x:v>
      </x:c>
      <x:c r="D3507" s="14" t="n">
        <x:v>19</x:v>
      </x:c>
      <x:c r="E3507" s="14" t="n">
        <x:f>VLOOKUP(C3507,'Governorate Master'!$A$2:$Q$13,3,FALSE)</x:f>
        <x:v>614000</x:v>
      </x:c>
      <x:c r="F3507" s="66" t="n">
        <x:f>IF(E3507=0,0,D3507/E3507*10000)</x:f>
        <x:v>0.30944625407166126</x:v>
      </x:c>
      <x:c r="G3507" s="67" t="n">
        <x:f>VLOOKUP(C3507,'Governorate Master'!$A$2:$Q$13,7,FALSE)</x:f>
        <x:v>548</x:v>
      </x:c>
      <x:c r="H3507" s="20" t="n">
        <x:f>VLOOKUP(C3507,'Governorate Master'!$A$2:$Q$13,6,FALSE)</x:f>
        <x:v>0.8210097719869707</x:v>
      </x:c>
      <x:c r="I3507" s="20" t="n">
        <x:f>VLOOKUP(C3507,'Governorate Master'!$A$2:$Q$13,15,FALSE)</x:f>
        <x:v>0.10794044665012408</x:v>
      </x:c>
      <x:c r="J3507" s="12" t="str">
        <x:v>Location model input - competition/saturation context</x:v>
      </x:c>
      <x:c r="K3507" s="12" t="str">
        <x:v>Business count is from 2018 while population/context indicators are newer; use as a historical proxy, not a current market count.</x:v>
      </x:c>
    </x:row>
    <x:row r="3508">
      <x:c r="A3508" s="12" t="str">
        <x:v>9511</x:v>
      </x:c>
      <x:c r="B3508" s="12" t="str">
        <x:v>Repair of computers and peripheral equipment</x:v>
      </x:c>
      <x:c r="C3508" s="12" t="str">
        <x:v>الزرقاء</x:v>
      </x:c>
      <x:c r="D3508" s="14" t="n">
        <x:v>51</x:v>
      </x:c>
      <x:c r="E3508" s="14" t="n">
        <x:f>VLOOKUP(C3508,'Governorate Master'!$A$2:$Q$13,3,FALSE)</x:f>
        <x:v>1704500</x:v>
      </x:c>
      <x:c r="F3508" s="66" t="n">
        <x:f>IF(E3508=0,0,D3508/E3508*10000)</x:f>
        <x:v>0.2992079788794368</x:v>
      </x:c>
      <x:c r="G3508" s="67" t="n">
        <x:f>VLOOKUP(C3508,'Governorate Master'!$A$2:$Q$13,7,FALSE)</x:f>
        <x:v>358</x:v>
      </x:c>
      <x:c r="H3508" s="20" t="n">
        <x:f>VLOOKUP(C3508,'Governorate Master'!$A$2:$Q$13,6,FALSE)</x:f>
        <x:v>0.9636256966852449</x:v>
      </x:c>
      <x:c r="I3508" s="20" t="n">
        <x:f>VLOOKUP(C3508,'Governorate Master'!$A$2:$Q$13,15,FALSE)</x:f>
        <x:v>-0.06808762581409118</x:v>
      </x:c>
      <x:c r="J3508" s="12" t="str">
        <x:v>Location model input - competition/saturation context</x:v>
      </x:c>
      <x:c r="K3508" s="12" t="str">
        <x:v>Business count is from 2018 while population/context indicators are newer; use as a historical proxy, not a current market count.</x:v>
      </x:c>
    </x:row>
    <x:row r="3509">
      <x:c r="A3509" s="12" t="str">
        <x:v>9511</x:v>
      </x:c>
      <x:c r="B3509" s="12" t="str">
        <x:v>Repair of computers and peripheral equipment</x:v>
      </x:c>
      <x:c r="C3509" s="12" t="str">
        <x:v>مادبا</x:v>
      </x:c>
      <x:c r="D3509" s="14" t="n">
        <x:v>1</x:v>
      </x:c>
      <x:c r="E3509" s="14" t="n">
        <x:f>VLOOKUP(C3509,'Governorate Master'!$A$2:$Q$13,3,FALSE)</x:f>
        <x:v>236200</x:v>
      </x:c>
      <x:c r="F3509" s="66" t="n">
        <x:f>IF(E3509=0,0,D3509/E3509*10000)</x:f>
        <x:v>0.04233700254022015</x:v>
      </x:c>
      <x:c r="G3509" s="67" t="n">
        <x:f>VLOOKUP(C3509,'Governorate Master'!$A$2:$Q$13,7,FALSE)</x:f>
        <x:v>251.4</x:v>
      </x:c>
      <x:c r="H3509" s="20" t="n">
        <x:f>VLOOKUP(C3509,'Governorate Master'!$A$2:$Q$13,6,FALSE)</x:f>
        <x:v>0.7823878069432684</x:v>
      </x:c>
      <x:c r="I3509" s="20" t="n">
        <x:f>VLOOKUP(C3509,'Governorate Master'!$A$2:$Q$13,15,FALSE)</x:f>
        <x:v>-0.18823529411764706</x:v>
      </x:c>
      <x:c r="J3509" s="12" t="str">
        <x:v>Location model input - competition/saturation context</x:v>
      </x:c>
      <x:c r="K3509" s="12" t="str">
        <x:v>Business count is from 2018 while population/context indicators are newer; use as a historical proxy, not a current market count.</x:v>
      </x:c>
    </x:row>
    <x:row r="3510">
      <x:c r="A3510" s="12" t="str">
        <x:v>9511</x:v>
      </x:c>
      <x:c r="B3510" s="12" t="str">
        <x:v>Repair of computers and peripheral equipment</x:v>
      </x:c>
      <x:c r="C3510" s="12" t="str">
        <x:v>إربد</x:v>
      </x:c>
      <x:c r="D3510" s="14" t="n">
        <x:v>43</x:v>
      </x:c>
      <x:c r="E3510" s="14" t="n">
        <x:f>VLOOKUP(C3510,'Governorate Master'!$A$2:$Q$13,3,FALSE)</x:f>
        <x:v>2210500</x:v>
      </x:c>
      <x:c r="F3510" s="66" t="n">
        <x:f>IF(E3510=0,0,D3510/E3510*10000)</x:f>
        <x:v>0.1945261253110156</x:v>
      </x:c>
      <x:c r="G3510" s="67" t="n">
        <x:f>VLOOKUP(C3510,'Governorate Master'!$A$2:$Q$13,7,FALSE)</x:f>
        <x:v>1406.4</x:v>
      </x:c>
      <x:c r="H3510" s="20" t="n">
        <x:f>VLOOKUP(C3510,'Governorate Master'!$A$2:$Q$13,6,FALSE)</x:f>
        <x:v>0.9235014702555983</x:v>
      </x:c>
      <x:c r="I3510" s="20" t="n">
        <x:f>VLOOKUP(C3510,'Governorate Master'!$A$2:$Q$13,15,FALSE)</x:f>
        <x:v>0.07086922474549726</x:v>
      </x:c>
      <x:c r="J3510" s="12" t="str">
        <x:v>Location model input - competition/saturation context</x:v>
      </x:c>
      <x:c r="K3510" s="12" t="str">
        <x:v>Business count is from 2018 while population/context indicators are newer; use as a historical proxy, not a current market count.</x:v>
      </x:c>
    </x:row>
    <x:row r="3511">
      <x:c r="A3511" s="12" t="str">
        <x:v>9511</x:v>
      </x:c>
      <x:c r="B3511" s="12" t="str">
        <x:v>Repair of computers and peripheral equipment</x:v>
      </x:c>
      <x:c r="C3511" s="12" t="str">
        <x:v>المفرق</x:v>
      </x:c>
      <x:c r="D3511" s="14" t="n">
        <x:v>8</x:v>
      </x:c>
      <x:c r="E3511" s="14" t="n">
        <x:f>VLOOKUP(C3511,'Governorate Master'!$A$2:$Q$13,3,FALSE)</x:f>
        <x:v>686800</x:v>
      </x:c>
      <x:c r="F3511" s="66" t="n">
        <x:f>IF(E3511=0,0,D3511/E3511*10000)</x:f>
        <x:v>0.11648223645894001</x:v>
      </x:c>
      <x:c r="G3511" s="67" t="n">
        <x:f>VLOOKUP(C3511,'Governorate Master'!$A$2:$Q$13,7,FALSE)</x:f>
        <x:v>25.9</x:v>
      </x:c>
      <x:c r="H3511" s="20" t="n">
        <x:f>VLOOKUP(C3511,'Governorate Master'!$A$2:$Q$13,6,FALSE)</x:f>
        <x:v>0.6965637740244612</x:v>
      </x:c>
      <x:c r="I3511" s="20" t="n">
        <x:f>VLOOKUP(C3511,'Governorate Master'!$A$2:$Q$13,15,FALSE)</x:f>
        <x:v>-0.016638935108153077</x:v>
      </x:c>
      <x:c r="J3511" s="12" t="str">
        <x:v>Location model input - competition/saturation context</x:v>
      </x:c>
      <x:c r="K3511" s="12" t="str">
        <x:v>Business count is from 2018 while population/context indicators are newer; use as a historical proxy, not a current market count.</x:v>
      </x:c>
    </x:row>
    <x:row r="3512">
      <x:c r="A3512" s="12" t="str">
        <x:v>9511</x:v>
      </x:c>
      <x:c r="B3512" s="12" t="str">
        <x:v>Repair of computers and peripheral equipment</x:v>
      </x:c>
      <x:c r="C3512" s="12" t="str">
        <x:v>جرش</x:v>
      </x:c>
      <x:c r="D3512" s="14" t="n">
        <x:v>7</x:v>
      </x:c>
      <x:c r="E3512" s="14" t="n">
        <x:f>VLOOKUP(C3512,'Governorate Master'!$A$2:$Q$13,3,FALSE)</x:f>
        <x:v>296000</x:v>
      </x:c>
      <x:c r="F3512" s="66" t="n">
        <x:f>IF(E3512=0,0,D3512/E3512*10000)</x:f>
        <x:v>0.23648648648648649</x:v>
      </x:c>
      <x:c r="G3512" s="67" t="n">
        <x:f>VLOOKUP(C3512,'Governorate Master'!$A$2:$Q$13,7,FALSE)</x:f>
        <x:v>722.3</x:v>
      </x:c>
      <x:c r="H3512" s="20" t="n">
        <x:f>VLOOKUP(C3512,'Governorate Master'!$A$2:$Q$13,6,FALSE)</x:f>
        <x:v>0.7695945945945946</x:v>
      </x:c>
      <x:c r="I3512" s="20" t="n">
        <x:f>VLOOKUP(C3512,'Governorate Master'!$A$2:$Q$13,15,FALSE)</x:f>
        <x:v>-0.06527415143603134</x:v>
      </x:c>
      <x:c r="J3512" s="12" t="str">
        <x:v>Location model input - competition/saturation context</x:v>
      </x:c>
      <x:c r="K3512" s="12" t="str">
        <x:v>Business count is from 2018 while population/context indicators are newer; use as a historical proxy, not a current market count.</x:v>
      </x:c>
    </x:row>
    <x:row r="3513">
      <x:c r="A3513" s="12" t="str">
        <x:v>9511</x:v>
      </x:c>
      <x:c r="B3513" s="12" t="str">
        <x:v>Repair of computers and peripheral equipment</x:v>
      </x:c>
      <x:c r="C3513" s="12" t="str">
        <x:v>عجلون</x:v>
      </x:c>
      <x:c r="D3513" s="14" t="n">
        <x:v>5</x:v>
      </x:c>
      <x:c r="E3513" s="14" t="n">
        <x:f>VLOOKUP(C3513,'Governorate Master'!$A$2:$Q$13,3,FALSE)</x:f>
        <x:v>219900</x:v>
      </x:c>
      <x:c r="F3513" s="66" t="n">
        <x:f>IF(E3513=0,0,D3513/E3513*10000)</x:f>
        <x:v>0.22737608003638016</x:v>
      </x:c>
      <x:c r="G3513" s="67" t="n">
        <x:f>VLOOKUP(C3513,'Governorate Master'!$A$2:$Q$13,7,FALSE)</x:f>
        <x:v>524</x:v>
      </x:c>
      <x:c r="H3513" s="20" t="n">
        <x:f>VLOOKUP(C3513,'Governorate Master'!$A$2:$Q$13,6,FALSE)</x:f>
        <x:v>0.8390177353342428</x:v>
      </x:c>
      <x:c r="I3513" s="20" t="n">
        <x:f>VLOOKUP(C3513,'Governorate Master'!$A$2:$Q$13,15,FALSE)</x:f>
        <x:v>0.03614457831325301</x:v>
      </x:c>
      <x:c r="J3513" s="12" t="str">
        <x:v>Location model input - competition/saturation context</x:v>
      </x:c>
      <x:c r="K3513" s="12" t="str">
        <x:v>Business count is from 2018 while population/context indicators are newer; use as a historical proxy, not a current market count.</x:v>
      </x:c>
    </x:row>
    <x:row r="3514">
      <x:c r="A3514" s="12" t="str">
        <x:v>9511</x:v>
      </x:c>
      <x:c r="B3514" s="12" t="str">
        <x:v>Repair of computers and peripheral equipment</x:v>
      </x:c>
      <x:c r="C3514" s="12" t="str">
        <x:v>الكرك</x:v>
      </x:c>
      <x:c r="D3514" s="14" t="n">
        <x:v>7</x:v>
      </x:c>
      <x:c r="E3514" s="14" t="n">
        <x:f>VLOOKUP(C3514,'Governorate Master'!$A$2:$Q$13,3,FALSE)</x:f>
        <x:v>395400</x:v>
      </x:c>
      <x:c r="F3514" s="66" t="n">
        <x:f>IF(E3514=0,0,D3514/E3514*10000)</x:f>
        <x:v>0.1770359129994942</x:v>
      </x:c>
      <x:c r="G3514" s="67" t="n">
        <x:f>VLOOKUP(C3514,'Governorate Master'!$A$2:$Q$13,7,FALSE)</x:f>
        <x:v>113.1</x:v>
      </x:c>
      <x:c r="H3514" s="20" t="n">
        <x:f>VLOOKUP(C3514,'Governorate Master'!$A$2:$Q$13,6,FALSE)</x:f>
        <x:v>0.5912999494183105</x:v>
      </x:c>
      <x:c r="I3514" s="20" t="n">
        <x:f>VLOOKUP(C3514,'Governorate Master'!$A$2:$Q$13,15,FALSE)</x:f>
        <x:v>0.08710801393728224</x:v>
      </x:c>
      <x:c r="J3514" s="12" t="str">
        <x:v>Location model input - competition/saturation context</x:v>
      </x:c>
      <x:c r="K3514" s="12" t="str">
        <x:v>Business count is from 2018 while population/context indicators are newer; use as a historical proxy, not a current market count.</x:v>
      </x:c>
    </x:row>
    <x:row r="3515">
      <x:c r="A3515" s="12" t="str">
        <x:v>9511</x:v>
      </x:c>
      <x:c r="B3515" s="12" t="str">
        <x:v>Repair of computers and peripheral equipment</x:v>
      </x:c>
      <x:c r="C3515" s="12" t="str">
        <x:v>الطفيلة</x:v>
      </x:c>
      <x:c r="D3515" s="14" t="n">
        <x:v>6</x:v>
      </x:c>
      <x:c r="E3515" s="14" t="n">
        <x:f>VLOOKUP(C3515,'Governorate Master'!$A$2:$Q$13,3,FALSE)</x:f>
        <x:v>120300</x:v>
      </x:c>
      <x:c r="F3515" s="66" t="n">
        <x:f>IF(E3515=0,0,D3515/E3515*10000)</x:f>
        <x:v>0.49875311720698257</x:v>
      </x:c>
      <x:c r="G3515" s="67" t="n">
        <x:f>VLOOKUP(C3515,'Governorate Master'!$A$2:$Q$13,7,FALSE)</x:f>
        <x:v>54.4</x:v>
      </x:c>
      <x:c r="H3515" s="20" t="n">
        <x:f>VLOOKUP(C3515,'Governorate Master'!$A$2:$Q$13,6,FALSE)</x:f>
        <x:v>0.7797173732335827</x:v>
      </x:c>
      <x:c r="I3515" s="20" t="n">
        <x:f>VLOOKUP(C3515,'Governorate Master'!$A$2:$Q$13,15,FALSE)</x:f>
        <x:v>0.18452380952380953</x:v>
      </x:c>
      <x:c r="J3515" s="12" t="str">
        <x:v>Location model input - competition/saturation context</x:v>
      </x:c>
      <x:c r="K3515" s="12" t="str">
        <x:v>Business count is from 2018 while population/context indicators are newer; use as a historical proxy, not a current market count.</x:v>
      </x:c>
    </x:row>
    <x:row r="3516">
      <x:c r="A3516" s="12" t="str">
        <x:v>9511</x:v>
      </x:c>
      <x:c r="B3516" s="12" t="str">
        <x:v>Repair of computers and peripheral equipment</x:v>
      </x:c>
      <x:c r="C3516" s="12" t="str">
        <x:v>معان</x:v>
      </x:c>
      <x:c r="D3516" s="14" t="n">
        <x:v>3</x:v>
      </x:c>
      <x:c r="E3516" s="14" t="n">
        <x:f>VLOOKUP(C3516,'Governorate Master'!$A$2:$Q$13,3,FALSE)</x:f>
        <x:v>197900</x:v>
      </x:c>
      <x:c r="F3516" s="66" t="n">
        <x:f>IF(E3516=0,0,D3516/E3516*10000)</x:f>
        <x:v>0.15159171298635674</x:v>
      </x:c>
      <x:c r="G3516" s="67" t="n">
        <x:f>VLOOKUP(C3516,'Governorate Master'!$A$2:$Q$13,7,FALSE)</x:f>
        <x:v>6</x:v>
      </x:c>
      <x:c r="H3516" s="20" t="n">
        <x:f>VLOOKUP(C3516,'Governorate Master'!$A$2:$Q$13,6,FALSE)</x:f>
        <x:v>0.5406771096513391</x:v>
      </x:c>
      <x:c r="I3516" s="20" t="n">
        <x:f>VLOOKUP(C3516,'Governorate Master'!$A$2:$Q$13,15,FALSE)</x:f>
        <x:v>0.026845637583892617</x:v>
      </x:c>
      <x:c r="J3516" s="12" t="str">
        <x:v>Location model input - competition/saturation context</x:v>
      </x:c>
      <x:c r="K3516" s="12" t="str">
        <x:v>Business count is from 2018 while population/context indicators are newer; use as a historical proxy, not a current market count.</x:v>
      </x:c>
    </x:row>
    <x:row r="3517">
      <x:c r="A3517" s="12" t="str">
        <x:v>9511</x:v>
      </x:c>
      <x:c r="B3517" s="12" t="str">
        <x:v>Repair of computers and peripheral equipment</x:v>
      </x:c>
      <x:c r="C3517" s="12" t="str">
        <x:v>العقبة</x:v>
      </x:c>
      <x:c r="D3517" s="14" t="n">
        <x:v>10</x:v>
      </x:c>
      <x:c r="E3517" s="14" t="n">
        <x:f>VLOOKUP(C3517,'Governorate Master'!$A$2:$Q$13,3,FALSE)</x:f>
        <x:v>250900</x:v>
      </x:c>
      <x:c r="F3517" s="66" t="n">
        <x:f>IF(E3517=0,0,D3517/E3517*10000)</x:f>
        <x:v>0.3985651654045436</x:v>
      </x:c>
      <x:c r="G3517" s="67" t="n">
        <x:f>VLOOKUP(C3517,'Governorate Master'!$A$2:$Q$13,7,FALSE)</x:f>
        <x:v>36.3</x:v>
      </x:c>
      <x:c r="H3517" s="20" t="n">
        <x:f>VLOOKUP(C3517,'Governorate Master'!$A$2:$Q$13,6,FALSE)</x:f>
        <x:v>0.882024711040255</x:v>
      </x:c>
      <x:c r="I3517" s="20" t="n">
        <x:f>VLOOKUP(C3517,'Governorate Master'!$A$2:$Q$13,15,FALSE)</x:f>
        <x:v>-0.09</x:v>
      </x:c>
      <x:c r="J3517" s="12" t="str">
        <x:v>Location model input - competition/saturation context</x:v>
      </x:c>
      <x:c r="K3517" s="12" t="str">
        <x:v>Business count is from 2018 while population/context indicators are newer; use as a historical proxy, not a current market count.</x:v>
      </x:c>
    </x:row>
    <x:row r="3518">
      <x:c r="A3518" s="12" t="str">
        <x:v>9512</x:v>
      </x:c>
      <x:c r="B3518" s="12" t="str">
        <x:v>Repair of communication equipment</x:v>
      </x:c>
      <x:c r="C3518" s="12" t="str">
        <x:v>عمان</x:v>
      </x:c>
      <x:c r="D3518" s="14" t="n">
        <x:v>149</x:v>
      </x:c>
      <x:c r="E3518" s="14" t="n">
        <x:f>VLOOKUP(C3518,'Governorate Master'!$A$2:$Q$13,3,FALSE)</x:f>
        <x:v>5004600</x:v>
      </x:c>
      <x:c r="F3518" s="66" t="n">
        <x:f>IF(E3518=0,0,D3518/E3518*10000)</x:f>
        <x:v>0.29772609199536426</x:v>
      </x:c>
      <x:c r="G3518" s="67" t="n">
        <x:f>VLOOKUP(C3518,'Governorate Master'!$A$2:$Q$13,7,FALSE)</x:f>
        <x:v>660.3</x:v>
      </x:c>
      <x:c r="H3518" s="20" t="n">
        <x:f>VLOOKUP(C3518,'Governorate Master'!$A$2:$Q$13,6,FALSE)</x:f>
        <x:v>0.9721656076409703</x:v>
      </x:c>
      <x:c r="I3518" s="20" t="n">
        <x:f>VLOOKUP(C3518,'Governorate Master'!$A$2:$Q$13,15,FALSE)</x:f>
        <x:v>0.06367041198501873</x:v>
      </x:c>
      <x:c r="J3518" s="12" t="str">
        <x:v>Location model input - competition/saturation context</x:v>
      </x:c>
      <x:c r="K3518" s="12" t="str">
        <x:v>Business count is from 2018 while population/context indicators are newer; use as a historical proxy, not a current market count.</x:v>
      </x:c>
    </x:row>
    <x:row r="3519">
      <x:c r="A3519" s="12" t="str">
        <x:v>9512</x:v>
      </x:c>
      <x:c r="B3519" s="12" t="str">
        <x:v>Repair of communication equipment</x:v>
      </x:c>
      <x:c r="C3519" s="12" t="str">
        <x:v>البلقاء</x:v>
      </x:c>
      <x:c r="D3519" s="14" t="n">
        <x:v>34</x:v>
      </x:c>
      <x:c r="E3519" s="14" t="n">
        <x:f>VLOOKUP(C3519,'Governorate Master'!$A$2:$Q$13,3,FALSE)</x:f>
        <x:v>614000</x:v>
      </x:c>
      <x:c r="F3519" s="66" t="n">
        <x:f>IF(E3519=0,0,D3519/E3519*10000)</x:f>
        <x:v>0.5537459283387622</x:v>
      </x:c>
      <x:c r="G3519" s="67" t="n">
        <x:f>VLOOKUP(C3519,'Governorate Master'!$A$2:$Q$13,7,FALSE)</x:f>
        <x:v>548</x:v>
      </x:c>
      <x:c r="H3519" s="20" t="n">
        <x:f>VLOOKUP(C3519,'Governorate Master'!$A$2:$Q$13,6,FALSE)</x:f>
        <x:v>0.8210097719869707</x:v>
      </x:c>
      <x:c r="I3519" s="20" t="n">
        <x:f>VLOOKUP(C3519,'Governorate Master'!$A$2:$Q$13,15,FALSE)</x:f>
        <x:v>0.10794044665012408</x:v>
      </x:c>
      <x:c r="J3519" s="12" t="str">
        <x:v>Location model input - competition/saturation context</x:v>
      </x:c>
      <x:c r="K3519" s="12" t="str">
        <x:v>Business count is from 2018 while population/context indicators are newer; use as a historical proxy, not a current market count.</x:v>
      </x:c>
    </x:row>
    <x:row r="3520">
      <x:c r="A3520" s="12" t="str">
        <x:v>9512</x:v>
      </x:c>
      <x:c r="B3520" s="12" t="str">
        <x:v>Repair of communication equipment</x:v>
      </x:c>
      <x:c r="C3520" s="12" t="str">
        <x:v>الزرقاء</x:v>
      </x:c>
      <x:c r="D3520" s="14" t="n">
        <x:v>79</x:v>
      </x:c>
      <x:c r="E3520" s="14" t="n">
        <x:f>VLOOKUP(C3520,'Governorate Master'!$A$2:$Q$13,3,FALSE)</x:f>
        <x:v>1704500</x:v>
      </x:c>
      <x:c r="F3520" s="66" t="n">
        <x:f>IF(E3520=0,0,D3520/E3520*10000)</x:f>
        <x:v>0.46347902610736286</x:v>
      </x:c>
      <x:c r="G3520" s="67" t="n">
        <x:f>VLOOKUP(C3520,'Governorate Master'!$A$2:$Q$13,7,FALSE)</x:f>
        <x:v>358</x:v>
      </x:c>
      <x:c r="H3520" s="20" t="n">
        <x:f>VLOOKUP(C3520,'Governorate Master'!$A$2:$Q$13,6,FALSE)</x:f>
        <x:v>0.9636256966852449</x:v>
      </x:c>
      <x:c r="I3520" s="20" t="n">
        <x:f>VLOOKUP(C3520,'Governorate Master'!$A$2:$Q$13,15,FALSE)</x:f>
        <x:v>-0.06808762581409118</x:v>
      </x:c>
      <x:c r="J3520" s="12" t="str">
        <x:v>Location model input - competition/saturation context</x:v>
      </x:c>
      <x:c r="K3520" s="12" t="str">
        <x:v>Business count is from 2018 while population/context indicators are newer; use as a historical proxy, not a current market count.</x:v>
      </x:c>
    </x:row>
    <x:row r="3521">
      <x:c r="A3521" s="12" t="str">
        <x:v>9512</x:v>
      </x:c>
      <x:c r="B3521" s="12" t="str">
        <x:v>Repair of communication equipment</x:v>
      </x:c>
      <x:c r="C3521" s="12" t="str">
        <x:v>مادبا</x:v>
      </x:c>
      <x:c r="D3521" s="14" t="n">
        <x:v>11</x:v>
      </x:c>
      <x:c r="E3521" s="14" t="n">
        <x:f>VLOOKUP(C3521,'Governorate Master'!$A$2:$Q$13,3,FALSE)</x:f>
        <x:v>236200</x:v>
      </x:c>
      <x:c r="F3521" s="66" t="n">
        <x:f>IF(E3521=0,0,D3521/E3521*10000)</x:f>
        <x:v>0.46570702794242164</x:v>
      </x:c>
      <x:c r="G3521" s="67" t="n">
        <x:f>VLOOKUP(C3521,'Governorate Master'!$A$2:$Q$13,7,FALSE)</x:f>
        <x:v>251.4</x:v>
      </x:c>
      <x:c r="H3521" s="20" t="n">
        <x:f>VLOOKUP(C3521,'Governorate Master'!$A$2:$Q$13,6,FALSE)</x:f>
        <x:v>0.7823878069432684</x:v>
      </x:c>
      <x:c r="I3521" s="20" t="n">
        <x:f>VLOOKUP(C3521,'Governorate Master'!$A$2:$Q$13,15,FALSE)</x:f>
        <x:v>-0.18823529411764706</x:v>
      </x:c>
      <x:c r="J3521" s="12" t="str">
        <x:v>Location model input - competition/saturation context</x:v>
      </x:c>
      <x:c r="K3521" s="12" t="str">
        <x:v>Business count is from 2018 while population/context indicators are newer; use as a historical proxy, not a current market count.</x:v>
      </x:c>
    </x:row>
    <x:row r="3522">
      <x:c r="A3522" s="12" t="str">
        <x:v>9512</x:v>
      </x:c>
      <x:c r="B3522" s="12" t="str">
        <x:v>Repair of communication equipment</x:v>
      </x:c>
      <x:c r="C3522" s="12" t="str">
        <x:v>إربد</x:v>
      </x:c>
      <x:c r="D3522" s="14" t="n">
        <x:v>87</x:v>
      </x:c>
      <x:c r="E3522" s="14" t="n">
        <x:f>VLOOKUP(C3522,'Governorate Master'!$A$2:$Q$13,3,FALSE)</x:f>
        <x:v>2210500</x:v>
      </x:c>
      <x:c r="F3522" s="66" t="n">
        <x:f>IF(E3522=0,0,D3522/E3522*10000)</x:f>
        <x:v>0.39357611400135717</x:v>
      </x:c>
      <x:c r="G3522" s="67" t="n">
        <x:f>VLOOKUP(C3522,'Governorate Master'!$A$2:$Q$13,7,FALSE)</x:f>
        <x:v>1406.4</x:v>
      </x:c>
      <x:c r="H3522" s="20" t="n">
        <x:f>VLOOKUP(C3522,'Governorate Master'!$A$2:$Q$13,6,FALSE)</x:f>
        <x:v>0.9235014702555983</x:v>
      </x:c>
      <x:c r="I3522" s="20" t="n">
        <x:f>VLOOKUP(C3522,'Governorate Master'!$A$2:$Q$13,15,FALSE)</x:f>
        <x:v>0.07086922474549726</x:v>
      </x:c>
      <x:c r="J3522" s="12" t="str">
        <x:v>Location model input - competition/saturation context</x:v>
      </x:c>
      <x:c r="K3522" s="12" t="str">
        <x:v>Business count is from 2018 while population/context indicators are newer; use as a historical proxy, not a current market count.</x:v>
      </x:c>
    </x:row>
    <x:row r="3523">
      <x:c r="A3523" s="12" t="str">
        <x:v>9512</x:v>
      </x:c>
      <x:c r="B3523" s="12" t="str">
        <x:v>Repair of communication equipment</x:v>
      </x:c>
      <x:c r="C3523" s="12" t="str">
        <x:v>المفرق</x:v>
      </x:c>
      <x:c r="D3523" s="14" t="n">
        <x:v>15</x:v>
      </x:c>
      <x:c r="E3523" s="14" t="n">
        <x:f>VLOOKUP(C3523,'Governorate Master'!$A$2:$Q$13,3,FALSE)</x:f>
        <x:v>686800</x:v>
      </x:c>
      <x:c r="F3523" s="66" t="n">
        <x:f>IF(E3523=0,0,D3523/E3523*10000)</x:f>
        <x:v>0.21840419336051253</x:v>
      </x:c>
      <x:c r="G3523" s="67" t="n">
        <x:f>VLOOKUP(C3523,'Governorate Master'!$A$2:$Q$13,7,FALSE)</x:f>
        <x:v>25.9</x:v>
      </x:c>
      <x:c r="H3523" s="20" t="n">
        <x:f>VLOOKUP(C3523,'Governorate Master'!$A$2:$Q$13,6,FALSE)</x:f>
        <x:v>0.6965637740244612</x:v>
      </x:c>
      <x:c r="I3523" s="20" t="n">
        <x:f>VLOOKUP(C3523,'Governorate Master'!$A$2:$Q$13,15,FALSE)</x:f>
        <x:v>-0.016638935108153077</x:v>
      </x:c>
      <x:c r="J3523" s="12" t="str">
        <x:v>Location model input - competition/saturation context</x:v>
      </x:c>
      <x:c r="K3523" s="12" t="str">
        <x:v>Business count is from 2018 while population/context indicators are newer; use as a historical proxy, not a current market count.</x:v>
      </x:c>
    </x:row>
    <x:row r="3524">
      <x:c r="A3524" s="12" t="str">
        <x:v>9512</x:v>
      </x:c>
      <x:c r="B3524" s="12" t="str">
        <x:v>Repair of communication equipment</x:v>
      </x:c>
      <x:c r="C3524" s="12" t="str">
        <x:v>جرش</x:v>
      </x:c>
      <x:c r="D3524" s="14" t="n">
        <x:v>6</x:v>
      </x:c>
      <x:c r="E3524" s="14" t="n">
        <x:f>VLOOKUP(C3524,'Governorate Master'!$A$2:$Q$13,3,FALSE)</x:f>
        <x:v>296000</x:v>
      </x:c>
      <x:c r="F3524" s="66" t="n">
        <x:f>IF(E3524=0,0,D3524/E3524*10000)</x:f>
        <x:v>0.2027027027027027</x:v>
      </x:c>
      <x:c r="G3524" s="67" t="n">
        <x:f>VLOOKUP(C3524,'Governorate Master'!$A$2:$Q$13,7,FALSE)</x:f>
        <x:v>722.3</x:v>
      </x:c>
      <x:c r="H3524" s="20" t="n">
        <x:f>VLOOKUP(C3524,'Governorate Master'!$A$2:$Q$13,6,FALSE)</x:f>
        <x:v>0.7695945945945946</x:v>
      </x:c>
      <x:c r="I3524" s="20" t="n">
        <x:f>VLOOKUP(C3524,'Governorate Master'!$A$2:$Q$13,15,FALSE)</x:f>
        <x:v>-0.06527415143603134</x:v>
      </x:c>
      <x:c r="J3524" s="12" t="str">
        <x:v>Location model input - competition/saturation context</x:v>
      </x:c>
      <x:c r="K3524" s="12" t="str">
        <x:v>Business count is from 2018 while population/context indicators are newer; use as a historical proxy, not a current market count.</x:v>
      </x:c>
    </x:row>
    <x:row r="3525">
      <x:c r="A3525" s="12" t="str">
        <x:v>9512</x:v>
      </x:c>
      <x:c r="B3525" s="12" t="str">
        <x:v>Repair of communication equipment</x:v>
      </x:c>
      <x:c r="C3525" s="12" t="str">
        <x:v>عجلون</x:v>
      </x:c>
      <x:c r="D3525" s="14" t="n">
        <x:v>15</x:v>
      </x:c>
      <x:c r="E3525" s="14" t="n">
        <x:f>VLOOKUP(C3525,'Governorate Master'!$A$2:$Q$13,3,FALSE)</x:f>
        <x:v>219900</x:v>
      </x:c>
      <x:c r="F3525" s="66" t="n">
        <x:f>IF(E3525=0,0,D3525/E3525*10000)</x:f>
        <x:v>0.6821282401091405</x:v>
      </x:c>
      <x:c r="G3525" s="67" t="n">
        <x:f>VLOOKUP(C3525,'Governorate Master'!$A$2:$Q$13,7,FALSE)</x:f>
        <x:v>524</x:v>
      </x:c>
      <x:c r="H3525" s="20" t="n">
        <x:f>VLOOKUP(C3525,'Governorate Master'!$A$2:$Q$13,6,FALSE)</x:f>
        <x:v>0.8390177353342428</x:v>
      </x:c>
      <x:c r="I3525" s="20" t="n">
        <x:f>VLOOKUP(C3525,'Governorate Master'!$A$2:$Q$13,15,FALSE)</x:f>
        <x:v>0.03614457831325301</x:v>
      </x:c>
      <x:c r="J3525" s="12" t="str">
        <x:v>Location model input - competition/saturation context</x:v>
      </x:c>
      <x:c r="K3525" s="12" t="str">
        <x:v>Business count is from 2018 while population/context indicators are newer; use as a historical proxy, not a current market count.</x:v>
      </x:c>
    </x:row>
    <x:row r="3526">
      <x:c r="A3526" s="12" t="str">
        <x:v>9512</x:v>
      </x:c>
      <x:c r="B3526" s="12" t="str">
        <x:v>Repair of communication equipment</x:v>
      </x:c>
      <x:c r="C3526" s="12" t="str">
        <x:v>الكرك</x:v>
      </x:c>
      <x:c r="D3526" s="14" t="n">
        <x:v>13</x:v>
      </x:c>
      <x:c r="E3526" s="14" t="n">
        <x:f>VLOOKUP(C3526,'Governorate Master'!$A$2:$Q$13,3,FALSE)</x:f>
        <x:v>395400</x:v>
      </x:c>
      <x:c r="F3526" s="66" t="n">
        <x:f>IF(E3526=0,0,D3526/E3526*10000)</x:f>
        <x:v>0.3287809812847749</x:v>
      </x:c>
      <x:c r="G3526" s="67" t="n">
        <x:f>VLOOKUP(C3526,'Governorate Master'!$A$2:$Q$13,7,FALSE)</x:f>
        <x:v>113.1</x:v>
      </x:c>
      <x:c r="H3526" s="20" t="n">
        <x:f>VLOOKUP(C3526,'Governorate Master'!$A$2:$Q$13,6,FALSE)</x:f>
        <x:v>0.5912999494183105</x:v>
      </x:c>
      <x:c r="I3526" s="20" t="n">
        <x:f>VLOOKUP(C3526,'Governorate Master'!$A$2:$Q$13,15,FALSE)</x:f>
        <x:v>0.08710801393728224</x:v>
      </x:c>
      <x:c r="J3526" s="12" t="str">
        <x:v>Location model input - competition/saturation context</x:v>
      </x:c>
      <x:c r="K3526" s="12" t="str">
        <x:v>Business count is from 2018 while population/context indicators are newer; use as a historical proxy, not a current market count.</x:v>
      </x:c>
    </x:row>
    <x:row r="3527">
      <x:c r="A3527" s="12" t="str">
        <x:v>9512</x:v>
      </x:c>
      <x:c r="B3527" s="12" t="str">
        <x:v>Repair of communication equipment</x:v>
      </x:c>
      <x:c r="C3527" s="12" t="str">
        <x:v>الطفيلة</x:v>
      </x:c>
      <x:c r="D3527" s="14" t="n">
        <x:v>1</x:v>
      </x:c>
      <x:c r="E3527" s="14" t="n">
        <x:f>VLOOKUP(C3527,'Governorate Master'!$A$2:$Q$13,3,FALSE)</x:f>
        <x:v>120300</x:v>
      </x:c>
      <x:c r="F3527" s="66" t="n">
        <x:f>IF(E3527=0,0,D3527/E3527*10000)</x:f>
        <x:v>0.0831255195344971</x:v>
      </x:c>
      <x:c r="G3527" s="67" t="n">
        <x:f>VLOOKUP(C3527,'Governorate Master'!$A$2:$Q$13,7,FALSE)</x:f>
        <x:v>54.4</x:v>
      </x:c>
      <x:c r="H3527" s="20" t="n">
        <x:f>VLOOKUP(C3527,'Governorate Master'!$A$2:$Q$13,6,FALSE)</x:f>
        <x:v>0.7797173732335827</x:v>
      </x:c>
      <x:c r="I3527" s="20" t="n">
        <x:f>VLOOKUP(C3527,'Governorate Master'!$A$2:$Q$13,15,FALSE)</x:f>
        <x:v>0.18452380952380953</x:v>
      </x:c>
      <x:c r="J3527" s="12" t="str">
        <x:v>Location model input - competition/saturation context</x:v>
      </x:c>
      <x:c r="K3527" s="12" t="str">
        <x:v>Business count is from 2018 while population/context indicators are newer; use as a historical proxy, not a current market count.</x:v>
      </x:c>
    </x:row>
    <x:row r="3528">
      <x:c r="A3528" s="12" t="str">
        <x:v>9512</x:v>
      </x:c>
      <x:c r="B3528" s="12" t="str">
        <x:v>Repair of communication equipment</x:v>
      </x:c>
      <x:c r="C3528" s="12" t="str">
        <x:v>معان</x:v>
      </x:c>
      <x:c r="D3528" s="14" t="n">
        <x:v>4</x:v>
      </x:c>
      <x:c r="E3528" s="14" t="n">
        <x:f>VLOOKUP(C3528,'Governorate Master'!$A$2:$Q$13,3,FALSE)</x:f>
        <x:v>197900</x:v>
      </x:c>
      <x:c r="F3528" s="66" t="n">
        <x:f>IF(E3528=0,0,D3528/E3528*10000)</x:f>
        <x:v>0.202122283981809</x:v>
      </x:c>
      <x:c r="G3528" s="67" t="n">
        <x:f>VLOOKUP(C3528,'Governorate Master'!$A$2:$Q$13,7,FALSE)</x:f>
        <x:v>6</x:v>
      </x:c>
      <x:c r="H3528" s="20" t="n">
        <x:f>VLOOKUP(C3528,'Governorate Master'!$A$2:$Q$13,6,FALSE)</x:f>
        <x:v>0.5406771096513391</x:v>
      </x:c>
      <x:c r="I3528" s="20" t="n">
        <x:f>VLOOKUP(C3528,'Governorate Master'!$A$2:$Q$13,15,FALSE)</x:f>
        <x:v>0.026845637583892617</x:v>
      </x:c>
      <x:c r="J3528" s="12" t="str">
        <x:v>Location model input - competition/saturation context</x:v>
      </x:c>
      <x:c r="K3528" s="12" t="str">
        <x:v>Business count is from 2018 while population/context indicators are newer; use as a historical proxy, not a current market count.</x:v>
      </x:c>
    </x:row>
    <x:row r="3529">
      <x:c r="A3529" s="12" t="str">
        <x:v>9512</x:v>
      </x:c>
      <x:c r="B3529" s="12" t="str">
        <x:v>Repair of communication equipment</x:v>
      </x:c>
      <x:c r="C3529" s="12" t="str">
        <x:v>العقبة</x:v>
      </x:c>
      <x:c r="D3529" s="14" t="n">
        <x:v>12</x:v>
      </x:c>
      <x:c r="E3529" s="14" t="n">
        <x:f>VLOOKUP(C3529,'Governorate Master'!$A$2:$Q$13,3,FALSE)</x:f>
        <x:v>250900</x:v>
      </x:c>
      <x:c r="F3529" s="66" t="n">
        <x:f>IF(E3529=0,0,D3529/E3529*10000)</x:f>
        <x:v>0.47827819848545233</x:v>
      </x:c>
      <x:c r="G3529" s="67" t="n">
        <x:f>VLOOKUP(C3529,'Governorate Master'!$A$2:$Q$13,7,FALSE)</x:f>
        <x:v>36.3</x:v>
      </x:c>
      <x:c r="H3529" s="20" t="n">
        <x:f>VLOOKUP(C3529,'Governorate Master'!$A$2:$Q$13,6,FALSE)</x:f>
        <x:v>0.882024711040255</x:v>
      </x:c>
      <x:c r="I3529" s="20" t="n">
        <x:f>VLOOKUP(C3529,'Governorate Master'!$A$2:$Q$13,15,FALSE)</x:f>
        <x:v>-0.09</x:v>
      </x:c>
      <x:c r="J3529" s="12" t="str">
        <x:v>Location model input - competition/saturation context</x:v>
      </x:c>
      <x:c r="K3529" s="12" t="str">
        <x:v>Business count is from 2018 while population/context indicators are newer; use as a historical proxy, not a current market count.</x:v>
      </x:c>
    </x:row>
    <x:row r="3530">
      <x:c r="A3530" s="12" t="str">
        <x:v>9521</x:v>
      </x:c>
      <x:c r="B3530" s="12" t="str">
        <x:v>Repair of consumer electronics</x:v>
      </x:c>
      <x:c r="C3530" s="12" t="str">
        <x:v>عمان</x:v>
      </x:c>
      <x:c r="D3530" s="14" t="n">
        <x:v>35</x:v>
      </x:c>
      <x:c r="E3530" s="14" t="n">
        <x:f>VLOOKUP(C3530,'Governorate Master'!$A$2:$Q$13,3,FALSE)</x:f>
        <x:v>5004600</x:v>
      </x:c>
      <x:c r="F3530" s="66" t="n">
        <x:f>IF(E3530=0,0,D3530/E3530*10000)</x:f>
        <x:v>0.06993565919354194</x:v>
      </x:c>
      <x:c r="G3530" s="67" t="n">
        <x:f>VLOOKUP(C3530,'Governorate Master'!$A$2:$Q$13,7,FALSE)</x:f>
        <x:v>660.3</x:v>
      </x:c>
      <x:c r="H3530" s="20" t="n">
        <x:f>VLOOKUP(C3530,'Governorate Master'!$A$2:$Q$13,6,FALSE)</x:f>
        <x:v>0.9721656076409703</x:v>
      </x:c>
      <x:c r="I3530" s="20" t="n">
        <x:f>VLOOKUP(C3530,'Governorate Master'!$A$2:$Q$13,15,FALSE)</x:f>
        <x:v>0.06367041198501873</x:v>
      </x:c>
      <x:c r="J3530" s="12" t="str">
        <x:v>Location model input - competition/saturation context</x:v>
      </x:c>
      <x:c r="K3530" s="12" t="str">
        <x:v>Business count is from 2018 while population/context indicators are newer; use as a historical proxy, not a current market count.</x:v>
      </x:c>
    </x:row>
    <x:row r="3531">
      <x:c r="A3531" s="12" t="str">
        <x:v>9521</x:v>
      </x:c>
      <x:c r="B3531" s="12" t="str">
        <x:v>Repair of consumer electronics</x:v>
      </x:c>
      <x:c r="C3531" s="12" t="str">
        <x:v>البلقاء</x:v>
      </x:c>
      <x:c r="D3531" s="14" t="n">
        <x:v>16</x:v>
      </x:c>
      <x:c r="E3531" s="14" t="n">
        <x:f>VLOOKUP(C3531,'Governorate Master'!$A$2:$Q$13,3,FALSE)</x:f>
        <x:v>614000</x:v>
      </x:c>
      <x:c r="F3531" s="66" t="n">
        <x:f>IF(E3531=0,0,D3531/E3531*10000)</x:f>
        <x:v>0.26058631921824105</x:v>
      </x:c>
      <x:c r="G3531" s="67" t="n">
        <x:f>VLOOKUP(C3531,'Governorate Master'!$A$2:$Q$13,7,FALSE)</x:f>
        <x:v>548</x:v>
      </x:c>
      <x:c r="H3531" s="20" t="n">
        <x:f>VLOOKUP(C3531,'Governorate Master'!$A$2:$Q$13,6,FALSE)</x:f>
        <x:v>0.8210097719869707</x:v>
      </x:c>
      <x:c r="I3531" s="20" t="n">
        <x:f>VLOOKUP(C3531,'Governorate Master'!$A$2:$Q$13,15,FALSE)</x:f>
        <x:v>0.10794044665012408</x:v>
      </x:c>
      <x:c r="J3531" s="12" t="str">
        <x:v>Location model input - competition/saturation context</x:v>
      </x:c>
      <x:c r="K3531" s="12" t="str">
        <x:v>Business count is from 2018 while population/context indicators are newer; use as a historical proxy, not a current market count.</x:v>
      </x:c>
    </x:row>
    <x:row r="3532">
      <x:c r="A3532" s="12" t="str">
        <x:v>9521</x:v>
      </x:c>
      <x:c r="B3532" s="12" t="str">
        <x:v>Repair of consumer electronics</x:v>
      </x:c>
      <x:c r="C3532" s="12" t="str">
        <x:v>الزرقاء</x:v>
      </x:c>
      <x:c r="D3532" s="14" t="n">
        <x:v>26</x:v>
      </x:c>
      <x:c r="E3532" s="14" t="n">
        <x:f>VLOOKUP(C3532,'Governorate Master'!$A$2:$Q$13,3,FALSE)</x:f>
        <x:v>1704500</x:v>
      </x:c>
      <x:c r="F3532" s="66" t="n">
        <x:f>IF(E3532=0,0,D3532/E3532*10000)</x:f>
        <x:v>0.15253740099735993</x:v>
      </x:c>
      <x:c r="G3532" s="67" t="n">
        <x:f>VLOOKUP(C3532,'Governorate Master'!$A$2:$Q$13,7,FALSE)</x:f>
        <x:v>358</x:v>
      </x:c>
      <x:c r="H3532" s="20" t="n">
        <x:f>VLOOKUP(C3532,'Governorate Master'!$A$2:$Q$13,6,FALSE)</x:f>
        <x:v>0.9636256966852449</x:v>
      </x:c>
      <x:c r="I3532" s="20" t="n">
        <x:f>VLOOKUP(C3532,'Governorate Master'!$A$2:$Q$13,15,FALSE)</x:f>
        <x:v>-0.06808762581409118</x:v>
      </x:c>
      <x:c r="J3532" s="12" t="str">
        <x:v>Location model input - competition/saturation context</x:v>
      </x:c>
      <x:c r="K3532" s="12" t="str">
        <x:v>Business count is from 2018 while population/context indicators are newer; use as a historical proxy, not a current market count.</x:v>
      </x:c>
    </x:row>
    <x:row r="3533">
      <x:c r="A3533" s="12" t="str">
        <x:v>9521</x:v>
      </x:c>
      <x:c r="B3533" s="12" t="str">
        <x:v>Repair of consumer electronics</x:v>
      </x:c>
      <x:c r="C3533" s="12" t="str">
        <x:v>مادبا</x:v>
      </x:c>
      <x:c r="D3533" s="14" t="n">
        <x:v>4</x:v>
      </x:c>
      <x:c r="E3533" s="14" t="n">
        <x:f>VLOOKUP(C3533,'Governorate Master'!$A$2:$Q$13,3,FALSE)</x:f>
        <x:v>236200</x:v>
      </x:c>
      <x:c r="F3533" s="66" t="n">
        <x:f>IF(E3533=0,0,D3533/E3533*10000)</x:f>
        <x:v>0.1693480101608806</x:v>
      </x:c>
      <x:c r="G3533" s="67" t="n">
        <x:f>VLOOKUP(C3533,'Governorate Master'!$A$2:$Q$13,7,FALSE)</x:f>
        <x:v>251.4</x:v>
      </x:c>
      <x:c r="H3533" s="20" t="n">
        <x:f>VLOOKUP(C3533,'Governorate Master'!$A$2:$Q$13,6,FALSE)</x:f>
        <x:v>0.7823878069432684</x:v>
      </x:c>
      <x:c r="I3533" s="20" t="n">
        <x:f>VLOOKUP(C3533,'Governorate Master'!$A$2:$Q$13,15,FALSE)</x:f>
        <x:v>-0.18823529411764706</x:v>
      </x:c>
      <x:c r="J3533" s="12" t="str">
        <x:v>Location model input - competition/saturation context</x:v>
      </x:c>
      <x:c r="K3533" s="12" t="str">
        <x:v>Business count is from 2018 while population/context indicators are newer; use as a historical proxy, not a current market count.</x:v>
      </x:c>
    </x:row>
    <x:row r="3534">
      <x:c r="A3534" s="12" t="str">
        <x:v>9521</x:v>
      </x:c>
      <x:c r="B3534" s="12" t="str">
        <x:v>Repair of consumer electronics</x:v>
      </x:c>
      <x:c r="C3534" s="12" t="str">
        <x:v>إربد</x:v>
      </x:c>
      <x:c r="D3534" s="14" t="n">
        <x:v>15</x:v>
      </x:c>
      <x:c r="E3534" s="14" t="n">
        <x:f>VLOOKUP(C3534,'Governorate Master'!$A$2:$Q$13,3,FALSE)</x:f>
        <x:v>2210500</x:v>
      </x:c>
      <x:c r="F3534" s="66" t="n">
        <x:f>IF(E3534=0,0,D3534/E3534*10000)</x:f>
        <x:v>0.06785795068988917</x:v>
      </x:c>
      <x:c r="G3534" s="67" t="n">
        <x:f>VLOOKUP(C3534,'Governorate Master'!$A$2:$Q$13,7,FALSE)</x:f>
        <x:v>1406.4</x:v>
      </x:c>
      <x:c r="H3534" s="20" t="n">
        <x:f>VLOOKUP(C3534,'Governorate Master'!$A$2:$Q$13,6,FALSE)</x:f>
        <x:v>0.9235014702555983</x:v>
      </x:c>
      <x:c r="I3534" s="20" t="n">
        <x:f>VLOOKUP(C3534,'Governorate Master'!$A$2:$Q$13,15,FALSE)</x:f>
        <x:v>0.07086922474549726</x:v>
      </x:c>
      <x:c r="J3534" s="12" t="str">
        <x:v>Location model input - competition/saturation context</x:v>
      </x:c>
      <x:c r="K3534" s="12" t="str">
        <x:v>Business count is from 2018 while population/context indicators are newer; use as a historical proxy, not a current market count.</x:v>
      </x:c>
    </x:row>
    <x:row r="3535">
      <x:c r="A3535" s="12" t="str">
        <x:v>9521</x:v>
      </x:c>
      <x:c r="B3535" s="12" t="str">
        <x:v>Repair of consumer electronics</x:v>
      </x:c>
      <x:c r="C3535" s="12" t="str">
        <x:v>المفرق</x:v>
      </x:c>
      <x:c r="D3535" s="14" t="n">
        <x:v>1</x:v>
      </x:c>
      <x:c r="E3535" s="14" t="n">
        <x:f>VLOOKUP(C3535,'Governorate Master'!$A$2:$Q$13,3,FALSE)</x:f>
        <x:v>686800</x:v>
      </x:c>
      <x:c r="F3535" s="66" t="n">
        <x:f>IF(E3535=0,0,D3535/E3535*10000)</x:f>
        <x:v>0.014560279557367502</x:v>
      </x:c>
      <x:c r="G3535" s="67" t="n">
        <x:f>VLOOKUP(C3535,'Governorate Master'!$A$2:$Q$13,7,FALSE)</x:f>
        <x:v>25.9</x:v>
      </x:c>
      <x:c r="H3535" s="20" t="n">
        <x:f>VLOOKUP(C3535,'Governorate Master'!$A$2:$Q$13,6,FALSE)</x:f>
        <x:v>0.6965637740244612</x:v>
      </x:c>
      <x:c r="I3535" s="20" t="n">
        <x:f>VLOOKUP(C3535,'Governorate Master'!$A$2:$Q$13,15,FALSE)</x:f>
        <x:v>-0.016638935108153077</x:v>
      </x:c>
      <x:c r="J3535" s="12" t="str">
        <x:v>Location model input - competition/saturation context</x:v>
      </x:c>
      <x:c r="K3535" s="12" t="str">
        <x:v>Business count is from 2018 while population/context indicators are newer; use as a historical proxy, not a current market count.</x:v>
      </x:c>
    </x:row>
    <x:row r="3536">
      <x:c r="A3536" s="12" t="str">
        <x:v>9521</x:v>
      </x:c>
      <x:c r="B3536" s="12" t="str">
        <x:v>Repair of consumer electronics</x:v>
      </x:c>
      <x:c r="C3536" s="12" t="str">
        <x:v>جرش</x:v>
      </x:c>
      <x:c r="D3536" s="14" t="n">
        <x:v>1</x:v>
      </x:c>
      <x:c r="E3536" s="14" t="n">
        <x:f>VLOOKUP(C3536,'Governorate Master'!$A$2:$Q$13,3,FALSE)</x:f>
        <x:v>296000</x:v>
      </x:c>
      <x:c r="F3536" s="66" t="n">
        <x:f>IF(E3536=0,0,D3536/E3536*10000)</x:f>
        <x:v>0.033783783783783786</x:v>
      </x:c>
      <x:c r="G3536" s="67" t="n">
        <x:f>VLOOKUP(C3536,'Governorate Master'!$A$2:$Q$13,7,FALSE)</x:f>
        <x:v>722.3</x:v>
      </x:c>
      <x:c r="H3536" s="20" t="n">
        <x:f>VLOOKUP(C3536,'Governorate Master'!$A$2:$Q$13,6,FALSE)</x:f>
        <x:v>0.7695945945945946</x:v>
      </x:c>
      <x:c r="I3536" s="20" t="n">
        <x:f>VLOOKUP(C3536,'Governorate Master'!$A$2:$Q$13,15,FALSE)</x:f>
        <x:v>-0.06527415143603134</x:v>
      </x:c>
      <x:c r="J3536" s="12" t="str">
        <x:v>Location model input - competition/saturation context</x:v>
      </x:c>
      <x:c r="K3536" s="12" t="str">
        <x:v>Business count is from 2018 while population/context indicators are newer; use as a historical proxy, not a current market count.</x:v>
      </x:c>
    </x:row>
    <x:row r="3537">
      <x:c r="A3537" s="12" t="str">
        <x:v>9521</x:v>
      </x:c>
      <x:c r="B3537" s="12" t="str">
        <x:v>Repair of consumer electronics</x:v>
      </x:c>
      <x:c r="C3537" s="12" t="str">
        <x:v>عجلون</x:v>
      </x:c>
      <x:c r="D3537" s="14" t="n">
        <x:v>3</x:v>
      </x:c>
      <x:c r="E3537" s="14" t="n">
        <x:f>VLOOKUP(C3537,'Governorate Master'!$A$2:$Q$13,3,FALSE)</x:f>
        <x:v>219900</x:v>
      </x:c>
      <x:c r="F3537" s="66" t="n">
        <x:f>IF(E3537=0,0,D3537/E3537*10000)</x:f>
        <x:v>0.1364256480218281</x:v>
      </x:c>
      <x:c r="G3537" s="67" t="n">
        <x:f>VLOOKUP(C3537,'Governorate Master'!$A$2:$Q$13,7,FALSE)</x:f>
        <x:v>524</x:v>
      </x:c>
      <x:c r="H3537" s="20" t="n">
        <x:f>VLOOKUP(C3537,'Governorate Master'!$A$2:$Q$13,6,FALSE)</x:f>
        <x:v>0.8390177353342428</x:v>
      </x:c>
      <x:c r="I3537" s="20" t="n">
        <x:f>VLOOKUP(C3537,'Governorate Master'!$A$2:$Q$13,15,FALSE)</x:f>
        <x:v>0.03614457831325301</x:v>
      </x:c>
      <x:c r="J3537" s="12" t="str">
        <x:v>Location model input - competition/saturation context</x:v>
      </x:c>
      <x:c r="K3537" s="12" t="str">
        <x:v>Business count is from 2018 while population/context indicators are newer; use as a historical proxy, not a current market count.</x:v>
      </x:c>
    </x:row>
    <x:row r="3538">
      <x:c r="A3538" s="12" t="str">
        <x:v>9521</x:v>
      </x:c>
      <x:c r="B3538" s="12" t="str">
        <x:v>Repair of consumer electronics</x:v>
      </x:c>
      <x:c r="C3538" s="12" t="str">
        <x:v>الكرك</x:v>
      </x:c>
      <x:c r="D3538" s="14" t="n">
        <x:v>5</x:v>
      </x:c>
      <x:c r="E3538" s="14" t="n">
        <x:f>VLOOKUP(C3538,'Governorate Master'!$A$2:$Q$13,3,FALSE)</x:f>
        <x:v>395400</x:v>
      </x:c>
      <x:c r="F3538" s="66" t="n">
        <x:f>IF(E3538=0,0,D3538/E3538*10000)</x:f>
        <x:v>0.12645422357106728</x:v>
      </x:c>
      <x:c r="G3538" s="67" t="n">
        <x:f>VLOOKUP(C3538,'Governorate Master'!$A$2:$Q$13,7,FALSE)</x:f>
        <x:v>113.1</x:v>
      </x:c>
      <x:c r="H3538" s="20" t="n">
        <x:f>VLOOKUP(C3538,'Governorate Master'!$A$2:$Q$13,6,FALSE)</x:f>
        <x:v>0.5912999494183105</x:v>
      </x:c>
      <x:c r="I3538" s="20" t="n">
        <x:f>VLOOKUP(C3538,'Governorate Master'!$A$2:$Q$13,15,FALSE)</x:f>
        <x:v>0.08710801393728224</x:v>
      </x:c>
      <x:c r="J3538" s="12" t="str">
        <x:v>Location model input - competition/saturation context</x:v>
      </x:c>
      <x:c r="K3538" s="12" t="str">
        <x:v>Business count is from 2018 while population/context indicators are newer; use as a historical proxy, not a current market count.</x:v>
      </x:c>
    </x:row>
    <x:row r="3539">
      <x:c r="A3539" s="12" t="str">
        <x:v>9521</x:v>
      </x:c>
      <x:c r="B3539" s="12" t="str">
        <x:v>Repair of consumer electronics</x:v>
      </x:c>
      <x:c r="C3539" s="12" t="str">
        <x:v>الطفيلة</x:v>
      </x:c>
      <x:c r="D3539" s="14" t="n">
        <x:v>0</x:v>
      </x:c>
      <x:c r="E3539" s="14" t="n">
        <x:f>VLOOKUP(C3539,'Governorate Master'!$A$2:$Q$13,3,FALSE)</x:f>
        <x:v>120300</x:v>
      </x:c>
      <x:c r="F3539" s="66" t="n">
        <x:f>IF(E3539=0,0,D3539/E3539*10000)</x:f>
        <x:v>0</x:v>
      </x:c>
      <x:c r="G3539" s="67" t="n">
        <x:f>VLOOKUP(C3539,'Governorate Master'!$A$2:$Q$13,7,FALSE)</x:f>
        <x:v>54.4</x:v>
      </x:c>
      <x:c r="H3539" s="20" t="n">
        <x:f>VLOOKUP(C3539,'Governorate Master'!$A$2:$Q$13,6,FALSE)</x:f>
        <x:v>0.7797173732335827</x:v>
      </x:c>
      <x:c r="I3539" s="20" t="n">
        <x:f>VLOOKUP(C3539,'Governorate Master'!$A$2:$Q$13,15,FALSE)</x:f>
        <x:v>0.18452380952380953</x:v>
      </x:c>
      <x:c r="J3539" s="12" t="str">
        <x:v>Location model input - competition/saturation context</x:v>
      </x:c>
      <x:c r="K3539" s="12" t="str">
        <x:v>Business count is from 2018 while population/context indicators are newer; use as a historical proxy, not a current market count.</x:v>
      </x:c>
    </x:row>
    <x:row r="3540">
      <x:c r="A3540" s="12" t="str">
        <x:v>9521</x:v>
      </x:c>
      <x:c r="B3540" s="12" t="str">
        <x:v>Repair of consumer electronics</x:v>
      </x:c>
      <x:c r="C3540" s="12" t="str">
        <x:v>معان</x:v>
      </x:c>
      <x:c r="D3540" s="14" t="n">
        <x:v>2</x:v>
      </x:c>
      <x:c r="E3540" s="14" t="n">
        <x:f>VLOOKUP(C3540,'Governorate Master'!$A$2:$Q$13,3,FALSE)</x:f>
        <x:v>197900</x:v>
      </x:c>
      <x:c r="F3540" s="66" t="n">
        <x:f>IF(E3540=0,0,D3540/E3540*10000)</x:f>
        <x:v>0.1010611419909045</x:v>
      </x:c>
      <x:c r="G3540" s="67" t="n">
        <x:f>VLOOKUP(C3540,'Governorate Master'!$A$2:$Q$13,7,FALSE)</x:f>
        <x:v>6</x:v>
      </x:c>
      <x:c r="H3540" s="20" t="n">
        <x:f>VLOOKUP(C3540,'Governorate Master'!$A$2:$Q$13,6,FALSE)</x:f>
        <x:v>0.5406771096513391</x:v>
      </x:c>
      <x:c r="I3540" s="20" t="n">
        <x:f>VLOOKUP(C3540,'Governorate Master'!$A$2:$Q$13,15,FALSE)</x:f>
        <x:v>0.026845637583892617</x:v>
      </x:c>
      <x:c r="J3540" s="12" t="str">
        <x:v>Location model input - competition/saturation context</x:v>
      </x:c>
      <x:c r="K3540" s="12" t="str">
        <x:v>Business count is from 2018 while population/context indicators are newer; use as a historical proxy, not a current market count.</x:v>
      </x:c>
    </x:row>
    <x:row r="3541">
      <x:c r="A3541" s="12" t="str">
        <x:v>9521</x:v>
      </x:c>
      <x:c r="B3541" s="12" t="str">
        <x:v>Repair of consumer electronics</x:v>
      </x:c>
      <x:c r="C3541" s="12" t="str">
        <x:v>العقبة</x:v>
      </x:c>
      <x:c r="D3541" s="14" t="n">
        <x:v>4</x:v>
      </x:c>
      <x:c r="E3541" s="14" t="n">
        <x:f>VLOOKUP(C3541,'Governorate Master'!$A$2:$Q$13,3,FALSE)</x:f>
        <x:v>250900</x:v>
      </x:c>
      <x:c r="F3541" s="66" t="n">
        <x:f>IF(E3541=0,0,D3541/E3541*10000)</x:f>
        <x:v>0.15942606616181745</x:v>
      </x:c>
      <x:c r="G3541" s="67" t="n">
        <x:f>VLOOKUP(C3541,'Governorate Master'!$A$2:$Q$13,7,FALSE)</x:f>
        <x:v>36.3</x:v>
      </x:c>
      <x:c r="H3541" s="20" t="n">
        <x:f>VLOOKUP(C3541,'Governorate Master'!$A$2:$Q$13,6,FALSE)</x:f>
        <x:v>0.882024711040255</x:v>
      </x:c>
      <x:c r="I3541" s="20" t="n">
        <x:f>VLOOKUP(C3541,'Governorate Master'!$A$2:$Q$13,15,FALSE)</x:f>
        <x:v>-0.09</x:v>
      </x:c>
      <x:c r="J3541" s="12" t="str">
        <x:v>Location model input - competition/saturation context</x:v>
      </x:c>
      <x:c r="K3541" s="12" t="str">
        <x:v>Business count is from 2018 while population/context indicators are newer; use as a historical proxy, not a current market count.</x:v>
      </x:c>
    </x:row>
    <x:row r="3542">
      <x:c r="A3542" s="12" t="str">
        <x:v>9522</x:v>
      </x:c>
      <x:c r="B3542" s="12" t="str">
        <x:v>Repair of household appliances and home and garden equipment</x:v>
      </x:c>
      <x:c r="C3542" s="12" t="str">
        <x:v>عمان</x:v>
      </x:c>
      <x:c r="D3542" s="14" t="n">
        <x:v>446</x:v>
      </x:c>
      <x:c r="E3542" s="14" t="n">
        <x:f>VLOOKUP(C3542,'Governorate Master'!$A$2:$Q$13,3,FALSE)</x:f>
        <x:v>5004600</x:v>
      </x:c>
      <x:c r="F3542" s="66" t="n">
        <x:f>IF(E3542=0,0,D3542/E3542*10000)</x:f>
        <x:v>0.8911801142948488</x:v>
      </x:c>
      <x:c r="G3542" s="67" t="n">
        <x:f>VLOOKUP(C3542,'Governorate Master'!$A$2:$Q$13,7,FALSE)</x:f>
        <x:v>660.3</x:v>
      </x:c>
      <x:c r="H3542" s="20" t="n">
        <x:f>VLOOKUP(C3542,'Governorate Master'!$A$2:$Q$13,6,FALSE)</x:f>
        <x:v>0.9721656076409703</x:v>
      </x:c>
      <x:c r="I3542" s="20" t="n">
        <x:f>VLOOKUP(C3542,'Governorate Master'!$A$2:$Q$13,15,FALSE)</x:f>
        <x:v>0.06367041198501873</x:v>
      </x:c>
      <x:c r="J3542" s="12" t="str">
        <x:v>Location model input - competition/saturation context</x:v>
      </x:c>
      <x:c r="K3542" s="12" t="str">
        <x:v>Business count is from 2018 while population/context indicators are newer; use as a historical proxy, not a current market count.</x:v>
      </x:c>
    </x:row>
    <x:row r="3543">
      <x:c r="A3543" s="12" t="str">
        <x:v>9522</x:v>
      </x:c>
      <x:c r="B3543" s="12" t="str">
        <x:v>Repair of household appliances and home and garden equipment</x:v>
      </x:c>
      <x:c r="C3543" s="12" t="str">
        <x:v>البلقاء</x:v>
      </x:c>
      <x:c r="D3543" s="14" t="n">
        <x:v>106</x:v>
      </x:c>
      <x:c r="E3543" s="14" t="n">
        <x:f>VLOOKUP(C3543,'Governorate Master'!$A$2:$Q$13,3,FALSE)</x:f>
        <x:v>614000</x:v>
      </x:c>
      <x:c r="F3543" s="66" t="n">
        <x:f>IF(E3543=0,0,D3543/E3543*10000)</x:f>
        <x:v>1.7263843648208468</x:v>
      </x:c>
      <x:c r="G3543" s="67" t="n">
        <x:f>VLOOKUP(C3543,'Governorate Master'!$A$2:$Q$13,7,FALSE)</x:f>
        <x:v>548</x:v>
      </x:c>
      <x:c r="H3543" s="20" t="n">
        <x:f>VLOOKUP(C3543,'Governorate Master'!$A$2:$Q$13,6,FALSE)</x:f>
        <x:v>0.8210097719869707</x:v>
      </x:c>
      <x:c r="I3543" s="20" t="n">
        <x:f>VLOOKUP(C3543,'Governorate Master'!$A$2:$Q$13,15,FALSE)</x:f>
        <x:v>0.10794044665012408</x:v>
      </x:c>
      <x:c r="J3543" s="12" t="str">
        <x:v>Location model input - competition/saturation context</x:v>
      </x:c>
      <x:c r="K3543" s="12" t="str">
        <x:v>Business count is from 2018 while population/context indicators are newer; use as a historical proxy, not a current market count.</x:v>
      </x:c>
    </x:row>
    <x:row r="3544">
      <x:c r="A3544" s="12" t="str">
        <x:v>9522</x:v>
      </x:c>
      <x:c r="B3544" s="12" t="str">
        <x:v>Repair of household appliances and home and garden equipment</x:v>
      </x:c>
      <x:c r="C3544" s="12" t="str">
        <x:v>الزرقاء</x:v>
      </x:c>
      <x:c r="D3544" s="14" t="n">
        <x:v>265</x:v>
      </x:c>
      <x:c r="E3544" s="14" t="n">
        <x:f>VLOOKUP(C3544,'Governorate Master'!$A$2:$Q$13,3,FALSE)</x:f>
        <x:v>1704500</x:v>
      </x:c>
      <x:c r="F3544" s="66" t="n">
        <x:f>IF(E3544=0,0,D3544/E3544*10000)</x:f>
        <x:v>1.5547081255500148</x:v>
      </x:c>
      <x:c r="G3544" s="67" t="n">
        <x:f>VLOOKUP(C3544,'Governorate Master'!$A$2:$Q$13,7,FALSE)</x:f>
        <x:v>358</x:v>
      </x:c>
      <x:c r="H3544" s="20" t="n">
        <x:f>VLOOKUP(C3544,'Governorate Master'!$A$2:$Q$13,6,FALSE)</x:f>
        <x:v>0.9636256966852449</x:v>
      </x:c>
      <x:c r="I3544" s="20" t="n">
        <x:f>VLOOKUP(C3544,'Governorate Master'!$A$2:$Q$13,15,FALSE)</x:f>
        <x:v>-0.06808762581409118</x:v>
      </x:c>
      <x:c r="J3544" s="12" t="str">
        <x:v>Location model input - competition/saturation context</x:v>
      </x:c>
      <x:c r="K3544" s="12" t="str">
        <x:v>Business count is from 2018 while population/context indicators are newer; use as a historical proxy, not a current market count.</x:v>
      </x:c>
    </x:row>
    <x:row r="3545">
      <x:c r="A3545" s="12" t="str">
        <x:v>9522</x:v>
      </x:c>
      <x:c r="B3545" s="12" t="str">
        <x:v>Repair of household appliances and home and garden equipment</x:v>
      </x:c>
      <x:c r="C3545" s="12" t="str">
        <x:v>مادبا</x:v>
      </x:c>
      <x:c r="D3545" s="14" t="n">
        <x:v>26</x:v>
      </x:c>
      <x:c r="E3545" s="14" t="n">
        <x:f>VLOOKUP(C3545,'Governorate Master'!$A$2:$Q$13,3,FALSE)</x:f>
        <x:v>236200</x:v>
      </x:c>
      <x:c r="F3545" s="66" t="n">
        <x:f>IF(E3545=0,0,D3545/E3545*10000)</x:f>
        <x:v>1.100762066045724</x:v>
      </x:c>
      <x:c r="G3545" s="67" t="n">
        <x:f>VLOOKUP(C3545,'Governorate Master'!$A$2:$Q$13,7,FALSE)</x:f>
        <x:v>251.4</x:v>
      </x:c>
      <x:c r="H3545" s="20" t="n">
        <x:f>VLOOKUP(C3545,'Governorate Master'!$A$2:$Q$13,6,FALSE)</x:f>
        <x:v>0.7823878069432684</x:v>
      </x:c>
      <x:c r="I3545" s="20" t="n">
        <x:f>VLOOKUP(C3545,'Governorate Master'!$A$2:$Q$13,15,FALSE)</x:f>
        <x:v>-0.18823529411764706</x:v>
      </x:c>
      <x:c r="J3545" s="12" t="str">
        <x:v>Location model input - competition/saturation context</x:v>
      </x:c>
      <x:c r="K3545" s="12" t="str">
        <x:v>Business count is from 2018 while population/context indicators are newer; use as a historical proxy, not a current market count.</x:v>
      </x:c>
    </x:row>
    <x:row r="3546">
      <x:c r="A3546" s="12" t="str">
        <x:v>9522</x:v>
      </x:c>
      <x:c r="B3546" s="12" t="str">
        <x:v>Repair of household appliances and home and garden equipment</x:v>
      </x:c>
      <x:c r="C3546" s="12" t="str">
        <x:v>إربد</x:v>
      </x:c>
      <x:c r="D3546" s="14" t="n">
        <x:v>226</x:v>
      </x:c>
      <x:c r="E3546" s="14" t="n">
        <x:f>VLOOKUP(C3546,'Governorate Master'!$A$2:$Q$13,3,FALSE)</x:f>
        <x:v>2210500</x:v>
      </x:c>
      <x:c r="F3546" s="66" t="n">
        <x:f>IF(E3546=0,0,D3546/E3546*10000)</x:f>
        <x:v>1.0223931237276636</x:v>
      </x:c>
      <x:c r="G3546" s="67" t="n">
        <x:f>VLOOKUP(C3546,'Governorate Master'!$A$2:$Q$13,7,FALSE)</x:f>
        <x:v>1406.4</x:v>
      </x:c>
      <x:c r="H3546" s="20" t="n">
        <x:f>VLOOKUP(C3546,'Governorate Master'!$A$2:$Q$13,6,FALSE)</x:f>
        <x:v>0.9235014702555983</x:v>
      </x:c>
      <x:c r="I3546" s="20" t="n">
        <x:f>VLOOKUP(C3546,'Governorate Master'!$A$2:$Q$13,15,FALSE)</x:f>
        <x:v>0.07086922474549726</x:v>
      </x:c>
      <x:c r="J3546" s="12" t="str">
        <x:v>Location model input - competition/saturation context</x:v>
      </x:c>
      <x:c r="K3546" s="12" t="str">
        <x:v>Business count is from 2018 while population/context indicators are newer; use as a historical proxy, not a current market count.</x:v>
      </x:c>
    </x:row>
    <x:row r="3547">
      <x:c r="A3547" s="12" t="str">
        <x:v>9522</x:v>
      </x:c>
      <x:c r="B3547" s="12" t="str">
        <x:v>Repair of household appliances and home and garden equipment</x:v>
      </x:c>
      <x:c r="C3547" s="12" t="str">
        <x:v>المفرق</x:v>
      </x:c>
      <x:c r="D3547" s="14" t="n">
        <x:v>44</x:v>
      </x:c>
      <x:c r="E3547" s="14" t="n">
        <x:f>VLOOKUP(C3547,'Governorate Master'!$A$2:$Q$13,3,FALSE)</x:f>
        <x:v>686800</x:v>
      </x:c>
      <x:c r="F3547" s="66" t="n">
        <x:f>IF(E3547=0,0,D3547/E3547*10000)</x:f>
        <x:v>0.6406523005241701</x:v>
      </x:c>
      <x:c r="G3547" s="67" t="n">
        <x:f>VLOOKUP(C3547,'Governorate Master'!$A$2:$Q$13,7,FALSE)</x:f>
        <x:v>25.9</x:v>
      </x:c>
      <x:c r="H3547" s="20" t="n">
        <x:f>VLOOKUP(C3547,'Governorate Master'!$A$2:$Q$13,6,FALSE)</x:f>
        <x:v>0.6965637740244612</x:v>
      </x:c>
      <x:c r="I3547" s="20" t="n">
        <x:f>VLOOKUP(C3547,'Governorate Master'!$A$2:$Q$13,15,FALSE)</x:f>
        <x:v>-0.016638935108153077</x:v>
      </x:c>
      <x:c r="J3547" s="12" t="str">
        <x:v>Location model input - competition/saturation context</x:v>
      </x:c>
      <x:c r="K3547" s="12" t="str">
        <x:v>Business count is from 2018 while population/context indicators are newer; use as a historical proxy, not a current market count.</x:v>
      </x:c>
    </x:row>
    <x:row r="3548">
      <x:c r="A3548" s="12" t="str">
        <x:v>9522</x:v>
      </x:c>
      <x:c r="B3548" s="12" t="str">
        <x:v>Repair of household appliances and home and garden equipment</x:v>
      </x:c>
      <x:c r="C3548" s="12" t="str">
        <x:v>جرش</x:v>
      </x:c>
      <x:c r="D3548" s="14" t="n">
        <x:v>35</x:v>
      </x:c>
      <x:c r="E3548" s="14" t="n">
        <x:f>VLOOKUP(C3548,'Governorate Master'!$A$2:$Q$13,3,FALSE)</x:f>
        <x:v>296000</x:v>
      </x:c>
      <x:c r="F3548" s="66" t="n">
        <x:f>IF(E3548=0,0,D3548/E3548*10000)</x:f>
        <x:v>1.1824324324324325</x:v>
      </x:c>
      <x:c r="G3548" s="67" t="n">
        <x:f>VLOOKUP(C3548,'Governorate Master'!$A$2:$Q$13,7,FALSE)</x:f>
        <x:v>722.3</x:v>
      </x:c>
      <x:c r="H3548" s="20" t="n">
        <x:f>VLOOKUP(C3548,'Governorate Master'!$A$2:$Q$13,6,FALSE)</x:f>
        <x:v>0.7695945945945946</x:v>
      </x:c>
      <x:c r="I3548" s="20" t="n">
        <x:f>VLOOKUP(C3548,'Governorate Master'!$A$2:$Q$13,15,FALSE)</x:f>
        <x:v>-0.06527415143603134</x:v>
      </x:c>
      <x:c r="J3548" s="12" t="str">
        <x:v>Location model input - competition/saturation context</x:v>
      </x:c>
      <x:c r="K3548" s="12" t="str">
        <x:v>Business count is from 2018 while population/context indicators are newer; use as a historical proxy, not a current market count.</x:v>
      </x:c>
    </x:row>
    <x:row r="3549">
      <x:c r="A3549" s="12" t="str">
        <x:v>9522</x:v>
      </x:c>
      <x:c r="B3549" s="12" t="str">
        <x:v>Repair of household appliances and home and garden equipment</x:v>
      </x:c>
      <x:c r="C3549" s="12" t="str">
        <x:v>عجلون</x:v>
      </x:c>
      <x:c r="D3549" s="14" t="n">
        <x:v>21</x:v>
      </x:c>
      <x:c r="E3549" s="14" t="n">
        <x:f>VLOOKUP(C3549,'Governorate Master'!$A$2:$Q$13,3,FALSE)</x:f>
        <x:v>219900</x:v>
      </x:c>
      <x:c r="F3549" s="66" t="n">
        <x:f>IF(E3549=0,0,D3549/E3549*10000)</x:f>
        <x:v>0.9549795361527967</x:v>
      </x:c>
      <x:c r="G3549" s="67" t="n">
        <x:f>VLOOKUP(C3549,'Governorate Master'!$A$2:$Q$13,7,FALSE)</x:f>
        <x:v>524</x:v>
      </x:c>
      <x:c r="H3549" s="20" t="n">
        <x:f>VLOOKUP(C3549,'Governorate Master'!$A$2:$Q$13,6,FALSE)</x:f>
        <x:v>0.8390177353342428</x:v>
      </x:c>
      <x:c r="I3549" s="20" t="n">
        <x:f>VLOOKUP(C3549,'Governorate Master'!$A$2:$Q$13,15,FALSE)</x:f>
        <x:v>0.03614457831325301</x:v>
      </x:c>
      <x:c r="J3549" s="12" t="str">
        <x:v>Location model input - competition/saturation context</x:v>
      </x:c>
      <x:c r="K3549" s="12" t="str">
        <x:v>Business count is from 2018 while population/context indicators are newer; use as a historical proxy, not a current market count.</x:v>
      </x:c>
    </x:row>
    <x:row r="3550">
      <x:c r="A3550" s="12" t="str">
        <x:v>9522</x:v>
      </x:c>
      <x:c r="B3550" s="12" t="str">
        <x:v>Repair of household appliances and home and garden equipment</x:v>
      </x:c>
      <x:c r="C3550" s="12" t="str">
        <x:v>الكرك</x:v>
      </x:c>
      <x:c r="D3550" s="14" t="n">
        <x:v>49</x:v>
      </x:c>
      <x:c r="E3550" s="14" t="n">
        <x:f>VLOOKUP(C3550,'Governorate Master'!$A$2:$Q$13,3,FALSE)</x:f>
        <x:v>395400</x:v>
      </x:c>
      <x:c r="F3550" s="66" t="n">
        <x:f>IF(E3550=0,0,D3550/E3550*10000)</x:f>
        <x:v>1.2392513909964593</x:v>
      </x:c>
      <x:c r="G3550" s="67" t="n">
        <x:f>VLOOKUP(C3550,'Governorate Master'!$A$2:$Q$13,7,FALSE)</x:f>
        <x:v>113.1</x:v>
      </x:c>
      <x:c r="H3550" s="20" t="n">
        <x:f>VLOOKUP(C3550,'Governorate Master'!$A$2:$Q$13,6,FALSE)</x:f>
        <x:v>0.5912999494183105</x:v>
      </x:c>
      <x:c r="I3550" s="20" t="n">
        <x:f>VLOOKUP(C3550,'Governorate Master'!$A$2:$Q$13,15,FALSE)</x:f>
        <x:v>0.08710801393728224</x:v>
      </x:c>
      <x:c r="J3550" s="12" t="str">
        <x:v>Location model input - competition/saturation context</x:v>
      </x:c>
      <x:c r="K3550" s="12" t="str">
        <x:v>Business count is from 2018 while population/context indicators are newer; use as a historical proxy, not a current market count.</x:v>
      </x:c>
    </x:row>
    <x:row r="3551">
      <x:c r="A3551" s="12" t="str">
        <x:v>9522</x:v>
      </x:c>
      <x:c r="B3551" s="12" t="str">
        <x:v>Repair of household appliances and home and garden equipment</x:v>
      </x:c>
      <x:c r="C3551" s="12" t="str">
        <x:v>الطفيلة</x:v>
      </x:c>
      <x:c r="D3551" s="14" t="n">
        <x:v>7</x:v>
      </x:c>
      <x:c r="E3551" s="14" t="n">
        <x:f>VLOOKUP(C3551,'Governorate Master'!$A$2:$Q$13,3,FALSE)</x:f>
        <x:v>120300</x:v>
      </x:c>
      <x:c r="F3551" s="66" t="n">
        <x:f>IF(E3551=0,0,D3551/E3551*10000)</x:f>
        <x:v>0.5818786367414797</x:v>
      </x:c>
      <x:c r="G3551" s="67" t="n">
        <x:f>VLOOKUP(C3551,'Governorate Master'!$A$2:$Q$13,7,FALSE)</x:f>
        <x:v>54.4</x:v>
      </x:c>
      <x:c r="H3551" s="20" t="n">
        <x:f>VLOOKUP(C3551,'Governorate Master'!$A$2:$Q$13,6,FALSE)</x:f>
        <x:v>0.7797173732335827</x:v>
      </x:c>
      <x:c r="I3551" s="20" t="n">
        <x:f>VLOOKUP(C3551,'Governorate Master'!$A$2:$Q$13,15,FALSE)</x:f>
        <x:v>0.18452380952380953</x:v>
      </x:c>
      <x:c r="J3551" s="12" t="str">
        <x:v>Location model input - competition/saturation context</x:v>
      </x:c>
      <x:c r="K3551" s="12" t="str">
        <x:v>Business count is from 2018 while population/context indicators are newer; use as a historical proxy, not a current market count.</x:v>
      </x:c>
    </x:row>
    <x:row r="3552">
      <x:c r="A3552" s="12" t="str">
        <x:v>9522</x:v>
      </x:c>
      <x:c r="B3552" s="12" t="str">
        <x:v>Repair of household appliances and home and garden equipment</x:v>
      </x:c>
      <x:c r="C3552" s="12" t="str">
        <x:v>معان</x:v>
      </x:c>
      <x:c r="D3552" s="14" t="n">
        <x:v>17</x:v>
      </x:c>
      <x:c r="E3552" s="14" t="n">
        <x:f>VLOOKUP(C3552,'Governorate Master'!$A$2:$Q$13,3,FALSE)</x:f>
        <x:v>197900</x:v>
      </x:c>
      <x:c r="F3552" s="66" t="n">
        <x:f>IF(E3552=0,0,D3552/E3552*10000)</x:f>
        <x:v>0.8590197069226883</x:v>
      </x:c>
      <x:c r="G3552" s="67" t="n">
        <x:f>VLOOKUP(C3552,'Governorate Master'!$A$2:$Q$13,7,FALSE)</x:f>
        <x:v>6</x:v>
      </x:c>
      <x:c r="H3552" s="20" t="n">
        <x:f>VLOOKUP(C3552,'Governorate Master'!$A$2:$Q$13,6,FALSE)</x:f>
        <x:v>0.5406771096513391</x:v>
      </x:c>
      <x:c r="I3552" s="20" t="n">
        <x:f>VLOOKUP(C3552,'Governorate Master'!$A$2:$Q$13,15,FALSE)</x:f>
        <x:v>0.026845637583892617</x:v>
      </x:c>
      <x:c r="J3552" s="12" t="str">
        <x:v>Location model input - competition/saturation context</x:v>
      </x:c>
      <x:c r="K3552" s="12" t="str">
        <x:v>Business count is from 2018 while population/context indicators are newer; use as a historical proxy, not a current market count.</x:v>
      </x:c>
    </x:row>
    <x:row r="3553">
      <x:c r="A3553" s="12" t="str">
        <x:v>9522</x:v>
      </x:c>
      <x:c r="B3553" s="12" t="str">
        <x:v>Repair of household appliances and home and garden equipment</x:v>
      </x:c>
      <x:c r="C3553" s="12" t="str">
        <x:v>العقبة</x:v>
      </x:c>
      <x:c r="D3553" s="14" t="n">
        <x:v>27</x:v>
      </x:c>
      <x:c r="E3553" s="14" t="n">
        <x:f>VLOOKUP(C3553,'Governorate Master'!$A$2:$Q$13,3,FALSE)</x:f>
        <x:v>250900</x:v>
      </x:c>
      <x:c r="F3553" s="66" t="n">
        <x:f>IF(E3553=0,0,D3553/E3553*10000)</x:f>
        <x:v>1.076125946592268</x:v>
      </x:c>
      <x:c r="G3553" s="67" t="n">
        <x:f>VLOOKUP(C3553,'Governorate Master'!$A$2:$Q$13,7,FALSE)</x:f>
        <x:v>36.3</x:v>
      </x:c>
      <x:c r="H3553" s="20" t="n">
        <x:f>VLOOKUP(C3553,'Governorate Master'!$A$2:$Q$13,6,FALSE)</x:f>
        <x:v>0.882024711040255</x:v>
      </x:c>
      <x:c r="I3553" s="20" t="n">
        <x:f>VLOOKUP(C3553,'Governorate Master'!$A$2:$Q$13,15,FALSE)</x:f>
        <x:v>-0.09</x:v>
      </x:c>
      <x:c r="J3553" s="12" t="str">
        <x:v>Location model input - competition/saturation context</x:v>
      </x:c>
      <x:c r="K3553" s="12" t="str">
        <x:v>Business count is from 2018 while population/context indicators are newer; use as a historical proxy, not a current market count.</x:v>
      </x:c>
    </x:row>
    <x:row r="3554">
      <x:c r="A3554" s="12" t="str">
        <x:v>9523</x:v>
      </x:c>
      <x:c r="B3554" s="12" t="str">
        <x:v>Repair of footwear and leather goods</x:v>
      </x:c>
      <x:c r="C3554" s="12" t="str">
        <x:v>عمان</x:v>
      </x:c>
      <x:c r="D3554" s="14" t="n">
        <x:v>53</x:v>
      </x:c>
      <x:c r="E3554" s="14" t="n">
        <x:f>VLOOKUP(C3554,'Governorate Master'!$A$2:$Q$13,3,FALSE)</x:f>
        <x:v>5004600</x:v>
      </x:c>
      <x:c r="F3554" s="66" t="n">
        <x:f>IF(E3554=0,0,D3554/E3554*10000)</x:f>
        <x:v>0.10590256963593495</x:v>
      </x:c>
      <x:c r="G3554" s="67" t="n">
        <x:f>VLOOKUP(C3554,'Governorate Master'!$A$2:$Q$13,7,FALSE)</x:f>
        <x:v>660.3</x:v>
      </x:c>
      <x:c r="H3554" s="20" t="n">
        <x:f>VLOOKUP(C3554,'Governorate Master'!$A$2:$Q$13,6,FALSE)</x:f>
        <x:v>0.9721656076409703</x:v>
      </x:c>
      <x:c r="I3554" s="20" t="n">
        <x:f>VLOOKUP(C3554,'Governorate Master'!$A$2:$Q$13,15,FALSE)</x:f>
        <x:v>0.06367041198501873</x:v>
      </x:c>
      <x:c r="J3554" s="12" t="str">
        <x:v>Location model input - competition/saturation context</x:v>
      </x:c>
      <x:c r="K3554" s="12" t="str">
        <x:v>Business count is from 2018 while population/context indicators are newer; use as a historical proxy, not a current market count.</x:v>
      </x:c>
    </x:row>
    <x:row r="3555">
      <x:c r="A3555" s="12" t="str">
        <x:v>9523</x:v>
      </x:c>
      <x:c r="B3555" s="12" t="str">
        <x:v>Repair of footwear and leather goods</x:v>
      </x:c>
      <x:c r="C3555" s="12" t="str">
        <x:v>البلقاء</x:v>
      </x:c>
      <x:c r="D3555" s="14" t="n">
        <x:v>15</x:v>
      </x:c>
      <x:c r="E3555" s="14" t="n">
        <x:f>VLOOKUP(C3555,'Governorate Master'!$A$2:$Q$13,3,FALSE)</x:f>
        <x:v>614000</x:v>
      </x:c>
      <x:c r="F3555" s="66" t="n">
        <x:f>IF(E3555=0,0,D3555/E3555*10000)</x:f>
        <x:v>0.24429967426710097</x:v>
      </x:c>
      <x:c r="G3555" s="67" t="n">
        <x:f>VLOOKUP(C3555,'Governorate Master'!$A$2:$Q$13,7,FALSE)</x:f>
        <x:v>548</x:v>
      </x:c>
      <x:c r="H3555" s="20" t="n">
        <x:f>VLOOKUP(C3555,'Governorate Master'!$A$2:$Q$13,6,FALSE)</x:f>
        <x:v>0.8210097719869707</x:v>
      </x:c>
      <x:c r="I3555" s="20" t="n">
        <x:f>VLOOKUP(C3555,'Governorate Master'!$A$2:$Q$13,15,FALSE)</x:f>
        <x:v>0.10794044665012408</x:v>
      </x:c>
      <x:c r="J3555" s="12" t="str">
        <x:v>Location model input - competition/saturation context</x:v>
      </x:c>
      <x:c r="K3555" s="12" t="str">
        <x:v>Business count is from 2018 while population/context indicators are newer; use as a historical proxy, not a current market count.</x:v>
      </x:c>
    </x:row>
    <x:row r="3556">
      <x:c r="A3556" s="12" t="str">
        <x:v>9523</x:v>
      </x:c>
      <x:c r="B3556" s="12" t="str">
        <x:v>Repair of footwear and leather goods</x:v>
      </x:c>
      <x:c r="C3556" s="12" t="str">
        <x:v>الزرقاء</x:v>
      </x:c>
      <x:c r="D3556" s="14" t="n">
        <x:v>25</x:v>
      </x:c>
      <x:c r="E3556" s="14" t="n">
        <x:f>VLOOKUP(C3556,'Governorate Master'!$A$2:$Q$13,3,FALSE)</x:f>
        <x:v>1704500</x:v>
      </x:c>
      <x:c r="F3556" s="66" t="n">
        <x:f>IF(E3556=0,0,D3556/E3556*10000)</x:f>
        <x:v>0.14667057788207685</x:v>
      </x:c>
      <x:c r="G3556" s="67" t="n">
        <x:f>VLOOKUP(C3556,'Governorate Master'!$A$2:$Q$13,7,FALSE)</x:f>
        <x:v>358</x:v>
      </x:c>
      <x:c r="H3556" s="20" t="n">
        <x:f>VLOOKUP(C3556,'Governorate Master'!$A$2:$Q$13,6,FALSE)</x:f>
        <x:v>0.9636256966852449</x:v>
      </x:c>
      <x:c r="I3556" s="20" t="n">
        <x:f>VLOOKUP(C3556,'Governorate Master'!$A$2:$Q$13,15,FALSE)</x:f>
        <x:v>-0.06808762581409118</x:v>
      </x:c>
      <x:c r="J3556" s="12" t="str">
        <x:v>Location model input - competition/saturation context</x:v>
      </x:c>
      <x:c r="K3556" s="12" t="str">
        <x:v>Business count is from 2018 while population/context indicators are newer; use as a historical proxy, not a current market count.</x:v>
      </x:c>
    </x:row>
    <x:row r="3557">
      <x:c r="A3557" s="12" t="str">
        <x:v>9523</x:v>
      </x:c>
      <x:c r="B3557" s="12" t="str">
        <x:v>Repair of footwear and leather goods</x:v>
      </x:c>
      <x:c r="C3557" s="12" t="str">
        <x:v>مادبا</x:v>
      </x:c>
      <x:c r="D3557" s="14" t="n">
        <x:v>3</x:v>
      </x:c>
      <x:c r="E3557" s="14" t="n">
        <x:f>VLOOKUP(C3557,'Governorate Master'!$A$2:$Q$13,3,FALSE)</x:f>
        <x:v>236200</x:v>
      </x:c>
      <x:c r="F3557" s="66" t="n">
        <x:f>IF(E3557=0,0,D3557/E3557*10000)</x:f>
        <x:v>0.12701100762066045</x:v>
      </x:c>
      <x:c r="G3557" s="67" t="n">
        <x:f>VLOOKUP(C3557,'Governorate Master'!$A$2:$Q$13,7,FALSE)</x:f>
        <x:v>251.4</x:v>
      </x:c>
      <x:c r="H3557" s="20" t="n">
        <x:f>VLOOKUP(C3557,'Governorate Master'!$A$2:$Q$13,6,FALSE)</x:f>
        <x:v>0.7823878069432684</x:v>
      </x:c>
      <x:c r="I3557" s="20" t="n">
        <x:f>VLOOKUP(C3557,'Governorate Master'!$A$2:$Q$13,15,FALSE)</x:f>
        <x:v>-0.18823529411764706</x:v>
      </x:c>
      <x:c r="J3557" s="12" t="str">
        <x:v>Location model input - competition/saturation context</x:v>
      </x:c>
      <x:c r="K3557" s="12" t="str">
        <x:v>Business count is from 2018 while population/context indicators are newer; use as a historical proxy, not a current market count.</x:v>
      </x:c>
    </x:row>
    <x:row r="3558">
      <x:c r="A3558" s="12" t="str">
        <x:v>9523</x:v>
      </x:c>
      <x:c r="B3558" s="12" t="str">
        <x:v>Repair of footwear and leather goods</x:v>
      </x:c>
      <x:c r="C3558" s="12" t="str">
        <x:v>إربد</x:v>
      </x:c>
      <x:c r="D3558" s="14" t="n">
        <x:v>34</x:v>
      </x:c>
      <x:c r="E3558" s="14" t="n">
        <x:f>VLOOKUP(C3558,'Governorate Master'!$A$2:$Q$13,3,FALSE)</x:f>
        <x:v>2210500</x:v>
      </x:c>
      <x:c r="F3558" s="66" t="n">
        <x:f>IF(E3558=0,0,D3558/E3558*10000)</x:f>
        <x:v>0.15381135489708211</x:v>
      </x:c>
      <x:c r="G3558" s="67" t="n">
        <x:f>VLOOKUP(C3558,'Governorate Master'!$A$2:$Q$13,7,FALSE)</x:f>
        <x:v>1406.4</x:v>
      </x:c>
      <x:c r="H3558" s="20" t="n">
        <x:f>VLOOKUP(C3558,'Governorate Master'!$A$2:$Q$13,6,FALSE)</x:f>
        <x:v>0.9235014702555983</x:v>
      </x:c>
      <x:c r="I3558" s="20" t="n">
        <x:f>VLOOKUP(C3558,'Governorate Master'!$A$2:$Q$13,15,FALSE)</x:f>
        <x:v>0.07086922474549726</x:v>
      </x:c>
      <x:c r="J3558" s="12" t="str">
        <x:v>Location model input - competition/saturation context</x:v>
      </x:c>
      <x:c r="K3558" s="12" t="str">
        <x:v>Business count is from 2018 while population/context indicators are newer; use as a historical proxy, not a current market count.</x:v>
      </x:c>
    </x:row>
    <x:row r="3559">
      <x:c r="A3559" s="12" t="str">
        <x:v>9523</x:v>
      </x:c>
      <x:c r="B3559" s="12" t="str">
        <x:v>Repair of footwear and leather goods</x:v>
      </x:c>
      <x:c r="C3559" s="12" t="str">
        <x:v>المفرق</x:v>
      </x:c>
      <x:c r="D3559" s="14" t="n">
        <x:v>3</x:v>
      </x:c>
      <x:c r="E3559" s="14" t="n">
        <x:f>VLOOKUP(C3559,'Governorate Master'!$A$2:$Q$13,3,FALSE)</x:f>
        <x:v>686800</x:v>
      </x:c>
      <x:c r="F3559" s="66" t="n">
        <x:f>IF(E3559=0,0,D3559/E3559*10000)</x:f>
        <x:v>0.043680838672102505</x:v>
      </x:c>
      <x:c r="G3559" s="67" t="n">
        <x:f>VLOOKUP(C3559,'Governorate Master'!$A$2:$Q$13,7,FALSE)</x:f>
        <x:v>25.9</x:v>
      </x:c>
      <x:c r="H3559" s="20" t="n">
        <x:f>VLOOKUP(C3559,'Governorate Master'!$A$2:$Q$13,6,FALSE)</x:f>
        <x:v>0.6965637740244612</x:v>
      </x:c>
      <x:c r="I3559" s="20" t="n">
        <x:f>VLOOKUP(C3559,'Governorate Master'!$A$2:$Q$13,15,FALSE)</x:f>
        <x:v>-0.016638935108153077</x:v>
      </x:c>
      <x:c r="J3559" s="12" t="str">
        <x:v>Location model input - competition/saturation context</x:v>
      </x:c>
      <x:c r="K3559" s="12" t="str">
        <x:v>Business count is from 2018 while population/context indicators are newer; use as a historical proxy, not a current market count.</x:v>
      </x:c>
    </x:row>
    <x:row r="3560">
      <x:c r="A3560" s="12" t="str">
        <x:v>9523</x:v>
      </x:c>
      <x:c r="B3560" s="12" t="str">
        <x:v>Repair of footwear and leather goods</x:v>
      </x:c>
      <x:c r="C3560" s="12" t="str">
        <x:v>جرش</x:v>
      </x:c>
      <x:c r="D3560" s="14" t="n">
        <x:v>4</x:v>
      </x:c>
      <x:c r="E3560" s="14" t="n">
        <x:f>VLOOKUP(C3560,'Governorate Master'!$A$2:$Q$13,3,FALSE)</x:f>
        <x:v>296000</x:v>
      </x:c>
      <x:c r="F3560" s="66" t="n">
        <x:f>IF(E3560=0,0,D3560/E3560*10000)</x:f>
        <x:v>0.13513513513513514</x:v>
      </x:c>
      <x:c r="G3560" s="67" t="n">
        <x:f>VLOOKUP(C3560,'Governorate Master'!$A$2:$Q$13,7,FALSE)</x:f>
        <x:v>722.3</x:v>
      </x:c>
      <x:c r="H3560" s="20" t="n">
        <x:f>VLOOKUP(C3560,'Governorate Master'!$A$2:$Q$13,6,FALSE)</x:f>
        <x:v>0.7695945945945946</x:v>
      </x:c>
      <x:c r="I3560" s="20" t="n">
        <x:f>VLOOKUP(C3560,'Governorate Master'!$A$2:$Q$13,15,FALSE)</x:f>
        <x:v>-0.06527415143603134</x:v>
      </x:c>
      <x:c r="J3560" s="12" t="str">
        <x:v>Location model input - competition/saturation context</x:v>
      </x:c>
      <x:c r="K3560" s="12" t="str">
        <x:v>Business count is from 2018 while population/context indicators are newer; use as a historical proxy, not a current market count.</x:v>
      </x:c>
    </x:row>
    <x:row r="3561">
      <x:c r="A3561" s="12" t="str">
        <x:v>9523</x:v>
      </x:c>
      <x:c r="B3561" s="12" t="str">
        <x:v>Repair of footwear and leather goods</x:v>
      </x:c>
      <x:c r="C3561" s="12" t="str">
        <x:v>عجلون</x:v>
      </x:c>
      <x:c r="D3561" s="14" t="n">
        <x:v>3</x:v>
      </x:c>
      <x:c r="E3561" s="14" t="n">
        <x:f>VLOOKUP(C3561,'Governorate Master'!$A$2:$Q$13,3,FALSE)</x:f>
        <x:v>219900</x:v>
      </x:c>
      <x:c r="F3561" s="66" t="n">
        <x:f>IF(E3561=0,0,D3561/E3561*10000)</x:f>
        <x:v>0.1364256480218281</x:v>
      </x:c>
      <x:c r="G3561" s="67" t="n">
        <x:f>VLOOKUP(C3561,'Governorate Master'!$A$2:$Q$13,7,FALSE)</x:f>
        <x:v>524</x:v>
      </x:c>
      <x:c r="H3561" s="20" t="n">
        <x:f>VLOOKUP(C3561,'Governorate Master'!$A$2:$Q$13,6,FALSE)</x:f>
        <x:v>0.8390177353342428</x:v>
      </x:c>
      <x:c r="I3561" s="20" t="n">
        <x:f>VLOOKUP(C3561,'Governorate Master'!$A$2:$Q$13,15,FALSE)</x:f>
        <x:v>0.03614457831325301</x:v>
      </x:c>
      <x:c r="J3561" s="12" t="str">
        <x:v>Location model input - competition/saturation context</x:v>
      </x:c>
      <x:c r="K3561" s="12" t="str">
        <x:v>Business count is from 2018 while population/context indicators are newer; use as a historical proxy, not a current market count.</x:v>
      </x:c>
    </x:row>
    <x:row r="3562">
      <x:c r="A3562" s="12" t="str">
        <x:v>9523</x:v>
      </x:c>
      <x:c r="B3562" s="12" t="str">
        <x:v>Repair of footwear and leather goods</x:v>
      </x:c>
      <x:c r="C3562" s="12" t="str">
        <x:v>الكرك</x:v>
      </x:c>
      <x:c r="D3562" s="14" t="n">
        <x:v>6</x:v>
      </x:c>
      <x:c r="E3562" s="14" t="n">
        <x:f>VLOOKUP(C3562,'Governorate Master'!$A$2:$Q$13,3,FALSE)</x:f>
        <x:v>395400</x:v>
      </x:c>
      <x:c r="F3562" s="66" t="n">
        <x:f>IF(E3562=0,0,D3562/E3562*10000)</x:f>
        <x:v>0.15174506828528073</x:v>
      </x:c>
      <x:c r="G3562" s="67" t="n">
        <x:f>VLOOKUP(C3562,'Governorate Master'!$A$2:$Q$13,7,FALSE)</x:f>
        <x:v>113.1</x:v>
      </x:c>
      <x:c r="H3562" s="20" t="n">
        <x:f>VLOOKUP(C3562,'Governorate Master'!$A$2:$Q$13,6,FALSE)</x:f>
        <x:v>0.5912999494183105</x:v>
      </x:c>
      <x:c r="I3562" s="20" t="n">
        <x:f>VLOOKUP(C3562,'Governorate Master'!$A$2:$Q$13,15,FALSE)</x:f>
        <x:v>0.08710801393728224</x:v>
      </x:c>
      <x:c r="J3562" s="12" t="str">
        <x:v>Location model input - competition/saturation context</x:v>
      </x:c>
      <x:c r="K3562" s="12" t="str">
        <x:v>Business count is from 2018 while population/context indicators are newer; use as a historical proxy, not a current market count.</x:v>
      </x:c>
    </x:row>
    <x:row r="3563">
      <x:c r="A3563" s="12" t="str">
        <x:v>9523</x:v>
      </x:c>
      <x:c r="B3563" s="12" t="str">
        <x:v>Repair of footwear and leather goods</x:v>
      </x:c>
      <x:c r="C3563" s="12" t="str">
        <x:v>الطفيلة</x:v>
      </x:c>
      <x:c r="D3563" s="14" t="n">
        <x:v>5</x:v>
      </x:c>
      <x:c r="E3563" s="14" t="n">
        <x:f>VLOOKUP(C3563,'Governorate Master'!$A$2:$Q$13,3,FALSE)</x:f>
        <x:v>120300</x:v>
      </x:c>
      <x:c r="F3563" s="66" t="n">
        <x:f>IF(E3563=0,0,D3563/E3563*10000)</x:f>
        <x:v>0.41562759767248547</x:v>
      </x:c>
      <x:c r="G3563" s="67" t="n">
        <x:f>VLOOKUP(C3563,'Governorate Master'!$A$2:$Q$13,7,FALSE)</x:f>
        <x:v>54.4</x:v>
      </x:c>
      <x:c r="H3563" s="20" t="n">
        <x:f>VLOOKUP(C3563,'Governorate Master'!$A$2:$Q$13,6,FALSE)</x:f>
        <x:v>0.7797173732335827</x:v>
      </x:c>
      <x:c r="I3563" s="20" t="n">
        <x:f>VLOOKUP(C3563,'Governorate Master'!$A$2:$Q$13,15,FALSE)</x:f>
        <x:v>0.18452380952380953</x:v>
      </x:c>
      <x:c r="J3563" s="12" t="str">
        <x:v>Location model input - competition/saturation context</x:v>
      </x:c>
      <x:c r="K3563" s="12" t="str">
        <x:v>Business count is from 2018 while population/context indicators are newer; use as a historical proxy, not a current market count.</x:v>
      </x:c>
    </x:row>
    <x:row r="3564">
      <x:c r="A3564" s="12" t="str">
        <x:v>9523</x:v>
      </x:c>
      <x:c r="B3564" s="12" t="str">
        <x:v>Repair of footwear and leather goods</x:v>
      </x:c>
      <x:c r="C3564" s="12" t="str">
        <x:v>معان</x:v>
      </x:c>
      <x:c r="D3564" s="14" t="n">
        <x:v>4</x:v>
      </x:c>
      <x:c r="E3564" s="14" t="n">
        <x:f>VLOOKUP(C3564,'Governorate Master'!$A$2:$Q$13,3,FALSE)</x:f>
        <x:v>197900</x:v>
      </x:c>
      <x:c r="F3564" s="66" t="n">
        <x:f>IF(E3564=0,0,D3564/E3564*10000)</x:f>
        <x:v>0.202122283981809</x:v>
      </x:c>
      <x:c r="G3564" s="67" t="n">
        <x:f>VLOOKUP(C3564,'Governorate Master'!$A$2:$Q$13,7,FALSE)</x:f>
        <x:v>6</x:v>
      </x:c>
      <x:c r="H3564" s="20" t="n">
        <x:f>VLOOKUP(C3564,'Governorate Master'!$A$2:$Q$13,6,FALSE)</x:f>
        <x:v>0.5406771096513391</x:v>
      </x:c>
      <x:c r="I3564" s="20" t="n">
        <x:f>VLOOKUP(C3564,'Governorate Master'!$A$2:$Q$13,15,FALSE)</x:f>
        <x:v>0.026845637583892617</x:v>
      </x:c>
      <x:c r="J3564" s="12" t="str">
        <x:v>Location model input - competition/saturation context</x:v>
      </x:c>
      <x:c r="K3564" s="12" t="str">
        <x:v>Business count is from 2018 while population/context indicators are newer; use as a historical proxy, not a current market count.</x:v>
      </x:c>
    </x:row>
    <x:row r="3565">
      <x:c r="A3565" s="12" t="str">
        <x:v>9523</x:v>
      </x:c>
      <x:c r="B3565" s="12" t="str">
        <x:v>Repair of footwear and leather goods</x:v>
      </x:c>
      <x:c r="C3565" s="12" t="str">
        <x:v>العقبة</x:v>
      </x:c>
      <x:c r="D3565" s="14" t="n">
        <x:v>4</x:v>
      </x:c>
      <x:c r="E3565" s="14" t="n">
        <x:f>VLOOKUP(C3565,'Governorate Master'!$A$2:$Q$13,3,FALSE)</x:f>
        <x:v>250900</x:v>
      </x:c>
      <x:c r="F3565" s="66" t="n">
        <x:f>IF(E3565=0,0,D3565/E3565*10000)</x:f>
        <x:v>0.15942606616181745</x:v>
      </x:c>
      <x:c r="G3565" s="67" t="n">
        <x:f>VLOOKUP(C3565,'Governorate Master'!$A$2:$Q$13,7,FALSE)</x:f>
        <x:v>36.3</x:v>
      </x:c>
      <x:c r="H3565" s="20" t="n">
        <x:f>VLOOKUP(C3565,'Governorate Master'!$A$2:$Q$13,6,FALSE)</x:f>
        <x:v>0.882024711040255</x:v>
      </x:c>
      <x:c r="I3565" s="20" t="n">
        <x:f>VLOOKUP(C3565,'Governorate Master'!$A$2:$Q$13,15,FALSE)</x:f>
        <x:v>-0.09</x:v>
      </x:c>
      <x:c r="J3565" s="12" t="str">
        <x:v>Location model input - competition/saturation context</x:v>
      </x:c>
      <x:c r="K3565" s="12" t="str">
        <x:v>Business count is from 2018 while population/context indicators are newer; use as a historical proxy, not a current market count.</x:v>
      </x:c>
    </x:row>
    <x:row r="3566">
      <x:c r="A3566" s="12" t="str">
        <x:v>9524</x:v>
      </x:c>
      <x:c r="B3566" s="12" t="str">
        <x:v>Repair of furniture and home furnishings</x:v>
      </x:c>
      <x:c r="C3566" s="12" t="str">
        <x:v>عمان</x:v>
      </x:c>
      <x:c r="D3566" s="14" t="n">
        <x:v>3</x:v>
      </x:c>
      <x:c r="E3566" s="14" t="n">
        <x:f>VLOOKUP(C3566,'Governorate Master'!$A$2:$Q$13,3,FALSE)</x:f>
        <x:v>5004600</x:v>
      </x:c>
      <x:c r="F3566" s="66" t="n">
        <x:f>IF(E3566=0,0,D3566/E3566*10000)</x:f>
        <x:v>0.005994485073732166</x:v>
      </x:c>
      <x:c r="G3566" s="67" t="n">
        <x:f>VLOOKUP(C3566,'Governorate Master'!$A$2:$Q$13,7,FALSE)</x:f>
        <x:v>660.3</x:v>
      </x:c>
      <x:c r="H3566" s="20" t="n">
        <x:f>VLOOKUP(C3566,'Governorate Master'!$A$2:$Q$13,6,FALSE)</x:f>
        <x:v>0.9721656076409703</x:v>
      </x:c>
      <x:c r="I3566" s="20" t="n">
        <x:f>VLOOKUP(C3566,'Governorate Master'!$A$2:$Q$13,15,FALSE)</x:f>
        <x:v>0.06367041198501873</x:v>
      </x:c>
      <x:c r="J3566" s="12" t="str">
        <x:v>Location model input - competition/saturation context</x:v>
      </x:c>
      <x:c r="K3566" s="12" t="str">
        <x:v>Business count is from 2018 while population/context indicators are newer; use as a historical proxy, not a current market count.</x:v>
      </x:c>
    </x:row>
    <x:row r="3567">
      <x:c r="A3567" s="12" t="str">
        <x:v>9524</x:v>
      </x:c>
      <x:c r="B3567" s="12" t="str">
        <x:v>Repair of furniture and home furnishings</x:v>
      </x:c>
      <x:c r="C3567" s="12" t="str">
        <x:v>البلقاء</x:v>
      </x:c>
      <x:c r="D3567" s="14" t="n">
        <x:v>0</x:v>
      </x:c>
      <x:c r="E3567" s="14" t="n">
        <x:f>VLOOKUP(C3567,'Governorate Master'!$A$2:$Q$13,3,FALSE)</x:f>
        <x:v>614000</x:v>
      </x:c>
      <x:c r="F3567" s="66" t="n">
        <x:f>IF(E3567=0,0,D3567/E3567*10000)</x:f>
        <x:v>0</x:v>
      </x:c>
      <x:c r="G3567" s="67" t="n">
        <x:f>VLOOKUP(C3567,'Governorate Master'!$A$2:$Q$13,7,FALSE)</x:f>
        <x:v>548</x:v>
      </x:c>
      <x:c r="H3567" s="20" t="n">
        <x:f>VLOOKUP(C3567,'Governorate Master'!$A$2:$Q$13,6,FALSE)</x:f>
        <x:v>0.8210097719869707</x:v>
      </x:c>
      <x:c r="I3567" s="20" t="n">
        <x:f>VLOOKUP(C3567,'Governorate Master'!$A$2:$Q$13,15,FALSE)</x:f>
        <x:v>0.10794044665012408</x:v>
      </x:c>
      <x:c r="J3567" s="12" t="str">
        <x:v>Location model input - competition/saturation context</x:v>
      </x:c>
      <x:c r="K3567" s="12" t="str">
        <x:v>Business count is from 2018 while population/context indicators are newer; use as a historical proxy, not a current market count.</x:v>
      </x:c>
    </x:row>
    <x:row r="3568">
      <x:c r="A3568" s="12" t="str">
        <x:v>9524</x:v>
      </x:c>
      <x:c r="B3568" s="12" t="str">
        <x:v>Repair of furniture and home furnishings</x:v>
      </x:c>
      <x:c r="C3568" s="12" t="str">
        <x:v>الزرقاء</x:v>
      </x:c>
      <x:c r="D3568" s="14" t="n">
        <x:v>2</x:v>
      </x:c>
      <x:c r="E3568" s="14" t="n">
        <x:f>VLOOKUP(C3568,'Governorate Master'!$A$2:$Q$13,3,FALSE)</x:f>
        <x:v>1704500</x:v>
      </x:c>
      <x:c r="F3568" s="66" t="n">
        <x:f>IF(E3568=0,0,D3568/E3568*10000)</x:f>
        <x:v>0.011733646230566148</x:v>
      </x:c>
      <x:c r="G3568" s="67" t="n">
        <x:f>VLOOKUP(C3568,'Governorate Master'!$A$2:$Q$13,7,FALSE)</x:f>
        <x:v>358</x:v>
      </x:c>
      <x:c r="H3568" s="20" t="n">
        <x:f>VLOOKUP(C3568,'Governorate Master'!$A$2:$Q$13,6,FALSE)</x:f>
        <x:v>0.9636256966852449</x:v>
      </x:c>
      <x:c r="I3568" s="20" t="n">
        <x:f>VLOOKUP(C3568,'Governorate Master'!$A$2:$Q$13,15,FALSE)</x:f>
        <x:v>-0.06808762581409118</x:v>
      </x:c>
      <x:c r="J3568" s="12" t="str">
        <x:v>Location model input - competition/saturation context</x:v>
      </x:c>
      <x:c r="K3568" s="12" t="str">
        <x:v>Business count is from 2018 while population/context indicators are newer; use as a historical proxy, not a current market count.</x:v>
      </x:c>
    </x:row>
    <x:row r="3569">
      <x:c r="A3569" s="12" t="str">
        <x:v>9524</x:v>
      </x:c>
      <x:c r="B3569" s="12" t="str">
        <x:v>Repair of furniture and home furnishings</x:v>
      </x:c>
      <x:c r="C3569" s="12" t="str">
        <x:v>مادبا</x:v>
      </x:c>
      <x:c r="D3569" s="14" t="n">
        <x:v>0</x:v>
      </x:c>
      <x:c r="E3569" s="14" t="n">
        <x:f>VLOOKUP(C3569,'Governorate Master'!$A$2:$Q$13,3,FALSE)</x:f>
        <x:v>236200</x:v>
      </x:c>
      <x:c r="F3569" s="66" t="n">
        <x:f>IF(E3569=0,0,D3569/E3569*10000)</x:f>
        <x:v>0</x:v>
      </x:c>
      <x:c r="G3569" s="67" t="n">
        <x:f>VLOOKUP(C3569,'Governorate Master'!$A$2:$Q$13,7,FALSE)</x:f>
        <x:v>251.4</x:v>
      </x:c>
      <x:c r="H3569" s="20" t="n">
        <x:f>VLOOKUP(C3569,'Governorate Master'!$A$2:$Q$13,6,FALSE)</x:f>
        <x:v>0.7823878069432684</x:v>
      </x:c>
      <x:c r="I3569" s="20" t="n">
        <x:f>VLOOKUP(C3569,'Governorate Master'!$A$2:$Q$13,15,FALSE)</x:f>
        <x:v>-0.18823529411764706</x:v>
      </x:c>
      <x:c r="J3569" s="12" t="str">
        <x:v>Location model input - competition/saturation context</x:v>
      </x:c>
      <x:c r="K3569" s="12" t="str">
        <x:v>Business count is from 2018 while population/context indicators are newer; use as a historical proxy, not a current market count.</x:v>
      </x:c>
    </x:row>
    <x:row r="3570">
      <x:c r="A3570" s="12" t="str">
        <x:v>9524</x:v>
      </x:c>
      <x:c r="B3570" s="12" t="str">
        <x:v>Repair of furniture and home furnishings</x:v>
      </x:c>
      <x:c r="C3570" s="12" t="str">
        <x:v>إربد</x:v>
      </x:c>
      <x:c r="D3570" s="14" t="n">
        <x:v>1</x:v>
      </x:c>
      <x:c r="E3570" s="14" t="n">
        <x:f>VLOOKUP(C3570,'Governorate Master'!$A$2:$Q$13,3,FALSE)</x:f>
        <x:v>2210500</x:v>
      </x:c>
      <x:c r="F3570" s="66" t="n">
        <x:f>IF(E3570=0,0,D3570/E3570*10000)</x:f>
        <x:v>0.004523863379325944</x:v>
      </x:c>
      <x:c r="G3570" s="67" t="n">
        <x:f>VLOOKUP(C3570,'Governorate Master'!$A$2:$Q$13,7,FALSE)</x:f>
        <x:v>1406.4</x:v>
      </x:c>
      <x:c r="H3570" s="20" t="n">
        <x:f>VLOOKUP(C3570,'Governorate Master'!$A$2:$Q$13,6,FALSE)</x:f>
        <x:v>0.9235014702555983</x:v>
      </x:c>
      <x:c r="I3570" s="20" t="n">
        <x:f>VLOOKUP(C3570,'Governorate Master'!$A$2:$Q$13,15,FALSE)</x:f>
        <x:v>0.07086922474549726</x:v>
      </x:c>
      <x:c r="J3570" s="12" t="str">
        <x:v>Location model input - competition/saturation context</x:v>
      </x:c>
      <x:c r="K3570" s="12" t="str">
        <x:v>Business count is from 2018 while population/context indicators are newer; use as a historical proxy, not a current market count.</x:v>
      </x:c>
    </x:row>
    <x:row r="3571">
      <x:c r="A3571" s="12" t="str">
        <x:v>9524</x:v>
      </x:c>
      <x:c r="B3571" s="12" t="str">
        <x:v>Repair of furniture and home furnishings</x:v>
      </x:c>
      <x:c r="C3571" s="12" t="str">
        <x:v>المفرق</x:v>
      </x:c>
      <x:c r="D3571" s="14" t="n">
        <x:v>0</x:v>
      </x:c>
      <x:c r="E3571" s="14" t="n">
        <x:f>VLOOKUP(C3571,'Governorate Master'!$A$2:$Q$13,3,FALSE)</x:f>
        <x:v>686800</x:v>
      </x:c>
      <x:c r="F3571" s="66" t="n">
        <x:f>IF(E3571=0,0,D3571/E3571*10000)</x:f>
        <x:v>0</x:v>
      </x:c>
      <x:c r="G3571" s="67" t="n">
        <x:f>VLOOKUP(C3571,'Governorate Master'!$A$2:$Q$13,7,FALSE)</x:f>
        <x:v>25.9</x:v>
      </x:c>
      <x:c r="H3571" s="20" t="n">
        <x:f>VLOOKUP(C3571,'Governorate Master'!$A$2:$Q$13,6,FALSE)</x:f>
        <x:v>0.6965637740244612</x:v>
      </x:c>
      <x:c r="I3571" s="20" t="n">
        <x:f>VLOOKUP(C3571,'Governorate Master'!$A$2:$Q$13,15,FALSE)</x:f>
        <x:v>-0.016638935108153077</x:v>
      </x:c>
      <x:c r="J3571" s="12" t="str">
        <x:v>Location model input - competition/saturation context</x:v>
      </x:c>
      <x:c r="K3571" s="12" t="str">
        <x:v>Business count is from 2018 while population/context indicators are newer; use as a historical proxy, not a current market count.</x:v>
      </x:c>
    </x:row>
    <x:row r="3572">
      <x:c r="A3572" s="12" t="str">
        <x:v>9524</x:v>
      </x:c>
      <x:c r="B3572" s="12" t="str">
        <x:v>Repair of furniture and home furnishings</x:v>
      </x:c>
      <x:c r="C3572" s="12" t="str">
        <x:v>جرش</x:v>
      </x:c>
      <x:c r="D3572" s="14" t="n">
        <x:v>0</x:v>
      </x:c>
      <x:c r="E3572" s="14" t="n">
        <x:f>VLOOKUP(C3572,'Governorate Master'!$A$2:$Q$13,3,FALSE)</x:f>
        <x:v>296000</x:v>
      </x:c>
      <x:c r="F3572" s="66" t="n">
        <x:f>IF(E3572=0,0,D3572/E3572*10000)</x:f>
        <x:v>0</x:v>
      </x:c>
      <x:c r="G3572" s="67" t="n">
        <x:f>VLOOKUP(C3572,'Governorate Master'!$A$2:$Q$13,7,FALSE)</x:f>
        <x:v>722.3</x:v>
      </x:c>
      <x:c r="H3572" s="20" t="n">
        <x:f>VLOOKUP(C3572,'Governorate Master'!$A$2:$Q$13,6,FALSE)</x:f>
        <x:v>0.7695945945945946</x:v>
      </x:c>
      <x:c r="I3572" s="20" t="n">
        <x:f>VLOOKUP(C3572,'Governorate Master'!$A$2:$Q$13,15,FALSE)</x:f>
        <x:v>-0.06527415143603134</x:v>
      </x:c>
      <x:c r="J3572" s="12" t="str">
        <x:v>Location model input - competition/saturation context</x:v>
      </x:c>
      <x:c r="K3572" s="12" t="str">
        <x:v>Business count is from 2018 while population/context indicators are newer; use as a historical proxy, not a current market count.</x:v>
      </x:c>
    </x:row>
    <x:row r="3573">
      <x:c r="A3573" s="12" t="str">
        <x:v>9524</x:v>
      </x:c>
      <x:c r="B3573" s="12" t="str">
        <x:v>Repair of furniture and home furnishings</x:v>
      </x:c>
      <x:c r="C3573" s="12" t="str">
        <x:v>عجلون</x:v>
      </x:c>
      <x:c r="D3573" s="14" t="n">
        <x:v>0</x:v>
      </x:c>
      <x:c r="E3573" s="14" t="n">
        <x:f>VLOOKUP(C3573,'Governorate Master'!$A$2:$Q$13,3,FALSE)</x:f>
        <x:v>219900</x:v>
      </x:c>
      <x:c r="F3573" s="66" t="n">
        <x:f>IF(E3573=0,0,D3573/E3573*10000)</x:f>
        <x:v>0</x:v>
      </x:c>
      <x:c r="G3573" s="67" t="n">
        <x:f>VLOOKUP(C3573,'Governorate Master'!$A$2:$Q$13,7,FALSE)</x:f>
        <x:v>524</x:v>
      </x:c>
      <x:c r="H3573" s="20" t="n">
        <x:f>VLOOKUP(C3573,'Governorate Master'!$A$2:$Q$13,6,FALSE)</x:f>
        <x:v>0.8390177353342428</x:v>
      </x:c>
      <x:c r="I3573" s="20" t="n">
        <x:f>VLOOKUP(C3573,'Governorate Master'!$A$2:$Q$13,15,FALSE)</x:f>
        <x:v>0.03614457831325301</x:v>
      </x:c>
      <x:c r="J3573" s="12" t="str">
        <x:v>Location model input - competition/saturation context</x:v>
      </x:c>
      <x:c r="K3573" s="12" t="str">
        <x:v>Business count is from 2018 while population/context indicators are newer; use as a historical proxy, not a current market count.</x:v>
      </x:c>
    </x:row>
    <x:row r="3574">
      <x:c r="A3574" s="12" t="str">
        <x:v>9524</x:v>
      </x:c>
      <x:c r="B3574" s="12" t="str">
        <x:v>Repair of furniture and home furnishings</x:v>
      </x:c>
      <x:c r="C3574" s="12" t="str">
        <x:v>الكرك</x:v>
      </x:c>
      <x:c r="D3574" s="14" t="n">
        <x:v>0</x:v>
      </x:c>
      <x:c r="E3574" s="14" t="n">
        <x:f>VLOOKUP(C3574,'Governorate Master'!$A$2:$Q$13,3,FALSE)</x:f>
        <x:v>395400</x:v>
      </x:c>
      <x:c r="F3574" s="66" t="n">
        <x:f>IF(E3574=0,0,D3574/E3574*10000)</x:f>
        <x:v>0</x:v>
      </x:c>
      <x:c r="G3574" s="67" t="n">
        <x:f>VLOOKUP(C3574,'Governorate Master'!$A$2:$Q$13,7,FALSE)</x:f>
        <x:v>113.1</x:v>
      </x:c>
      <x:c r="H3574" s="20" t="n">
        <x:f>VLOOKUP(C3574,'Governorate Master'!$A$2:$Q$13,6,FALSE)</x:f>
        <x:v>0.5912999494183105</x:v>
      </x:c>
      <x:c r="I3574" s="20" t="n">
        <x:f>VLOOKUP(C3574,'Governorate Master'!$A$2:$Q$13,15,FALSE)</x:f>
        <x:v>0.08710801393728224</x:v>
      </x:c>
      <x:c r="J3574" s="12" t="str">
        <x:v>Location model input - competition/saturation context</x:v>
      </x:c>
      <x:c r="K3574" s="12" t="str">
        <x:v>Business count is from 2018 while population/context indicators are newer; use as a historical proxy, not a current market count.</x:v>
      </x:c>
    </x:row>
    <x:row r="3575">
      <x:c r="A3575" s="12" t="str">
        <x:v>9524</x:v>
      </x:c>
      <x:c r="B3575" s="12" t="str">
        <x:v>Repair of furniture and home furnishings</x:v>
      </x:c>
      <x:c r="C3575" s="12" t="str">
        <x:v>الطفيلة</x:v>
      </x:c>
      <x:c r="D3575" s="14" t="n">
        <x:v>0</x:v>
      </x:c>
      <x:c r="E3575" s="14" t="n">
        <x:f>VLOOKUP(C3575,'Governorate Master'!$A$2:$Q$13,3,FALSE)</x:f>
        <x:v>120300</x:v>
      </x:c>
      <x:c r="F3575" s="66" t="n">
        <x:f>IF(E3575=0,0,D3575/E3575*10000)</x:f>
        <x:v>0</x:v>
      </x:c>
      <x:c r="G3575" s="67" t="n">
        <x:f>VLOOKUP(C3575,'Governorate Master'!$A$2:$Q$13,7,FALSE)</x:f>
        <x:v>54.4</x:v>
      </x:c>
      <x:c r="H3575" s="20" t="n">
        <x:f>VLOOKUP(C3575,'Governorate Master'!$A$2:$Q$13,6,FALSE)</x:f>
        <x:v>0.7797173732335827</x:v>
      </x:c>
      <x:c r="I3575" s="20" t="n">
        <x:f>VLOOKUP(C3575,'Governorate Master'!$A$2:$Q$13,15,FALSE)</x:f>
        <x:v>0.18452380952380953</x:v>
      </x:c>
      <x:c r="J3575" s="12" t="str">
        <x:v>Location model input - competition/saturation context</x:v>
      </x:c>
      <x:c r="K3575" s="12" t="str">
        <x:v>Business count is from 2018 while population/context indicators are newer; use as a historical proxy, not a current market count.</x:v>
      </x:c>
    </x:row>
    <x:row r="3576">
      <x:c r="A3576" s="12" t="str">
        <x:v>9524</x:v>
      </x:c>
      <x:c r="B3576" s="12" t="str">
        <x:v>Repair of furniture and home furnishings</x:v>
      </x:c>
      <x:c r="C3576" s="12" t="str">
        <x:v>معان</x:v>
      </x:c>
      <x:c r="D3576" s="14" t="n">
        <x:v>0</x:v>
      </x:c>
      <x:c r="E3576" s="14" t="n">
        <x:f>VLOOKUP(C3576,'Governorate Master'!$A$2:$Q$13,3,FALSE)</x:f>
        <x:v>197900</x:v>
      </x:c>
      <x:c r="F3576" s="66" t="n">
        <x:f>IF(E3576=0,0,D3576/E3576*10000)</x:f>
        <x:v>0</x:v>
      </x:c>
      <x:c r="G3576" s="67" t="n">
        <x:f>VLOOKUP(C3576,'Governorate Master'!$A$2:$Q$13,7,FALSE)</x:f>
        <x:v>6</x:v>
      </x:c>
      <x:c r="H3576" s="20" t="n">
        <x:f>VLOOKUP(C3576,'Governorate Master'!$A$2:$Q$13,6,FALSE)</x:f>
        <x:v>0.5406771096513391</x:v>
      </x:c>
      <x:c r="I3576" s="20" t="n">
        <x:f>VLOOKUP(C3576,'Governorate Master'!$A$2:$Q$13,15,FALSE)</x:f>
        <x:v>0.026845637583892617</x:v>
      </x:c>
      <x:c r="J3576" s="12" t="str">
        <x:v>Location model input - competition/saturation context</x:v>
      </x:c>
      <x:c r="K3576" s="12" t="str">
        <x:v>Business count is from 2018 while population/context indicators are newer; use as a historical proxy, not a current market count.</x:v>
      </x:c>
    </x:row>
    <x:row r="3577">
      <x:c r="A3577" s="12" t="str">
        <x:v>9524</x:v>
      </x:c>
      <x:c r="B3577" s="12" t="str">
        <x:v>Repair of furniture and home furnishings</x:v>
      </x:c>
      <x:c r="C3577" s="12" t="str">
        <x:v>العقبة</x:v>
      </x:c>
      <x:c r="D3577" s="14" t="n">
        <x:v>0</x:v>
      </x:c>
      <x:c r="E3577" s="14" t="n">
        <x:f>VLOOKUP(C3577,'Governorate Master'!$A$2:$Q$13,3,FALSE)</x:f>
        <x:v>250900</x:v>
      </x:c>
      <x:c r="F3577" s="66" t="n">
        <x:f>IF(E3577=0,0,D3577/E3577*10000)</x:f>
        <x:v>0</x:v>
      </x:c>
      <x:c r="G3577" s="67" t="n">
        <x:f>VLOOKUP(C3577,'Governorate Master'!$A$2:$Q$13,7,FALSE)</x:f>
        <x:v>36.3</x:v>
      </x:c>
      <x:c r="H3577" s="20" t="n">
        <x:f>VLOOKUP(C3577,'Governorate Master'!$A$2:$Q$13,6,FALSE)</x:f>
        <x:v>0.882024711040255</x:v>
      </x:c>
      <x:c r="I3577" s="20" t="n">
        <x:f>VLOOKUP(C3577,'Governorate Master'!$A$2:$Q$13,15,FALSE)</x:f>
        <x:v>-0.09</x:v>
      </x:c>
      <x:c r="J3577" s="12" t="str">
        <x:v>Location model input - competition/saturation context</x:v>
      </x:c>
      <x:c r="K3577" s="12" t="str">
        <x:v>Business count is from 2018 while population/context indicators are newer; use as a historical proxy, not a current market count.</x:v>
      </x:c>
    </x:row>
    <x:row r="3578">
      <x:c r="A3578" s="12" t="str">
        <x:v>9529</x:v>
      </x:c>
      <x:c r="B3578" s="12" t="str">
        <x:v>Repair of other personal and household goods</x:v>
      </x:c>
      <x:c r="C3578" s="12" t="str">
        <x:v>عمان</x:v>
      </x:c>
      <x:c r="D3578" s="14" t="n">
        <x:v>108</x:v>
      </x:c>
      <x:c r="E3578" s="14" t="n">
        <x:f>VLOOKUP(C3578,'Governorate Master'!$A$2:$Q$13,3,FALSE)</x:f>
        <x:v>5004600</x:v>
      </x:c>
      <x:c r="F3578" s="66" t="n">
        <x:f>IF(E3578=0,0,D3578/E3578*10000)</x:f>
        <x:v>0.21580146265435798</x:v>
      </x:c>
      <x:c r="G3578" s="67" t="n">
        <x:f>VLOOKUP(C3578,'Governorate Master'!$A$2:$Q$13,7,FALSE)</x:f>
        <x:v>660.3</x:v>
      </x:c>
      <x:c r="H3578" s="20" t="n">
        <x:f>VLOOKUP(C3578,'Governorate Master'!$A$2:$Q$13,6,FALSE)</x:f>
        <x:v>0.9721656076409703</x:v>
      </x:c>
      <x:c r="I3578" s="20" t="n">
        <x:f>VLOOKUP(C3578,'Governorate Master'!$A$2:$Q$13,15,FALSE)</x:f>
        <x:v>0.06367041198501873</x:v>
      </x:c>
      <x:c r="J3578" s="12" t="str">
        <x:v>Location model input - competition/saturation context</x:v>
      </x:c>
      <x:c r="K3578" s="12" t="str">
        <x:v>Business count is from 2018 while population/context indicators are newer; use as a historical proxy, not a current market count.</x:v>
      </x:c>
    </x:row>
    <x:row r="3579">
      <x:c r="A3579" s="12" t="str">
        <x:v>9529</x:v>
      </x:c>
      <x:c r="B3579" s="12" t="str">
        <x:v>Repair of other personal and household goods</x:v>
      </x:c>
      <x:c r="C3579" s="12" t="str">
        <x:v>البلقاء</x:v>
      </x:c>
      <x:c r="D3579" s="14" t="n">
        <x:v>30</x:v>
      </x:c>
      <x:c r="E3579" s="14" t="n">
        <x:f>VLOOKUP(C3579,'Governorate Master'!$A$2:$Q$13,3,FALSE)</x:f>
        <x:v>614000</x:v>
      </x:c>
      <x:c r="F3579" s="66" t="n">
        <x:f>IF(E3579=0,0,D3579/E3579*10000)</x:f>
        <x:v>0.48859934853420195</x:v>
      </x:c>
      <x:c r="G3579" s="67" t="n">
        <x:f>VLOOKUP(C3579,'Governorate Master'!$A$2:$Q$13,7,FALSE)</x:f>
        <x:v>548</x:v>
      </x:c>
      <x:c r="H3579" s="20" t="n">
        <x:f>VLOOKUP(C3579,'Governorate Master'!$A$2:$Q$13,6,FALSE)</x:f>
        <x:v>0.8210097719869707</x:v>
      </x:c>
      <x:c r="I3579" s="20" t="n">
        <x:f>VLOOKUP(C3579,'Governorate Master'!$A$2:$Q$13,15,FALSE)</x:f>
        <x:v>0.10794044665012408</x:v>
      </x:c>
      <x:c r="J3579" s="12" t="str">
        <x:v>Location model input - competition/saturation context</x:v>
      </x:c>
      <x:c r="K3579" s="12" t="str">
        <x:v>Business count is from 2018 while population/context indicators are newer; use as a historical proxy, not a current market count.</x:v>
      </x:c>
    </x:row>
    <x:row r="3580">
      <x:c r="A3580" s="12" t="str">
        <x:v>9529</x:v>
      </x:c>
      <x:c r="B3580" s="12" t="str">
        <x:v>Repair of other personal and household goods</x:v>
      </x:c>
      <x:c r="C3580" s="12" t="str">
        <x:v>الزرقاء</x:v>
      </x:c>
      <x:c r="D3580" s="14" t="n">
        <x:v>58</x:v>
      </x:c>
      <x:c r="E3580" s="14" t="n">
        <x:f>VLOOKUP(C3580,'Governorate Master'!$A$2:$Q$13,3,FALSE)</x:f>
        <x:v>1704500</x:v>
      </x:c>
      <x:c r="F3580" s="66" t="n">
        <x:f>IF(E3580=0,0,D3580/E3580*10000)</x:f>
        <x:v>0.3402757406864183</x:v>
      </x:c>
      <x:c r="G3580" s="67" t="n">
        <x:f>VLOOKUP(C3580,'Governorate Master'!$A$2:$Q$13,7,FALSE)</x:f>
        <x:v>358</x:v>
      </x:c>
      <x:c r="H3580" s="20" t="n">
        <x:f>VLOOKUP(C3580,'Governorate Master'!$A$2:$Q$13,6,FALSE)</x:f>
        <x:v>0.9636256966852449</x:v>
      </x:c>
      <x:c r="I3580" s="20" t="n">
        <x:f>VLOOKUP(C3580,'Governorate Master'!$A$2:$Q$13,15,FALSE)</x:f>
        <x:v>-0.06808762581409118</x:v>
      </x:c>
      <x:c r="J3580" s="12" t="str">
        <x:v>Location model input - competition/saturation context</x:v>
      </x:c>
      <x:c r="K3580" s="12" t="str">
        <x:v>Business count is from 2018 while population/context indicators are newer; use as a historical proxy, not a current market count.</x:v>
      </x:c>
    </x:row>
    <x:row r="3581">
      <x:c r="A3581" s="12" t="str">
        <x:v>9529</x:v>
      </x:c>
      <x:c r="B3581" s="12" t="str">
        <x:v>Repair of other personal and household goods</x:v>
      </x:c>
      <x:c r="C3581" s="12" t="str">
        <x:v>مادبا</x:v>
      </x:c>
      <x:c r="D3581" s="14" t="n">
        <x:v>5</x:v>
      </x:c>
      <x:c r="E3581" s="14" t="n">
        <x:f>VLOOKUP(C3581,'Governorate Master'!$A$2:$Q$13,3,FALSE)</x:f>
        <x:v>236200</x:v>
      </x:c>
      <x:c r="F3581" s="66" t="n">
        <x:f>IF(E3581=0,0,D3581/E3581*10000)</x:f>
        <x:v>0.21168501270110077</x:v>
      </x:c>
      <x:c r="G3581" s="67" t="n">
        <x:f>VLOOKUP(C3581,'Governorate Master'!$A$2:$Q$13,7,FALSE)</x:f>
        <x:v>251.4</x:v>
      </x:c>
      <x:c r="H3581" s="20" t="n">
        <x:f>VLOOKUP(C3581,'Governorate Master'!$A$2:$Q$13,6,FALSE)</x:f>
        <x:v>0.7823878069432684</x:v>
      </x:c>
      <x:c r="I3581" s="20" t="n">
        <x:f>VLOOKUP(C3581,'Governorate Master'!$A$2:$Q$13,15,FALSE)</x:f>
        <x:v>-0.18823529411764706</x:v>
      </x:c>
      <x:c r="J3581" s="12" t="str">
        <x:v>Location model input - competition/saturation context</x:v>
      </x:c>
      <x:c r="K3581" s="12" t="str">
        <x:v>Business count is from 2018 while population/context indicators are newer; use as a historical proxy, not a current market count.</x:v>
      </x:c>
    </x:row>
    <x:row r="3582">
      <x:c r="A3582" s="12" t="str">
        <x:v>9529</x:v>
      </x:c>
      <x:c r="B3582" s="12" t="str">
        <x:v>Repair of other personal and household goods</x:v>
      </x:c>
      <x:c r="C3582" s="12" t="str">
        <x:v>إربد</x:v>
      </x:c>
      <x:c r="D3582" s="14" t="n">
        <x:v>49</x:v>
      </x:c>
      <x:c r="E3582" s="14" t="n">
        <x:f>VLOOKUP(C3582,'Governorate Master'!$A$2:$Q$13,3,FALSE)</x:f>
        <x:v>2210500</x:v>
      </x:c>
      <x:c r="F3582" s="66" t="n">
        <x:f>IF(E3582=0,0,D3582/E3582*10000)</x:f>
        <x:v>0.22166930558697126</x:v>
      </x:c>
      <x:c r="G3582" s="67" t="n">
        <x:f>VLOOKUP(C3582,'Governorate Master'!$A$2:$Q$13,7,FALSE)</x:f>
        <x:v>1406.4</x:v>
      </x:c>
      <x:c r="H3582" s="20" t="n">
        <x:f>VLOOKUP(C3582,'Governorate Master'!$A$2:$Q$13,6,FALSE)</x:f>
        <x:v>0.9235014702555983</x:v>
      </x:c>
      <x:c r="I3582" s="20" t="n">
        <x:f>VLOOKUP(C3582,'Governorate Master'!$A$2:$Q$13,15,FALSE)</x:f>
        <x:v>0.07086922474549726</x:v>
      </x:c>
      <x:c r="J3582" s="12" t="str">
        <x:v>Location model input - competition/saturation context</x:v>
      </x:c>
      <x:c r="K3582" s="12" t="str">
        <x:v>Business count is from 2018 while population/context indicators are newer; use as a historical proxy, not a current market count.</x:v>
      </x:c>
    </x:row>
    <x:row r="3583">
      <x:c r="A3583" s="12" t="str">
        <x:v>9529</x:v>
      </x:c>
      <x:c r="B3583" s="12" t="str">
        <x:v>Repair of other personal and household goods</x:v>
      </x:c>
      <x:c r="C3583" s="12" t="str">
        <x:v>المفرق</x:v>
      </x:c>
      <x:c r="D3583" s="14" t="n">
        <x:v>16</x:v>
      </x:c>
      <x:c r="E3583" s="14" t="n">
        <x:f>VLOOKUP(C3583,'Governorate Master'!$A$2:$Q$13,3,FALSE)</x:f>
        <x:v>686800</x:v>
      </x:c>
      <x:c r="F3583" s="66" t="n">
        <x:f>IF(E3583=0,0,D3583/E3583*10000)</x:f>
        <x:v>0.23296447291788003</x:v>
      </x:c>
      <x:c r="G3583" s="67" t="n">
        <x:f>VLOOKUP(C3583,'Governorate Master'!$A$2:$Q$13,7,FALSE)</x:f>
        <x:v>25.9</x:v>
      </x:c>
      <x:c r="H3583" s="20" t="n">
        <x:f>VLOOKUP(C3583,'Governorate Master'!$A$2:$Q$13,6,FALSE)</x:f>
        <x:v>0.6965637740244612</x:v>
      </x:c>
      <x:c r="I3583" s="20" t="n">
        <x:f>VLOOKUP(C3583,'Governorate Master'!$A$2:$Q$13,15,FALSE)</x:f>
        <x:v>-0.016638935108153077</x:v>
      </x:c>
      <x:c r="J3583" s="12" t="str">
        <x:v>Location model input - competition/saturation context</x:v>
      </x:c>
      <x:c r="K3583" s="12" t="str">
        <x:v>Business count is from 2018 while population/context indicators are newer; use as a historical proxy, not a current market count.</x:v>
      </x:c>
    </x:row>
    <x:row r="3584">
      <x:c r="A3584" s="12" t="str">
        <x:v>9529</x:v>
      </x:c>
      <x:c r="B3584" s="12" t="str">
        <x:v>Repair of other personal and household goods</x:v>
      </x:c>
      <x:c r="C3584" s="12" t="str">
        <x:v>جرش</x:v>
      </x:c>
      <x:c r="D3584" s="14" t="n">
        <x:v>5</x:v>
      </x:c>
      <x:c r="E3584" s="14" t="n">
        <x:f>VLOOKUP(C3584,'Governorate Master'!$A$2:$Q$13,3,FALSE)</x:f>
        <x:v>296000</x:v>
      </x:c>
      <x:c r="F3584" s="66" t="n">
        <x:f>IF(E3584=0,0,D3584/E3584*10000)</x:f>
        <x:v>0.16891891891891891</x:v>
      </x:c>
      <x:c r="G3584" s="67" t="n">
        <x:f>VLOOKUP(C3584,'Governorate Master'!$A$2:$Q$13,7,FALSE)</x:f>
        <x:v>722.3</x:v>
      </x:c>
      <x:c r="H3584" s="20" t="n">
        <x:f>VLOOKUP(C3584,'Governorate Master'!$A$2:$Q$13,6,FALSE)</x:f>
        <x:v>0.7695945945945946</x:v>
      </x:c>
      <x:c r="I3584" s="20" t="n">
        <x:f>VLOOKUP(C3584,'Governorate Master'!$A$2:$Q$13,15,FALSE)</x:f>
        <x:v>-0.06527415143603134</x:v>
      </x:c>
      <x:c r="J3584" s="12" t="str">
        <x:v>Location model input - competition/saturation context</x:v>
      </x:c>
      <x:c r="K3584" s="12" t="str">
        <x:v>Business count is from 2018 while population/context indicators are newer; use as a historical proxy, not a current market count.</x:v>
      </x:c>
    </x:row>
    <x:row r="3585">
      <x:c r="A3585" s="12" t="str">
        <x:v>9529</x:v>
      </x:c>
      <x:c r="B3585" s="12" t="str">
        <x:v>Repair of other personal and household goods</x:v>
      </x:c>
      <x:c r="C3585" s="12" t="str">
        <x:v>عجلون</x:v>
      </x:c>
      <x:c r="D3585" s="14" t="n">
        <x:v>5</x:v>
      </x:c>
      <x:c r="E3585" s="14" t="n">
        <x:f>VLOOKUP(C3585,'Governorate Master'!$A$2:$Q$13,3,FALSE)</x:f>
        <x:v>219900</x:v>
      </x:c>
      <x:c r="F3585" s="66" t="n">
        <x:f>IF(E3585=0,0,D3585/E3585*10000)</x:f>
        <x:v>0.22737608003638016</x:v>
      </x:c>
      <x:c r="G3585" s="67" t="n">
        <x:f>VLOOKUP(C3585,'Governorate Master'!$A$2:$Q$13,7,FALSE)</x:f>
        <x:v>524</x:v>
      </x:c>
      <x:c r="H3585" s="20" t="n">
        <x:f>VLOOKUP(C3585,'Governorate Master'!$A$2:$Q$13,6,FALSE)</x:f>
        <x:v>0.8390177353342428</x:v>
      </x:c>
      <x:c r="I3585" s="20" t="n">
        <x:f>VLOOKUP(C3585,'Governorate Master'!$A$2:$Q$13,15,FALSE)</x:f>
        <x:v>0.03614457831325301</x:v>
      </x:c>
      <x:c r="J3585" s="12" t="str">
        <x:v>Location model input - competition/saturation context</x:v>
      </x:c>
      <x:c r="K3585" s="12" t="str">
        <x:v>Business count is from 2018 while population/context indicators are newer; use as a historical proxy, not a current market count.</x:v>
      </x:c>
    </x:row>
    <x:row r="3586">
      <x:c r="A3586" s="12" t="str">
        <x:v>9529</x:v>
      </x:c>
      <x:c r="B3586" s="12" t="str">
        <x:v>Repair of other personal and household goods</x:v>
      </x:c>
      <x:c r="C3586" s="12" t="str">
        <x:v>الكرك</x:v>
      </x:c>
      <x:c r="D3586" s="14" t="n">
        <x:v>6</x:v>
      </x:c>
      <x:c r="E3586" s="14" t="n">
        <x:f>VLOOKUP(C3586,'Governorate Master'!$A$2:$Q$13,3,FALSE)</x:f>
        <x:v>395400</x:v>
      </x:c>
      <x:c r="F3586" s="66" t="n">
        <x:f>IF(E3586=0,0,D3586/E3586*10000)</x:f>
        <x:v>0.15174506828528073</x:v>
      </x:c>
      <x:c r="G3586" s="67" t="n">
        <x:f>VLOOKUP(C3586,'Governorate Master'!$A$2:$Q$13,7,FALSE)</x:f>
        <x:v>113.1</x:v>
      </x:c>
      <x:c r="H3586" s="20" t="n">
        <x:f>VLOOKUP(C3586,'Governorate Master'!$A$2:$Q$13,6,FALSE)</x:f>
        <x:v>0.5912999494183105</x:v>
      </x:c>
      <x:c r="I3586" s="20" t="n">
        <x:f>VLOOKUP(C3586,'Governorate Master'!$A$2:$Q$13,15,FALSE)</x:f>
        <x:v>0.08710801393728224</x:v>
      </x:c>
      <x:c r="J3586" s="12" t="str">
        <x:v>Location model input - competition/saturation context</x:v>
      </x:c>
      <x:c r="K3586" s="12" t="str">
        <x:v>Business count is from 2018 while population/context indicators are newer; use as a historical proxy, not a current market count.</x:v>
      </x:c>
    </x:row>
    <x:row r="3587">
      <x:c r="A3587" s="12" t="str">
        <x:v>9529</x:v>
      </x:c>
      <x:c r="B3587" s="12" t="str">
        <x:v>Repair of other personal and household goods</x:v>
      </x:c>
      <x:c r="C3587" s="12" t="str">
        <x:v>الطفيلة</x:v>
      </x:c>
      <x:c r="D3587" s="14" t="n">
        <x:v>3</x:v>
      </x:c>
      <x:c r="E3587" s="14" t="n">
        <x:f>VLOOKUP(C3587,'Governorate Master'!$A$2:$Q$13,3,FALSE)</x:f>
        <x:v>120300</x:v>
      </x:c>
      <x:c r="F3587" s="66" t="n">
        <x:f>IF(E3587=0,0,D3587/E3587*10000)</x:f>
        <x:v>0.24937655860349128</x:v>
      </x:c>
      <x:c r="G3587" s="67" t="n">
        <x:f>VLOOKUP(C3587,'Governorate Master'!$A$2:$Q$13,7,FALSE)</x:f>
        <x:v>54.4</x:v>
      </x:c>
      <x:c r="H3587" s="20" t="n">
        <x:f>VLOOKUP(C3587,'Governorate Master'!$A$2:$Q$13,6,FALSE)</x:f>
        <x:v>0.7797173732335827</x:v>
      </x:c>
      <x:c r="I3587" s="20" t="n">
        <x:f>VLOOKUP(C3587,'Governorate Master'!$A$2:$Q$13,15,FALSE)</x:f>
        <x:v>0.18452380952380953</x:v>
      </x:c>
      <x:c r="J3587" s="12" t="str">
        <x:v>Location model input - competition/saturation context</x:v>
      </x:c>
      <x:c r="K3587" s="12" t="str">
        <x:v>Business count is from 2018 while population/context indicators are newer; use as a historical proxy, not a current market count.</x:v>
      </x:c>
    </x:row>
    <x:row r="3588">
      <x:c r="A3588" s="12" t="str">
        <x:v>9529</x:v>
      </x:c>
      <x:c r="B3588" s="12" t="str">
        <x:v>Repair of other personal and household goods</x:v>
      </x:c>
      <x:c r="C3588" s="12" t="str">
        <x:v>معان</x:v>
      </x:c>
      <x:c r="D3588" s="14" t="n">
        <x:v>8</x:v>
      </x:c>
      <x:c r="E3588" s="14" t="n">
        <x:f>VLOOKUP(C3588,'Governorate Master'!$A$2:$Q$13,3,FALSE)</x:f>
        <x:v>197900</x:v>
      </x:c>
      <x:c r="F3588" s="66" t="n">
        <x:f>IF(E3588=0,0,D3588/E3588*10000)</x:f>
        <x:v>0.404244567963618</x:v>
      </x:c>
      <x:c r="G3588" s="67" t="n">
        <x:f>VLOOKUP(C3588,'Governorate Master'!$A$2:$Q$13,7,FALSE)</x:f>
        <x:v>6</x:v>
      </x:c>
      <x:c r="H3588" s="20" t="n">
        <x:f>VLOOKUP(C3588,'Governorate Master'!$A$2:$Q$13,6,FALSE)</x:f>
        <x:v>0.5406771096513391</x:v>
      </x:c>
      <x:c r="I3588" s="20" t="n">
        <x:f>VLOOKUP(C3588,'Governorate Master'!$A$2:$Q$13,15,FALSE)</x:f>
        <x:v>0.026845637583892617</x:v>
      </x:c>
      <x:c r="J3588" s="12" t="str">
        <x:v>Location model input - competition/saturation context</x:v>
      </x:c>
      <x:c r="K3588" s="12" t="str">
        <x:v>Business count is from 2018 while population/context indicators are newer; use as a historical proxy, not a current market count.</x:v>
      </x:c>
    </x:row>
    <x:row r="3589">
      <x:c r="A3589" s="12" t="str">
        <x:v>9529</x:v>
      </x:c>
      <x:c r="B3589" s="12" t="str">
        <x:v>Repair of other personal and household goods</x:v>
      </x:c>
      <x:c r="C3589" s="12" t="str">
        <x:v>العقبة</x:v>
      </x:c>
      <x:c r="D3589" s="14" t="n">
        <x:v>8</x:v>
      </x:c>
      <x:c r="E3589" s="14" t="n">
        <x:f>VLOOKUP(C3589,'Governorate Master'!$A$2:$Q$13,3,FALSE)</x:f>
        <x:v>250900</x:v>
      </x:c>
      <x:c r="F3589" s="66" t="n">
        <x:f>IF(E3589=0,0,D3589/E3589*10000)</x:f>
        <x:v>0.3188521323236349</x:v>
      </x:c>
      <x:c r="G3589" s="67" t="n">
        <x:f>VLOOKUP(C3589,'Governorate Master'!$A$2:$Q$13,7,FALSE)</x:f>
        <x:v>36.3</x:v>
      </x:c>
      <x:c r="H3589" s="20" t="n">
        <x:f>VLOOKUP(C3589,'Governorate Master'!$A$2:$Q$13,6,FALSE)</x:f>
        <x:v>0.882024711040255</x:v>
      </x:c>
      <x:c r="I3589" s="20" t="n">
        <x:f>VLOOKUP(C3589,'Governorate Master'!$A$2:$Q$13,15,FALSE)</x:f>
        <x:v>-0.09</x:v>
      </x:c>
      <x:c r="J3589" s="12" t="str">
        <x:v>Location model input - competition/saturation context</x:v>
      </x:c>
      <x:c r="K3589" s="12" t="str">
        <x:v>Business count is from 2018 while population/context indicators are newer; use as a historical proxy, not a current market count.</x:v>
      </x:c>
    </x:row>
    <x:row r="3590">
      <x:c r="A3590" s="12" t="str">
        <x:v>9601</x:v>
      </x:c>
      <x:c r="B3590" s="12" t="str">
        <x:v>Washing and (dry-) cleaning of textile and fur products</x:v>
      </x:c>
      <x:c r="C3590" s="12" t="str">
        <x:v>عمان</x:v>
      </x:c>
      <x:c r="D3590" s="14" t="n">
        <x:v>727</x:v>
      </x:c>
      <x:c r="E3590" s="14" t="n">
        <x:f>VLOOKUP(C3590,'Governorate Master'!$A$2:$Q$13,3,FALSE)</x:f>
        <x:v>5004600</x:v>
      </x:c>
      <x:c r="F3590" s="66" t="n">
        <x:f>IF(E3590=0,0,D3590/E3590*10000)</x:f>
        <x:v>1.4526635495344282</x:v>
      </x:c>
      <x:c r="G3590" s="67" t="n">
        <x:f>VLOOKUP(C3590,'Governorate Master'!$A$2:$Q$13,7,FALSE)</x:f>
        <x:v>660.3</x:v>
      </x:c>
      <x:c r="H3590" s="20" t="n">
        <x:f>VLOOKUP(C3590,'Governorate Master'!$A$2:$Q$13,6,FALSE)</x:f>
        <x:v>0.9721656076409703</x:v>
      </x:c>
      <x:c r="I3590" s="20" t="n">
        <x:f>VLOOKUP(C3590,'Governorate Master'!$A$2:$Q$13,15,FALSE)</x:f>
        <x:v>0.06367041198501873</x:v>
      </x:c>
      <x:c r="J3590" s="12" t="str">
        <x:v>Location model input - competition/saturation context</x:v>
      </x:c>
      <x:c r="K3590" s="12" t="str">
        <x:v>Business count is from 2018 while population/context indicators are newer; use as a historical proxy, not a current market count.</x:v>
      </x:c>
    </x:row>
    <x:row r="3591">
      <x:c r="A3591" s="12" t="str">
        <x:v>9601</x:v>
      </x:c>
      <x:c r="B3591" s="12" t="str">
        <x:v>Washing and (dry-) cleaning of textile and fur products</x:v>
      </x:c>
      <x:c r="C3591" s="12" t="str">
        <x:v>البلقاء</x:v>
      </x:c>
      <x:c r="D3591" s="14" t="n">
        <x:v>89</x:v>
      </x:c>
      <x:c r="E3591" s="14" t="n">
        <x:f>VLOOKUP(C3591,'Governorate Master'!$A$2:$Q$13,3,FALSE)</x:f>
        <x:v>614000</x:v>
      </x:c>
      <x:c r="F3591" s="66" t="n">
        <x:f>IF(E3591=0,0,D3591/E3591*10000)</x:f>
        <x:v>1.449511400651466</x:v>
      </x:c>
      <x:c r="G3591" s="67" t="n">
        <x:f>VLOOKUP(C3591,'Governorate Master'!$A$2:$Q$13,7,FALSE)</x:f>
        <x:v>548</x:v>
      </x:c>
      <x:c r="H3591" s="20" t="n">
        <x:f>VLOOKUP(C3591,'Governorate Master'!$A$2:$Q$13,6,FALSE)</x:f>
        <x:v>0.8210097719869707</x:v>
      </x:c>
      <x:c r="I3591" s="20" t="n">
        <x:f>VLOOKUP(C3591,'Governorate Master'!$A$2:$Q$13,15,FALSE)</x:f>
        <x:v>0.10794044665012408</x:v>
      </x:c>
      <x:c r="J3591" s="12" t="str">
        <x:v>Location model input - competition/saturation context</x:v>
      </x:c>
      <x:c r="K3591" s="12" t="str">
        <x:v>Business count is from 2018 while population/context indicators are newer; use as a historical proxy, not a current market count.</x:v>
      </x:c>
    </x:row>
    <x:row r="3592">
      <x:c r="A3592" s="12" t="str">
        <x:v>9601</x:v>
      </x:c>
      <x:c r="B3592" s="12" t="str">
        <x:v>Washing and (dry-) cleaning of textile and fur products</x:v>
      </x:c>
      <x:c r="C3592" s="12" t="str">
        <x:v>الزرقاء</x:v>
      </x:c>
      <x:c r="D3592" s="14" t="n">
        <x:v>157</x:v>
      </x:c>
      <x:c r="E3592" s="14" t="n">
        <x:f>VLOOKUP(C3592,'Governorate Master'!$A$2:$Q$13,3,FALSE)</x:f>
        <x:v>1704500</x:v>
      </x:c>
      <x:c r="F3592" s="66" t="n">
        <x:f>IF(E3592=0,0,D3592/E3592*10000)</x:f>
        <x:v>0.9210912290994426</x:v>
      </x:c>
      <x:c r="G3592" s="67" t="n">
        <x:f>VLOOKUP(C3592,'Governorate Master'!$A$2:$Q$13,7,FALSE)</x:f>
        <x:v>358</x:v>
      </x:c>
      <x:c r="H3592" s="20" t="n">
        <x:f>VLOOKUP(C3592,'Governorate Master'!$A$2:$Q$13,6,FALSE)</x:f>
        <x:v>0.9636256966852449</x:v>
      </x:c>
      <x:c r="I3592" s="20" t="n">
        <x:f>VLOOKUP(C3592,'Governorate Master'!$A$2:$Q$13,15,FALSE)</x:f>
        <x:v>-0.06808762581409118</x:v>
      </x:c>
      <x:c r="J3592" s="12" t="str">
        <x:v>Location model input - competition/saturation context</x:v>
      </x:c>
      <x:c r="K3592" s="12" t="str">
        <x:v>Business count is from 2018 while population/context indicators are newer; use as a historical proxy, not a current market count.</x:v>
      </x:c>
    </x:row>
    <x:row r="3593">
      <x:c r="A3593" s="12" t="str">
        <x:v>9601</x:v>
      </x:c>
      <x:c r="B3593" s="12" t="str">
        <x:v>Washing and (dry-) cleaning of textile and fur products</x:v>
      </x:c>
      <x:c r="C3593" s="12" t="str">
        <x:v>مادبا</x:v>
      </x:c>
      <x:c r="D3593" s="14" t="n">
        <x:v>44</x:v>
      </x:c>
      <x:c r="E3593" s="14" t="n">
        <x:f>VLOOKUP(C3593,'Governorate Master'!$A$2:$Q$13,3,FALSE)</x:f>
        <x:v>236200</x:v>
      </x:c>
      <x:c r="F3593" s="66" t="n">
        <x:f>IF(E3593=0,0,D3593/E3593*10000)</x:f>
        <x:v>1.8628281117696865</x:v>
      </x:c>
      <x:c r="G3593" s="67" t="n">
        <x:f>VLOOKUP(C3593,'Governorate Master'!$A$2:$Q$13,7,FALSE)</x:f>
        <x:v>251.4</x:v>
      </x:c>
      <x:c r="H3593" s="20" t="n">
        <x:f>VLOOKUP(C3593,'Governorate Master'!$A$2:$Q$13,6,FALSE)</x:f>
        <x:v>0.7823878069432684</x:v>
      </x:c>
      <x:c r="I3593" s="20" t="n">
        <x:f>VLOOKUP(C3593,'Governorate Master'!$A$2:$Q$13,15,FALSE)</x:f>
        <x:v>-0.18823529411764706</x:v>
      </x:c>
      <x:c r="J3593" s="12" t="str">
        <x:v>Location model input - competition/saturation context</x:v>
      </x:c>
      <x:c r="K3593" s="12" t="str">
        <x:v>Business count is from 2018 while population/context indicators are newer; use as a historical proxy, not a current market count.</x:v>
      </x:c>
    </x:row>
    <x:row r="3594">
      <x:c r="A3594" s="12" t="str">
        <x:v>9601</x:v>
      </x:c>
      <x:c r="B3594" s="12" t="str">
        <x:v>Washing and (dry-) cleaning of textile and fur products</x:v>
      </x:c>
      <x:c r="C3594" s="12" t="str">
        <x:v>إربد</x:v>
      </x:c>
      <x:c r="D3594" s="14" t="n">
        <x:v>172</x:v>
      </x:c>
      <x:c r="E3594" s="14" t="n">
        <x:f>VLOOKUP(C3594,'Governorate Master'!$A$2:$Q$13,3,FALSE)</x:f>
        <x:v>2210500</x:v>
      </x:c>
      <x:c r="F3594" s="66" t="n">
        <x:f>IF(E3594=0,0,D3594/E3594*10000)</x:f>
        <x:v>0.7781045012440624</x:v>
      </x:c>
      <x:c r="G3594" s="67" t="n">
        <x:f>VLOOKUP(C3594,'Governorate Master'!$A$2:$Q$13,7,FALSE)</x:f>
        <x:v>1406.4</x:v>
      </x:c>
      <x:c r="H3594" s="20" t="n">
        <x:f>VLOOKUP(C3594,'Governorate Master'!$A$2:$Q$13,6,FALSE)</x:f>
        <x:v>0.9235014702555983</x:v>
      </x:c>
      <x:c r="I3594" s="20" t="n">
        <x:f>VLOOKUP(C3594,'Governorate Master'!$A$2:$Q$13,15,FALSE)</x:f>
        <x:v>0.07086922474549726</x:v>
      </x:c>
      <x:c r="J3594" s="12" t="str">
        <x:v>Location model input - competition/saturation context</x:v>
      </x:c>
      <x:c r="K3594" s="12" t="str">
        <x:v>Business count is from 2018 while population/context indicators are newer; use as a historical proxy, not a current market count.</x:v>
      </x:c>
    </x:row>
    <x:row r="3595">
      <x:c r="A3595" s="12" t="str">
        <x:v>9601</x:v>
      </x:c>
      <x:c r="B3595" s="12" t="str">
        <x:v>Washing and (dry-) cleaning of textile and fur products</x:v>
      </x:c>
      <x:c r="C3595" s="12" t="str">
        <x:v>المفرق</x:v>
      </x:c>
      <x:c r="D3595" s="14" t="n">
        <x:v>39</x:v>
      </x:c>
      <x:c r="E3595" s="14" t="n">
        <x:f>VLOOKUP(C3595,'Governorate Master'!$A$2:$Q$13,3,FALSE)</x:f>
        <x:v>686800</x:v>
      </x:c>
      <x:c r="F3595" s="66" t="n">
        <x:f>IF(E3595=0,0,D3595/E3595*10000)</x:f>
        <x:v>0.5678509027373326</x:v>
      </x:c>
      <x:c r="G3595" s="67" t="n">
        <x:f>VLOOKUP(C3595,'Governorate Master'!$A$2:$Q$13,7,FALSE)</x:f>
        <x:v>25.9</x:v>
      </x:c>
      <x:c r="H3595" s="20" t="n">
        <x:f>VLOOKUP(C3595,'Governorate Master'!$A$2:$Q$13,6,FALSE)</x:f>
        <x:v>0.6965637740244612</x:v>
      </x:c>
      <x:c r="I3595" s="20" t="n">
        <x:f>VLOOKUP(C3595,'Governorate Master'!$A$2:$Q$13,15,FALSE)</x:f>
        <x:v>-0.016638935108153077</x:v>
      </x:c>
      <x:c r="J3595" s="12" t="str">
        <x:v>Location model input - competition/saturation context</x:v>
      </x:c>
      <x:c r="K3595" s="12" t="str">
        <x:v>Business count is from 2018 while population/context indicators are newer; use as a historical proxy, not a current market count.</x:v>
      </x:c>
    </x:row>
    <x:row r="3596">
      <x:c r="A3596" s="12" t="str">
        <x:v>9601</x:v>
      </x:c>
      <x:c r="B3596" s="12" t="str">
        <x:v>Washing and (dry-) cleaning of textile and fur products</x:v>
      </x:c>
      <x:c r="C3596" s="12" t="str">
        <x:v>جرش</x:v>
      </x:c>
      <x:c r="D3596" s="14" t="n">
        <x:v>12</x:v>
      </x:c>
      <x:c r="E3596" s="14" t="n">
        <x:f>VLOOKUP(C3596,'Governorate Master'!$A$2:$Q$13,3,FALSE)</x:f>
        <x:v>296000</x:v>
      </x:c>
      <x:c r="F3596" s="66" t="n">
        <x:f>IF(E3596=0,0,D3596/E3596*10000)</x:f>
        <x:v>0.4054054054054054</x:v>
      </x:c>
      <x:c r="G3596" s="67" t="n">
        <x:f>VLOOKUP(C3596,'Governorate Master'!$A$2:$Q$13,7,FALSE)</x:f>
        <x:v>722.3</x:v>
      </x:c>
      <x:c r="H3596" s="20" t="n">
        <x:f>VLOOKUP(C3596,'Governorate Master'!$A$2:$Q$13,6,FALSE)</x:f>
        <x:v>0.7695945945945946</x:v>
      </x:c>
      <x:c r="I3596" s="20" t="n">
        <x:f>VLOOKUP(C3596,'Governorate Master'!$A$2:$Q$13,15,FALSE)</x:f>
        <x:v>-0.06527415143603134</x:v>
      </x:c>
      <x:c r="J3596" s="12" t="str">
        <x:v>Location model input - competition/saturation context</x:v>
      </x:c>
      <x:c r="K3596" s="12" t="str">
        <x:v>Business count is from 2018 while population/context indicators are newer; use as a historical proxy, not a current market count.</x:v>
      </x:c>
    </x:row>
    <x:row r="3597">
      <x:c r="A3597" s="12" t="str">
        <x:v>9601</x:v>
      </x:c>
      <x:c r="B3597" s="12" t="str">
        <x:v>Washing and (dry-) cleaning of textile and fur products</x:v>
      </x:c>
      <x:c r="C3597" s="12" t="str">
        <x:v>عجلون</x:v>
      </x:c>
      <x:c r="D3597" s="14" t="n">
        <x:v>14</x:v>
      </x:c>
      <x:c r="E3597" s="14" t="n">
        <x:f>VLOOKUP(C3597,'Governorate Master'!$A$2:$Q$13,3,FALSE)</x:f>
        <x:v>219900</x:v>
      </x:c>
      <x:c r="F3597" s="66" t="n">
        <x:f>IF(E3597=0,0,D3597/E3597*10000)</x:f>
        <x:v>0.6366530241018644</x:v>
      </x:c>
      <x:c r="G3597" s="67" t="n">
        <x:f>VLOOKUP(C3597,'Governorate Master'!$A$2:$Q$13,7,FALSE)</x:f>
        <x:v>524</x:v>
      </x:c>
      <x:c r="H3597" s="20" t="n">
        <x:f>VLOOKUP(C3597,'Governorate Master'!$A$2:$Q$13,6,FALSE)</x:f>
        <x:v>0.8390177353342428</x:v>
      </x:c>
      <x:c r="I3597" s="20" t="n">
        <x:f>VLOOKUP(C3597,'Governorate Master'!$A$2:$Q$13,15,FALSE)</x:f>
        <x:v>0.03614457831325301</x:v>
      </x:c>
      <x:c r="J3597" s="12" t="str">
        <x:v>Location model input - competition/saturation context</x:v>
      </x:c>
      <x:c r="K3597" s="12" t="str">
        <x:v>Business count is from 2018 while population/context indicators are newer; use as a historical proxy, not a current market count.</x:v>
      </x:c>
    </x:row>
    <x:row r="3598">
      <x:c r="A3598" s="12" t="str">
        <x:v>9601</x:v>
      </x:c>
      <x:c r="B3598" s="12" t="str">
        <x:v>Washing and (dry-) cleaning of textile and fur products</x:v>
      </x:c>
      <x:c r="C3598" s="12" t="str">
        <x:v>الكرك</x:v>
      </x:c>
      <x:c r="D3598" s="14" t="n">
        <x:v>56</x:v>
      </x:c>
      <x:c r="E3598" s="14" t="n">
        <x:f>VLOOKUP(C3598,'Governorate Master'!$A$2:$Q$13,3,FALSE)</x:f>
        <x:v>395400</x:v>
      </x:c>
      <x:c r="F3598" s="66" t="n">
        <x:f>IF(E3598=0,0,D3598/E3598*10000)</x:f>
        <x:v>1.4162873039959536</x:v>
      </x:c>
      <x:c r="G3598" s="67" t="n">
        <x:f>VLOOKUP(C3598,'Governorate Master'!$A$2:$Q$13,7,FALSE)</x:f>
        <x:v>113.1</x:v>
      </x:c>
      <x:c r="H3598" s="20" t="n">
        <x:f>VLOOKUP(C3598,'Governorate Master'!$A$2:$Q$13,6,FALSE)</x:f>
        <x:v>0.5912999494183105</x:v>
      </x:c>
      <x:c r="I3598" s="20" t="n">
        <x:f>VLOOKUP(C3598,'Governorate Master'!$A$2:$Q$13,15,FALSE)</x:f>
        <x:v>0.08710801393728224</x:v>
      </x:c>
      <x:c r="J3598" s="12" t="str">
        <x:v>Location model input - competition/saturation context</x:v>
      </x:c>
      <x:c r="K3598" s="12" t="str">
        <x:v>Business count is from 2018 while population/context indicators are newer; use as a historical proxy, not a current market count.</x:v>
      </x:c>
    </x:row>
    <x:row r="3599">
      <x:c r="A3599" s="12" t="str">
        <x:v>9601</x:v>
      </x:c>
      <x:c r="B3599" s="12" t="str">
        <x:v>Washing and (dry-) cleaning of textile and fur products</x:v>
      </x:c>
      <x:c r="C3599" s="12" t="str">
        <x:v>الطفيلة</x:v>
      </x:c>
      <x:c r="D3599" s="14" t="n">
        <x:v>10</x:v>
      </x:c>
      <x:c r="E3599" s="14" t="n">
        <x:f>VLOOKUP(C3599,'Governorate Master'!$A$2:$Q$13,3,FALSE)</x:f>
        <x:v>120300</x:v>
      </x:c>
      <x:c r="F3599" s="66" t="n">
        <x:f>IF(E3599=0,0,D3599/E3599*10000)</x:f>
        <x:v>0.8312551953449709</x:v>
      </x:c>
      <x:c r="G3599" s="67" t="n">
        <x:f>VLOOKUP(C3599,'Governorate Master'!$A$2:$Q$13,7,FALSE)</x:f>
        <x:v>54.4</x:v>
      </x:c>
      <x:c r="H3599" s="20" t="n">
        <x:f>VLOOKUP(C3599,'Governorate Master'!$A$2:$Q$13,6,FALSE)</x:f>
        <x:v>0.7797173732335827</x:v>
      </x:c>
      <x:c r="I3599" s="20" t="n">
        <x:f>VLOOKUP(C3599,'Governorate Master'!$A$2:$Q$13,15,FALSE)</x:f>
        <x:v>0.18452380952380953</x:v>
      </x:c>
      <x:c r="J3599" s="12" t="str">
        <x:v>Location model input - competition/saturation context</x:v>
      </x:c>
      <x:c r="K3599" s="12" t="str">
        <x:v>Business count is from 2018 while population/context indicators are newer; use as a historical proxy, not a current market count.</x:v>
      </x:c>
    </x:row>
    <x:row r="3600">
      <x:c r="A3600" s="12" t="str">
        <x:v>9601</x:v>
      </x:c>
      <x:c r="B3600" s="12" t="str">
        <x:v>Washing and (dry-) cleaning of textile and fur products</x:v>
      </x:c>
      <x:c r="C3600" s="12" t="str">
        <x:v>معان</x:v>
      </x:c>
      <x:c r="D3600" s="14" t="n">
        <x:v>23</x:v>
      </x:c>
      <x:c r="E3600" s="14" t="n">
        <x:f>VLOOKUP(C3600,'Governorate Master'!$A$2:$Q$13,3,FALSE)</x:f>
        <x:v>197900</x:v>
      </x:c>
      <x:c r="F3600" s="66" t="n">
        <x:f>IF(E3600=0,0,D3600/E3600*10000)</x:f>
        <x:v>1.1622031328954017</x:v>
      </x:c>
      <x:c r="G3600" s="67" t="n">
        <x:f>VLOOKUP(C3600,'Governorate Master'!$A$2:$Q$13,7,FALSE)</x:f>
        <x:v>6</x:v>
      </x:c>
      <x:c r="H3600" s="20" t="n">
        <x:f>VLOOKUP(C3600,'Governorate Master'!$A$2:$Q$13,6,FALSE)</x:f>
        <x:v>0.5406771096513391</x:v>
      </x:c>
      <x:c r="I3600" s="20" t="n">
        <x:f>VLOOKUP(C3600,'Governorate Master'!$A$2:$Q$13,15,FALSE)</x:f>
        <x:v>0.026845637583892617</x:v>
      </x:c>
      <x:c r="J3600" s="12" t="str">
        <x:v>Location model input - competition/saturation context</x:v>
      </x:c>
      <x:c r="K3600" s="12" t="str">
        <x:v>Business count is from 2018 while population/context indicators are newer; use as a historical proxy, not a current market count.</x:v>
      </x:c>
    </x:row>
    <x:row r="3601">
      <x:c r="A3601" s="12" t="str">
        <x:v>9601</x:v>
      </x:c>
      <x:c r="B3601" s="12" t="str">
        <x:v>Washing and (dry-) cleaning of textile and fur products</x:v>
      </x:c>
      <x:c r="C3601" s="12" t="str">
        <x:v>العقبة</x:v>
      </x:c>
      <x:c r="D3601" s="14" t="n">
        <x:v>33</x:v>
      </x:c>
      <x:c r="E3601" s="14" t="n">
        <x:f>VLOOKUP(C3601,'Governorate Master'!$A$2:$Q$13,3,FALSE)</x:f>
        <x:v>250900</x:v>
      </x:c>
      <x:c r="F3601" s="66" t="n">
        <x:f>IF(E3601=0,0,D3601/E3601*10000)</x:f>
        <x:v>1.3152650458349942</x:v>
      </x:c>
      <x:c r="G3601" s="67" t="n">
        <x:f>VLOOKUP(C3601,'Governorate Master'!$A$2:$Q$13,7,FALSE)</x:f>
        <x:v>36.3</x:v>
      </x:c>
      <x:c r="H3601" s="20" t="n">
        <x:f>VLOOKUP(C3601,'Governorate Master'!$A$2:$Q$13,6,FALSE)</x:f>
        <x:v>0.882024711040255</x:v>
      </x:c>
      <x:c r="I3601" s="20" t="n">
        <x:f>VLOOKUP(C3601,'Governorate Master'!$A$2:$Q$13,15,FALSE)</x:f>
        <x:v>-0.09</x:v>
      </x:c>
      <x:c r="J3601" s="12" t="str">
        <x:v>Location model input - competition/saturation context</x:v>
      </x:c>
      <x:c r="K3601" s="12" t="str">
        <x:v>Business count is from 2018 while population/context indicators are newer; use as a historical proxy, not a current market count.</x:v>
      </x:c>
    </x:row>
    <x:row r="3602">
      <x:c r="A3602" s="12" t="str">
        <x:v>9602</x:v>
      </x:c>
      <x:c r="B3602" s="12" t="str">
        <x:v>Hairdressing and other beauty treatment</x:v>
      </x:c>
      <x:c r="C3602" s="12" t="str">
        <x:v>عمان</x:v>
      </x:c>
      <x:c r="D3602" s="14" t="n">
        <x:v>4065</x:v>
      </x:c>
      <x:c r="E3602" s="14" t="n">
        <x:f>VLOOKUP(C3602,'Governorate Master'!$A$2:$Q$13,3,FALSE)</x:f>
        <x:v>5004600</x:v>
      </x:c>
      <x:c r="F3602" s="66" t="n">
        <x:f>IF(E3602=0,0,D3602/E3602*10000)</x:f>
        <x:v>8.122527274907085</x:v>
      </x:c>
      <x:c r="G3602" s="67" t="n">
        <x:f>VLOOKUP(C3602,'Governorate Master'!$A$2:$Q$13,7,FALSE)</x:f>
        <x:v>660.3</x:v>
      </x:c>
      <x:c r="H3602" s="20" t="n">
        <x:f>VLOOKUP(C3602,'Governorate Master'!$A$2:$Q$13,6,FALSE)</x:f>
        <x:v>0.9721656076409703</x:v>
      </x:c>
      <x:c r="I3602" s="20" t="n">
        <x:f>VLOOKUP(C3602,'Governorate Master'!$A$2:$Q$13,15,FALSE)</x:f>
        <x:v>0.06367041198501873</x:v>
      </x:c>
      <x:c r="J3602" s="12" t="str">
        <x:v>Location model input - competition/saturation context</x:v>
      </x:c>
      <x:c r="K3602" s="12" t="str">
        <x:v>Business count is from 2018 while population/context indicators are newer; use as a historical proxy, not a current market count.</x:v>
      </x:c>
    </x:row>
    <x:row r="3603">
      <x:c r="A3603" s="12" t="str">
        <x:v>9602</x:v>
      </x:c>
      <x:c r="B3603" s="12" t="str">
        <x:v>Hairdressing and other beauty treatment</x:v>
      </x:c>
      <x:c r="C3603" s="12" t="str">
        <x:v>البلقاء</x:v>
      </x:c>
      <x:c r="D3603" s="14" t="n">
        <x:v>771</x:v>
      </x:c>
      <x:c r="E3603" s="14" t="n">
        <x:f>VLOOKUP(C3603,'Governorate Master'!$A$2:$Q$13,3,FALSE)</x:f>
        <x:v>614000</x:v>
      </x:c>
      <x:c r="F3603" s="66" t="n">
        <x:f>IF(E3603=0,0,D3603/E3603*10000)</x:f>
        <x:v>12.55700325732899</x:v>
      </x:c>
      <x:c r="G3603" s="67" t="n">
        <x:f>VLOOKUP(C3603,'Governorate Master'!$A$2:$Q$13,7,FALSE)</x:f>
        <x:v>548</x:v>
      </x:c>
      <x:c r="H3603" s="20" t="n">
        <x:f>VLOOKUP(C3603,'Governorate Master'!$A$2:$Q$13,6,FALSE)</x:f>
        <x:v>0.8210097719869707</x:v>
      </x:c>
      <x:c r="I3603" s="20" t="n">
        <x:f>VLOOKUP(C3603,'Governorate Master'!$A$2:$Q$13,15,FALSE)</x:f>
        <x:v>0.10794044665012408</x:v>
      </x:c>
      <x:c r="J3603" s="12" t="str">
        <x:v>Location model input - competition/saturation context</x:v>
      </x:c>
      <x:c r="K3603" s="12" t="str">
        <x:v>Business count is from 2018 while population/context indicators are newer; use as a historical proxy, not a current market count.</x:v>
      </x:c>
    </x:row>
    <x:row r="3604">
      <x:c r="A3604" s="12" t="str">
        <x:v>9602</x:v>
      </x:c>
      <x:c r="B3604" s="12" t="str">
        <x:v>Hairdressing and other beauty treatment</x:v>
      </x:c>
      <x:c r="C3604" s="12" t="str">
        <x:v>الزرقاء</x:v>
      </x:c>
      <x:c r="D3604" s="14" t="n">
        <x:v>1593</x:v>
      </x:c>
      <x:c r="E3604" s="14" t="n">
        <x:f>VLOOKUP(C3604,'Governorate Master'!$A$2:$Q$13,3,FALSE)</x:f>
        <x:v>1704500</x:v>
      </x:c>
      <x:c r="F3604" s="66" t="n">
        <x:f>IF(E3604=0,0,D3604/E3604*10000)</x:f>
        <x:v>9.345849222645937</x:v>
      </x:c>
      <x:c r="G3604" s="67" t="n">
        <x:f>VLOOKUP(C3604,'Governorate Master'!$A$2:$Q$13,7,FALSE)</x:f>
        <x:v>358</x:v>
      </x:c>
      <x:c r="H3604" s="20" t="n">
        <x:f>VLOOKUP(C3604,'Governorate Master'!$A$2:$Q$13,6,FALSE)</x:f>
        <x:v>0.9636256966852449</x:v>
      </x:c>
      <x:c r="I3604" s="20" t="n">
        <x:f>VLOOKUP(C3604,'Governorate Master'!$A$2:$Q$13,15,FALSE)</x:f>
        <x:v>-0.06808762581409118</x:v>
      </x:c>
      <x:c r="J3604" s="12" t="str">
        <x:v>Location model input - competition/saturation context</x:v>
      </x:c>
      <x:c r="K3604" s="12" t="str">
        <x:v>Business count is from 2018 while population/context indicators are newer; use as a historical proxy, not a current market count.</x:v>
      </x:c>
    </x:row>
    <x:row r="3605">
      <x:c r="A3605" s="12" t="str">
        <x:v>9602</x:v>
      </x:c>
      <x:c r="B3605" s="12" t="str">
        <x:v>Hairdressing and other beauty treatment</x:v>
      </x:c>
      <x:c r="C3605" s="12" t="str">
        <x:v>مادبا</x:v>
      </x:c>
      <x:c r="D3605" s="14" t="n">
        <x:v>220</x:v>
      </x:c>
      <x:c r="E3605" s="14" t="n">
        <x:f>VLOOKUP(C3605,'Governorate Master'!$A$2:$Q$13,3,FALSE)</x:f>
        <x:v>236200</x:v>
      </x:c>
      <x:c r="F3605" s="66" t="n">
        <x:f>IF(E3605=0,0,D3605/E3605*10000)</x:f>
        <x:v>9.314140558848434</x:v>
      </x:c>
      <x:c r="G3605" s="67" t="n">
        <x:f>VLOOKUP(C3605,'Governorate Master'!$A$2:$Q$13,7,FALSE)</x:f>
        <x:v>251.4</x:v>
      </x:c>
      <x:c r="H3605" s="20" t="n">
        <x:f>VLOOKUP(C3605,'Governorate Master'!$A$2:$Q$13,6,FALSE)</x:f>
        <x:v>0.7823878069432684</x:v>
      </x:c>
      <x:c r="I3605" s="20" t="n">
        <x:f>VLOOKUP(C3605,'Governorate Master'!$A$2:$Q$13,15,FALSE)</x:f>
        <x:v>-0.18823529411764706</x:v>
      </x:c>
      <x:c r="J3605" s="12" t="str">
        <x:v>Location model input - competition/saturation context</x:v>
      </x:c>
      <x:c r="K3605" s="12" t="str">
        <x:v>Business count is from 2018 while population/context indicators are newer; use as a historical proxy, not a current market count.</x:v>
      </x:c>
    </x:row>
    <x:row r="3606">
      <x:c r="A3606" s="12" t="str">
        <x:v>9602</x:v>
      </x:c>
      <x:c r="B3606" s="12" t="str">
        <x:v>Hairdressing and other beauty treatment</x:v>
      </x:c>
      <x:c r="C3606" s="12" t="str">
        <x:v>إربد</x:v>
      </x:c>
      <x:c r="D3606" s="14" t="n">
        <x:v>1297</x:v>
      </x:c>
      <x:c r="E3606" s="14" t="n">
        <x:f>VLOOKUP(C3606,'Governorate Master'!$A$2:$Q$13,3,FALSE)</x:f>
        <x:v>2210500</x:v>
      </x:c>
      <x:c r="F3606" s="66" t="n">
        <x:f>IF(E3606=0,0,D3606/E3606*10000)</x:f>
        <x:v>5.867450802985751</x:v>
      </x:c>
      <x:c r="G3606" s="67" t="n">
        <x:f>VLOOKUP(C3606,'Governorate Master'!$A$2:$Q$13,7,FALSE)</x:f>
        <x:v>1406.4</x:v>
      </x:c>
      <x:c r="H3606" s="20" t="n">
        <x:f>VLOOKUP(C3606,'Governorate Master'!$A$2:$Q$13,6,FALSE)</x:f>
        <x:v>0.9235014702555983</x:v>
      </x:c>
      <x:c r="I3606" s="20" t="n">
        <x:f>VLOOKUP(C3606,'Governorate Master'!$A$2:$Q$13,15,FALSE)</x:f>
        <x:v>0.07086922474549726</x:v>
      </x:c>
      <x:c r="J3606" s="12" t="str">
        <x:v>Location model input - competition/saturation context</x:v>
      </x:c>
      <x:c r="K3606" s="12" t="str">
        <x:v>Business count is from 2018 while population/context indicators are newer; use as a historical proxy, not a current market count.</x:v>
      </x:c>
    </x:row>
    <x:row r="3607">
      <x:c r="A3607" s="12" t="str">
        <x:v>9602</x:v>
      </x:c>
      <x:c r="B3607" s="12" t="str">
        <x:v>Hairdressing and other beauty treatment</x:v>
      </x:c>
      <x:c r="C3607" s="12" t="str">
        <x:v>المفرق</x:v>
      </x:c>
      <x:c r="D3607" s="14" t="n">
        <x:v>285</x:v>
      </x:c>
      <x:c r="E3607" s="14" t="n">
        <x:f>VLOOKUP(C3607,'Governorate Master'!$A$2:$Q$13,3,FALSE)</x:f>
        <x:v>686800</x:v>
      </x:c>
      <x:c r="F3607" s="66" t="n">
        <x:f>IF(E3607=0,0,D3607/E3607*10000)</x:f>
        <x:v>4.149679673849738</x:v>
      </x:c>
      <x:c r="G3607" s="67" t="n">
        <x:f>VLOOKUP(C3607,'Governorate Master'!$A$2:$Q$13,7,FALSE)</x:f>
        <x:v>25.9</x:v>
      </x:c>
      <x:c r="H3607" s="20" t="n">
        <x:f>VLOOKUP(C3607,'Governorate Master'!$A$2:$Q$13,6,FALSE)</x:f>
        <x:v>0.6965637740244612</x:v>
      </x:c>
      <x:c r="I3607" s="20" t="n">
        <x:f>VLOOKUP(C3607,'Governorate Master'!$A$2:$Q$13,15,FALSE)</x:f>
        <x:v>-0.016638935108153077</x:v>
      </x:c>
      <x:c r="J3607" s="12" t="str">
        <x:v>Location model input - competition/saturation context</x:v>
      </x:c>
      <x:c r="K3607" s="12" t="str">
        <x:v>Business count is from 2018 while population/context indicators are newer; use as a historical proxy, not a current market count.</x:v>
      </x:c>
    </x:row>
    <x:row r="3608">
      <x:c r="A3608" s="12" t="str">
        <x:v>9602</x:v>
      </x:c>
      <x:c r="B3608" s="12" t="str">
        <x:v>Hairdressing and other beauty treatment</x:v>
      </x:c>
      <x:c r="C3608" s="12" t="str">
        <x:v>جرش</x:v>
      </x:c>
      <x:c r="D3608" s="14" t="n">
        <x:v>205</x:v>
      </x:c>
      <x:c r="E3608" s="14" t="n">
        <x:f>VLOOKUP(C3608,'Governorate Master'!$A$2:$Q$13,3,FALSE)</x:f>
        <x:v>296000</x:v>
      </x:c>
      <x:c r="F3608" s="66" t="n">
        <x:f>IF(E3608=0,0,D3608/E3608*10000)</x:f>
        <x:v>6.925675675675675</x:v>
      </x:c>
      <x:c r="G3608" s="67" t="n">
        <x:f>VLOOKUP(C3608,'Governorate Master'!$A$2:$Q$13,7,FALSE)</x:f>
        <x:v>722.3</x:v>
      </x:c>
      <x:c r="H3608" s="20" t="n">
        <x:f>VLOOKUP(C3608,'Governorate Master'!$A$2:$Q$13,6,FALSE)</x:f>
        <x:v>0.7695945945945946</x:v>
      </x:c>
      <x:c r="I3608" s="20" t="n">
        <x:f>VLOOKUP(C3608,'Governorate Master'!$A$2:$Q$13,15,FALSE)</x:f>
        <x:v>-0.06527415143603134</x:v>
      </x:c>
      <x:c r="J3608" s="12" t="str">
        <x:v>Location model input - competition/saturation context</x:v>
      </x:c>
      <x:c r="K3608" s="12" t="str">
        <x:v>Business count is from 2018 while population/context indicators are newer; use as a historical proxy, not a current market count.</x:v>
      </x:c>
    </x:row>
    <x:row r="3609">
      <x:c r="A3609" s="12" t="str">
        <x:v>9602</x:v>
      </x:c>
      <x:c r="B3609" s="12" t="str">
        <x:v>Hairdressing and other beauty treatment</x:v>
      </x:c>
      <x:c r="C3609" s="12" t="str">
        <x:v>عجلون</x:v>
      </x:c>
      <x:c r="D3609" s="14" t="n">
        <x:v>176</x:v>
      </x:c>
      <x:c r="E3609" s="14" t="n">
        <x:f>VLOOKUP(C3609,'Governorate Master'!$A$2:$Q$13,3,FALSE)</x:f>
        <x:v>219900</x:v>
      </x:c>
      <x:c r="F3609" s="66" t="n">
        <x:f>IF(E3609=0,0,D3609/E3609*10000)</x:f>
        <x:v>8.003638017280583</x:v>
      </x:c>
      <x:c r="G3609" s="67" t="n">
        <x:f>VLOOKUP(C3609,'Governorate Master'!$A$2:$Q$13,7,FALSE)</x:f>
        <x:v>524</x:v>
      </x:c>
      <x:c r="H3609" s="20" t="n">
        <x:f>VLOOKUP(C3609,'Governorate Master'!$A$2:$Q$13,6,FALSE)</x:f>
        <x:v>0.8390177353342428</x:v>
      </x:c>
      <x:c r="I3609" s="20" t="n">
        <x:f>VLOOKUP(C3609,'Governorate Master'!$A$2:$Q$13,15,FALSE)</x:f>
        <x:v>0.03614457831325301</x:v>
      </x:c>
      <x:c r="J3609" s="12" t="str">
        <x:v>Location model input - competition/saturation context</x:v>
      </x:c>
      <x:c r="K3609" s="12" t="str">
        <x:v>Business count is from 2018 while population/context indicators are newer; use as a historical proxy, not a current market count.</x:v>
      </x:c>
    </x:row>
    <x:row r="3610">
      <x:c r="A3610" s="12" t="str">
        <x:v>9602</x:v>
      </x:c>
      <x:c r="B3610" s="12" t="str">
        <x:v>Hairdressing and other beauty treatment</x:v>
      </x:c>
      <x:c r="C3610" s="12" t="str">
        <x:v>الكرك</x:v>
      </x:c>
      <x:c r="D3610" s="14" t="n">
        <x:v>360</x:v>
      </x:c>
      <x:c r="E3610" s="14" t="n">
        <x:f>VLOOKUP(C3610,'Governorate Master'!$A$2:$Q$13,3,FALSE)</x:f>
        <x:v>395400</x:v>
      </x:c>
      <x:c r="F3610" s="66" t="n">
        <x:f>IF(E3610=0,0,D3610/E3610*10000)</x:f>
        <x:v>9.104704097116844</x:v>
      </x:c>
      <x:c r="G3610" s="67" t="n">
        <x:f>VLOOKUP(C3610,'Governorate Master'!$A$2:$Q$13,7,FALSE)</x:f>
        <x:v>113.1</x:v>
      </x:c>
      <x:c r="H3610" s="20" t="n">
        <x:f>VLOOKUP(C3610,'Governorate Master'!$A$2:$Q$13,6,FALSE)</x:f>
        <x:v>0.5912999494183105</x:v>
      </x:c>
      <x:c r="I3610" s="20" t="n">
        <x:f>VLOOKUP(C3610,'Governorate Master'!$A$2:$Q$13,15,FALSE)</x:f>
        <x:v>0.08710801393728224</x:v>
      </x:c>
      <x:c r="J3610" s="12" t="str">
        <x:v>Location model input - competition/saturation context</x:v>
      </x:c>
      <x:c r="K3610" s="12" t="str">
        <x:v>Business count is from 2018 while population/context indicators are newer; use as a historical proxy, not a current market count.</x:v>
      </x:c>
    </x:row>
    <x:row r="3611">
      <x:c r="A3611" s="12" t="str">
        <x:v>9602</x:v>
      </x:c>
      <x:c r="B3611" s="12" t="str">
        <x:v>Hairdressing and other beauty treatment</x:v>
      </x:c>
      <x:c r="C3611" s="12" t="str">
        <x:v>الطفيلة</x:v>
      </x:c>
      <x:c r="D3611" s="14" t="n">
        <x:v>111</x:v>
      </x:c>
      <x:c r="E3611" s="14" t="n">
        <x:f>VLOOKUP(C3611,'Governorate Master'!$A$2:$Q$13,3,FALSE)</x:f>
        <x:v>120300</x:v>
      </x:c>
      <x:c r="F3611" s="66" t="n">
        <x:f>IF(E3611=0,0,D3611/E3611*10000)</x:f>
        <x:v>9.226932668329177</x:v>
      </x:c>
      <x:c r="G3611" s="67" t="n">
        <x:f>VLOOKUP(C3611,'Governorate Master'!$A$2:$Q$13,7,FALSE)</x:f>
        <x:v>54.4</x:v>
      </x:c>
      <x:c r="H3611" s="20" t="n">
        <x:f>VLOOKUP(C3611,'Governorate Master'!$A$2:$Q$13,6,FALSE)</x:f>
        <x:v>0.7797173732335827</x:v>
      </x:c>
      <x:c r="I3611" s="20" t="n">
        <x:f>VLOOKUP(C3611,'Governorate Master'!$A$2:$Q$13,15,FALSE)</x:f>
        <x:v>0.18452380952380953</x:v>
      </x:c>
      <x:c r="J3611" s="12" t="str">
        <x:v>Location model input - competition/saturation context</x:v>
      </x:c>
      <x:c r="K3611" s="12" t="str">
        <x:v>Business count is from 2018 while population/context indicators are newer; use as a historical proxy, not a current market count.</x:v>
      </x:c>
    </x:row>
    <x:row r="3612">
      <x:c r="A3612" s="12" t="str">
        <x:v>9602</x:v>
      </x:c>
      <x:c r="B3612" s="12" t="str">
        <x:v>Hairdressing and other beauty treatment</x:v>
      </x:c>
      <x:c r="C3612" s="12" t="str">
        <x:v>معان</x:v>
      </x:c>
      <x:c r="D3612" s="14" t="n">
        <x:v>131</x:v>
      </x:c>
      <x:c r="E3612" s="14" t="n">
        <x:f>VLOOKUP(C3612,'Governorate Master'!$A$2:$Q$13,3,FALSE)</x:f>
        <x:v>197900</x:v>
      </x:c>
      <x:c r="F3612" s="66" t="n">
        <x:f>IF(E3612=0,0,D3612/E3612*10000)</x:f>
        <x:v>6.619504800404244</x:v>
      </x:c>
      <x:c r="G3612" s="67" t="n">
        <x:f>VLOOKUP(C3612,'Governorate Master'!$A$2:$Q$13,7,FALSE)</x:f>
        <x:v>6</x:v>
      </x:c>
      <x:c r="H3612" s="20" t="n">
        <x:f>VLOOKUP(C3612,'Governorate Master'!$A$2:$Q$13,6,FALSE)</x:f>
        <x:v>0.5406771096513391</x:v>
      </x:c>
      <x:c r="I3612" s="20" t="n">
        <x:f>VLOOKUP(C3612,'Governorate Master'!$A$2:$Q$13,15,FALSE)</x:f>
        <x:v>0.026845637583892617</x:v>
      </x:c>
      <x:c r="J3612" s="12" t="str">
        <x:v>Location model input - competition/saturation context</x:v>
      </x:c>
      <x:c r="K3612" s="12" t="str">
        <x:v>Business count is from 2018 while population/context indicators are newer; use as a historical proxy, not a current market count.</x:v>
      </x:c>
    </x:row>
    <x:row r="3613">
      <x:c r="A3613" s="12" t="str">
        <x:v>9602</x:v>
      </x:c>
      <x:c r="B3613" s="12" t="str">
        <x:v>Hairdressing and other beauty treatment</x:v>
      </x:c>
      <x:c r="C3613" s="12" t="str">
        <x:v>العقبة</x:v>
      </x:c>
      <x:c r="D3613" s="14" t="n">
        <x:v>174</x:v>
      </x:c>
      <x:c r="E3613" s="14" t="n">
        <x:f>VLOOKUP(C3613,'Governorate Master'!$A$2:$Q$13,3,FALSE)</x:f>
        <x:v>250900</x:v>
      </x:c>
      <x:c r="F3613" s="66" t="n">
        <x:f>IF(E3613=0,0,D3613/E3613*10000)</x:f>
        <x:v>6.935033878039059</x:v>
      </x:c>
      <x:c r="G3613" s="67" t="n">
        <x:f>VLOOKUP(C3613,'Governorate Master'!$A$2:$Q$13,7,FALSE)</x:f>
        <x:v>36.3</x:v>
      </x:c>
      <x:c r="H3613" s="20" t="n">
        <x:f>VLOOKUP(C3613,'Governorate Master'!$A$2:$Q$13,6,FALSE)</x:f>
        <x:v>0.882024711040255</x:v>
      </x:c>
      <x:c r="I3613" s="20" t="n">
        <x:f>VLOOKUP(C3613,'Governorate Master'!$A$2:$Q$13,15,FALSE)</x:f>
        <x:v>-0.09</x:v>
      </x:c>
      <x:c r="J3613" s="12" t="str">
        <x:v>Location model input - competition/saturation context</x:v>
      </x:c>
      <x:c r="K3613" s="12" t="str">
        <x:v>Business count is from 2018 while population/context indicators are newer; use as a historical proxy, not a current market count.</x:v>
      </x:c>
    </x:row>
    <x:row r="3614">
      <x:c r="A3614" s="12" t="str">
        <x:v>9603</x:v>
      </x:c>
      <x:c r="B3614" s="12" t="str">
        <x:v>Funeral and related activities</x:v>
      </x:c>
      <x:c r="C3614" s="12" t="str">
        <x:v>عمان</x:v>
      </x:c>
      <x:c r="D3614" s="14" t="n">
        <x:v>8</x:v>
      </x:c>
      <x:c r="E3614" s="14" t="n">
        <x:f>VLOOKUP(C3614,'Governorate Master'!$A$2:$Q$13,3,FALSE)</x:f>
        <x:v>5004600</x:v>
      </x:c>
      <x:c r="F3614" s="66" t="n">
        <x:f>IF(E3614=0,0,D3614/E3614*10000)</x:f>
        <x:v>0.015985293529952444</x:v>
      </x:c>
      <x:c r="G3614" s="67" t="n">
        <x:f>VLOOKUP(C3614,'Governorate Master'!$A$2:$Q$13,7,FALSE)</x:f>
        <x:v>660.3</x:v>
      </x:c>
      <x:c r="H3614" s="20" t="n">
        <x:f>VLOOKUP(C3614,'Governorate Master'!$A$2:$Q$13,6,FALSE)</x:f>
        <x:v>0.9721656076409703</x:v>
      </x:c>
      <x:c r="I3614" s="20" t="n">
        <x:f>VLOOKUP(C3614,'Governorate Master'!$A$2:$Q$13,15,FALSE)</x:f>
        <x:v>0.06367041198501873</x:v>
      </x:c>
      <x:c r="J3614" s="12" t="str">
        <x:v>Location model input - competition/saturation context</x:v>
      </x:c>
      <x:c r="K3614" s="12" t="str">
        <x:v>Business count is from 2018 while population/context indicators are newer; use as a historical proxy, not a current market count.</x:v>
      </x:c>
    </x:row>
    <x:row r="3615">
      <x:c r="A3615" s="12" t="str">
        <x:v>9603</x:v>
      </x:c>
      <x:c r="B3615" s="12" t="str">
        <x:v>Funeral and related activities</x:v>
      </x:c>
      <x:c r="C3615" s="12" t="str">
        <x:v>البلقاء</x:v>
      </x:c>
      <x:c r="D3615" s="14" t="n">
        <x:v>2</x:v>
      </x:c>
      <x:c r="E3615" s="14" t="n">
        <x:f>VLOOKUP(C3615,'Governorate Master'!$A$2:$Q$13,3,FALSE)</x:f>
        <x:v>614000</x:v>
      </x:c>
      <x:c r="F3615" s="66" t="n">
        <x:f>IF(E3615=0,0,D3615/E3615*10000)</x:f>
        <x:v>0.03257328990228013</x:v>
      </x:c>
      <x:c r="G3615" s="67" t="n">
        <x:f>VLOOKUP(C3615,'Governorate Master'!$A$2:$Q$13,7,FALSE)</x:f>
        <x:v>548</x:v>
      </x:c>
      <x:c r="H3615" s="20" t="n">
        <x:f>VLOOKUP(C3615,'Governorate Master'!$A$2:$Q$13,6,FALSE)</x:f>
        <x:v>0.8210097719869707</x:v>
      </x:c>
      <x:c r="I3615" s="20" t="n">
        <x:f>VLOOKUP(C3615,'Governorate Master'!$A$2:$Q$13,15,FALSE)</x:f>
        <x:v>0.10794044665012408</x:v>
      </x:c>
      <x:c r="J3615" s="12" t="str">
        <x:v>Location model input - competition/saturation context</x:v>
      </x:c>
      <x:c r="K3615" s="12" t="str">
        <x:v>Business count is from 2018 while population/context indicators are newer; use as a historical proxy, not a current market count.</x:v>
      </x:c>
    </x:row>
    <x:row r="3616">
      <x:c r="A3616" s="12" t="str">
        <x:v>9603</x:v>
      </x:c>
      <x:c r="B3616" s="12" t="str">
        <x:v>Funeral and related activities</x:v>
      </x:c>
      <x:c r="C3616" s="12" t="str">
        <x:v>الزرقاء</x:v>
      </x:c>
      <x:c r="D3616" s="14" t="n">
        <x:v>2</x:v>
      </x:c>
      <x:c r="E3616" s="14" t="n">
        <x:f>VLOOKUP(C3616,'Governorate Master'!$A$2:$Q$13,3,FALSE)</x:f>
        <x:v>1704500</x:v>
      </x:c>
      <x:c r="F3616" s="66" t="n">
        <x:f>IF(E3616=0,0,D3616/E3616*10000)</x:f>
        <x:v>0.011733646230566148</x:v>
      </x:c>
      <x:c r="G3616" s="67" t="n">
        <x:f>VLOOKUP(C3616,'Governorate Master'!$A$2:$Q$13,7,FALSE)</x:f>
        <x:v>358</x:v>
      </x:c>
      <x:c r="H3616" s="20" t="n">
        <x:f>VLOOKUP(C3616,'Governorate Master'!$A$2:$Q$13,6,FALSE)</x:f>
        <x:v>0.9636256966852449</x:v>
      </x:c>
      <x:c r="I3616" s="20" t="n">
        <x:f>VLOOKUP(C3616,'Governorate Master'!$A$2:$Q$13,15,FALSE)</x:f>
        <x:v>-0.06808762581409118</x:v>
      </x:c>
      <x:c r="J3616" s="12" t="str">
        <x:v>Location model input - competition/saturation context</x:v>
      </x:c>
      <x:c r="K3616" s="12" t="str">
        <x:v>Business count is from 2018 while population/context indicators are newer; use as a historical proxy, not a current market count.</x:v>
      </x:c>
    </x:row>
    <x:row r="3617">
      <x:c r="A3617" s="12" t="str">
        <x:v>9603</x:v>
      </x:c>
      <x:c r="B3617" s="12" t="str">
        <x:v>Funeral and related activities</x:v>
      </x:c>
      <x:c r="C3617" s="12" t="str">
        <x:v>مادبا</x:v>
      </x:c>
      <x:c r="D3617" s="14" t="n">
        <x:v>1</x:v>
      </x:c>
      <x:c r="E3617" s="14" t="n">
        <x:f>VLOOKUP(C3617,'Governorate Master'!$A$2:$Q$13,3,FALSE)</x:f>
        <x:v>236200</x:v>
      </x:c>
      <x:c r="F3617" s="66" t="n">
        <x:f>IF(E3617=0,0,D3617/E3617*10000)</x:f>
        <x:v>0.04233700254022015</x:v>
      </x:c>
      <x:c r="G3617" s="67" t="n">
        <x:f>VLOOKUP(C3617,'Governorate Master'!$A$2:$Q$13,7,FALSE)</x:f>
        <x:v>251.4</x:v>
      </x:c>
      <x:c r="H3617" s="20" t="n">
        <x:f>VLOOKUP(C3617,'Governorate Master'!$A$2:$Q$13,6,FALSE)</x:f>
        <x:v>0.7823878069432684</x:v>
      </x:c>
      <x:c r="I3617" s="20" t="n">
        <x:f>VLOOKUP(C3617,'Governorate Master'!$A$2:$Q$13,15,FALSE)</x:f>
        <x:v>-0.18823529411764706</x:v>
      </x:c>
      <x:c r="J3617" s="12" t="str">
        <x:v>Location model input - competition/saturation context</x:v>
      </x:c>
      <x:c r="K3617" s="12" t="str">
        <x:v>Business count is from 2018 while population/context indicators are newer; use as a historical proxy, not a current market count.</x:v>
      </x:c>
    </x:row>
    <x:row r="3618">
      <x:c r="A3618" s="12" t="str">
        <x:v>9603</x:v>
      </x:c>
      <x:c r="B3618" s="12" t="str">
        <x:v>Funeral and related activities</x:v>
      </x:c>
      <x:c r="C3618" s="12" t="str">
        <x:v>إربد</x:v>
      </x:c>
      <x:c r="D3618" s="14" t="n">
        <x:v>3</x:v>
      </x:c>
      <x:c r="E3618" s="14" t="n">
        <x:f>VLOOKUP(C3618,'Governorate Master'!$A$2:$Q$13,3,FALSE)</x:f>
        <x:v>2210500</x:v>
      </x:c>
      <x:c r="F3618" s="66" t="n">
        <x:f>IF(E3618=0,0,D3618/E3618*10000)</x:f>
        <x:v>0.013571590137977832</x:v>
      </x:c>
      <x:c r="G3618" s="67" t="n">
        <x:f>VLOOKUP(C3618,'Governorate Master'!$A$2:$Q$13,7,FALSE)</x:f>
        <x:v>1406.4</x:v>
      </x:c>
      <x:c r="H3618" s="20" t="n">
        <x:f>VLOOKUP(C3618,'Governorate Master'!$A$2:$Q$13,6,FALSE)</x:f>
        <x:v>0.9235014702555983</x:v>
      </x:c>
      <x:c r="I3618" s="20" t="n">
        <x:f>VLOOKUP(C3618,'Governorate Master'!$A$2:$Q$13,15,FALSE)</x:f>
        <x:v>0.07086922474549726</x:v>
      </x:c>
      <x:c r="J3618" s="12" t="str">
        <x:v>Location model input - competition/saturation context</x:v>
      </x:c>
      <x:c r="K3618" s="12" t="str">
        <x:v>Business count is from 2018 while population/context indicators are newer; use as a historical proxy, not a current market count.</x:v>
      </x:c>
    </x:row>
    <x:row r="3619">
      <x:c r="A3619" s="12" t="str">
        <x:v>9603</x:v>
      </x:c>
      <x:c r="B3619" s="12" t="str">
        <x:v>Funeral and related activities</x:v>
      </x:c>
      <x:c r="C3619" s="12" t="str">
        <x:v>المفرق</x:v>
      </x:c>
      <x:c r="D3619" s="14" t="n">
        <x:v>0</x:v>
      </x:c>
      <x:c r="E3619" s="14" t="n">
        <x:f>VLOOKUP(C3619,'Governorate Master'!$A$2:$Q$13,3,FALSE)</x:f>
        <x:v>686800</x:v>
      </x:c>
      <x:c r="F3619" s="66" t="n">
        <x:f>IF(E3619=0,0,D3619/E3619*10000)</x:f>
        <x:v>0</x:v>
      </x:c>
      <x:c r="G3619" s="67" t="n">
        <x:f>VLOOKUP(C3619,'Governorate Master'!$A$2:$Q$13,7,FALSE)</x:f>
        <x:v>25.9</x:v>
      </x:c>
      <x:c r="H3619" s="20" t="n">
        <x:f>VLOOKUP(C3619,'Governorate Master'!$A$2:$Q$13,6,FALSE)</x:f>
        <x:v>0.6965637740244612</x:v>
      </x:c>
      <x:c r="I3619" s="20" t="n">
        <x:f>VLOOKUP(C3619,'Governorate Master'!$A$2:$Q$13,15,FALSE)</x:f>
        <x:v>-0.016638935108153077</x:v>
      </x:c>
      <x:c r="J3619" s="12" t="str">
        <x:v>Location model input - competition/saturation context</x:v>
      </x:c>
      <x:c r="K3619" s="12" t="str">
        <x:v>Business count is from 2018 while population/context indicators are newer; use as a historical proxy, not a current market count.</x:v>
      </x:c>
    </x:row>
    <x:row r="3620">
      <x:c r="A3620" s="12" t="str">
        <x:v>9603</x:v>
      </x:c>
      <x:c r="B3620" s="12" t="str">
        <x:v>Funeral and related activities</x:v>
      </x:c>
      <x:c r="C3620" s="12" t="str">
        <x:v>جرش</x:v>
      </x:c>
      <x:c r="D3620" s="14" t="n">
        <x:v>0</x:v>
      </x:c>
      <x:c r="E3620" s="14" t="n">
        <x:f>VLOOKUP(C3620,'Governorate Master'!$A$2:$Q$13,3,FALSE)</x:f>
        <x:v>296000</x:v>
      </x:c>
      <x:c r="F3620" s="66" t="n">
        <x:f>IF(E3620=0,0,D3620/E3620*10000)</x:f>
        <x:v>0</x:v>
      </x:c>
      <x:c r="G3620" s="67" t="n">
        <x:f>VLOOKUP(C3620,'Governorate Master'!$A$2:$Q$13,7,FALSE)</x:f>
        <x:v>722.3</x:v>
      </x:c>
      <x:c r="H3620" s="20" t="n">
        <x:f>VLOOKUP(C3620,'Governorate Master'!$A$2:$Q$13,6,FALSE)</x:f>
        <x:v>0.7695945945945946</x:v>
      </x:c>
      <x:c r="I3620" s="20" t="n">
        <x:f>VLOOKUP(C3620,'Governorate Master'!$A$2:$Q$13,15,FALSE)</x:f>
        <x:v>-0.06527415143603134</x:v>
      </x:c>
      <x:c r="J3620" s="12" t="str">
        <x:v>Location model input - competition/saturation context</x:v>
      </x:c>
      <x:c r="K3620" s="12" t="str">
        <x:v>Business count is from 2018 while population/context indicators are newer; use as a historical proxy, not a current market count.</x:v>
      </x:c>
    </x:row>
    <x:row r="3621">
      <x:c r="A3621" s="12" t="str">
        <x:v>9603</x:v>
      </x:c>
      <x:c r="B3621" s="12" t="str">
        <x:v>Funeral and related activities</x:v>
      </x:c>
      <x:c r="C3621" s="12" t="str">
        <x:v>عجلون</x:v>
      </x:c>
      <x:c r="D3621" s="14" t="n">
        <x:v>1</x:v>
      </x:c>
      <x:c r="E3621" s="14" t="n">
        <x:f>VLOOKUP(C3621,'Governorate Master'!$A$2:$Q$13,3,FALSE)</x:f>
        <x:v>219900</x:v>
      </x:c>
      <x:c r="F3621" s="66" t="n">
        <x:f>IF(E3621=0,0,D3621/E3621*10000)</x:f>
        <x:v>0.04547521600727603</x:v>
      </x:c>
      <x:c r="G3621" s="67" t="n">
        <x:f>VLOOKUP(C3621,'Governorate Master'!$A$2:$Q$13,7,FALSE)</x:f>
        <x:v>524</x:v>
      </x:c>
      <x:c r="H3621" s="20" t="n">
        <x:f>VLOOKUP(C3621,'Governorate Master'!$A$2:$Q$13,6,FALSE)</x:f>
        <x:v>0.8390177353342428</x:v>
      </x:c>
      <x:c r="I3621" s="20" t="n">
        <x:f>VLOOKUP(C3621,'Governorate Master'!$A$2:$Q$13,15,FALSE)</x:f>
        <x:v>0.03614457831325301</x:v>
      </x:c>
      <x:c r="J3621" s="12" t="str">
        <x:v>Location model input - competition/saturation context</x:v>
      </x:c>
      <x:c r="K3621" s="12" t="str">
        <x:v>Business count is from 2018 while population/context indicators are newer; use as a historical proxy, not a current market count.</x:v>
      </x:c>
    </x:row>
    <x:row r="3622">
      <x:c r="A3622" s="12" t="str">
        <x:v>9603</x:v>
      </x:c>
      <x:c r="B3622" s="12" t="str">
        <x:v>Funeral and related activities</x:v>
      </x:c>
      <x:c r="C3622" s="12" t="str">
        <x:v>الكرك</x:v>
      </x:c>
      <x:c r="D3622" s="14" t="n">
        <x:v>0</x:v>
      </x:c>
      <x:c r="E3622" s="14" t="n">
        <x:f>VLOOKUP(C3622,'Governorate Master'!$A$2:$Q$13,3,FALSE)</x:f>
        <x:v>395400</x:v>
      </x:c>
      <x:c r="F3622" s="66" t="n">
        <x:f>IF(E3622=0,0,D3622/E3622*10000)</x:f>
        <x:v>0</x:v>
      </x:c>
      <x:c r="G3622" s="67" t="n">
        <x:f>VLOOKUP(C3622,'Governorate Master'!$A$2:$Q$13,7,FALSE)</x:f>
        <x:v>113.1</x:v>
      </x:c>
      <x:c r="H3622" s="20" t="n">
        <x:f>VLOOKUP(C3622,'Governorate Master'!$A$2:$Q$13,6,FALSE)</x:f>
        <x:v>0.5912999494183105</x:v>
      </x:c>
      <x:c r="I3622" s="20" t="n">
        <x:f>VLOOKUP(C3622,'Governorate Master'!$A$2:$Q$13,15,FALSE)</x:f>
        <x:v>0.08710801393728224</x:v>
      </x:c>
      <x:c r="J3622" s="12" t="str">
        <x:v>Location model input - competition/saturation context</x:v>
      </x:c>
      <x:c r="K3622" s="12" t="str">
        <x:v>Business count is from 2018 while population/context indicators are newer; use as a historical proxy, not a current market count.</x:v>
      </x:c>
    </x:row>
    <x:row r="3623">
      <x:c r="A3623" s="12" t="str">
        <x:v>9603</x:v>
      </x:c>
      <x:c r="B3623" s="12" t="str">
        <x:v>Funeral and related activities</x:v>
      </x:c>
      <x:c r="C3623" s="12" t="str">
        <x:v>الطفيلة</x:v>
      </x:c>
      <x:c r="D3623" s="14" t="n">
        <x:v>0</x:v>
      </x:c>
      <x:c r="E3623" s="14" t="n">
        <x:f>VLOOKUP(C3623,'Governorate Master'!$A$2:$Q$13,3,FALSE)</x:f>
        <x:v>120300</x:v>
      </x:c>
      <x:c r="F3623" s="66" t="n">
        <x:f>IF(E3623=0,0,D3623/E3623*10000)</x:f>
        <x:v>0</x:v>
      </x:c>
      <x:c r="G3623" s="67" t="n">
        <x:f>VLOOKUP(C3623,'Governorate Master'!$A$2:$Q$13,7,FALSE)</x:f>
        <x:v>54.4</x:v>
      </x:c>
      <x:c r="H3623" s="20" t="n">
        <x:f>VLOOKUP(C3623,'Governorate Master'!$A$2:$Q$13,6,FALSE)</x:f>
        <x:v>0.7797173732335827</x:v>
      </x:c>
      <x:c r="I3623" s="20" t="n">
        <x:f>VLOOKUP(C3623,'Governorate Master'!$A$2:$Q$13,15,FALSE)</x:f>
        <x:v>0.18452380952380953</x:v>
      </x:c>
      <x:c r="J3623" s="12" t="str">
        <x:v>Location model input - competition/saturation context</x:v>
      </x:c>
      <x:c r="K3623" s="12" t="str">
        <x:v>Business count is from 2018 while population/context indicators are newer; use as a historical proxy, not a current market count.</x:v>
      </x:c>
    </x:row>
    <x:row r="3624">
      <x:c r="A3624" s="12" t="str">
        <x:v>9603</x:v>
      </x:c>
      <x:c r="B3624" s="12" t="str">
        <x:v>Funeral and related activities</x:v>
      </x:c>
      <x:c r="C3624" s="12" t="str">
        <x:v>معان</x:v>
      </x:c>
      <x:c r="D3624" s="14" t="n">
        <x:v>0</x:v>
      </x:c>
      <x:c r="E3624" s="14" t="n">
        <x:f>VLOOKUP(C3624,'Governorate Master'!$A$2:$Q$13,3,FALSE)</x:f>
        <x:v>197900</x:v>
      </x:c>
      <x:c r="F3624" s="66" t="n">
        <x:f>IF(E3624=0,0,D3624/E3624*10000)</x:f>
        <x:v>0</x:v>
      </x:c>
      <x:c r="G3624" s="67" t="n">
        <x:f>VLOOKUP(C3624,'Governorate Master'!$A$2:$Q$13,7,FALSE)</x:f>
        <x:v>6</x:v>
      </x:c>
      <x:c r="H3624" s="20" t="n">
        <x:f>VLOOKUP(C3624,'Governorate Master'!$A$2:$Q$13,6,FALSE)</x:f>
        <x:v>0.5406771096513391</x:v>
      </x:c>
      <x:c r="I3624" s="20" t="n">
        <x:f>VLOOKUP(C3624,'Governorate Master'!$A$2:$Q$13,15,FALSE)</x:f>
        <x:v>0.026845637583892617</x:v>
      </x:c>
      <x:c r="J3624" s="12" t="str">
        <x:v>Location model input - competition/saturation context</x:v>
      </x:c>
      <x:c r="K3624" s="12" t="str">
        <x:v>Business count is from 2018 while population/context indicators are newer; use as a historical proxy, not a current market count.</x:v>
      </x:c>
    </x:row>
    <x:row r="3625">
      <x:c r="A3625" s="12" t="str">
        <x:v>9603</x:v>
      </x:c>
      <x:c r="B3625" s="12" t="str">
        <x:v>Funeral and related activities</x:v>
      </x:c>
      <x:c r="C3625" s="12" t="str">
        <x:v>العقبة</x:v>
      </x:c>
      <x:c r="D3625" s="14" t="n">
        <x:v>0</x:v>
      </x:c>
      <x:c r="E3625" s="14" t="n">
        <x:f>VLOOKUP(C3625,'Governorate Master'!$A$2:$Q$13,3,FALSE)</x:f>
        <x:v>250900</x:v>
      </x:c>
      <x:c r="F3625" s="66" t="n">
        <x:f>IF(E3625=0,0,D3625/E3625*10000)</x:f>
        <x:v>0</x:v>
      </x:c>
      <x:c r="G3625" s="67" t="n">
        <x:f>VLOOKUP(C3625,'Governorate Master'!$A$2:$Q$13,7,FALSE)</x:f>
        <x:v>36.3</x:v>
      </x:c>
      <x:c r="H3625" s="20" t="n">
        <x:f>VLOOKUP(C3625,'Governorate Master'!$A$2:$Q$13,6,FALSE)</x:f>
        <x:v>0.882024711040255</x:v>
      </x:c>
      <x:c r="I3625" s="20" t="n">
        <x:f>VLOOKUP(C3625,'Governorate Master'!$A$2:$Q$13,15,FALSE)</x:f>
        <x:v>-0.09</x:v>
      </x:c>
      <x:c r="J3625" s="12" t="str">
        <x:v>Location model input - competition/saturation context</x:v>
      </x:c>
      <x:c r="K3625" s="12" t="str">
        <x:v>Business count is from 2018 while population/context indicators are newer; use as a historical proxy, not a current market count.</x:v>
      </x:c>
    </x:row>
    <x:row r="3626">
      <x:c r="A3626" s="12" t="str">
        <x:v>9609</x:v>
      </x:c>
      <x:c r="B3626" s="12" t="str">
        <x:v>Other personal service activities n.e.c.</x:v>
      </x:c>
      <x:c r="C3626" s="12" t="str">
        <x:v>عمان</x:v>
      </x:c>
      <x:c r="D3626" s="14" t="n">
        <x:v>26</x:v>
      </x:c>
      <x:c r="E3626" s="14" t="n">
        <x:f>VLOOKUP(C3626,'Governorate Master'!$A$2:$Q$13,3,FALSE)</x:f>
        <x:v>5004600</x:v>
      </x:c>
      <x:c r="F3626" s="66" t="n">
        <x:f>IF(E3626=0,0,D3626/E3626*10000)</x:f>
        <x:v>0.05195220397234544</x:v>
      </x:c>
      <x:c r="G3626" s="67" t="n">
        <x:f>VLOOKUP(C3626,'Governorate Master'!$A$2:$Q$13,7,FALSE)</x:f>
        <x:v>660.3</x:v>
      </x:c>
      <x:c r="H3626" s="20" t="n">
        <x:f>VLOOKUP(C3626,'Governorate Master'!$A$2:$Q$13,6,FALSE)</x:f>
        <x:v>0.9721656076409703</x:v>
      </x:c>
      <x:c r="I3626" s="20" t="n">
        <x:f>VLOOKUP(C3626,'Governorate Master'!$A$2:$Q$13,15,FALSE)</x:f>
        <x:v>0.06367041198501873</x:v>
      </x:c>
      <x:c r="J3626" s="12" t="str">
        <x:v>Location model input - competition/saturation context</x:v>
      </x:c>
      <x:c r="K3626" s="12" t="str">
        <x:v>Business count is from 2018 while population/context indicators are newer; use as a historical proxy, not a current market count.</x:v>
      </x:c>
    </x:row>
    <x:row r="3627">
      <x:c r="A3627" s="12" t="str">
        <x:v>9609</x:v>
      </x:c>
      <x:c r="B3627" s="12" t="str">
        <x:v>Other personal service activities n.e.c.</x:v>
      </x:c>
      <x:c r="C3627" s="12" t="str">
        <x:v>البلقاء</x:v>
      </x:c>
      <x:c r="D3627" s="14" t="n">
        <x:v>3</x:v>
      </x:c>
      <x:c r="E3627" s="14" t="n">
        <x:f>VLOOKUP(C3627,'Governorate Master'!$A$2:$Q$13,3,FALSE)</x:f>
        <x:v>614000</x:v>
      </x:c>
      <x:c r="F3627" s="66" t="n">
        <x:f>IF(E3627=0,0,D3627/E3627*10000)</x:f>
        <x:v>0.048859934853420196</x:v>
      </x:c>
      <x:c r="G3627" s="67" t="n">
        <x:f>VLOOKUP(C3627,'Governorate Master'!$A$2:$Q$13,7,FALSE)</x:f>
        <x:v>548</x:v>
      </x:c>
      <x:c r="H3627" s="20" t="n">
        <x:f>VLOOKUP(C3627,'Governorate Master'!$A$2:$Q$13,6,FALSE)</x:f>
        <x:v>0.8210097719869707</x:v>
      </x:c>
      <x:c r="I3627" s="20" t="n">
        <x:f>VLOOKUP(C3627,'Governorate Master'!$A$2:$Q$13,15,FALSE)</x:f>
        <x:v>0.10794044665012408</x:v>
      </x:c>
      <x:c r="J3627" s="12" t="str">
        <x:v>Location model input - competition/saturation context</x:v>
      </x:c>
      <x:c r="K3627" s="12" t="str">
        <x:v>Business count is from 2018 while population/context indicators are newer; use as a historical proxy, not a current market count.</x:v>
      </x:c>
    </x:row>
    <x:row r="3628">
      <x:c r="A3628" s="12" t="str">
        <x:v>9609</x:v>
      </x:c>
      <x:c r="B3628" s="12" t="str">
        <x:v>Other personal service activities n.e.c.</x:v>
      </x:c>
      <x:c r="C3628" s="12" t="str">
        <x:v>الزرقاء</x:v>
      </x:c>
      <x:c r="D3628" s="14" t="n">
        <x:v>3</x:v>
      </x:c>
      <x:c r="E3628" s="14" t="n">
        <x:f>VLOOKUP(C3628,'Governorate Master'!$A$2:$Q$13,3,FALSE)</x:f>
        <x:v>1704500</x:v>
      </x:c>
      <x:c r="F3628" s="66" t="n">
        <x:f>IF(E3628=0,0,D3628/E3628*10000)</x:f>
        <x:v>0.01760046934584922</x:v>
      </x:c>
      <x:c r="G3628" s="67" t="n">
        <x:f>VLOOKUP(C3628,'Governorate Master'!$A$2:$Q$13,7,FALSE)</x:f>
        <x:v>358</x:v>
      </x:c>
      <x:c r="H3628" s="20" t="n">
        <x:f>VLOOKUP(C3628,'Governorate Master'!$A$2:$Q$13,6,FALSE)</x:f>
        <x:v>0.9636256966852449</x:v>
      </x:c>
      <x:c r="I3628" s="20" t="n">
        <x:f>VLOOKUP(C3628,'Governorate Master'!$A$2:$Q$13,15,FALSE)</x:f>
        <x:v>-0.06808762581409118</x:v>
      </x:c>
      <x:c r="J3628" s="12" t="str">
        <x:v>Location model input - competition/saturation context</x:v>
      </x:c>
      <x:c r="K3628" s="12" t="str">
        <x:v>Business count is from 2018 while population/context indicators are newer; use as a historical proxy, not a current market count.</x:v>
      </x:c>
    </x:row>
    <x:row r="3629">
      <x:c r="A3629" s="12" t="str">
        <x:v>9609</x:v>
      </x:c>
      <x:c r="B3629" s="12" t="str">
        <x:v>Other personal service activities n.e.c.</x:v>
      </x:c>
      <x:c r="C3629" s="12" t="str">
        <x:v>مادبا</x:v>
      </x:c>
      <x:c r="D3629" s="14" t="n">
        <x:v>3</x:v>
      </x:c>
      <x:c r="E3629" s="14" t="n">
        <x:f>VLOOKUP(C3629,'Governorate Master'!$A$2:$Q$13,3,FALSE)</x:f>
        <x:v>236200</x:v>
      </x:c>
      <x:c r="F3629" s="66" t="n">
        <x:f>IF(E3629=0,0,D3629/E3629*10000)</x:f>
        <x:v>0.12701100762066045</x:v>
      </x:c>
      <x:c r="G3629" s="67" t="n">
        <x:f>VLOOKUP(C3629,'Governorate Master'!$A$2:$Q$13,7,FALSE)</x:f>
        <x:v>251.4</x:v>
      </x:c>
      <x:c r="H3629" s="20" t="n">
        <x:f>VLOOKUP(C3629,'Governorate Master'!$A$2:$Q$13,6,FALSE)</x:f>
        <x:v>0.7823878069432684</x:v>
      </x:c>
      <x:c r="I3629" s="20" t="n">
        <x:f>VLOOKUP(C3629,'Governorate Master'!$A$2:$Q$13,15,FALSE)</x:f>
        <x:v>-0.18823529411764706</x:v>
      </x:c>
      <x:c r="J3629" s="12" t="str">
        <x:v>Location model input - competition/saturation context</x:v>
      </x:c>
      <x:c r="K3629" s="12" t="str">
        <x:v>Business count is from 2018 while population/context indicators are newer; use as a historical proxy, not a current market count.</x:v>
      </x:c>
    </x:row>
    <x:row r="3630">
      <x:c r="A3630" s="12" t="str">
        <x:v>9609</x:v>
      </x:c>
      <x:c r="B3630" s="12" t="str">
        <x:v>Other personal service activities n.e.c.</x:v>
      </x:c>
      <x:c r="C3630" s="12" t="str">
        <x:v>إربد</x:v>
      </x:c>
      <x:c r="D3630" s="14" t="n">
        <x:v>5</x:v>
      </x:c>
      <x:c r="E3630" s="14" t="n">
        <x:f>VLOOKUP(C3630,'Governorate Master'!$A$2:$Q$13,3,FALSE)</x:f>
        <x:v>2210500</x:v>
      </x:c>
      <x:c r="F3630" s="66" t="n">
        <x:f>IF(E3630=0,0,D3630/E3630*10000)</x:f>
        <x:v>0.022619316896629722</x:v>
      </x:c>
      <x:c r="G3630" s="67" t="n">
        <x:f>VLOOKUP(C3630,'Governorate Master'!$A$2:$Q$13,7,FALSE)</x:f>
        <x:v>1406.4</x:v>
      </x:c>
      <x:c r="H3630" s="20" t="n">
        <x:f>VLOOKUP(C3630,'Governorate Master'!$A$2:$Q$13,6,FALSE)</x:f>
        <x:v>0.9235014702555983</x:v>
      </x:c>
      <x:c r="I3630" s="20" t="n">
        <x:f>VLOOKUP(C3630,'Governorate Master'!$A$2:$Q$13,15,FALSE)</x:f>
        <x:v>0.07086922474549726</x:v>
      </x:c>
      <x:c r="J3630" s="12" t="str">
        <x:v>Location model input - competition/saturation context</x:v>
      </x:c>
      <x:c r="K3630" s="12" t="str">
        <x:v>Business count is from 2018 while population/context indicators are newer; use as a historical proxy, not a current market count.</x:v>
      </x:c>
    </x:row>
    <x:row r="3631">
      <x:c r="A3631" s="12" t="str">
        <x:v>9609</x:v>
      </x:c>
      <x:c r="B3631" s="12" t="str">
        <x:v>Other personal service activities n.e.c.</x:v>
      </x:c>
      <x:c r="C3631" s="12" t="str">
        <x:v>المفرق</x:v>
      </x:c>
      <x:c r="D3631" s="14" t="n">
        <x:v>0</x:v>
      </x:c>
      <x:c r="E3631" s="14" t="n">
        <x:f>VLOOKUP(C3631,'Governorate Master'!$A$2:$Q$13,3,FALSE)</x:f>
        <x:v>686800</x:v>
      </x:c>
      <x:c r="F3631" s="66" t="n">
        <x:f>IF(E3631=0,0,D3631/E3631*10000)</x:f>
        <x:v>0</x:v>
      </x:c>
      <x:c r="G3631" s="67" t="n">
        <x:f>VLOOKUP(C3631,'Governorate Master'!$A$2:$Q$13,7,FALSE)</x:f>
        <x:v>25.9</x:v>
      </x:c>
      <x:c r="H3631" s="20" t="n">
        <x:f>VLOOKUP(C3631,'Governorate Master'!$A$2:$Q$13,6,FALSE)</x:f>
        <x:v>0.6965637740244612</x:v>
      </x:c>
      <x:c r="I3631" s="20" t="n">
        <x:f>VLOOKUP(C3631,'Governorate Master'!$A$2:$Q$13,15,FALSE)</x:f>
        <x:v>-0.016638935108153077</x:v>
      </x:c>
      <x:c r="J3631" s="12" t="str">
        <x:v>Location model input - competition/saturation context</x:v>
      </x:c>
      <x:c r="K3631" s="12" t="str">
        <x:v>Business count is from 2018 while population/context indicators are newer; use as a historical proxy, not a current market count.</x:v>
      </x:c>
    </x:row>
    <x:row r="3632">
      <x:c r="A3632" s="12" t="str">
        <x:v>9609</x:v>
      </x:c>
      <x:c r="B3632" s="12" t="str">
        <x:v>Other personal service activities n.e.c.</x:v>
      </x:c>
      <x:c r="C3632" s="12" t="str">
        <x:v>جرش</x:v>
      </x:c>
      <x:c r="D3632" s="14" t="n">
        <x:v>1</x:v>
      </x:c>
      <x:c r="E3632" s="14" t="n">
        <x:f>VLOOKUP(C3632,'Governorate Master'!$A$2:$Q$13,3,FALSE)</x:f>
        <x:v>296000</x:v>
      </x:c>
      <x:c r="F3632" s="66" t="n">
        <x:f>IF(E3632=0,0,D3632/E3632*10000)</x:f>
        <x:v>0.033783783783783786</x:v>
      </x:c>
      <x:c r="G3632" s="67" t="n">
        <x:f>VLOOKUP(C3632,'Governorate Master'!$A$2:$Q$13,7,FALSE)</x:f>
        <x:v>722.3</x:v>
      </x:c>
      <x:c r="H3632" s="20" t="n">
        <x:f>VLOOKUP(C3632,'Governorate Master'!$A$2:$Q$13,6,FALSE)</x:f>
        <x:v>0.7695945945945946</x:v>
      </x:c>
      <x:c r="I3632" s="20" t="n">
        <x:f>VLOOKUP(C3632,'Governorate Master'!$A$2:$Q$13,15,FALSE)</x:f>
        <x:v>-0.06527415143603134</x:v>
      </x:c>
      <x:c r="J3632" s="12" t="str">
        <x:v>Location model input - competition/saturation context</x:v>
      </x:c>
      <x:c r="K3632" s="12" t="str">
        <x:v>Business count is from 2018 while population/context indicators are newer; use as a historical proxy, not a current market count.</x:v>
      </x:c>
    </x:row>
    <x:row r="3633">
      <x:c r="A3633" s="12" t="str">
        <x:v>9609</x:v>
      </x:c>
      <x:c r="B3633" s="12" t="str">
        <x:v>Other personal service activities n.e.c.</x:v>
      </x:c>
      <x:c r="C3633" s="12" t="str">
        <x:v>عجلون</x:v>
      </x:c>
      <x:c r="D3633" s="14" t="n">
        <x:v>0</x:v>
      </x:c>
      <x:c r="E3633" s="14" t="n">
        <x:f>VLOOKUP(C3633,'Governorate Master'!$A$2:$Q$13,3,FALSE)</x:f>
        <x:v>219900</x:v>
      </x:c>
      <x:c r="F3633" s="66" t="n">
        <x:f>IF(E3633=0,0,D3633/E3633*10000)</x:f>
        <x:v>0</x:v>
      </x:c>
      <x:c r="G3633" s="67" t="n">
        <x:f>VLOOKUP(C3633,'Governorate Master'!$A$2:$Q$13,7,FALSE)</x:f>
        <x:v>524</x:v>
      </x:c>
      <x:c r="H3633" s="20" t="n">
        <x:f>VLOOKUP(C3633,'Governorate Master'!$A$2:$Q$13,6,FALSE)</x:f>
        <x:v>0.8390177353342428</x:v>
      </x:c>
      <x:c r="I3633" s="20" t="n">
        <x:f>VLOOKUP(C3633,'Governorate Master'!$A$2:$Q$13,15,FALSE)</x:f>
        <x:v>0.03614457831325301</x:v>
      </x:c>
      <x:c r="J3633" s="12" t="str">
        <x:v>Location model input - competition/saturation context</x:v>
      </x:c>
      <x:c r="K3633" s="12" t="str">
        <x:v>Business count is from 2018 while population/context indicators are newer; use as a historical proxy, not a current market count.</x:v>
      </x:c>
    </x:row>
    <x:row r="3634">
      <x:c r="A3634" s="12" t="str">
        <x:v>9609</x:v>
      </x:c>
      <x:c r="B3634" s="12" t="str">
        <x:v>Other personal service activities n.e.c.</x:v>
      </x:c>
      <x:c r="C3634" s="12" t="str">
        <x:v>الكرك</x:v>
      </x:c>
      <x:c r="D3634" s="14" t="n">
        <x:v>1</x:v>
      </x:c>
      <x:c r="E3634" s="14" t="n">
        <x:f>VLOOKUP(C3634,'Governorate Master'!$A$2:$Q$13,3,FALSE)</x:f>
        <x:v>395400</x:v>
      </x:c>
      <x:c r="F3634" s="66" t="n">
        <x:f>IF(E3634=0,0,D3634/E3634*10000)</x:f>
        <x:v>0.025290844714213452</x:v>
      </x:c>
      <x:c r="G3634" s="67" t="n">
        <x:f>VLOOKUP(C3634,'Governorate Master'!$A$2:$Q$13,7,FALSE)</x:f>
        <x:v>113.1</x:v>
      </x:c>
      <x:c r="H3634" s="20" t="n">
        <x:f>VLOOKUP(C3634,'Governorate Master'!$A$2:$Q$13,6,FALSE)</x:f>
        <x:v>0.5912999494183105</x:v>
      </x:c>
      <x:c r="I3634" s="20" t="n">
        <x:f>VLOOKUP(C3634,'Governorate Master'!$A$2:$Q$13,15,FALSE)</x:f>
        <x:v>0.08710801393728224</x:v>
      </x:c>
      <x:c r="J3634" s="12" t="str">
        <x:v>Location model input - competition/saturation context</x:v>
      </x:c>
      <x:c r="K3634" s="12" t="str">
        <x:v>Business count is from 2018 while population/context indicators are newer; use as a historical proxy, not a current market count.</x:v>
      </x:c>
    </x:row>
    <x:row r="3635">
      <x:c r="A3635" s="12" t="str">
        <x:v>9609</x:v>
      </x:c>
      <x:c r="B3635" s="12" t="str">
        <x:v>Other personal service activities n.e.c.</x:v>
      </x:c>
      <x:c r="C3635" s="12" t="str">
        <x:v>الطفيلة</x:v>
      </x:c>
      <x:c r="D3635" s="14" t="n">
        <x:v>0</x:v>
      </x:c>
      <x:c r="E3635" s="14" t="n">
        <x:f>VLOOKUP(C3635,'Governorate Master'!$A$2:$Q$13,3,FALSE)</x:f>
        <x:v>120300</x:v>
      </x:c>
      <x:c r="F3635" s="66" t="n">
        <x:f>IF(E3635=0,0,D3635/E3635*10000)</x:f>
        <x:v>0</x:v>
      </x:c>
      <x:c r="G3635" s="67" t="n">
        <x:f>VLOOKUP(C3635,'Governorate Master'!$A$2:$Q$13,7,FALSE)</x:f>
        <x:v>54.4</x:v>
      </x:c>
      <x:c r="H3635" s="20" t="n">
        <x:f>VLOOKUP(C3635,'Governorate Master'!$A$2:$Q$13,6,FALSE)</x:f>
        <x:v>0.7797173732335827</x:v>
      </x:c>
      <x:c r="I3635" s="20" t="n">
        <x:f>VLOOKUP(C3635,'Governorate Master'!$A$2:$Q$13,15,FALSE)</x:f>
        <x:v>0.18452380952380953</x:v>
      </x:c>
      <x:c r="J3635" s="12" t="str">
        <x:v>Location model input - competition/saturation context</x:v>
      </x:c>
      <x:c r="K3635" s="12" t="str">
        <x:v>Business count is from 2018 while population/context indicators are newer; use as a historical proxy, not a current market count.</x:v>
      </x:c>
    </x:row>
    <x:row r="3636">
      <x:c r="A3636" s="12" t="str">
        <x:v>9609</x:v>
      </x:c>
      <x:c r="B3636" s="12" t="str">
        <x:v>Other personal service activities n.e.c.</x:v>
      </x:c>
      <x:c r="C3636" s="12" t="str">
        <x:v>معان</x:v>
      </x:c>
      <x:c r="D3636" s="14" t="n">
        <x:v>4</x:v>
      </x:c>
      <x:c r="E3636" s="14" t="n">
        <x:f>VLOOKUP(C3636,'Governorate Master'!$A$2:$Q$13,3,FALSE)</x:f>
        <x:v>197900</x:v>
      </x:c>
      <x:c r="F3636" s="66" t="n">
        <x:f>IF(E3636=0,0,D3636/E3636*10000)</x:f>
        <x:v>0.202122283981809</x:v>
      </x:c>
      <x:c r="G3636" s="67" t="n">
        <x:f>VLOOKUP(C3636,'Governorate Master'!$A$2:$Q$13,7,FALSE)</x:f>
        <x:v>6</x:v>
      </x:c>
      <x:c r="H3636" s="20" t="n">
        <x:f>VLOOKUP(C3636,'Governorate Master'!$A$2:$Q$13,6,FALSE)</x:f>
        <x:v>0.5406771096513391</x:v>
      </x:c>
      <x:c r="I3636" s="20" t="n">
        <x:f>VLOOKUP(C3636,'Governorate Master'!$A$2:$Q$13,15,FALSE)</x:f>
        <x:v>0.026845637583892617</x:v>
      </x:c>
      <x:c r="J3636" s="12" t="str">
        <x:v>Location model input - competition/saturation context</x:v>
      </x:c>
      <x:c r="K3636" s="12" t="str">
        <x:v>Business count is from 2018 while population/context indicators are newer; use as a historical proxy, not a current market count.</x:v>
      </x:c>
    </x:row>
    <x:row r="3637">
      <x:c r="A3637" s="12" t="str">
        <x:v>9609</x:v>
      </x:c>
      <x:c r="B3637" s="12" t="str">
        <x:v>Other personal service activities n.e.c.</x:v>
      </x:c>
      <x:c r="C3637" s="12" t="str">
        <x:v>العقبة</x:v>
      </x:c>
      <x:c r="D3637" s="14" t="n">
        <x:v>4</x:v>
      </x:c>
      <x:c r="E3637" s="14" t="n">
        <x:f>VLOOKUP(C3637,'Governorate Master'!$A$2:$Q$13,3,FALSE)</x:f>
        <x:v>250900</x:v>
      </x:c>
      <x:c r="F3637" s="66" t="n">
        <x:f>IF(E3637=0,0,D3637/E3637*10000)</x:f>
        <x:v>0.15942606616181745</x:v>
      </x:c>
      <x:c r="G3637" s="67" t="n">
        <x:f>VLOOKUP(C3637,'Governorate Master'!$A$2:$Q$13,7,FALSE)</x:f>
        <x:v>36.3</x:v>
      </x:c>
      <x:c r="H3637" s="20" t="n">
        <x:f>VLOOKUP(C3637,'Governorate Master'!$A$2:$Q$13,6,FALSE)</x:f>
        <x:v>0.882024711040255</x:v>
      </x:c>
      <x:c r="I3637" s="20" t="n">
        <x:f>VLOOKUP(C3637,'Governorate Master'!$A$2:$Q$13,15,FALSE)</x:f>
        <x:v>-0.09</x:v>
      </x:c>
      <x:c r="J3637" s="12" t="str">
        <x:v>Location model input - competition/saturation context</x:v>
      </x:c>
      <x:c r="K3637" s="12" t="str">
        <x:v>Business count is from 2018 while population/context indicators are newer; use as a historical proxy, not a current market count.</x:v>
      </x:c>
    </x:row>
    <x:row r="3638">
      <x:c r="A3638" s="12" t="str">
        <x:v>9900</x:v>
      </x:c>
      <x:c r="B3638" s="12" t="str">
        <x:v>Activities of extraterritorial organizations and bodies</x:v>
      </x:c>
      <x:c r="C3638" s="12" t="str">
        <x:v>عمان</x:v>
      </x:c>
      <x:c r="D3638" s="14" t="n">
        <x:v>14</x:v>
      </x:c>
      <x:c r="E3638" s="14" t="n">
        <x:f>VLOOKUP(C3638,'Governorate Master'!$A$2:$Q$13,3,FALSE)</x:f>
        <x:v>5004600</x:v>
      </x:c>
      <x:c r="F3638" s="66" t="n">
        <x:f>IF(E3638=0,0,D3638/E3638*10000)</x:f>
        <x:v>0.027974263677416778</x:v>
      </x:c>
      <x:c r="G3638" s="67" t="n">
        <x:f>VLOOKUP(C3638,'Governorate Master'!$A$2:$Q$13,7,FALSE)</x:f>
        <x:v>660.3</x:v>
      </x:c>
      <x:c r="H3638" s="20" t="n">
        <x:f>VLOOKUP(C3638,'Governorate Master'!$A$2:$Q$13,6,FALSE)</x:f>
        <x:v>0.9721656076409703</x:v>
      </x:c>
      <x:c r="I3638" s="20" t="n">
        <x:f>VLOOKUP(C3638,'Governorate Master'!$A$2:$Q$13,15,FALSE)</x:f>
        <x:v>0.06367041198501873</x:v>
      </x:c>
      <x:c r="J3638" s="12" t="str">
        <x:v>Location model input - competition/saturation context</x:v>
      </x:c>
      <x:c r="K3638" s="12" t="str">
        <x:v>Business count is from 2018 while population/context indicators are newer; use as a historical proxy, not a current market count.</x:v>
      </x:c>
    </x:row>
    <x:row r="3639">
      <x:c r="A3639" s="12" t="str">
        <x:v>9900</x:v>
      </x:c>
      <x:c r="B3639" s="12" t="str">
        <x:v>Activities of extraterritorial organizations and bodies</x:v>
      </x:c>
      <x:c r="C3639" s="12" t="str">
        <x:v>البلقاء</x:v>
      </x:c>
      <x:c r="D3639" s="14" t="n">
        <x:v>0</x:v>
      </x:c>
      <x:c r="E3639" s="14" t="n">
        <x:f>VLOOKUP(C3639,'Governorate Master'!$A$2:$Q$13,3,FALSE)</x:f>
        <x:v>614000</x:v>
      </x:c>
      <x:c r="F3639" s="66" t="n">
        <x:f>IF(E3639=0,0,D3639/E3639*10000)</x:f>
        <x:v>0</x:v>
      </x:c>
      <x:c r="G3639" s="67" t="n">
        <x:f>VLOOKUP(C3639,'Governorate Master'!$A$2:$Q$13,7,FALSE)</x:f>
        <x:v>548</x:v>
      </x:c>
      <x:c r="H3639" s="20" t="n">
        <x:f>VLOOKUP(C3639,'Governorate Master'!$A$2:$Q$13,6,FALSE)</x:f>
        <x:v>0.8210097719869707</x:v>
      </x:c>
      <x:c r="I3639" s="20" t="n">
        <x:f>VLOOKUP(C3639,'Governorate Master'!$A$2:$Q$13,15,FALSE)</x:f>
        <x:v>0.10794044665012408</x:v>
      </x:c>
      <x:c r="J3639" s="12" t="str">
        <x:v>Location model input - competition/saturation context</x:v>
      </x:c>
      <x:c r="K3639" s="12" t="str">
        <x:v>Business count is from 2018 while population/context indicators are newer; use as a historical proxy, not a current market count.</x:v>
      </x:c>
    </x:row>
    <x:row r="3640">
      <x:c r="A3640" s="12" t="str">
        <x:v>9900</x:v>
      </x:c>
      <x:c r="B3640" s="12" t="str">
        <x:v>Activities of extraterritorial organizations and bodies</x:v>
      </x:c>
      <x:c r="C3640" s="12" t="str">
        <x:v>الزرقاء</x:v>
      </x:c>
      <x:c r="D3640" s="14" t="n">
        <x:v>0</x:v>
      </x:c>
      <x:c r="E3640" s="14" t="n">
        <x:f>VLOOKUP(C3640,'Governorate Master'!$A$2:$Q$13,3,FALSE)</x:f>
        <x:v>1704500</x:v>
      </x:c>
      <x:c r="F3640" s="66" t="n">
        <x:f>IF(E3640=0,0,D3640/E3640*10000)</x:f>
        <x:v>0</x:v>
      </x:c>
      <x:c r="G3640" s="67" t="n">
        <x:f>VLOOKUP(C3640,'Governorate Master'!$A$2:$Q$13,7,FALSE)</x:f>
        <x:v>358</x:v>
      </x:c>
      <x:c r="H3640" s="20" t="n">
        <x:f>VLOOKUP(C3640,'Governorate Master'!$A$2:$Q$13,6,FALSE)</x:f>
        <x:v>0.9636256966852449</x:v>
      </x:c>
      <x:c r="I3640" s="20" t="n">
        <x:f>VLOOKUP(C3640,'Governorate Master'!$A$2:$Q$13,15,FALSE)</x:f>
        <x:v>-0.06808762581409118</x:v>
      </x:c>
      <x:c r="J3640" s="12" t="str">
        <x:v>Location model input - competition/saturation context</x:v>
      </x:c>
      <x:c r="K3640" s="12" t="str">
        <x:v>Business count is from 2018 while population/context indicators are newer; use as a historical proxy, not a current market count.</x:v>
      </x:c>
    </x:row>
    <x:row r="3641">
      <x:c r="A3641" s="12" t="str">
        <x:v>9900</x:v>
      </x:c>
      <x:c r="B3641" s="12" t="str">
        <x:v>Activities of extraterritorial organizations and bodies</x:v>
      </x:c>
      <x:c r="C3641" s="12" t="str">
        <x:v>مادبا</x:v>
      </x:c>
      <x:c r="D3641" s="14" t="n">
        <x:v>0</x:v>
      </x:c>
      <x:c r="E3641" s="14" t="n">
        <x:f>VLOOKUP(C3641,'Governorate Master'!$A$2:$Q$13,3,FALSE)</x:f>
        <x:v>236200</x:v>
      </x:c>
      <x:c r="F3641" s="66" t="n">
        <x:f>IF(E3641=0,0,D3641/E3641*10000)</x:f>
        <x:v>0</x:v>
      </x:c>
      <x:c r="G3641" s="67" t="n">
        <x:f>VLOOKUP(C3641,'Governorate Master'!$A$2:$Q$13,7,FALSE)</x:f>
        <x:v>251.4</x:v>
      </x:c>
      <x:c r="H3641" s="20" t="n">
        <x:f>VLOOKUP(C3641,'Governorate Master'!$A$2:$Q$13,6,FALSE)</x:f>
        <x:v>0.7823878069432684</x:v>
      </x:c>
      <x:c r="I3641" s="20" t="n">
        <x:f>VLOOKUP(C3641,'Governorate Master'!$A$2:$Q$13,15,FALSE)</x:f>
        <x:v>-0.18823529411764706</x:v>
      </x:c>
      <x:c r="J3641" s="12" t="str">
        <x:v>Location model input - competition/saturation context</x:v>
      </x:c>
      <x:c r="K3641" s="12" t="str">
        <x:v>Business count is from 2018 while population/context indicators are newer; use as a historical proxy, not a current market count.</x:v>
      </x:c>
    </x:row>
    <x:row r="3642">
      <x:c r="A3642" s="12" t="str">
        <x:v>9900</x:v>
      </x:c>
      <x:c r="B3642" s="12" t="str">
        <x:v>Activities of extraterritorial organizations and bodies</x:v>
      </x:c>
      <x:c r="C3642" s="12" t="str">
        <x:v>إربد</x:v>
      </x:c>
      <x:c r="D3642" s="14" t="n">
        <x:v>0</x:v>
      </x:c>
      <x:c r="E3642" s="14" t="n">
        <x:f>VLOOKUP(C3642,'Governorate Master'!$A$2:$Q$13,3,FALSE)</x:f>
        <x:v>2210500</x:v>
      </x:c>
      <x:c r="F3642" s="66" t="n">
        <x:f>IF(E3642=0,0,D3642/E3642*10000)</x:f>
        <x:v>0</x:v>
      </x:c>
      <x:c r="G3642" s="67" t="n">
        <x:f>VLOOKUP(C3642,'Governorate Master'!$A$2:$Q$13,7,FALSE)</x:f>
        <x:v>1406.4</x:v>
      </x:c>
      <x:c r="H3642" s="20" t="n">
        <x:f>VLOOKUP(C3642,'Governorate Master'!$A$2:$Q$13,6,FALSE)</x:f>
        <x:v>0.9235014702555983</x:v>
      </x:c>
      <x:c r="I3642" s="20" t="n">
        <x:f>VLOOKUP(C3642,'Governorate Master'!$A$2:$Q$13,15,FALSE)</x:f>
        <x:v>0.07086922474549726</x:v>
      </x:c>
      <x:c r="J3642" s="12" t="str">
        <x:v>Location model input - competition/saturation context</x:v>
      </x:c>
      <x:c r="K3642" s="12" t="str">
        <x:v>Business count is from 2018 while population/context indicators are newer; use as a historical proxy, not a current market count.</x:v>
      </x:c>
    </x:row>
    <x:row r="3643">
      <x:c r="A3643" s="12" t="str">
        <x:v>9900</x:v>
      </x:c>
      <x:c r="B3643" s="12" t="str">
        <x:v>Activities of extraterritorial organizations and bodies</x:v>
      </x:c>
      <x:c r="C3643" s="12" t="str">
        <x:v>المفرق</x:v>
      </x:c>
      <x:c r="D3643" s="14" t="n">
        <x:v>0</x:v>
      </x:c>
      <x:c r="E3643" s="14" t="n">
        <x:f>VLOOKUP(C3643,'Governorate Master'!$A$2:$Q$13,3,FALSE)</x:f>
        <x:v>686800</x:v>
      </x:c>
      <x:c r="F3643" s="66" t="n">
        <x:f>IF(E3643=0,0,D3643/E3643*10000)</x:f>
        <x:v>0</x:v>
      </x:c>
      <x:c r="G3643" s="67" t="n">
        <x:f>VLOOKUP(C3643,'Governorate Master'!$A$2:$Q$13,7,FALSE)</x:f>
        <x:v>25.9</x:v>
      </x:c>
      <x:c r="H3643" s="20" t="n">
        <x:f>VLOOKUP(C3643,'Governorate Master'!$A$2:$Q$13,6,FALSE)</x:f>
        <x:v>0.6965637740244612</x:v>
      </x:c>
      <x:c r="I3643" s="20" t="n">
        <x:f>VLOOKUP(C3643,'Governorate Master'!$A$2:$Q$13,15,FALSE)</x:f>
        <x:v>-0.016638935108153077</x:v>
      </x:c>
      <x:c r="J3643" s="12" t="str">
        <x:v>Location model input - competition/saturation context</x:v>
      </x:c>
      <x:c r="K3643" s="12" t="str">
        <x:v>Business count is from 2018 while population/context indicators are newer; use as a historical proxy, not a current market count.</x:v>
      </x:c>
    </x:row>
    <x:row r="3644">
      <x:c r="A3644" s="12" t="str">
        <x:v>9900</x:v>
      </x:c>
      <x:c r="B3644" s="12" t="str">
        <x:v>Activities of extraterritorial organizations and bodies</x:v>
      </x:c>
      <x:c r="C3644" s="12" t="str">
        <x:v>جرش</x:v>
      </x:c>
      <x:c r="D3644" s="14" t="n">
        <x:v>1</x:v>
      </x:c>
      <x:c r="E3644" s="14" t="n">
        <x:f>VLOOKUP(C3644,'Governorate Master'!$A$2:$Q$13,3,FALSE)</x:f>
        <x:v>296000</x:v>
      </x:c>
      <x:c r="F3644" s="66" t="n">
        <x:f>IF(E3644=0,0,D3644/E3644*10000)</x:f>
        <x:v>0.033783783783783786</x:v>
      </x:c>
      <x:c r="G3644" s="67" t="n">
        <x:f>VLOOKUP(C3644,'Governorate Master'!$A$2:$Q$13,7,FALSE)</x:f>
        <x:v>722.3</x:v>
      </x:c>
      <x:c r="H3644" s="20" t="n">
        <x:f>VLOOKUP(C3644,'Governorate Master'!$A$2:$Q$13,6,FALSE)</x:f>
        <x:v>0.7695945945945946</x:v>
      </x:c>
      <x:c r="I3644" s="20" t="n">
        <x:f>VLOOKUP(C3644,'Governorate Master'!$A$2:$Q$13,15,FALSE)</x:f>
        <x:v>-0.06527415143603134</x:v>
      </x:c>
      <x:c r="J3644" s="12" t="str">
        <x:v>Location model input - competition/saturation context</x:v>
      </x:c>
      <x:c r="K3644" s="12" t="str">
        <x:v>Business count is from 2018 while population/context indicators are newer; use as a historical proxy, not a current market count.</x:v>
      </x:c>
    </x:row>
    <x:row r="3645">
      <x:c r="A3645" s="12" t="str">
        <x:v>9900</x:v>
      </x:c>
      <x:c r="B3645" s="12" t="str">
        <x:v>Activities of extraterritorial organizations and bodies</x:v>
      </x:c>
      <x:c r="C3645" s="12" t="str">
        <x:v>عجلون</x:v>
      </x:c>
      <x:c r="D3645" s="14" t="n">
        <x:v>0</x:v>
      </x:c>
      <x:c r="E3645" s="14" t="n">
        <x:f>VLOOKUP(C3645,'Governorate Master'!$A$2:$Q$13,3,FALSE)</x:f>
        <x:v>219900</x:v>
      </x:c>
      <x:c r="F3645" s="66" t="n">
        <x:f>IF(E3645=0,0,D3645/E3645*10000)</x:f>
        <x:v>0</x:v>
      </x:c>
      <x:c r="G3645" s="67" t="n">
        <x:f>VLOOKUP(C3645,'Governorate Master'!$A$2:$Q$13,7,FALSE)</x:f>
        <x:v>524</x:v>
      </x:c>
      <x:c r="H3645" s="20" t="n">
        <x:f>VLOOKUP(C3645,'Governorate Master'!$A$2:$Q$13,6,FALSE)</x:f>
        <x:v>0.8390177353342428</x:v>
      </x:c>
      <x:c r="I3645" s="20" t="n">
        <x:f>VLOOKUP(C3645,'Governorate Master'!$A$2:$Q$13,15,FALSE)</x:f>
        <x:v>0.03614457831325301</x:v>
      </x:c>
      <x:c r="J3645" s="12" t="str">
        <x:v>Location model input - competition/saturation context</x:v>
      </x:c>
      <x:c r="K3645" s="12" t="str">
        <x:v>Business count is from 2018 while population/context indicators are newer; use as a historical proxy, not a current market count.</x:v>
      </x:c>
    </x:row>
    <x:row r="3646">
      <x:c r="A3646" s="12" t="str">
        <x:v>9900</x:v>
      </x:c>
      <x:c r="B3646" s="12" t="str">
        <x:v>Activities of extraterritorial organizations and bodies</x:v>
      </x:c>
      <x:c r="C3646" s="12" t="str">
        <x:v>الكرك</x:v>
      </x:c>
      <x:c r="D3646" s="14" t="n">
        <x:v>0</x:v>
      </x:c>
      <x:c r="E3646" s="14" t="n">
        <x:f>VLOOKUP(C3646,'Governorate Master'!$A$2:$Q$13,3,FALSE)</x:f>
        <x:v>395400</x:v>
      </x:c>
      <x:c r="F3646" s="66" t="n">
        <x:f>IF(E3646=0,0,D3646/E3646*10000)</x:f>
        <x:v>0</x:v>
      </x:c>
      <x:c r="G3646" s="67" t="n">
        <x:f>VLOOKUP(C3646,'Governorate Master'!$A$2:$Q$13,7,FALSE)</x:f>
        <x:v>113.1</x:v>
      </x:c>
      <x:c r="H3646" s="20" t="n">
        <x:f>VLOOKUP(C3646,'Governorate Master'!$A$2:$Q$13,6,FALSE)</x:f>
        <x:v>0.5912999494183105</x:v>
      </x:c>
      <x:c r="I3646" s="20" t="n">
        <x:f>VLOOKUP(C3646,'Governorate Master'!$A$2:$Q$13,15,FALSE)</x:f>
        <x:v>0.08710801393728224</x:v>
      </x:c>
      <x:c r="J3646" s="12" t="str">
        <x:v>Location model input - competition/saturation context</x:v>
      </x:c>
      <x:c r="K3646" s="12" t="str">
        <x:v>Business count is from 2018 while population/context indicators are newer; use as a historical proxy, not a current market count.</x:v>
      </x:c>
    </x:row>
    <x:row r="3647">
      <x:c r="A3647" s="12" t="str">
        <x:v>9900</x:v>
      </x:c>
      <x:c r="B3647" s="12" t="str">
        <x:v>Activities of extraterritorial organizations and bodies</x:v>
      </x:c>
      <x:c r="C3647" s="12" t="str">
        <x:v>الطفيلة</x:v>
      </x:c>
      <x:c r="D3647" s="14" t="n">
        <x:v>0</x:v>
      </x:c>
      <x:c r="E3647" s="14" t="n">
        <x:f>VLOOKUP(C3647,'Governorate Master'!$A$2:$Q$13,3,FALSE)</x:f>
        <x:v>120300</x:v>
      </x:c>
      <x:c r="F3647" s="66" t="n">
        <x:f>IF(E3647=0,0,D3647/E3647*10000)</x:f>
        <x:v>0</x:v>
      </x:c>
      <x:c r="G3647" s="67" t="n">
        <x:f>VLOOKUP(C3647,'Governorate Master'!$A$2:$Q$13,7,FALSE)</x:f>
        <x:v>54.4</x:v>
      </x:c>
      <x:c r="H3647" s="20" t="n">
        <x:f>VLOOKUP(C3647,'Governorate Master'!$A$2:$Q$13,6,FALSE)</x:f>
        <x:v>0.7797173732335827</x:v>
      </x:c>
      <x:c r="I3647" s="20" t="n">
        <x:f>VLOOKUP(C3647,'Governorate Master'!$A$2:$Q$13,15,FALSE)</x:f>
        <x:v>0.18452380952380953</x:v>
      </x:c>
      <x:c r="J3647" s="12" t="str">
        <x:v>Location model input - competition/saturation context</x:v>
      </x:c>
      <x:c r="K3647" s="12" t="str">
        <x:v>Business count is from 2018 while population/context indicators are newer; use as a historical proxy, not a current market count.</x:v>
      </x:c>
    </x:row>
    <x:row r="3648">
      <x:c r="A3648" s="12" t="str">
        <x:v>9900</x:v>
      </x:c>
      <x:c r="B3648" s="12" t="str">
        <x:v>Activities of extraterritorial organizations and bodies</x:v>
      </x:c>
      <x:c r="C3648" s="12" t="str">
        <x:v>معان</x:v>
      </x:c>
      <x:c r="D3648" s="14" t="n">
        <x:v>0</x:v>
      </x:c>
      <x:c r="E3648" s="14" t="n">
        <x:f>VLOOKUP(C3648,'Governorate Master'!$A$2:$Q$13,3,FALSE)</x:f>
        <x:v>197900</x:v>
      </x:c>
      <x:c r="F3648" s="66" t="n">
        <x:f>IF(E3648=0,0,D3648/E3648*10000)</x:f>
        <x:v>0</x:v>
      </x:c>
      <x:c r="G3648" s="67" t="n">
        <x:f>VLOOKUP(C3648,'Governorate Master'!$A$2:$Q$13,7,FALSE)</x:f>
        <x:v>6</x:v>
      </x:c>
      <x:c r="H3648" s="20" t="n">
        <x:f>VLOOKUP(C3648,'Governorate Master'!$A$2:$Q$13,6,FALSE)</x:f>
        <x:v>0.5406771096513391</x:v>
      </x:c>
      <x:c r="I3648" s="20" t="n">
        <x:f>VLOOKUP(C3648,'Governorate Master'!$A$2:$Q$13,15,FALSE)</x:f>
        <x:v>0.026845637583892617</x:v>
      </x:c>
      <x:c r="J3648" s="12" t="str">
        <x:v>Location model input - competition/saturation context</x:v>
      </x:c>
      <x:c r="K3648" s="12" t="str">
        <x:v>Business count is from 2018 while population/context indicators are newer; use as a historical proxy, not a current market count.</x:v>
      </x:c>
    </x:row>
    <x:row r="3649">
      <x:c r="A3649" s="12" t="str">
        <x:v>9900</x:v>
      </x:c>
      <x:c r="B3649" s="12" t="str">
        <x:v>Activities of extraterritorial organizations and bodies</x:v>
      </x:c>
      <x:c r="C3649" s="12" t="str">
        <x:v>العقبة</x:v>
      </x:c>
      <x:c r="D3649" s="14" t="n">
        <x:v>0</x:v>
      </x:c>
      <x:c r="E3649" s="14" t="n">
        <x:f>VLOOKUP(C3649,'Governorate Master'!$A$2:$Q$13,3,FALSE)</x:f>
        <x:v>250900</x:v>
      </x:c>
      <x:c r="F3649" s="66" t="n">
        <x:f>IF(E3649=0,0,D3649/E3649*10000)</x:f>
        <x:v>0</x:v>
      </x:c>
      <x:c r="G3649" s="67" t="n">
        <x:f>VLOOKUP(C3649,'Governorate Master'!$A$2:$Q$13,7,FALSE)</x:f>
        <x:v>36.3</x:v>
      </x:c>
      <x:c r="H3649" s="20" t="n">
        <x:f>VLOOKUP(C3649,'Governorate Master'!$A$2:$Q$13,6,FALSE)</x:f>
        <x:v>0.882024711040255</x:v>
      </x:c>
      <x:c r="I3649" s="20" t="n">
        <x:f>VLOOKUP(C3649,'Governorate Master'!$A$2:$Q$13,15,FALSE)</x:f>
        <x:v>-0.09</x:v>
      </x:c>
      <x:c r="J3649" s="12" t="str">
        <x:v>Location model input - competition/saturation context</x:v>
      </x:c>
      <x:c r="K3649" s="12" t="str">
        <x:v>Business count is from 2018 while population/context indicators are newer; use as a historical proxy, not a current market count.</x:v>
      </x:c>
    </x:row>
  </x:sheetData>
  <x:conditionalFormatting sqref="F2:F3649">
    <x:cfRule type="colorScale" priority="1">
      <x:colorScale>
        <x:cfvo type="min"/>
        <x:cfvo type="percentile" val="50"/>
        <x:cfvo type="max"/>
        <x:color rgb="FFC6E0B4"/>
        <x:color rgb="FFFFF2CC"/>
        <x:color rgb="FFF8CBAD"/>
      </x:colorScale>
    </x:cfRule>
  </x:conditionalFormatting>
  <x:conditionalFormatting sqref="I2:I3649">
    <x:cfRule type="colorScale" priority="2">
      <x:colorScale>
        <x:cfvo type="min"/>
        <x:cfvo type="percentile" val="50"/>
        <x:cfvo type="max"/>
        <x:color rgb="FFF8CBAD"/>
        <x:color rgb="FFFFF2CC"/>
        <x:color rgb="FFC6E0B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8d1bd57f2ac4db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8" hidden="0" customWidth="1"/>
  </x:cols>
  <x:sheetData>
    <x:row r="1" ht="30" customHeight="1">
      <x:c r="A1" s="71" t="str">
        <x:v>LOCATION RECOMMENDATION - STEP 1 COMPLETE</x:v>
      </x:c>
      <x:c r="B1" t="str"/>
    </x:row>
    <x:row r="2" ht="30" customHeight="1">
      <x:c r="A2" s="75" t="str">
        <x:v>What was added</x:v>
      </x:c>
      <x:c r="B2" s="12" t="str">
        <x:v>Table 4 was converted from PDF into structured activity-by-governorate data and linked with 2025 population indicators.</x:v>
      </x:c>
    </x:row>
    <x:row r="3" ht="30" customHeight="1">
      <x:c r="A3" s="75" t="str">
        <x:v>Detailed activities</x:v>
      </x:c>
      <x:c r="B3" s="12" t="n">
        <x:v>304</x:v>
      </x:c>
    </x:row>
    <x:row r="4" ht="30" customHeight="1">
      <x:c r="A4" s="75" t="str">
        <x:v>Activity × Governorate records</x:v>
      </x:c>
      <x:c r="B4" s="12" t="n">
        <x:v>3648</x:v>
      </x:c>
    </x:row>
    <x:row r="5" ht="30" customHeight="1">
      <x:c r="A5" s="75" t="str">
        <x:v>Core competition input</x:v>
      </x:c>
      <x:c r="B5" s="12" t="str">
        <x:v>Active similar establishments by economic activity and governorate (2018).</x:v>
      </x:c>
    </x:row>
    <x:row r="6" ht="30" customHeight="1">
      <x:c r="A6" s="75" t="str">
        <x:v>Normalization</x:v>
      </x:c>
      <x:c r="B6" s="12" t="str">
        <x:v>Historical businesses per 10,000 population = Active Similar Establishments 2018 / Population 2025 × 10,000.</x:v>
      </x:c>
    </x:row>
    <x:row r="7" ht="30" customHeight="1">
      <x:c r="A7" s="75" t="str">
        <x:v>Why normalize?</x:v>
      </x:c>
      <x:c r="B7" s="12" t="str">
        <x:v>Raw business counts favor large governorates. Density gives a more comparable saturation indicator.</x:v>
      </x:c>
    </x:row>
    <x:row r="8" ht="30" customHeight="1">
      <x:c r="A8" s="75" t="str">
        <x:v>Why no final Location Score yet?</x:v>
      </x:c>
      <x:c r="B8" s="12" t="str">
        <x:v>A lower business density does not automatically mean a better location. We still need demand/customer indicators and justified weights.</x:v>
      </x:c>
    </x:row>
    <x:row r="9" ht="30" customHeight="1">
      <x:c r="A9" s="75" t="str">
        <x:v>Next data/model step</x:v>
      </x:c>
      <x:c r="B9" s="12" t="str">
        <x:v>Add demand-side information (target audience / survey and, if obtainable, spending indicators), then define and validate score weights.</x:v>
      </x:c>
    </x:row>
    <x:row r="10" ht="30" customHeight="1">
      <x:c r="A10" s="75" t="str">
        <x:v>Critical limitation</x:v>
      </x:c>
      <x:c r="B10" s="12" t="str">
        <x:v>2018 establishment counts are historical. They should be presented as a historical competition baseline, not as current 2026 competitor counts.</x:v>
      </x:c>
    </x:row>
    <x:row r="12">
      <x:c r="A12" s="99" t="str">
        <x:v>DEMAND PROXY ADDED</x:v>
      </x:c>
      <x:c r="B12" s="12" t="str"/>
    </x:row>
    <x:row r="13">
      <x:c r="A13" s="99" t="str">
        <x:v>Source</x:v>
      </x:c>
      <x:c r="B13" s="12" t="str">
        <x:v>Jordan HEIS 2017 Table 4.6: annual household expenditure by governorate.</x:v>
      </x:c>
    </x:row>
    <x:row r="14">
      <x:c r="A14" s="99" t="str">
        <x:v>Demand feature</x:v>
      </x:c>
      <x:c r="B14" s="12" t="str">
        <x:v>Category spending index vs Kingdom average (100 = Kingdom).</x:v>
      </x:c>
    </x:row>
    <x:row r="15">
      <x:c r="A15" s="99" t="str">
        <x:v>How it helps</x:v>
      </x:c>
      <x:c r="B15" s="12" t="str">
        <x:v>Adds demand-side evidence to population + competition + registration trend.</x:v>
      </x:c>
    </x:row>
    <x:row r="16">
      <x:c r="A16" s="99" t="str">
        <x:v>Limitation</x:v>
      </x:c>
      <x:c r="B16" s="12" t="str">
        <x:v>Historical 2017 spending proxy; not a current-demand measurement.</x:v>
      </x:c>
    </x:row>
  </x:sheetData>
  <x:mergeCells>
    <x:mergeCell ref="A1:B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8" max="18" width="24" hidden="0" customWidth="1"/>
    <x:col min="19" max="19" width="54" hidden="0" customWidth="1"/>
    <x:col min="20" max="20" width="55" hidden="0" customWidth="1"/>
  </x:cols>
  <x:sheetData>
    <x:row r="1">
      <x:c r="A1" s="83" t="str">
        <x:v>Group</x:v>
      </x:c>
      <x:c r="B1" s="83" t="str">
        <x:v>Category (EN)</x:v>
      </x:c>
      <x:c r="C1" s="83" t="str">
        <x:v>الفئة</x:v>
      </x:c>
      <x:c r="D1" s="83" t="str">
        <x:v>Kingdom Avg (JD)</x:v>
      </x:c>
      <x:c r="E1" s="83" t="str">
        <x:v>عمان</x:v>
      </x:c>
      <x:c r="F1" s="83" t="str">
        <x:v>البلقاء</x:v>
      </x:c>
      <x:c r="G1" s="83" t="str">
        <x:v>الزرقاء</x:v>
      </x:c>
      <x:c r="H1" s="83" t="str">
        <x:v>مادبا</x:v>
      </x:c>
      <x:c r="I1" s="83" t="str">
        <x:v>إربد</x:v>
      </x:c>
      <x:c r="J1" s="83" t="str">
        <x:v>المفرق</x:v>
      </x:c>
      <x:c r="K1" s="83" t="str">
        <x:v>جرش</x:v>
      </x:c>
      <x:c r="L1" s="83" t="str">
        <x:v>عجلون</x:v>
      </x:c>
      <x:c r="M1" s="83" t="str">
        <x:v>الكرك</x:v>
      </x:c>
      <x:c r="N1" s="83" t="str">
        <x:v>الطفيلة</x:v>
      </x:c>
      <x:c r="O1" s="83" t="str">
        <x:v>معان</x:v>
      </x:c>
      <x:c r="P1" s="83" t="str">
        <x:v>العقبة</x:v>
      </x:c>
      <x:c r="R1" s="85" t="str">
        <x:v>Methodology &amp; Source</x:v>
      </x:c>
    </x:row>
    <x:row r="2">
      <x:c r="A2" s="12" t="str">
        <x:v>Food</x:v>
      </x:c>
      <x:c r="B2" s="12" t="str">
        <x:v>Cereals, Cereal Products and Bread</x:v>
      </x:c>
      <x:c r="C2" s="12" t="str">
        <x:v>الحبوب ومنتجاتها والخبز</x:v>
      </x:c>
      <x:c r="D2" s="84" t="n">
        <x:v>431.7</x:v>
      </x:c>
      <x:c r="E2" s="84" t="n">
        <x:v>388.1</x:v>
      </x:c>
      <x:c r="F2" s="84" t="n">
        <x:v>396.6</x:v>
      </x:c>
      <x:c r="G2" s="84" t="n">
        <x:v>485.7</x:v>
      </x:c>
      <x:c r="H2" s="84" t="n">
        <x:v>416.2</x:v>
      </x:c>
      <x:c r="I2" s="84" t="n">
        <x:v>454.6</x:v>
      </x:c>
      <x:c r="J2" s="84" t="n">
        <x:v>478.9</x:v>
      </x:c>
      <x:c r="K2" s="84" t="n">
        <x:v>503.7</x:v>
      </x:c>
      <x:c r="L2" s="84" t="n">
        <x:v>439.2</x:v>
      </x:c>
      <x:c r="M2" s="84" t="n">
        <x:v>542.4</x:v>
      </x:c>
      <x:c r="N2" s="84" t="n">
        <x:v>512.7</x:v>
      </x:c>
      <x:c r="O2" s="84" t="n">
        <x:v>477.8</x:v>
      </x:c>
      <x:c r="P2" s="84" t="n">
        <x:v>367.8</x:v>
      </x:c>
      <x:c r="R2" s="12" t="str">
        <x:v>Field</x:v>
      </x:c>
      <x:c r="S2" s="12" t="str">
        <x:v>Meaning</x:v>
      </x:c>
      <x:c r="T2" s="12" t="str">
        <x:v>Value</x:v>
      </x:c>
    </x:row>
    <x:row r="3">
      <x:c r="A3" s="12" t="str">
        <x:v>Food</x:v>
      </x:c>
      <x:c r="B3" s="12" t="str">
        <x:v>Meats and Poultry</x:v>
      </x:c>
      <x:c r="C3" s="12" t="str">
        <x:v>اللحوم والدواجن</x:v>
      </x:c>
      <x:c r="D3" s="84" t="n">
        <x:v>587.3</x:v>
      </x:c>
      <x:c r="E3" s="84" t="n">
        <x:v>602</x:v>
      </x:c>
      <x:c r="F3" s="84" t="n">
        <x:v>544.1</x:v>
      </x:c>
      <x:c r="G3" s="84" t="n">
        <x:v>554.2</x:v>
      </x:c>
      <x:c r="H3" s="84" t="n">
        <x:v>599.1</x:v>
      </x:c>
      <x:c r="I3" s="84" t="n">
        <x:v>621.5</x:v>
      </x:c>
      <x:c r="J3" s="84" t="n">
        <x:v>430.3</x:v>
      </x:c>
      <x:c r="K3" s="84" t="n">
        <x:v>601.6</x:v>
      </x:c>
      <x:c r="L3" s="84" t="n">
        <x:v>622.7</x:v>
      </x:c>
      <x:c r="M3" s="84" t="n">
        <x:v>754.7</x:v>
      </x:c>
      <x:c r="N3" s="84" t="n">
        <x:v>517.3</x:v>
      </x:c>
      <x:c r="O3" s="84" t="n">
        <x:v>516</x:v>
      </x:c>
      <x:c r="P3" s="84" t="n">
        <x:v>430</x:v>
      </x:c>
      <x:c r="R3" s="12" t="str">
        <x:v>Source</x:v>
      </x:c>
      <x:c r="S3" s="12" t="str">
        <x:v>Jordan Department of Statistics - HEIS 2017 Table 4.6</x:v>
      </x:c>
      <x:c r="T3" s="12" t="str">
        <x:v>https://dosweb.dos.gov.jo/DataBank/household/2017/G4/Table6G4_Jor.pdf</x:v>
      </x:c>
    </x:row>
    <x:row r="4">
      <x:c r="A4" s="12" t="str">
        <x:v>Food</x:v>
      </x:c>
      <x:c r="B4" s="12" t="str">
        <x:v>Fish and Sea Foods</x:v>
      </x:c>
      <x:c r="C4" s="12" t="str">
        <x:v>الأسماك والأغذية البحرية</x:v>
      </x:c>
      <x:c r="D4" s="84" t="n">
        <x:v>49.3</x:v>
      </x:c>
      <x:c r="E4" s="84" t="n">
        <x:v>50</x:v>
      </x:c>
      <x:c r="F4" s="84" t="n">
        <x:v>43.8</x:v>
      </x:c>
      <x:c r="G4" s="84" t="n">
        <x:v>62.5</x:v>
      </x:c>
      <x:c r="H4" s="84" t="n">
        <x:v>40.9</x:v>
      </x:c>
      <x:c r="I4" s="84" t="n">
        <x:v>53.8</x:v>
      </x:c>
      <x:c r="J4" s="84" t="n">
        <x:v>27</x:v>
      </x:c>
      <x:c r="K4" s="84" t="n">
        <x:v>31.5</x:v>
      </x:c>
      <x:c r="L4" s="84" t="n">
        <x:v>33.8</x:v>
      </x:c>
      <x:c r="M4" s="84" t="n">
        <x:v>33.5</x:v>
      </x:c>
      <x:c r="N4" s="84" t="n">
        <x:v>47.4</x:v>
      </x:c>
      <x:c r="O4" s="84" t="n">
        <x:v>37.9</x:v>
      </x:c>
      <x:c r="P4" s="84" t="n">
        <x:v>68.1</x:v>
      </x:c>
      <x:c r="R4" s="12" t="str">
        <x:v>Measure</x:v>
      </x:c>
      <x:c r="S4" s="12" t="str">
        <x:v>Average annual expenditure of Jordanian households by governorate</x:v>
      </x:c>
      <x:c r="T4" s="12" t="str">
        <x:v>JOD / household / year</x:v>
      </x:c>
    </x:row>
    <x:row r="5">
      <x:c r="A5" s="12" t="str">
        <x:v>Food</x:v>
      </x:c>
      <x:c r="B5" s="12" t="str">
        <x:v>Dairy, Cheese and Eggs</x:v>
      </x:c>
      <x:c r="C5" s="12" t="str">
        <x:v>الألبان والأجبان والبيض</x:v>
      </x:c>
      <x:c r="D5" s="84" t="n">
        <x:v>447.3</x:v>
      </x:c>
      <x:c r="E5" s="84" t="n">
        <x:v>456.8</x:v>
      </x:c>
      <x:c r="F5" s="84" t="n">
        <x:v>326.3</x:v>
      </x:c>
      <x:c r="G5" s="84" t="n">
        <x:v>484.9</x:v>
      </x:c>
      <x:c r="H5" s="84" t="n">
        <x:v>494.7</x:v>
      </x:c>
      <x:c r="I5" s="84" t="n">
        <x:v>451.2</x:v>
      </x:c>
      <x:c r="J5" s="84" t="n">
        <x:v>425.4</x:v>
      </x:c>
      <x:c r="K5" s="84" t="n">
        <x:v>440.8</x:v>
      </x:c>
      <x:c r="L5" s="84" t="n">
        <x:v>373</x:v>
      </x:c>
      <x:c r="M5" s="84" t="n">
        <x:v>499.7</x:v>
      </x:c>
      <x:c r="N5" s="84" t="n">
        <x:v>439.4</x:v>
      </x:c>
      <x:c r="O5" s="84" t="n">
        <x:v>467.3</x:v>
      </x:c>
      <x:c r="P5" s="84" t="n">
        <x:v>349.1</x:v>
      </x:c>
      <x:c r="R5" s="12" t="str">
        <x:v>Demand interpretation</x:v>
      </x:c>
      <x:c r="S5" s="12" t="str">
        <x:v>Higher category expenditure = stronger historical spending-intensity proxy</x:v>
      </x:c>
      <x:c r="T5" s="12" t="str">
        <x:v>Historical, not current 2026 demand</x:v>
      </x:c>
    </x:row>
    <x:row r="6">
      <x:c r="A6" s="12" t="str">
        <x:v>Food</x:v>
      </x:c>
      <x:c r="B6" s="12" t="str">
        <x:v>Oils and Fats</x:v>
      </x:c>
      <x:c r="C6" s="12" t="str">
        <x:v>الزيوت والدهون</x:v>
      </x:c>
      <x:c r="D6" s="84" t="n">
        <x:v>227.9</x:v>
      </x:c>
      <x:c r="E6" s="84" t="n">
        <x:v>236</x:v>
      </x:c>
      <x:c r="F6" s="84" t="n">
        <x:v>190.9</x:v>
      </x:c>
      <x:c r="G6" s="84" t="n">
        <x:v>229.4</x:v>
      </x:c>
      <x:c r="H6" s="84" t="n">
        <x:v>221.9</x:v>
      </x:c>
      <x:c r="I6" s="84" t="n">
        <x:v>244.6</x:v>
      </x:c>
      <x:c r="J6" s="84" t="n">
        <x:v>195.5</x:v>
      </x:c>
      <x:c r="K6" s="84" t="n">
        <x:v>199.3</x:v>
      </x:c>
      <x:c r="L6" s="84" t="n">
        <x:v>216.8</x:v>
      </x:c>
      <x:c r="M6" s="84" t="n">
        <x:v>226.4</x:v>
      </x:c>
      <x:c r="N6" s="84" t="n">
        <x:v>237.2</x:v>
      </x:c>
      <x:c r="O6" s="84" t="n">
        <x:v>194.4</x:v>
      </x:c>
      <x:c r="P6" s="84" t="n">
        <x:v>181.2</x:v>
      </x:c>
      <x:c r="R6" s="12" t="str">
        <x:v>Use with population</x:v>
      </x:c>
      <x:c r="S6" s="12" t="str">
        <x:v>Population remains a separate market-size factor</x:v>
      </x:c>
      <x:c r="T6" s="12" t="str">
        <x:v>Do not multiply household spend by population directly</x:v>
      </x:c>
    </x:row>
    <x:row r="7">
      <x:c r="A7" s="12" t="str">
        <x:v>Food</x:v>
      </x:c>
      <x:c r="B7" s="12" t="str">
        <x:v>Fruits and Nuts</x:v>
      </x:c>
      <x:c r="C7" s="12" t="str">
        <x:v>الفواكه والمكسرات</x:v>
      </x:c>
      <x:c r="D7" s="84" t="n">
        <x:v>321.8</x:v>
      </x:c>
      <x:c r="E7" s="84" t="n">
        <x:v>327.1</x:v>
      </x:c>
      <x:c r="F7" s="84" t="n">
        <x:v>239.7</x:v>
      </x:c>
      <x:c r="G7" s="84" t="n">
        <x:v>325.1</x:v>
      </x:c>
      <x:c r="H7" s="84" t="n">
        <x:v>267.5</x:v>
      </x:c>
      <x:c r="I7" s="84" t="n">
        <x:v>380.6</x:v>
      </x:c>
      <x:c r="J7" s="84" t="n">
        <x:v>251.1</x:v>
      </x:c>
      <x:c r="K7" s="84" t="n">
        <x:v>312.4</x:v>
      </x:c>
      <x:c r="L7" s="84" t="n">
        <x:v>355.9</x:v>
      </x:c>
      <x:c r="M7" s="84" t="n">
        <x:v>344.1</x:v>
      </x:c>
      <x:c r="N7" s="84" t="n">
        <x:v>340.3</x:v>
      </x:c>
      <x:c r="O7" s="84" t="n">
        <x:v>217.2</x:v>
      </x:c>
      <x:c r="P7" s="84" t="n">
        <x:v>169.5</x:v>
      </x:c>
      <x:c r="R7" s="12" t="str">
        <x:v>Demand Index</x:v>
      </x:c>
      <x:c r="S7" s="12" t="str">
        <x:v>Governorate category spend / Kingdom category average × 100</x:v>
      </x:c>
      <x:c r="T7" s="12" t="str">
        <x:v>100 = Kingdom average</x:v>
      </x:c>
    </x:row>
    <x:row r="8">
      <x:c r="A8" s="12" t="str">
        <x:v>Food</x:v>
      </x:c>
      <x:c r="B8" s="12" t="str">
        <x:v>Vegetables and legumes</x:v>
      </x:c>
      <x:c r="C8" s="12" t="str">
        <x:v>الخضروات والبقول</x:v>
      </x:c>
      <x:c r="D8" s="84" t="n">
        <x:v>488.7</x:v>
      </x:c>
      <x:c r="E8" s="84" t="n">
        <x:v>460.5</x:v>
      </x:c>
      <x:c r="F8" s="84" t="n">
        <x:v>439.2</x:v>
      </x:c>
      <x:c r="G8" s="84" t="n">
        <x:v>473.9</x:v>
      </x:c>
      <x:c r="H8" s="84" t="n">
        <x:v>495.5</x:v>
      </x:c>
      <x:c r="I8" s="84" t="n">
        <x:v>566.5</x:v>
      </x:c>
      <x:c r="J8" s="84" t="n">
        <x:v>494.6</x:v>
      </x:c>
      <x:c r="K8" s="84" t="n">
        <x:v>489.3</x:v>
      </x:c>
      <x:c r="L8" s="84" t="n">
        <x:v>485.7</x:v>
      </x:c>
      <x:c r="M8" s="84" t="n">
        <x:v>579.9</x:v>
      </x:c>
      <x:c r="N8" s="84" t="n">
        <x:v>564.3</x:v>
      </x:c>
      <x:c r="O8" s="84" t="n">
        <x:v>476.2</x:v>
      </x:c>
      <x:c r="P8" s="84" t="n">
        <x:v>368.8</x:v>
      </x:c>
    </x:row>
    <x:row r="9">
      <x:c r="A9" s="12" t="str">
        <x:v>Food</x:v>
      </x:c>
      <x:c r="B9" s="12" t="str">
        <x:v>Sugar and its products</x:v>
      </x:c>
      <x:c r="C9" s="12" t="str">
        <x:v>السكر ومنتجاته</x:v>
      </x:c>
      <x:c r="D9" s="84" t="n">
        <x:v>265.4</x:v>
      </x:c>
      <x:c r="E9" s="84" t="n">
        <x:v>269.9</x:v>
      </x:c>
      <x:c r="F9" s="84" t="n">
        <x:v>181.4</x:v>
      </x:c>
      <x:c r="G9" s="84" t="n">
        <x:v>300.9</x:v>
      </x:c>
      <x:c r="H9" s="84" t="n">
        <x:v>273.2</x:v>
      </x:c>
      <x:c r="I9" s="84" t="n">
        <x:v>280.7</x:v>
      </x:c>
      <x:c r="J9" s="84" t="n">
        <x:v>232.9</x:v>
      </x:c>
      <x:c r="K9" s="84" t="n">
        <x:v>240</x:v>
      </x:c>
      <x:c r="L9" s="84" t="n">
        <x:v>289.5</x:v>
      </x:c>
      <x:c r="M9" s="84" t="n">
        <x:v>243.2</x:v>
      </x:c>
      <x:c r="N9" s="84" t="n">
        <x:v>267</x:v>
      </x:c>
      <x:c r="O9" s="84" t="n">
        <x:v>260.6</x:v>
      </x:c>
      <x:c r="P9" s="84" t="n">
        <x:v>201.1</x:v>
      </x:c>
    </x:row>
    <x:row r="10">
      <x:c r="A10" s="12" t="str">
        <x:v>Food</x:v>
      </x:c>
      <x:c r="B10" s="12" t="str">
        <x:v>Spices and Food Additives</x:v>
      </x:c>
      <x:c r="C10" s="12" t="str">
        <x:v>التوابل ومحسنات الطعام</x:v>
      </x:c>
      <x:c r="D10" s="84" t="n">
        <x:v>142.4</x:v>
      </x:c>
      <x:c r="E10" s="84" t="n">
        <x:v>135.8</x:v>
      </x:c>
      <x:c r="F10" s="84" t="n">
        <x:v>117.6</x:v>
      </x:c>
      <x:c r="G10" s="84" t="n">
        <x:v>161.8</x:v>
      </x:c>
      <x:c r="H10" s="84" t="n">
        <x:v>151.5</x:v>
      </x:c>
      <x:c r="I10" s="84" t="n">
        <x:v>164.7</x:v>
      </x:c>
      <x:c r="J10" s="84" t="n">
        <x:v>141.9</x:v>
      </x:c>
      <x:c r="K10" s="84" t="n">
        <x:v>131.8</x:v>
      </x:c>
      <x:c r="L10" s="84" t="n">
        <x:v>131.6</x:v>
      </x:c>
      <x:c r="M10" s="84" t="n">
        <x:v>129.1</x:v>
      </x:c>
      <x:c r="N10" s="84" t="n">
        <x:v>117.5</x:v>
      </x:c>
      <x:c r="O10" s="84" t="n">
        <x:v>133.5</x:v>
      </x:c>
      <x:c r="P10" s="84" t="n">
        <x:v>98.4</x:v>
      </x:c>
    </x:row>
    <x:row r="11">
      <x:c r="A11" s="12" t="str">
        <x:v>Food</x:v>
      </x:c>
      <x:c r="B11" s="12" t="str">
        <x:v>Tea, Coffee and Cacao</x:v>
      </x:c>
      <x:c r="C11" s="12" t="str">
        <x:v>الشاي والبن والكاكاو</x:v>
      </x:c>
      <x:c r="D11" s="84" t="n">
        <x:v>153</x:v>
      </x:c>
      <x:c r="E11" s="84" t="n">
        <x:v>152.7</x:v>
      </x:c>
      <x:c r="F11" s="84" t="n">
        <x:v>129.6</x:v>
      </x:c>
      <x:c r="G11" s="84" t="n">
        <x:v>155</x:v>
      </x:c>
      <x:c r="H11" s="84" t="n">
        <x:v>119.8</x:v>
      </x:c>
      <x:c r="I11" s="84" t="n">
        <x:v>189</x:v>
      </x:c>
      <x:c r="J11" s="84" t="n">
        <x:v>124</x:v>
      </x:c>
      <x:c r="K11" s="84" t="n">
        <x:v>143.7</x:v>
      </x:c>
      <x:c r="L11" s="84" t="n">
        <x:v>185.1</x:v>
      </x:c>
      <x:c r="M11" s="84" t="n">
        <x:v>129.2</x:v>
      </x:c>
      <x:c r="N11" s="84" t="n">
        <x:v>92.4</x:v>
      </x:c>
      <x:c r="O11" s="84" t="n">
        <x:v>109</x:v>
      </x:c>
      <x:c r="P11" s="84" t="n">
        <x:v>110.5</x:v>
      </x:c>
    </x:row>
    <x:row r="12">
      <x:c r="A12" s="12" t="str">
        <x:v>Food</x:v>
      </x:c>
      <x:c r="B12" s="12" t="str">
        <x:v>Water and Soft drinks</x:v>
      </x:c>
      <x:c r="C12" s="12" t="str">
        <x:v>المياه والمشروبات والمرطبات</x:v>
      </x:c>
      <x:c r="D12" s="84" t="n">
        <x:v>187</x:v>
      </x:c>
      <x:c r="E12" s="84" t="n">
        <x:v>178.2</x:v>
      </x:c>
      <x:c r="F12" s="84" t="n">
        <x:v>162.8</x:v>
      </x:c>
      <x:c r="G12" s="84" t="n">
        <x:v>229.3</x:v>
      </x:c>
      <x:c r="H12" s="84" t="n">
        <x:v>197.4</x:v>
      </x:c>
      <x:c r="I12" s="84" t="n">
        <x:v>185.7</x:v>
      </x:c>
      <x:c r="J12" s="84" t="n">
        <x:v>172.6</x:v>
      </x:c>
      <x:c r="K12" s="84" t="n">
        <x:v>231.7</x:v>
      </x:c>
      <x:c r="L12" s="84" t="n">
        <x:v>152.3</x:v>
      </x:c>
      <x:c r="M12" s="84" t="n">
        <x:v>204.9</x:v>
      </x:c>
      <x:c r="N12" s="84" t="n">
        <x:v>190.3</x:v>
      </x:c>
      <x:c r="O12" s="84" t="n">
        <x:v>208.4</x:v>
      </x:c>
      <x:c r="P12" s="84" t="n">
        <x:v>134.7</x:v>
      </x:c>
    </x:row>
    <x:row r="13">
      <x:c r="A13" s="12" t="str">
        <x:v>Food</x:v>
      </x:c>
      <x:c r="B13" s="12" t="str">
        <x:v>Restaurants and Cafes</x:v>
      </x:c>
      <x:c r="C13" s="12" t="str">
        <x:v>المطاعم والمقاهي</x:v>
      </x:c>
      <x:c r="D13" s="84" t="n">
        <x:v>218</x:v>
      </x:c>
      <x:c r="E13" s="84" t="n">
        <x:v>255.1</x:v>
      </x:c>
      <x:c r="F13" s="84" t="n">
        <x:v>141.2</x:v>
      </x:c>
      <x:c r="G13" s="84" t="n">
        <x:v>361.7</x:v>
      </x:c>
      <x:c r="H13" s="84" t="n">
        <x:v>218.7</x:v>
      </x:c>
      <x:c r="I13" s="84" t="n">
        <x:v>167.9</x:v>
      </x:c>
      <x:c r="J13" s="84" t="n">
        <x:v>132.2</x:v>
      </x:c>
      <x:c r="K13" s="84" t="n">
        <x:v>128.2</x:v>
      </x:c>
      <x:c r="L13" s="84" t="n">
        <x:v>111.8</x:v>
      </x:c>
      <x:c r="M13" s="84" t="n">
        <x:v>104.1</x:v>
      </x:c>
      <x:c r="N13" s="84" t="n">
        <x:v>82.2</x:v>
      </x:c>
      <x:c r="O13" s="84" t="n">
        <x:v>96.2</x:v>
      </x:c>
      <x:c r="P13" s="84" t="n">
        <x:v>125.1</x:v>
      </x:c>
    </x:row>
    <x:row r="14">
      <x:c r="A14" s="12" t="str">
        <x:v>Food</x:v>
      </x:c>
      <x:c r="B14" s="12" t="str">
        <x:v>Food Groups Total</x:v>
      </x:c>
      <x:c r="C14" s="12" t="str">
        <x:v>إجمالي المجموعات الغذائية</x:v>
      </x:c>
      <x:c r="D14" s="84" t="n">
        <x:v>4079.7</x:v>
      </x:c>
      <x:c r="E14" s="84" t="n">
        <x:v>4066.9</x:v>
      </x:c>
      <x:c r="F14" s="84" t="n">
        <x:v>3504.3</x:v>
      </x:c>
      <x:c r="G14" s="84" t="n">
        <x:v>4398.2</x:v>
      </x:c>
      <x:c r="H14" s="84" t="n">
        <x:v>4099.5</x:v>
      </x:c>
      <x:c r="I14" s="84" t="n">
        <x:v>4303.3</x:v>
      </x:c>
      <x:c r="J14" s="84" t="n">
        <x:v>3624.6</x:v>
      </x:c>
      <x:c r="K14" s="84" t="n">
        <x:v>4032.7</x:v>
      </x:c>
      <x:c r="L14" s="84" t="n">
        <x:v>3910.6</x:v>
      </x:c>
      <x:c r="M14" s="84" t="n">
        <x:v>4448.1</x:v>
      </x:c>
      <x:c r="N14" s="84" t="n">
        <x:v>3961</x:v>
      </x:c>
      <x:c r="O14" s="84" t="n">
        <x:v>3693.7</x:v>
      </x:c>
      <x:c r="P14" s="84" t="n">
        <x:v>3180.5</x:v>
      </x:c>
    </x:row>
    <x:row r="15">
      <x:c r="A15" s="12" t="str">
        <x:v>Non-food</x:v>
      </x:c>
      <x:c r="B15" s="12" t="str">
        <x:v>Clothing and Footwear</x:v>
      </x:c>
      <x:c r="C15" s="12" t="str">
        <x:v>الملابس والأحذية</x:v>
      </x:c>
      <x:c r="D15" s="84" t="n">
        <x:v>517.4</x:v>
      </x:c>
      <x:c r="E15" s="84" t="n">
        <x:v>490.8</x:v>
      </x:c>
      <x:c r="F15" s="84" t="n">
        <x:v>458.1</x:v>
      </x:c>
      <x:c r="G15" s="84" t="n">
        <x:v>676</x:v>
      </x:c>
      <x:c r="H15" s="84" t="n">
        <x:v>556</x:v>
      </x:c>
      <x:c r="I15" s="84" t="n">
        <x:v>541</x:v>
      </x:c>
      <x:c r="J15" s="84" t="n">
        <x:v>461.3</x:v>
      </x:c>
      <x:c r="K15" s="84" t="n">
        <x:v>522</x:v>
      </x:c>
      <x:c r="L15" s="84" t="n">
        <x:v>450.9</x:v>
      </x:c>
      <x:c r="M15" s="84" t="n">
        <x:v>491.9</x:v>
      </x:c>
      <x:c r="N15" s="84" t="n">
        <x:v>382.8</x:v>
      </x:c>
      <x:c r="O15" s="84" t="n">
        <x:v>533.5</x:v>
      </x:c>
      <x:c r="P15" s="84" t="n">
        <x:v>322.3</x:v>
      </x:c>
    </x:row>
    <x:row r="16">
      <x:c r="A16" s="12" t="str">
        <x:v>Non-food</x:v>
      </x:c>
      <x:c r="B16" s="12" t="str">
        <x:v>Housing, Water, Electricity and Gas</x:v>
      </x:c>
      <x:c r="C16" s="12" t="str">
        <x:v>المسكن والمياه والكهرباء والغاز</x:v>
      </x:c>
      <x:c r="D16" s="84" t="n">
        <x:v>2921</x:v>
      </x:c>
      <x:c r="E16" s="84" t="n">
        <x:v>3838.9</x:v>
      </x:c>
      <x:c r="F16" s="84" t="n">
        <x:v>2507.9</x:v>
      </x:c>
      <x:c r="G16" s="84" t="n">
        <x:v>2354</x:v>
      </x:c>
      <x:c r="H16" s="84" t="n">
        <x:v>2340.7</x:v>
      </x:c>
      <x:c r="I16" s="84" t="n">
        <x:v>2337.2</x:v>
      </x:c>
      <x:c r="J16" s="84" t="n">
        <x:v>2142.4</x:v>
      </x:c>
      <x:c r="K16" s="84" t="n">
        <x:v>1885.4</x:v>
      </x:c>
      <x:c r="L16" s="84" t="n">
        <x:v>2019.7</x:v>
      </x:c>
      <x:c r="M16" s="84" t="n">
        <x:v>2118.4</x:v>
      </x:c>
      <x:c r="N16" s="84" t="n">
        <x:v>1838.2</x:v>
      </x:c>
      <x:c r="O16" s="84" t="n">
        <x:v>2077.9</x:v>
      </x:c>
      <x:c r="P16" s="84" t="n">
        <x:v>2677.7</x:v>
      </x:c>
    </x:row>
    <x:row r="17">
      <x:c r="A17" s="12" t="str">
        <x:v>Non-food</x:v>
      </x:c>
      <x:c r="B17" s="12" t="str">
        <x:v>Furniture, Carpets and Placemats</x:v>
      </x:c>
      <x:c r="C17" s="12" t="str">
        <x:v>الأثاث والسجاد والمفارش</x:v>
      </x:c>
      <x:c r="D17" s="84" t="n">
        <x:v>159.1</x:v>
      </x:c>
      <x:c r="E17" s="84" t="n">
        <x:v>151.4</x:v>
      </x:c>
      <x:c r="F17" s="84" t="n">
        <x:v>117</x:v>
      </x:c>
      <x:c r="G17" s="84" t="n">
        <x:v>166.3</x:v>
      </x:c>
      <x:c r="H17" s="84" t="n">
        <x:v>121.1</x:v>
      </x:c>
      <x:c r="I17" s="84" t="n">
        <x:v>224.6</x:v>
      </x:c>
      <x:c r="J17" s="84" t="n">
        <x:v>113.8</x:v>
      </x:c>
      <x:c r="K17" s="84" t="n">
        <x:v>108.1</x:v>
      </x:c>
      <x:c r="L17" s="84" t="n">
        <x:v>161.1</x:v>
      </x:c>
      <x:c r="M17" s="84" t="n">
        <x:v>149.3</x:v>
      </x:c>
      <x:c r="N17" s="84" t="n">
        <x:v>103.8</x:v>
      </x:c>
      <x:c r="O17" s="84" t="n">
        <x:v>173</x:v>
      </x:c>
      <x:c r="P17" s="84" t="n">
        <x:v>75.7</x:v>
      </x:c>
    </x:row>
    <x:row r="18">
      <x:c r="A18" s="12" t="str">
        <x:v>Non-food</x:v>
      </x:c>
      <x:c r="B18" s="12" t="str">
        <x:v>Household appliances</x:v>
      </x:c>
      <x:c r="C18" s="12" t="str">
        <x:v>الأجهزة المنزلية</x:v>
      </x:c>
      <x:c r="D18" s="84" t="n">
        <x:v>100</x:v>
      </x:c>
      <x:c r="E18" s="84" t="n">
        <x:v>88.4</x:v>
      </x:c>
      <x:c r="F18" s="84" t="n">
        <x:v>69.5</x:v>
      </x:c>
      <x:c r="G18" s="84" t="n">
        <x:v>97.1</x:v>
      </x:c>
      <x:c r="H18" s="84" t="n">
        <x:v>74.4</x:v>
      </x:c>
      <x:c r="I18" s="84" t="n">
        <x:v>155</x:v>
      </x:c>
      <x:c r="J18" s="84" t="n">
        <x:v>90.6</x:v>
      </x:c>
      <x:c r="K18" s="84" t="n">
        <x:v>95.8</x:v>
      </x:c>
      <x:c r="L18" s="84" t="n">
        <x:v>137.9</x:v>
      </x:c>
      <x:c r="M18" s="84" t="n">
        <x:v>77.2</x:v>
      </x:c>
      <x:c r="N18" s="84" t="n">
        <x:v>37.6</x:v>
      </x:c>
      <x:c r="O18" s="84" t="n">
        <x:v>93.6</x:v>
      </x:c>
      <x:c r="P18" s="84" t="n">
        <x:v>59.3</x:v>
      </x:c>
    </x:row>
    <x:row r="19">
      <x:c r="A19" s="12" t="str">
        <x:v>Non-food</x:v>
      </x:c>
      <x:c r="B19" s="12" t="str">
        <x:v>Housewares</x:v>
      </x:c>
      <x:c r="C19" s="12" t="str">
        <x:v>الأدوات المنزلية</x:v>
      </x:c>
      <x:c r="D19" s="84" t="n">
        <x:v>43.6</x:v>
      </x:c>
      <x:c r="E19" s="84" t="n">
        <x:v>31.1</x:v>
      </x:c>
      <x:c r="F19" s="84" t="n">
        <x:v>39.7</x:v>
      </x:c>
      <x:c r="G19" s="84" t="n">
        <x:v>72.8</x:v>
      </x:c>
      <x:c r="H19" s="84" t="n">
        <x:v>45.6</x:v>
      </x:c>
      <x:c r="I19" s="84" t="n">
        <x:v>58.8</x:v>
      </x:c>
      <x:c r="J19" s="84" t="n">
        <x:v>34.5</x:v>
      </x:c>
      <x:c r="K19" s="84" t="n">
        <x:v>41</x:v>
      </x:c>
      <x:c r="L19" s="84" t="n">
        <x:v>47.8</x:v>
      </x:c>
      <x:c r="M19" s="84" t="n">
        <x:v>48.2</x:v>
      </x:c>
      <x:c r="N19" s="84" t="n">
        <x:v>27.7</x:v>
      </x:c>
      <x:c r="O19" s="84" t="n">
        <x:v>27.1</x:v>
      </x:c>
      <x:c r="P19" s="84" t="n">
        <x:v>19.2</x:v>
      </x:c>
    </x:row>
    <x:row r="20">
      <x:c r="A20" s="12" t="str">
        <x:v>Non-food</x:v>
      </x:c>
      <x:c r="B20" s="12" t="str">
        <x:v>Cleaning materials</x:v>
      </x:c>
      <x:c r="C20" s="12" t="str">
        <x:v>مواد التنظيف</x:v>
      </x:c>
      <x:c r="D20" s="84" t="n">
        <x:v>156.8</x:v>
      </x:c>
      <x:c r="E20" s="84" t="n">
        <x:v>152</x:v>
      </x:c>
      <x:c r="F20" s="84" t="n">
        <x:v>115.2</x:v>
      </x:c>
      <x:c r="G20" s="84" t="n">
        <x:v>192.4</x:v>
      </x:c>
      <x:c r="H20" s="84" t="n">
        <x:v>153.8</x:v>
      </x:c>
      <x:c r="I20" s="84" t="n">
        <x:v>172.8</x:v>
      </x:c>
      <x:c r="J20" s="84" t="n">
        <x:v>136.2</x:v>
      </x:c>
      <x:c r="K20" s="84" t="n">
        <x:v>136.6</x:v>
      </x:c>
      <x:c r="L20" s="84" t="n">
        <x:v>138.7</x:v>
      </x:c>
      <x:c r="M20" s="84" t="n">
        <x:v>168.1</x:v>
      </x:c>
      <x:c r="N20" s="84" t="n">
        <x:v>143.3</x:v>
      </x:c>
      <x:c r="O20" s="84" t="n">
        <x:v>151.7</x:v>
      </x:c>
      <x:c r="P20" s="84" t="n">
        <x:v>107.1</x:v>
      </x:c>
    </x:row>
    <x:row r="21">
      <x:c r="A21" s="12" t="str">
        <x:v>Non-food</x:v>
      </x:c>
      <x:c r="B21" s="12" t="str">
        <x:v>Domestic services</x:v>
      </x:c>
      <x:c r="C21" s="12" t="str">
        <x:v>خدمات المنازل</x:v>
      </x:c>
      <x:c r="D21" s="84" t="n">
        <x:v>143.4</x:v>
      </x:c>
      <x:c r="E21" s="84" t="n">
        <x:v>279.9</x:v>
      </x:c>
      <x:c r="F21" s="84" t="n">
        <x:v>119.3</x:v>
      </x:c>
      <x:c r="G21" s="84" t="n">
        <x:v>58.6</x:v>
      </x:c>
      <x:c r="H21" s="84" t="n">
        <x:v>64.2</x:v>
      </x:c>
      <x:c r="I21" s="84" t="n">
        <x:v>36.7</x:v>
      </x:c>
      <x:c r="J21" s="84" t="n">
        <x:v>4.7</x:v>
      </x:c>
      <x:c r="K21" s="84" t="n">
        <x:v>5</x:v>
      </x:c>
      <x:c r="L21" s="84" t="n">
        <x:v>24.6</x:v>
      </x:c>
      <x:c r="M21" s="84" t="n">
        <x:v>39.5</x:v>
      </x:c>
      <x:c r="N21" s="84" t="n">
        <x:v>8</x:v>
      </x:c>
      <x:c r="O21" s="84" t="n">
        <x:v>119.6</x:v>
      </x:c>
      <x:c r="P21" s="84" t="n">
        <x:v>55.7</x:v>
      </x:c>
    </x:row>
    <x:row r="22">
      <x:c r="A22" s="12" t="str">
        <x:v>Non-food</x:v>
      </x:c>
      <x:c r="B22" s="12" t="str">
        <x:v>Health</x:v>
      </x:c>
      <x:c r="C22" s="12" t="str">
        <x:v>الصحة</x:v>
      </x:c>
      <x:c r="D22" s="84" t="n">
        <x:v>486</x:v>
      </x:c>
      <x:c r="E22" s="84" t="n">
        <x:v>708.9</x:v>
      </x:c>
      <x:c r="F22" s="84" t="n">
        <x:v>237.6</x:v>
      </x:c>
      <x:c r="G22" s="84" t="n">
        <x:v>393.7</x:v>
      </x:c>
      <x:c r="H22" s="84" t="n">
        <x:v>746.7</x:v>
      </x:c>
      <x:c r="I22" s="84" t="n">
        <x:v>318.9</x:v>
      </x:c>
      <x:c r="J22" s="84" t="n">
        <x:v>306.2</x:v>
      </x:c>
      <x:c r="K22" s="84" t="n">
        <x:v>305.7</x:v>
      </x:c>
      <x:c r="L22" s="84" t="n">
        <x:v>283.6</x:v>
      </x:c>
      <x:c r="M22" s="84" t="n">
        <x:v>357.6</x:v>
      </x:c>
      <x:c r="N22" s="84" t="n">
        <x:v>157.7</x:v>
      </x:c>
      <x:c r="O22" s="84" t="n">
        <x:v>275.3</x:v>
      </x:c>
      <x:c r="P22" s="84" t="n">
        <x:v>171.1</x:v>
      </x:c>
    </x:row>
    <x:row r="23">
      <x:c r="A23" s="12" t="str">
        <x:v>Non-food</x:v>
      </x:c>
      <x:c r="B23" s="12" t="str">
        <x:v>Transport</x:v>
      </x:c>
      <x:c r="C23" s="12" t="str">
        <x:v>النقل</x:v>
      </x:c>
      <x:c r="D23" s="84" t="n">
        <x:v>2148.5</x:v>
      </x:c>
      <x:c r="E23" s="84" t="n">
        <x:v>2413.6</x:v>
      </x:c>
      <x:c r="F23" s="84" t="n">
        <x:v>2149.3</x:v>
      </x:c>
      <x:c r="G23" s="84" t="n">
        <x:v>2001.1</x:v>
      </x:c>
      <x:c r="H23" s="84" t="n">
        <x:v>1971.5</x:v>
      </x:c>
      <x:c r="I23" s="84" t="n">
        <x:v>2031.8</x:v>
      </x:c>
      <x:c r="J23" s="84" t="n">
        <x:v>1901.1</x:v>
      </x:c>
      <x:c r="K23" s="84" t="n">
        <x:v>2023.8</x:v>
      </x:c>
      <x:c r="L23" s="84" t="n">
        <x:v>2283.4</x:v>
      </x:c>
      <x:c r="M23" s="84" t="n">
        <x:v>1584.3</x:v>
      </x:c>
      <x:c r="N23" s="84" t="n">
        <x:v>1153</x:v>
      </x:c>
      <x:c r="O23" s="84" t="n">
        <x:v>1924.1</x:v>
      </x:c>
      <x:c r="P23" s="84" t="n">
        <x:v>1681.3</x:v>
      </x:c>
    </x:row>
    <x:row r="24">
      <x:c r="A24" s="12" t="str">
        <x:v>Non-food</x:v>
      </x:c>
      <x:c r="B24" s="12" t="str">
        <x:v>Communication</x:v>
      </x:c>
      <x:c r="C24" s="12" t="str">
        <x:v>الاتصالات</x:v>
      </x:c>
      <x:c r="D24" s="84" t="n">
        <x:v>351.4</x:v>
      </x:c>
      <x:c r="E24" s="84" t="n">
        <x:v>406.8</x:v>
      </x:c>
      <x:c r="F24" s="84" t="n">
        <x:v>347.1</x:v>
      </x:c>
      <x:c r="G24" s="84" t="n">
        <x:v>331.9</x:v>
      </x:c>
      <x:c r="H24" s="84" t="n">
        <x:v>290</x:v>
      </x:c>
      <x:c r="I24" s="84" t="n">
        <x:v>337.9</x:v>
      </x:c>
      <x:c r="J24" s="84" t="n">
        <x:v>267.5</x:v>
      </x:c>
      <x:c r="K24" s="84" t="n">
        <x:v>258.9</x:v>
      </x:c>
      <x:c r="L24" s="84" t="n">
        <x:v>289</x:v>
      </x:c>
      <x:c r="M24" s="84" t="n">
        <x:v>284.3</x:v>
      </x:c>
      <x:c r="N24" s="84" t="n">
        <x:v>266</x:v>
      </x:c>
      <x:c r="O24" s="84" t="n">
        <x:v>245.2</x:v>
      </x:c>
      <x:c r="P24" s="84" t="n">
        <x:v>250.2</x:v>
      </x:c>
    </x:row>
    <x:row r="25">
      <x:c r="A25" s="12" t="str">
        <x:v>Non-food</x:v>
      </x:c>
      <x:c r="B25" s="12" t="str">
        <x:v>Recreation and Culture</x:v>
      </x:c>
      <x:c r="C25" s="12" t="str">
        <x:v>الثقافة والترفيه</x:v>
      </x:c>
      <x:c r="D25" s="84" t="n">
        <x:v>330.9</x:v>
      </x:c>
      <x:c r="E25" s="84" t="n">
        <x:v>397.8</x:v>
      </x:c>
      <x:c r="F25" s="84" t="n">
        <x:v>273.2</x:v>
      </x:c>
      <x:c r="G25" s="84" t="n">
        <x:v>256.1</x:v>
      </x:c>
      <x:c r="H25" s="84" t="n">
        <x:v>355.1</x:v>
      </x:c>
      <x:c r="I25" s="84" t="n">
        <x:v>339.8</x:v>
      </x:c>
      <x:c r="J25" s="84" t="n">
        <x:v>262.8</x:v>
      </x:c>
      <x:c r="K25" s="84" t="n">
        <x:v>231.6</x:v>
      </x:c>
      <x:c r="L25" s="84" t="n">
        <x:v>295.1</x:v>
      </x:c>
      <x:c r="M25" s="84" t="n">
        <x:v>282.5</x:v>
      </x:c>
      <x:c r="N25" s="84" t="n">
        <x:v>110</x:v>
      </x:c>
      <x:c r="O25" s="84" t="n">
        <x:v>366.7</x:v>
      </x:c>
      <x:c r="P25" s="84" t="n">
        <x:v>110.5</x:v>
      </x:c>
    </x:row>
    <x:row r="26">
      <x:c r="A26" s="12" t="str">
        <x:v>Non-food</x:v>
      </x:c>
      <x:c r="B26" s="12" t="str">
        <x:v>Education</x:v>
      </x:c>
      <x:c r="C26" s="12" t="str">
        <x:v>التعليم</x:v>
      </x:c>
      <x:c r="D26" s="84" t="n">
        <x:v>578.8</x:v>
      </x:c>
      <x:c r="E26" s="84" t="n">
        <x:v>874</x:v>
      </x:c>
      <x:c r="F26" s="84" t="n">
        <x:v>403.3</x:v>
      </x:c>
      <x:c r="G26" s="84" t="n">
        <x:v>414</x:v>
      </x:c>
      <x:c r="H26" s="84" t="n">
        <x:v>488.7</x:v>
      </x:c>
      <x:c r="I26" s="84" t="n">
        <x:v>404.1</x:v>
      </x:c>
      <x:c r="J26" s="84" t="n">
        <x:v>135.3</x:v>
      </x:c>
      <x:c r="K26" s="84" t="n">
        <x:v>246.5</x:v>
      </x:c>
      <x:c r="L26" s="84" t="n">
        <x:v>342.3</x:v>
      </x:c>
      <x:c r="M26" s="84" t="n">
        <x:v>418.2</x:v>
      </x:c>
      <x:c r="N26" s="84" t="n">
        <x:v>164.4</x:v>
      </x:c>
      <x:c r="O26" s="84" t="n">
        <x:v>185.2</x:v>
      </x:c>
      <x:c r="P26" s="84" t="n">
        <x:v>629.4</x:v>
      </x:c>
    </x:row>
    <x:row r="27">
      <x:c r="A27" s="12" t="str">
        <x:v>Non-food</x:v>
      </x:c>
      <x:c r="B27" s="12" t="str">
        <x:v>Miscellaneous goods and services</x:v>
      </x:c>
      <x:c r="C27" s="12" t="str">
        <x:v>سلع وخدمات متنوعة</x:v>
      </x:c>
      <x:c r="D27" s="84" t="n">
        <x:v>502.7</x:v>
      </x:c>
      <x:c r="E27" s="84" t="n">
        <x:v>516.2</x:v>
      </x:c>
      <x:c r="F27" s="84" t="n">
        <x:v>396.3</x:v>
      </x:c>
      <x:c r="G27" s="84" t="n">
        <x:v>544.5</x:v>
      </x:c>
      <x:c r="H27" s="84" t="n">
        <x:v>449.4</x:v>
      </x:c>
      <x:c r="I27" s="84" t="n">
        <x:v>572.4</x:v>
      </x:c>
      <x:c r="J27" s="84" t="n">
        <x:v>420.4</x:v>
      </x:c>
      <x:c r="K27" s="84" t="n">
        <x:v>394.3</x:v>
      </x:c>
      <x:c r="L27" s="84" t="n">
        <x:v>467.1</x:v>
      </x:c>
      <x:c r="M27" s="84" t="n">
        <x:v>490.8</x:v>
      </x:c>
      <x:c r="N27" s="84" t="n">
        <x:v>335.2</x:v>
      </x:c>
      <x:c r="O27" s="84" t="n">
        <x:v>433.8</x:v>
      </x:c>
      <x:c r="P27" s="84" t="n">
        <x:v>326.2</x:v>
      </x:c>
    </x:row>
    <x:row r="28">
      <x:c r="A28" s="12" t="str">
        <x:v>Non-food</x:v>
      </x:c>
      <x:c r="B28" s="12" t="str">
        <x:v>Non-Food Groups Total</x:v>
      </x:c>
      <x:c r="C28" s="12" t="str">
        <x:v>إجمالي المجموعات غير الغذائية</x:v>
      </x:c>
      <x:c r="D28" s="84" t="n">
        <x:v>8439.6</x:v>
      </x:c>
      <x:c r="E28" s="84" t="n">
        <x:v>10349.7</x:v>
      </x:c>
      <x:c r="F28" s="84" t="n">
        <x:v>7233.7</x:v>
      </x:c>
      <x:c r="G28" s="84" t="n">
        <x:v>7558.6</x:v>
      </x:c>
      <x:c r="H28" s="84" t="n">
        <x:v>7657.2</x:v>
      </x:c>
      <x:c r="I28" s="84" t="n">
        <x:v>7530.8</x:v>
      </x:c>
      <x:c r="J28" s="84" t="n">
        <x:v>6276.9</x:v>
      </x:c>
      <x:c r="K28" s="84" t="n">
        <x:v>6254.8</x:v>
      </x:c>
      <x:c r="L28" s="84" t="n">
        <x:v>6941.1</x:v>
      </x:c>
      <x:c r="M28" s="84" t="n">
        <x:v>6510.3</x:v>
      </x:c>
      <x:c r="N28" s="84" t="n">
        <x:v>4727.5</x:v>
      </x:c>
      <x:c r="O28" s="84" t="n">
        <x:v>6606.9</x:v>
      </x:c>
      <x:c r="P28" s="84" t="n">
        <x:v>6485.7</x:v>
      </x:c>
    </x:row>
    <x:row r="29">
      <x:c r="A29" s="12" t="str">
        <x:v>All</x:v>
      </x:c>
      <x:c r="B29" s="12" t="str">
        <x:v>Grand Total</x:v>
      </x:c>
      <x:c r="C29" s="12" t="str">
        <x:v>المجموع العام</x:v>
      </x:c>
      <x:c r="D29" s="84" t="n">
        <x:v>12519.3</x:v>
      </x:c>
      <x:c r="E29" s="84" t="n">
        <x:v>14416.7</x:v>
      </x:c>
      <x:c r="F29" s="84" t="n">
        <x:v>10738</x:v>
      </x:c>
      <x:c r="G29" s="84" t="n">
        <x:v>11956.8</x:v>
      </x:c>
      <x:c r="H29" s="84" t="n">
        <x:v>11756.7</x:v>
      </x:c>
      <x:c r="I29" s="84" t="n">
        <x:v>11834.1</x:v>
      </x:c>
      <x:c r="J29" s="84" t="n">
        <x:v>9901.5</x:v>
      </x:c>
      <x:c r="K29" s="84" t="n">
        <x:v>10287.5</x:v>
      </x:c>
      <x:c r="L29" s="84" t="n">
        <x:v>10851.7</x:v>
      </x:c>
      <x:c r="M29" s="84" t="n">
        <x:v>10958.3</x:v>
      </x:c>
      <x:c r="N29" s="84" t="n">
        <x:v>8688.6</x:v>
      </x:c>
      <x:c r="O29" s="84" t="n">
        <x:v>10300.6</x:v>
      </x:c>
      <x:c r="P29" s="84" t="n">
        <x:v>9666.3</x:v>
      </x:c>
    </x:row>
    <x:row r="32">
      <x:c r="A32" s="90" t="str">
        <x:v>Group</x:v>
      </x:c>
      <x:c r="B32" s="90" t="str">
        <x:v>Category (EN)</x:v>
      </x:c>
      <x:c r="C32" s="90" t="str">
        <x:v>الفئة</x:v>
      </x:c>
      <x:c r="D32" s="90" t="str">
        <x:v>Kingdom Index</x:v>
      </x:c>
      <x:c r="E32" s="90" t="str">
        <x:v>عمان</x:v>
      </x:c>
      <x:c r="F32" s="90" t="str">
        <x:v>البلقاء</x:v>
      </x:c>
      <x:c r="G32" s="90" t="str">
        <x:v>الزرقاء</x:v>
      </x:c>
      <x:c r="H32" s="90" t="str">
        <x:v>مادبا</x:v>
      </x:c>
      <x:c r="I32" s="90" t="str">
        <x:v>إربد</x:v>
      </x:c>
      <x:c r="J32" s="90" t="str">
        <x:v>المفرق</x:v>
      </x:c>
      <x:c r="K32" s="90" t="str">
        <x:v>جرش</x:v>
      </x:c>
      <x:c r="L32" s="90" t="str">
        <x:v>عجلون</x:v>
      </x:c>
      <x:c r="M32" s="90" t="str">
        <x:v>الكرك</x:v>
      </x:c>
      <x:c r="N32" s="90" t="str">
        <x:v>الطفيلة</x:v>
      </x:c>
      <x:c r="O32" s="90" t="str">
        <x:v>معان</x:v>
      </x:c>
      <x:c r="P32" s="90" t="str">
        <x:v>العقبة</x:v>
      </x:c>
    </x:row>
    <x:row r="33">
      <x:c r="A33" t="str">
        <x:v>Food</x:v>
      </x:c>
      <x:c r="B33" t="str">
        <x:v>Cereals, Cereal Products and Bread</x:v>
      </x:c>
      <x:c r="C33" t="str">
        <x:v>الحبوب ومنتجاتها والخبز</x:v>
      </x:c>
      <x:c r="D33" s="91" t="n">
        <x:v>100</x:v>
      </x:c>
      <x:c r="E33" s="91" t="n">
        <x:f>IF($D2=0,0,E2/$D2*100)</x:f>
        <x:v>89.90039379198518</x:v>
      </x:c>
      <x:c r="F33" s="91" t="n">
        <x:f>IF($D2=0,0,F2/$D2*100)</x:f>
        <x:v>91.86935371785964</x:v>
      </x:c>
      <x:c r="G33" s="91" t="n">
        <x:f>IF($D2=0,0,G2/$D2*100)</x:f>
        <x:v>112.50868658790827</x:v>
      </x:c>
      <x:c r="H33" s="91" t="n">
        <x:f>IF($D2=0,0,H2/$D2*100)</x:f>
        <x:v>96.40954366458189</x:v>
      </x:c>
      <x:c r="I33" s="91" t="n">
        <x:f>IF($D2=0,0,I2/$D2*100)</x:f>
        <x:v>105.30460968264998</x:v>
      </x:c>
      <x:c r="J33" s="91" t="n">
        <x:f>IF($D2=0,0,J2/$D2*100)</x:f>
        <x:v>110.9335186472087</x:v>
      </x:c>
      <x:c r="K33" s="91" t="n">
        <x:f>IF($D2=0,0,K2/$D2*100)</x:f>
        <x:v>116.67824878387769</x:v>
      </x:c>
      <x:c r="L33" s="91" t="n">
        <x:f>IF($D2=0,0,L2/$D2*100)</x:f>
        <x:v>101.73731758165391</x:v>
      </x:c>
      <x:c r="M33" s="91" t="n">
        <x:f>IF($D2=0,0,M2/$D2*100)</x:f>
        <x:v>125.64280750521195</x:v>
      </x:c>
      <x:c r="N33" s="91" t="n">
        <x:f>IF($D2=0,0,N2/$D2*100)</x:f>
        <x:v>118.76302988186242</x:v>
      </x:c>
      <x:c r="O33" s="91" t="n">
        <x:f>IF($D2=0,0,O2/$D2*100)</x:f>
        <x:v>110.67871206856614</x:v>
      </x:c>
      <x:c r="P33" s="91" t="n">
        <x:f>IF($D2=0,0,P2/$D2*100)</x:f>
        <x:v>85.19805420430855</x:v>
      </x:c>
    </x:row>
    <x:row r="34">
      <x:c r="A34" t="str">
        <x:v>Food</x:v>
      </x:c>
      <x:c r="B34" t="str">
        <x:v>Meats and Poultry</x:v>
      </x:c>
      <x:c r="C34" t="str">
        <x:v>اللحوم والدواجن</x:v>
      </x:c>
      <x:c r="D34" s="91" t="n">
        <x:v>100</x:v>
      </x:c>
      <x:c r="E34" s="91" t="n">
        <x:f>IF($D3=0,0,E3/$D3*100)</x:f>
        <x:v>102.50297973778308</x:v>
      </x:c>
      <x:c r="F34" s="91" t="n">
        <x:f>IF($D3=0,0,F3/$D3*100)</x:f>
        <x:v>92.64430444406607</x:v>
      </x:c>
      <x:c r="G34" s="91" t="n">
        <x:f>IF($D3=0,0,G3/$D3*100)</x:f>
        <x:v>94.36403882172655</x:v>
      </x:c>
      <x:c r="H34" s="91" t="n">
        <x:f>IF($D3=0,0,H3/$D3*100)</x:f>
        <x:v>102.00919461944493</x:v>
      </x:c>
      <x:c r="I34" s="91" t="n">
        <x:f>IF($D3=0,0,I3/$D3*100)</x:f>
        <x:v>105.82325898178104</x:v>
      </x:c>
      <x:c r="J34" s="91" t="n">
        <x:f>IF($D3=0,0,J3/$D3*100)</x:f>
        <x:v>73.26749531755492</x:v>
      </x:c>
      <x:c r="K34" s="91" t="n">
        <x:f>IF($D3=0,0,K3/$D3*100)</x:f>
        <x:v>102.4348714455985</x:v>
      </x:c>
      <x:c r="L34" s="91" t="n">
        <x:f>IF($D3=0,0,L3/$D3*100)</x:f>
        <x:v>106.02758385833478</x:v>
      </x:c>
      <x:c r="M34" s="91" t="n">
        <x:f>IF($D3=0,0,M3/$D3*100)</x:f>
        <x:v>128.50332027924404</x:v>
      </x:c>
      <x:c r="N34" s="91" t="n">
        <x:f>IF($D3=0,0,N3/$D3*100)</x:f>
        <x:v>88.08104886769964</x:v>
      </x:c>
      <x:c r="O34" s="91" t="n">
        <x:f>IF($D3=0,0,O3/$D3*100)</x:f>
        <x:v>87.85969691809979</x:v>
      </x:c>
      <x:c r="P34" s="91" t="n">
        <x:f>IF($D3=0,0,P3/$D3*100)</x:f>
        <x:v>73.21641409841648</x:v>
      </x:c>
    </x:row>
    <x:row r="35">
      <x:c r="A35" t="str">
        <x:v>Food</x:v>
      </x:c>
      <x:c r="B35" t="str">
        <x:v>Fish and Sea Foods</x:v>
      </x:c>
      <x:c r="C35" t="str">
        <x:v>الأسماك والأغذية البحرية</x:v>
      </x:c>
      <x:c r="D35" s="91" t="n">
        <x:v>100</x:v>
      </x:c>
      <x:c r="E35" s="91" t="n">
        <x:f>IF($D4=0,0,E4/$D4*100)</x:f>
        <x:v>101.41987829614605</x:v>
      </x:c>
      <x:c r="F35" s="91" t="n">
        <x:f>IF($D4=0,0,F4/$D4*100)</x:f>
        <x:v>88.84381338742394</x:v>
      </x:c>
      <x:c r="G35" s="91" t="n">
        <x:f>IF($D4=0,0,G4/$D4*100)</x:f>
        <x:v>126.77484787018255</x:v>
      </x:c>
      <x:c r="H35" s="91" t="n">
        <x:f>IF($D4=0,0,H4/$D4*100)</x:f>
        <x:v>82.96146044624747</x:v>
      </x:c>
      <x:c r="I35" s="91" t="n">
        <x:f>IF($D4=0,0,I4/$D4*100)</x:f>
        <x:v>109.12778904665315</x:v>
      </x:c>
      <x:c r="J35" s="91" t="n">
        <x:f>IF($D4=0,0,J4/$D4*100)</x:f>
        <x:v>54.76673427991887</x:v>
      </x:c>
      <x:c r="K35" s="91" t="n">
        <x:f>IF($D4=0,0,K4/$D4*100)</x:f>
        <x:v>63.89452332657201</x:v>
      </x:c>
      <x:c r="L35" s="91" t="n">
        <x:f>IF($D4=0,0,L4/$D4*100)</x:f>
        <x:v>68.55983772819472</x:v>
      </x:c>
      <x:c r="M35" s="91" t="n">
        <x:f>IF($D4=0,0,M4/$D4*100)</x:f>
        <x:v>67.95131845841786</x:v>
      </x:c>
      <x:c r="N35" s="91" t="n">
        <x:f>IF($D4=0,0,N4/$D4*100)</x:f>
        <x:v>96.14604462474645</x:v>
      </x:c>
      <x:c r="O35" s="91" t="n">
        <x:f>IF($D4=0,0,O4/$D4*100)</x:f>
        <x:v>76.8762677484787</x:v>
      </x:c>
      <x:c r="P35" s="91" t="n">
        <x:f>IF($D4=0,0,P4/$D4*100)</x:f>
        <x:v>138.13387423935092</x:v>
      </x:c>
    </x:row>
    <x:row r="36">
      <x:c r="A36" t="str">
        <x:v>Food</x:v>
      </x:c>
      <x:c r="B36" t="str">
        <x:v>Dairy, Cheese and Eggs</x:v>
      </x:c>
      <x:c r="C36" t="str">
        <x:v>الألبان والأجبان والبيض</x:v>
      </x:c>
      <x:c r="D36" s="91" t="n">
        <x:v>100</x:v>
      </x:c>
      <x:c r="E36" s="91" t="n">
        <x:f>IF($D5=0,0,E5/$D5*100)</x:f>
        <x:v>102.12385423653029</x:v>
      </x:c>
      <x:c r="F36" s="91" t="n">
        <x:f>IF($D5=0,0,F5/$D5*100)</x:f>
        <x:v>72.94880393471944</x:v>
      </x:c>
      <x:c r="G36" s="91" t="n">
        <x:f>IF($D5=0,0,G5/$D5*100)</x:f>
        <x:v>108.40599150458306</x:v>
      </x:c>
      <x:c r="H36" s="91" t="n">
        <x:f>IF($D5=0,0,H5/$D5*100)</x:f>
        <x:v>110.59691482226692</x:v>
      </x:c>
      <x:c r="I36" s="91" t="n">
        <x:f>IF($D5=0,0,I5/$D5*100)</x:f>
        <x:v>100.87189805499663</x:v>
      </x:c>
      <x:c r="J36" s="91" t="n">
        <x:f>IF($D5=0,0,J5/$D5*100)</x:f>
        <x:v>95.10395707578806</x:v>
      </x:c>
      <x:c r="K36" s="91" t="n">
        <x:f>IF($D5=0,0,K5/$D5*100)</x:f>
        <x:v>98.54683657500559</x:v>
      </x:c>
      <x:c r="L36" s="91" t="n">
        <x:f>IF($D5=0,0,L5/$D5*100)</x:f>
        <x:v>83.38922423429466</x:v>
      </x:c>
      <x:c r="M36" s="91" t="n">
        <x:f>IF($D5=0,0,M5/$D5*100)</x:f>
        <x:v>111.7147328414934</x:v>
      </x:c>
      <x:c r="N36" s="91" t="n">
        <x:f>IF($D5=0,0,N5/$D5*100)</x:f>
        <x:v>98.23384752962217</x:v>
      </x:c>
      <x:c r="O36" s="91" t="n">
        <x:f>IF($D5=0,0,O5/$D5*100)</x:f>
        <x:v>104.47127207690588</x:v>
      </x:c>
      <x:c r="P36" s="91" t="n">
        <x:f>IF($D5=0,0,P5/$D5*100)</x:f>
        <x:v>78.04605410239213</x:v>
      </x:c>
    </x:row>
    <x:row r="37">
      <x:c r="A37" t="str">
        <x:v>Food</x:v>
      </x:c>
      <x:c r="B37" t="str">
        <x:v>Oils and Fats</x:v>
      </x:c>
      <x:c r="C37" t="str">
        <x:v>الزيوت والدهون</x:v>
      </x:c>
      <x:c r="D37" s="91" t="n">
        <x:v>100</x:v>
      </x:c>
      <x:c r="E37" s="91" t="n">
        <x:f>IF($D6=0,0,E6/$D6*100)</x:f>
        <x:v>103.55419043440106</x:v>
      </x:c>
      <x:c r="F37" s="91" t="n">
        <x:f>IF($D6=0,0,F6/$D6*100)</x:f>
        <x:v>83.76480912681001</x:v>
      </x:c>
      <x:c r="G37" s="91" t="n">
        <x:f>IF($D6=0,0,G6/$D6*100)</x:f>
        <x:v>100.65818341377796</x:v>
      </x:c>
      <x:c r="H37" s="91" t="n">
        <x:f>IF($D6=0,0,H6/$D6*100)</x:f>
        <x:v>97.36726634488811</x:v>
      </x:c>
      <x:c r="I37" s="91" t="n">
        <x:f>IF($D6=0,0,I6/$D6*100)</x:f>
        <x:v>107.32777534006142</x:v>
      </x:c>
      <x:c r="J37" s="91" t="n">
        <x:f>IF($D6=0,0,J6/$D6*100)</x:f>
        <x:v>85.78323826239578</x:v>
      </x:c>
      <x:c r="K37" s="91" t="n">
        <x:f>IF($D6=0,0,K6/$D6*100)</x:f>
        <x:v>87.45063624396666</x:v>
      </x:c>
      <x:c r="L37" s="91" t="n">
        <x:f>IF($D6=0,0,L6/$D6*100)</x:f>
        <x:v>95.129442738043</x:v>
      </x:c>
      <x:c r="M37" s="91" t="n">
        <x:f>IF($D6=0,0,M6/$D6*100)</x:f>
        <x:v>99.34181658622204</x:v>
      </x:c>
      <x:c r="N37" s="91" t="n">
        <x:f>IF($D6=0,0,N6/$D6*100)</x:f>
        <x:v>104.08073716542343</x:v>
      </x:c>
      <x:c r="O37" s="91" t="n">
        <x:f>IF($D6=0,0,O6/$D6*100)</x:f>
        <x:v>85.30057042562528</x:v>
      </x:c>
      <x:c r="P37" s="91" t="n">
        <x:f>IF($D6=0,0,P6/$D6*100)</x:f>
        <x:v>79.5085563843791</x:v>
      </x:c>
    </x:row>
    <x:row r="38">
      <x:c r="A38" t="str">
        <x:v>Food</x:v>
      </x:c>
      <x:c r="B38" t="str">
        <x:v>Fruits and Nuts</x:v>
      </x:c>
      <x:c r="C38" t="str">
        <x:v>الفواكه والمكسرات</x:v>
      </x:c>
      <x:c r="D38" s="91" t="n">
        <x:v>100</x:v>
      </x:c>
      <x:c r="E38" s="91" t="n">
        <x:f>IF($D7=0,0,E7/$D7*100)</x:f>
        <x:v>101.64698570540709</x:v>
      </x:c>
      <x:c r="F38" s="91" t="n">
        <x:f>IF($D7=0,0,F7/$D7*100)</x:f>
        <x:v>74.48725916718459</x:v>
      </x:c>
      <x:c r="G38" s="91" t="n">
        <x:f>IF($D7=0,0,G7/$D7*100)</x:f>
        <x:v>101.02548166563083</x:v>
      </x:c>
      <x:c r="H38" s="91" t="n">
        <x:f>IF($D7=0,0,H7/$D7*100)</x:f>
        <x:v>83.12616532007458</x:v>
      </x:c>
      <x:c r="I38" s="91" t="n">
        <x:f>IF($D7=0,0,I7/$D7*100)</x:f>
        <x:v>118.272218769422</x:v>
      </x:c>
      <x:c r="J38" s="91" t="n">
        <x:f>IF($D7=0,0,J7/$D7*100)</x:f>
        <x:v>78.02983219390926</x:v>
      </x:c>
      <x:c r="K38" s="91" t="n">
        <x:f>IF($D7=0,0,K7/$D7*100)</x:f>
        <x:v>97.07893101305157</x:v>
      </x:c>
      <x:c r="L38" s="91" t="n">
        <x:f>IF($D7=0,0,L7/$D7*100)</x:f>
        <x:v>110.59664387818519</x:v>
      </x:c>
      <x:c r="M38" s="91" t="n">
        <x:f>IF($D7=0,0,M7/$D7*100)</x:f>
        <x:v>106.92977004350527</x:v>
      </x:c>
      <x:c r="N38" s="91" t="n">
        <x:f>IF($D7=0,0,N7/$D7*100)</x:f>
        <x:v>105.74891236793039</x:v>
      </x:c>
      <x:c r="O38" s="91" t="n">
        <x:f>IF($D7=0,0,O7/$D7*100)</x:f>
        <x:v>67.49533871970166</x:v>
      </x:c>
      <x:c r="P38" s="91" t="n">
        <x:f>IF($D7=0,0,P7/$D7*100)</x:f>
        <x:v>52.67246737103791</x:v>
      </x:c>
    </x:row>
    <x:row r="39">
      <x:c r="A39" t="str">
        <x:v>Food</x:v>
      </x:c>
      <x:c r="B39" t="str">
        <x:v>Vegetables and legumes</x:v>
      </x:c>
      <x:c r="C39" t="str">
        <x:v>الخضروات والبقول</x:v>
      </x:c>
      <x:c r="D39" s="91" t="n">
        <x:v>100</x:v>
      </x:c>
      <x:c r="E39" s="91" t="n">
        <x:f>IF($D8=0,0,E8/$D8*100)</x:f>
        <x:v>94.22958870472684</x:v>
      </x:c>
      <x:c r="F39" s="91" t="n">
        <x:f>IF($D8=0,0,F8/$D8*100)</x:f>
        <x:v>89.87108655616943</x:v>
      </x:c>
      <x:c r="G39" s="91" t="n">
        <x:f>IF($D8=0,0,G8/$D8*100)</x:f>
        <x:v>96.97155719255166</x:v>
      </x:c>
      <x:c r="H39" s="91" t="n">
        <x:f>IF($D8=0,0,H8/$D8*100)</x:f>
        <x:v>101.3914466953141</x:v>
      </x:c>
      <x:c r="I39" s="91" t="n">
        <x:f>IF($D8=0,0,I8/$D8*100)</x:f>
        <x:v>115.91978719050542</x:v>
      </x:c>
      <x:c r="J39" s="91" t="n">
        <x:f>IF($D8=0,0,J8/$D8*100)</x:f>
        <x:v>101.20728463269901</x:v>
      </x:c>
      <x:c r="K39" s="91" t="n">
        <x:f>IF($D8=0,0,K8/$D8*100)</x:f>
        <x:v>100.12277470841006</x:v>
      </x:c>
      <x:c r="L39" s="91" t="n">
        <x:f>IF($D8=0,0,L8/$D8*100)</x:f>
        <x:v>99.38612645794966</x:v>
      </x:c>
      <x:c r="M39" s="91" t="n">
        <x:f>IF($D8=0,0,M8/$D8*100)</x:f>
        <x:v>118.66175567833027</x:v>
      </x:c>
      <x:c r="N39" s="91" t="n">
        <x:f>IF($D8=0,0,N8/$D8*100)</x:f>
        <x:v>115.46961325966849</x:v>
      </x:c>
      <x:c r="O39" s="91" t="n">
        <x:f>IF($D8=0,0,O8/$D8*100)</x:f>
        <x:v>97.44219357479025</x:v>
      </x:c>
      <x:c r="P39" s="91" t="n">
        <x:f>IF($D8=0,0,P8/$D8*100)</x:f>
        <x:v>75.46552076938818</x:v>
      </x:c>
    </x:row>
    <x:row r="40">
      <x:c r="A40" t="str">
        <x:v>Food</x:v>
      </x:c>
      <x:c r="B40" t="str">
        <x:v>Sugar and its products</x:v>
      </x:c>
      <x:c r="C40" t="str">
        <x:v>السكر ومنتجاته</x:v>
      </x:c>
      <x:c r="D40" s="91" t="n">
        <x:v>100</x:v>
      </x:c>
      <x:c r="E40" s="91" t="n">
        <x:f>IF($D9=0,0,E9/$D9*100)</x:f>
        <x:v>101.69555388093443</x:v>
      </x:c>
      <x:c r="F40" s="91" t="n">
        <x:f>IF($D9=0,0,F9/$D9*100)</x:f>
        <x:v>68.34966088922381</x:v>
      </x:c>
      <x:c r="G40" s="91" t="n">
        <x:f>IF($D9=0,0,G9/$D9*100)</x:f>
        <x:v>113.37603617181612</x:v>
      </x:c>
      <x:c r="H40" s="91" t="n">
        <x:f>IF($D9=0,0,H9/$D9*100)</x:f>
        <x:v>102.93896006028635</x:v>
      </x:c>
      <x:c r="I40" s="91" t="n">
        <x:f>IF($D9=0,0,I9/$D9*100)</x:f>
        <x:v>105.76488319517709</x:v>
      </x:c>
      <x:c r="J40" s="91" t="n">
        <x:f>IF($D9=0,0,J9/$D9*100)</x:f>
        <x:v>87.75433308214018</x:v>
      </x:c>
      <x:c r="K40" s="91" t="n">
        <x:f>IF($D9=0,0,K9/$D9*100)</x:f>
        <x:v>90.42954031650339</x:v>
      </x:c>
      <x:c r="L40" s="91" t="n">
        <x:f>IF($D9=0,0,L9/$D9*100)</x:f>
        <x:v>109.08063300678224</x:v>
      </x:c>
      <x:c r="M40" s="91" t="n">
        <x:f>IF($D9=0,0,M9/$D9*100)</x:f>
        <x:v>91.63526752072345</x:v>
      </x:c>
      <x:c r="N40" s="91" t="n">
        <x:f>IF($D9=0,0,N9/$D9*100)</x:f>
        <x:v>100.60286360211003</x:v>
      </x:c>
      <x:c r="O40" s="91" t="n">
        <x:f>IF($D9=0,0,O9/$D9*100)</x:f>
        <x:v>98.19140919366995</x:v>
      </x:c>
      <x:c r="P40" s="91" t="n">
        <x:f>IF($D9=0,0,P9/$D9*100)</x:f>
        <x:v>75.77241899020348</x:v>
      </x:c>
    </x:row>
    <x:row r="41">
      <x:c r="A41" t="str">
        <x:v>Food</x:v>
      </x:c>
      <x:c r="B41" t="str">
        <x:v>Spices and Food Additives</x:v>
      </x:c>
      <x:c r="C41" t="str">
        <x:v>التوابل ومحسنات الطعام</x:v>
      </x:c>
      <x:c r="D41" s="91" t="n">
        <x:v>100</x:v>
      </x:c>
      <x:c r="E41" s="91" t="n">
        <x:f>IF($D10=0,0,E10/$D10*100)</x:f>
        <x:v>95.36516853932585</x:v>
      </x:c>
      <x:c r="F41" s="91" t="n">
        <x:f>IF($D10=0,0,F10/$D10*100)</x:f>
        <x:v>82.58426966292134</x:v>
      </x:c>
      <x:c r="G41" s="91" t="n">
        <x:f>IF($D10=0,0,G10/$D10*100)</x:f>
        <x:v>113.62359550561798</x:v>
      </x:c>
      <x:c r="H41" s="91" t="n">
        <x:f>IF($D10=0,0,H10/$D10*100)</x:f>
        <x:v>106.39044943820224</x:v>
      </x:c>
      <x:c r="I41" s="91" t="n">
        <x:f>IF($D10=0,0,I10/$D10*100)</x:f>
        <x:v>115.66011235955057</x:v>
      </x:c>
      <x:c r="J41" s="91" t="n">
        <x:f>IF($D10=0,0,J10/$D10*100)</x:f>
        <x:v>99.64887640449437</x:v>
      </x:c>
      <x:c r="K41" s="91" t="n">
        <x:f>IF($D10=0,0,K10/$D10*100)</x:f>
        <x:v>92.5561797752809</x:v>
      </x:c>
      <x:c r="L41" s="91" t="n">
        <x:f>IF($D10=0,0,L10/$D10*100)</x:f>
        <x:v>92.41573033707864</x:v>
      </x:c>
      <x:c r="M41" s="91" t="n">
        <x:f>IF($D10=0,0,M10/$D10*100)</x:f>
        <x:v>90.66011235955055</x:v>
      </x:c>
      <x:c r="N41" s="91" t="n">
        <x:f>IF($D10=0,0,N10/$D10*100)</x:f>
        <x:v>82.51404494382022</x:v>
      </x:c>
      <x:c r="O41" s="91" t="n">
        <x:f>IF($D10=0,0,O10/$D10*100)</x:f>
        <x:v>93.75</x:v>
      </x:c>
      <x:c r="P41" s="91" t="n">
        <x:f>IF($D10=0,0,P10/$D10*100)</x:f>
        <x:v>69.10112359550563</x:v>
      </x:c>
    </x:row>
    <x:row r="42">
      <x:c r="A42" t="str">
        <x:v>Food</x:v>
      </x:c>
      <x:c r="B42" t="str">
        <x:v>Tea, Coffee and Cacao</x:v>
      </x:c>
      <x:c r="C42" t="str">
        <x:v>الشاي والبن والكاكاو</x:v>
      </x:c>
      <x:c r="D42" s="91" t="n">
        <x:v>100</x:v>
      </x:c>
      <x:c r="E42" s="91" t="n">
        <x:f>IF($D11=0,0,E11/$D11*100)</x:f>
        <x:v>99.80392156862744</x:v>
      </x:c>
      <x:c r="F42" s="91" t="n">
        <x:f>IF($D11=0,0,F11/$D11*100)</x:f>
        <x:v>84.70588235294117</x:v>
      </x:c>
      <x:c r="G42" s="91" t="n">
        <x:f>IF($D11=0,0,G11/$D11*100)</x:f>
        <x:v>101.30718954248366</x:v>
      </x:c>
      <x:c r="H42" s="91" t="n">
        <x:f>IF($D11=0,0,H11/$D11*100)</x:f>
        <x:v>78.30065359477125</x:v>
      </x:c>
      <x:c r="I42" s="91" t="n">
        <x:f>IF($D11=0,0,I11/$D11*100)</x:f>
        <x:v>123.52941176470588</x:v>
      </x:c>
      <x:c r="J42" s="91" t="n">
        <x:f>IF($D11=0,0,J11/$D11*100)</x:f>
        <x:v>81.04575163398692</x:v>
      </x:c>
      <x:c r="K42" s="91" t="n">
        <x:f>IF($D11=0,0,K11/$D11*100)</x:f>
        <x:v>93.92156862745097</x:v>
      </x:c>
      <x:c r="L42" s="91" t="n">
        <x:f>IF($D11=0,0,L11/$D11*100)</x:f>
        <x:v>120.98039215686273</x:v>
      </x:c>
      <x:c r="M42" s="91" t="n">
        <x:f>IF($D11=0,0,M11/$D11*100)</x:f>
        <x:v>84.44444444444443</x:v>
      </x:c>
      <x:c r="N42" s="91" t="n">
        <x:f>IF($D11=0,0,N11/$D11*100)</x:f>
        <x:v>60.392156862745104</x:v>
      </x:c>
      <x:c r="O42" s="91" t="n">
        <x:f>IF($D11=0,0,O11/$D11*100)</x:f>
        <x:v>71.24183006535948</x:v>
      </x:c>
      <x:c r="P42" s="91" t="n">
        <x:f>IF($D11=0,0,P11/$D11*100)</x:f>
        <x:v>72.22222222222221</x:v>
      </x:c>
    </x:row>
    <x:row r="43">
      <x:c r="A43" t="str">
        <x:v>Food</x:v>
      </x:c>
      <x:c r="B43" t="str">
        <x:v>Water and Soft drinks</x:v>
      </x:c>
      <x:c r="C43" t="str">
        <x:v>المياه والمشروبات والمرطبات</x:v>
      </x:c>
      <x:c r="D43" s="91" t="n">
        <x:v>100</x:v>
      </x:c>
      <x:c r="E43" s="91" t="n">
        <x:f>IF($D12=0,0,E12/$D12*100)</x:f>
        <x:v>95.29411764705881</x:v>
      </x:c>
      <x:c r="F43" s="91" t="n">
        <x:f>IF($D12=0,0,F12/$D12*100)</x:f>
        <x:v>87.05882352941177</x:v>
      </x:c>
      <x:c r="G43" s="91" t="n">
        <x:f>IF($D12=0,0,G12/$D12*100)</x:f>
        <x:v>122.62032085561498</x:v>
      </x:c>
      <x:c r="H43" s="91" t="n">
        <x:f>IF($D12=0,0,H12/$D12*100)</x:f>
        <x:v>105.56149732620321</x:v>
      </x:c>
      <x:c r="I43" s="91" t="n">
        <x:f>IF($D12=0,0,I12/$D12*100)</x:f>
        <x:v>99.30481283422459</x:v>
      </x:c>
      <x:c r="J43" s="91" t="n">
        <x:f>IF($D12=0,0,J12/$D12*100)</x:f>
        <x:v>92.29946524064171</x:v>
      </x:c>
      <x:c r="K43" s="91" t="n">
        <x:f>IF($D12=0,0,K12/$D12*100)</x:f>
        <x:v>123.90374331550802</x:v>
      </x:c>
      <x:c r="L43" s="91" t="n">
        <x:f>IF($D12=0,0,L12/$D12*100)</x:f>
        <x:v>81.44385026737967</x:v>
      </x:c>
      <x:c r="M43" s="91" t="n">
        <x:f>IF($D12=0,0,M12/$D12*100)</x:f>
        <x:v>109.57219251336898</x:v>
      </x:c>
      <x:c r="N43" s="91" t="n">
        <x:f>IF($D12=0,0,N12/$D12*100)</x:f>
        <x:v>101.76470588235296</x:v>
      </x:c>
      <x:c r="O43" s="91" t="n">
        <x:f>IF($D12=0,0,O12/$D12*100)</x:f>
        <x:v>111.44385026737969</x:v>
      </x:c>
      <x:c r="P43" s="91" t="n">
        <x:f>IF($D12=0,0,P12/$D12*100)</x:f>
        <x:v>72.03208556149731</x:v>
      </x:c>
    </x:row>
    <x:row r="44">
      <x:c r="A44" t="str">
        <x:v>Food</x:v>
      </x:c>
      <x:c r="B44" t="str">
        <x:v>Restaurants and Cafes</x:v>
      </x:c>
      <x:c r="C44" t="str">
        <x:v>المطاعم والمقاهي</x:v>
      </x:c>
      <x:c r="D44" s="91" t="n">
        <x:v>100</x:v>
      </x:c>
      <x:c r="E44" s="91" t="n">
        <x:f>IF($D13=0,0,E13/$D13*100)</x:f>
        <x:v>117.01834862385321</x:v>
      </x:c>
      <x:c r="F44" s="91" t="n">
        <x:f>IF($D13=0,0,F13/$D13*100)</x:f>
        <x:v>64.77064220183486</x:v>
      </x:c>
      <x:c r="G44" s="91" t="n">
        <x:f>IF($D13=0,0,G13/$D13*100)</x:f>
        <x:v>165.91743119266053</x:v>
      </x:c>
      <x:c r="H44" s="91" t="n">
        <x:f>IF($D13=0,0,H13/$D13*100)</x:f>
        <x:v>100.32110091743118</x:v>
      </x:c>
      <x:c r="I44" s="91" t="n">
        <x:f>IF($D13=0,0,I13/$D13*100)</x:f>
        <x:v>77.01834862385321</x:v>
      </x:c>
      <x:c r="J44" s="91" t="n">
        <x:f>IF($D13=0,0,J13/$D13*100)</x:f>
        <x:v>60.64220183486238</x:v>
      </x:c>
      <x:c r="K44" s="91" t="n">
        <x:f>IF($D13=0,0,K13/$D13*100)</x:f>
        <x:v>58.807339449541274</x:v>
      </x:c>
      <x:c r="L44" s="91" t="n">
        <x:f>IF($D13=0,0,L13/$D13*100)</x:f>
        <x:v>51.28440366972477</x:v>
      </x:c>
      <x:c r="M44" s="91" t="n">
        <x:f>IF($D13=0,0,M13/$D13*100)</x:f>
        <x:v>47.752293577981646</x:v>
      </x:c>
      <x:c r="N44" s="91" t="n">
        <x:f>IF($D13=0,0,N13/$D13*100)</x:f>
        <x:v>37.706422018348626</x:v>
      </x:c>
      <x:c r="O44" s="91" t="n">
        <x:f>IF($D13=0,0,O13/$D13*100)</x:f>
        <x:v>44.12844036697248</x:v>
      </x:c>
      <x:c r="P44" s="91" t="n">
        <x:f>IF($D13=0,0,P13/$D13*100)</x:f>
        <x:v>57.38532110091743</x:v>
      </x:c>
    </x:row>
    <x:row r="45">
      <x:c r="A45" t="str">
        <x:v>Food</x:v>
      </x:c>
      <x:c r="B45" t="str">
        <x:v>Food Groups Total</x:v>
      </x:c>
      <x:c r="C45" t="str">
        <x:v>إجمالي المجموعات الغذائية</x:v>
      </x:c>
      <x:c r="D45" s="91" t="n">
        <x:v>100</x:v>
      </x:c>
      <x:c r="E45" s="91" t="n">
        <x:f>IF($D14=0,0,E14/$D14*100)</x:f>
        <x:v>99.68625144005688</x:v>
      </x:c>
      <x:c r="F45" s="91" t="n">
        <x:f>IF($D14=0,0,F14/$D14*100)</x:f>
        <x:v>85.89602176630635</x:v>
      </x:c>
      <x:c r="G45" s="91" t="n">
        <x:f>IF($D14=0,0,G14/$D14*100)</x:f>
        <x:v>107.80694658921</x:v>
      </x:c>
      <x:c r="H45" s="91" t="n">
        <x:f>IF($D14=0,0,H14/$D14*100)</x:f>
        <x:v>100.48532980366205</x:v>
      </x:c>
      <x:c r="I45" s="91" t="n">
        <x:f>IF($D14=0,0,I14/$D14*100)</x:f>
        <x:v>105.48079515650662</x:v>
      </x:c>
      <x:c r="J45" s="91" t="n">
        <x:f>IF($D14=0,0,J14/$D14*100)</x:f>
        <x:v>88.84476799764688</x:v>
      </x:c>
      <x:c r="K45" s="91" t="n">
        <x:f>IF($D14=0,0,K14/$D14*100)</x:f>
        <x:v>98.84795450645882</x:v>
      </x:c>
      <x:c r="L45" s="91" t="n">
        <x:f>IF($D14=0,0,L14/$D14*100)</x:f>
        <x:v>95.85508738387627</x:v>
      </x:c>
      <x:c r="M45" s="91" t="n">
        <x:f>IF($D14=0,0,M14/$D14*100)</x:f>
        <x:v>109.03007574086332</x:v>
      </x:c>
      <x:c r="N45" s="91" t="n">
        <x:f>IF($D14=0,0,N14/$D14*100)</x:f>
        <x:v>97.09047233865236</x:v>
      </x:c>
      <x:c r="O45" s="91" t="n">
        <x:f>IF($D14=0,0,O14/$D14*100)</x:f>
        <x:v>90.53851998921489</x:v>
      </x:c>
      <x:c r="P45" s="91" t="n">
        <x:f>IF($D14=0,0,P14/$D14*100)</x:f>
        <x:v>77.9591636639949</x:v>
      </x:c>
    </x:row>
    <x:row r="46">
      <x:c r="A46" t="str">
        <x:v>Non-food</x:v>
      </x:c>
      <x:c r="B46" t="str">
        <x:v>Clothing and Footwear</x:v>
      </x:c>
      <x:c r="C46" t="str">
        <x:v>الملابس والأحذية</x:v>
      </x:c>
      <x:c r="D46" s="91" t="n">
        <x:v>100</x:v>
      </x:c>
      <x:c r="E46" s="91" t="n">
        <x:f>IF($D15=0,0,E15/$D15*100)</x:f>
        <x:v>94.85890993428683</x:v>
      </x:c>
      <x:c r="F46" s="91" t="n">
        <x:f>IF($D15=0,0,F15/$D15*100)</x:f>
        <x:v>88.53884808658678</x:v>
      </x:c>
      <x:c r="G46" s="91" t="n">
        <x:f>IF($D15=0,0,G15/$D15*100)</x:f>
        <x:v>130.6532663316583</x:v>
      </x:c>
      <x:c r="H46" s="91" t="n">
        <x:f>IF($D15=0,0,H15/$D15*100)</x:f>
        <x:v>107.46037881716275</x:v>
      </x:c>
      <x:c r="I46" s="91" t="n">
        <x:f>IF($D15=0,0,I15/$D15*100)</x:f>
        <x:v>104.56126787785081</x:v>
      </x:c>
      <x:c r="J46" s="91" t="n">
        <x:f>IF($D15=0,0,J15/$D15*100)</x:f>
        <x:v>89.15732508697334</x:v>
      </x:c>
      <x:c r="K46" s="91" t="n">
        <x:f>IF($D15=0,0,K15/$D15*100)</x:f>
        <x:v>100.88906068805568</x:v>
      </x:c>
      <x:c r="L46" s="91" t="n">
        <x:f>IF($D15=0,0,L15/$D15*100)</x:f>
        <x:v>87.14727483571704</x:v>
      </x:c>
      <x:c r="M46" s="91" t="n">
        <x:f>IF($D15=0,0,M15/$D15*100)</x:f>
        <x:v>95.0715114031697</x:v>
      </x:c>
      <x:c r="N46" s="91" t="n">
        <x:f>IF($D15=0,0,N15/$D15*100)</x:f>
        <x:v>73.98531117124082</x:v>
      </x:c>
      <x:c r="O46" s="91" t="n">
        <x:f>IF($D15=0,0,O15/$D15*100)</x:f>
        <x:v>103.11171240819483</x:v>
      </x:c>
      <x:c r="P46" s="91" t="n">
        <x:f>IF($D15=0,0,P15/$D15*100)</x:f>
        <x:v>62.29223038268265</x:v>
      </x:c>
    </x:row>
    <x:row r="47">
      <x:c r="A47" t="str">
        <x:v>Non-food</x:v>
      </x:c>
      <x:c r="B47" t="str">
        <x:v>Housing, Water, Electricity and Gas</x:v>
      </x:c>
      <x:c r="C47" t="str">
        <x:v>المسكن والمياه والكهرباء والغاز</x:v>
      </x:c>
      <x:c r="D47" s="91" t="n">
        <x:v>100</x:v>
      </x:c>
      <x:c r="E47" s="91" t="n">
        <x:f>IF($D16=0,0,E16/$D16*100)</x:f>
        <x:v>131.42416980486135</x:v>
      </x:c>
      <x:c r="F47" s="91" t="n">
        <x:f>IF($D16=0,0,F16/$D16*100)</x:f>
        <x:v>85.85758301951387</x:v>
      </x:c>
      <x:c r="G47" s="91" t="n">
        <x:f>IF($D16=0,0,G16/$D16*100)</x:f>
        <x:v>80.58883943854845</x:v>
      </x:c>
      <x:c r="H47" s="91" t="n">
        <x:f>IF($D16=0,0,H16/$D16*100)</x:f>
        <x:v>80.13351591920575</x:v>
      </x:c>
      <x:c r="I47" s="91" t="n">
        <x:f>IF($D16=0,0,I16/$D16*100)</x:f>
        <x:v>80.01369394043135</x:v>
      </x:c>
      <x:c r="J47" s="91" t="n">
        <x:f>IF($D16=0,0,J16/$D16*100)</x:f>
        <x:v>73.34474495035947</x:v>
      </x:c>
      <x:c r="K47" s="91" t="n">
        <x:f>IF($D16=0,0,K16/$D16*100)</x:f>
        <x:v>64.54638822321124</x:v>
      </x:c>
      <x:c r="L47" s="91" t="n">
        <x:f>IF($D16=0,0,L16/$D16*100)</x:f>
        <x:v>69.14412872304005</x:v>
      </x:c>
      <x:c r="M47" s="91" t="n">
        <x:f>IF($D16=0,0,M16/$D16*100)</x:f>
        <x:v>72.52310852447792</x:v>
      </x:c>
      <x:c r="N47" s="91" t="n">
        <x:f>IF($D16=0,0,N16/$D16*100)</x:f>
        <x:v>62.93050325231086</x:v>
      </x:c>
      <x:c r="O47" s="91" t="n">
        <x:f>IF($D16=0,0,O16/$D16*100)</x:f>
        <x:v>71.13659705580281</x:v>
      </x:c>
      <x:c r="P47" s="91" t="n">
        <x:f>IF($D16=0,0,P16/$D16*100)</x:f>
        <x:v>91.6706607326258</x:v>
      </x:c>
    </x:row>
    <x:row r="48">
      <x:c r="A48" t="str">
        <x:v>Non-food</x:v>
      </x:c>
      <x:c r="B48" t="str">
        <x:v>Furniture, Carpets and Placemats</x:v>
      </x:c>
      <x:c r="C48" t="str">
        <x:v>الأثاث والسجاد والمفارش</x:v>
      </x:c>
      <x:c r="D48" s="91" t="n">
        <x:v>100</x:v>
      </x:c>
      <x:c r="E48" s="91" t="n">
        <x:f>IF($D17=0,0,E17/$D17*100)</x:f>
        <x:v>95.1602765556254</x:v>
      </x:c>
      <x:c r="F48" s="91" t="n">
        <x:f>IF($D17=0,0,F17/$D17*100)</x:f>
        <x:v>73.53865493400377</x:v>
      </x:c>
      <x:c r="G48" s="91" t="n">
        <x:f>IF($D17=0,0,G17/$D17*100)</x:f>
        <x:v>104.52545568824641</x:v>
      </x:c>
      <x:c r="H48" s="91" t="n">
        <x:f>IF($D17=0,0,H17/$D17*100)</x:f>
        <x:v>76.11565053425518</x:v>
      </x:c>
      <x:c r="I48" s="91" t="n">
        <x:f>IF($D17=0,0,I17/$D17*100)</x:f>
        <x:v>141.16907605279698</x:v>
      </x:c>
      <x:c r="J48" s="91" t="n">
        <x:f>IF($D17=0,0,J17/$D17*100)</x:f>
        <x:v>71.52734129478316</x:v>
      </x:c>
      <x:c r="K48" s="91" t="n">
        <x:f>IF($D17=0,0,K17/$D17*100)</x:f>
        <x:v>67.94468887492144</x:v>
      </x:c>
      <x:c r="L48" s="91" t="n">
        <x:f>IF($D17=0,0,L17/$D17*100)</x:f>
        <x:v>101.2570710245129</x:v>
      </x:c>
      <x:c r="M48" s="91" t="n">
        <x:f>IF($D17=0,0,M17/$D17*100)</x:f>
        <x:v>93.84035197988688</x:v>
      </x:c>
      <x:c r="N48" s="91" t="n">
        <x:f>IF($D17=0,0,N17/$D17*100)</x:f>
        <x:v>65.24198617221873</x:v>
      </x:c>
      <x:c r="O48" s="91" t="n">
        <x:f>IF($D17=0,0,O17/$D17*100)</x:f>
        <x:v>108.73664362036455</x:v>
      </x:c>
      <x:c r="P48" s="91" t="n">
        <x:f>IF($D17=0,0,P17/$D17*100)</x:f>
        <x:v>47.5801382778127</x:v>
      </x:c>
    </x:row>
    <x:row r="49">
      <x:c r="A49" t="str">
        <x:v>Non-food</x:v>
      </x:c>
      <x:c r="B49" t="str">
        <x:v>Household appliances</x:v>
      </x:c>
      <x:c r="C49" t="str">
        <x:v>الأجهزة المنزلية</x:v>
      </x:c>
      <x:c r="D49" s="91" t="n">
        <x:v>100</x:v>
      </x:c>
      <x:c r="E49" s="91" t="n">
        <x:f>IF($D18=0,0,E18/$D18*100)</x:f>
        <x:v>88.4</x:v>
      </x:c>
      <x:c r="F49" s="91" t="n">
        <x:f>IF($D18=0,0,F18/$D18*100)</x:f>
        <x:v>69.5</x:v>
      </x:c>
      <x:c r="G49" s="91" t="n">
        <x:f>IF($D18=0,0,G18/$D18*100)</x:f>
        <x:v>97.1</x:v>
      </x:c>
      <x:c r="H49" s="91" t="n">
        <x:f>IF($D18=0,0,H18/$D18*100)</x:f>
        <x:v>74.4</x:v>
      </x:c>
      <x:c r="I49" s="91" t="n">
        <x:f>IF($D18=0,0,I18/$D18*100)</x:f>
        <x:v>155</x:v>
      </x:c>
      <x:c r="J49" s="91" t="n">
        <x:f>IF($D18=0,0,J18/$D18*100)</x:f>
        <x:v>90.6</x:v>
      </x:c>
      <x:c r="K49" s="91" t="n">
        <x:f>IF($D18=0,0,K18/$D18*100)</x:f>
        <x:v>95.8</x:v>
      </x:c>
      <x:c r="L49" s="91" t="n">
        <x:f>IF($D18=0,0,L18/$D18*100)</x:f>
        <x:v>137.9</x:v>
      </x:c>
      <x:c r="M49" s="91" t="n">
        <x:f>IF($D18=0,0,M18/$D18*100)</x:f>
        <x:v>77.2</x:v>
      </x:c>
      <x:c r="N49" s="91" t="n">
        <x:f>IF($D18=0,0,N18/$D18*100)</x:f>
        <x:v>37.6</x:v>
      </x:c>
      <x:c r="O49" s="91" t="n">
        <x:f>IF($D18=0,0,O18/$D18*100)</x:f>
        <x:v>93.6</x:v>
      </x:c>
      <x:c r="P49" s="91" t="n">
        <x:f>IF($D18=0,0,P18/$D18*100)</x:f>
        <x:v>59.3</x:v>
      </x:c>
    </x:row>
    <x:row r="50">
      <x:c r="A50" t="str">
        <x:v>Non-food</x:v>
      </x:c>
      <x:c r="B50" t="str">
        <x:v>Housewares</x:v>
      </x:c>
      <x:c r="C50" t="str">
        <x:v>الأدوات المنزلية</x:v>
      </x:c>
      <x:c r="D50" s="91" t="n">
        <x:v>100</x:v>
      </x:c>
      <x:c r="E50" s="91" t="n">
        <x:f>IF($D19=0,0,E19/$D19*100)</x:f>
        <x:v>71.3302752293578</x:v>
      </x:c>
      <x:c r="F50" s="91" t="n">
        <x:f>IF($D19=0,0,F19/$D19*100)</x:f>
        <x:v>91.05504587155964</x:v>
      </x:c>
      <x:c r="G50" s="91" t="n">
        <x:f>IF($D19=0,0,G19/$D19*100)</x:f>
        <x:v>166.9724770642202</x:v>
      </x:c>
      <x:c r="H50" s="91" t="n">
        <x:f>IF($D19=0,0,H19/$D19*100)</x:f>
        <x:v>104.58715596330275</x:v>
      </x:c>
      <x:c r="I50" s="91" t="n">
        <x:f>IF($D19=0,0,I19/$D19*100)</x:f>
        <x:v>134.8623853211009</x:v>
      </x:c>
      <x:c r="J50" s="91" t="n">
        <x:f>IF($D19=0,0,J19/$D19*100)</x:f>
        <x:v>79.12844036697247</x:v>
      </x:c>
      <x:c r="K50" s="91" t="n">
        <x:f>IF($D19=0,0,K19/$D19*100)</x:f>
        <x:v>94.03669724770643</x:v>
      </x:c>
      <x:c r="L50" s="91" t="n">
        <x:f>IF($D19=0,0,L19/$D19*100)</x:f>
        <x:v>109.63302752293578</x:v>
      </x:c>
      <x:c r="M50" s="91" t="n">
        <x:f>IF($D19=0,0,M19/$D19*100)</x:f>
        <x:v>110.55045871559632</x:v>
      </x:c>
      <x:c r="N50" s="91" t="n">
        <x:f>IF($D19=0,0,N19/$D19*100)</x:f>
        <x:v>63.53211009174311</x:v>
      </x:c>
      <x:c r="O50" s="91" t="n">
        <x:f>IF($D19=0,0,O19/$D19*100)</x:f>
        <x:v>62.15596330275229</x:v>
      </x:c>
      <x:c r="P50" s="91" t="n">
        <x:f>IF($D19=0,0,P19/$D19*100)</x:f>
        <x:v>44.03669724770642</x:v>
      </x:c>
    </x:row>
    <x:row r="51">
      <x:c r="A51" t="str">
        <x:v>Non-food</x:v>
      </x:c>
      <x:c r="B51" t="str">
        <x:v>Cleaning materials</x:v>
      </x:c>
      <x:c r="C51" t="str">
        <x:v>مواد التنظيف</x:v>
      </x:c>
      <x:c r="D51" s="91" t="n">
        <x:v>100</x:v>
      </x:c>
      <x:c r="E51" s="91" t="n">
        <x:f>IF($D20=0,0,E20/$D20*100)</x:f>
        <x:v>96.93877551020408</x:v>
      </x:c>
      <x:c r="F51" s="91" t="n">
        <x:f>IF($D20=0,0,F20/$D20*100)</x:f>
        <x:v>73.46938775510203</x:v>
      </x:c>
      <x:c r="G51" s="91" t="n">
        <x:f>IF($D20=0,0,G20/$D20*100)</x:f>
        <x:v>122.70408163265304</x:v>
      </x:c>
      <x:c r="H51" s="91" t="n">
        <x:f>IF($D20=0,0,H20/$D20*100)</x:f>
        <x:v>98.08673469387756</x:v>
      </x:c>
      <x:c r="I51" s="91" t="n">
        <x:f>IF($D20=0,0,I20/$D20*100)</x:f>
        <x:v>110.20408163265304</x:v>
      </x:c>
      <x:c r="J51" s="91" t="n">
        <x:f>IF($D20=0,0,J20/$D20*100)</x:f>
        <x:v>86.86224489795917</x:v>
      </x:c>
      <x:c r="K51" s="91" t="n">
        <x:f>IF($D20=0,0,K20/$D20*100)</x:f>
        <x:v>87.1173469387755</x:v>
      </x:c>
      <x:c r="L51" s="91" t="n">
        <x:f>IF($D20=0,0,L20/$D20*100)</x:f>
        <x:v>88.4566326530612</x:v>
      </x:c>
      <x:c r="M51" s="91" t="n">
        <x:f>IF($D20=0,0,M20/$D20*100)</x:f>
        <x:v>107.2066326530612</x:v>
      </x:c>
      <x:c r="N51" s="91" t="n">
        <x:f>IF($D20=0,0,N20/$D20*100)</x:f>
        <x:v>91.39030612244898</x:v>
      </x:c>
      <x:c r="O51" s="91" t="n">
        <x:f>IF($D20=0,0,O20/$D20*100)</x:f>
        <x:v>96.74744897959182</x:v>
      </x:c>
      <x:c r="P51" s="91" t="n">
        <x:f>IF($D20=0,0,P20/$D20*100)</x:f>
        <x:v>68.30357142857142</x:v>
      </x:c>
    </x:row>
    <x:row r="52">
      <x:c r="A52" t="str">
        <x:v>Non-food</x:v>
      </x:c>
      <x:c r="B52" t="str">
        <x:v>Domestic services</x:v>
      </x:c>
      <x:c r="C52" t="str">
        <x:v>خدمات المنازل</x:v>
      </x:c>
      <x:c r="D52" s="91" t="n">
        <x:v>100</x:v>
      </x:c>
      <x:c r="E52" s="91" t="n">
        <x:f>IF($D21=0,0,E21/$D21*100)</x:f>
        <x:v>195.18828451882843</x:v>
      </x:c>
      <x:c r="F52" s="91" t="n">
        <x:f>IF($D21=0,0,F21/$D21*100)</x:f>
        <x:v>83.19386331938632</x:v>
      </x:c>
      <x:c r="G52" s="91" t="n">
        <x:f>IF($D21=0,0,G21/$D21*100)</x:f>
        <x:v>40.86471408647141</x:v>
      </x:c>
      <x:c r="H52" s="91" t="n">
        <x:f>IF($D21=0,0,H21/$D21*100)</x:f>
        <x:v>44.76987447698745</x:v>
      </x:c>
      <x:c r="I52" s="91" t="n">
        <x:f>IF($D21=0,0,I21/$D21*100)</x:f>
        <x:v>25.59274755927476</x:v>
      </x:c>
      <x:c r="J52" s="91" t="n">
        <x:f>IF($D21=0,0,J21/$D21*100)</x:f>
        <x:v>3.2775453277545328</x:v>
      </x:c>
      <x:c r="K52" s="91" t="n">
        <x:f>IF($D21=0,0,K21/$D21*100)</x:f>
        <x:v>3.486750348675035</x:v>
      </x:c>
      <x:c r="L52" s="91" t="n">
        <x:f>IF($D21=0,0,L21/$D21*100)</x:f>
        <x:v>17.154811715481173</x:v>
      </x:c>
      <x:c r="M52" s="91" t="n">
        <x:f>IF($D21=0,0,M21/$D21*100)</x:f>
        <x:v>27.54532775453277</x:v>
      </x:c>
      <x:c r="N52" s="91" t="n">
        <x:f>IF($D21=0,0,N21/$D21*100)</x:f>
        <x:v>5.578800557880056</x:v>
      </x:c>
      <x:c r="O52" s="91" t="n">
        <x:f>IF($D21=0,0,O21/$D21*100)</x:f>
        <x:v>83.40306834030683</x:v>
      </x:c>
      <x:c r="P52" s="91" t="n">
        <x:f>IF($D21=0,0,P21/$D21*100)</x:f>
        <x:v>38.842398884239884</x:v>
      </x:c>
    </x:row>
    <x:row r="53">
      <x:c r="A53" t="str">
        <x:v>Non-food</x:v>
      </x:c>
      <x:c r="B53" t="str">
        <x:v>Health</x:v>
      </x:c>
      <x:c r="C53" t="str">
        <x:v>الصحة</x:v>
      </x:c>
      <x:c r="D53" s="91" t="n">
        <x:v>100</x:v>
      </x:c>
      <x:c r="E53" s="91" t="n">
        <x:f>IF($D22=0,0,E22/$D22*100)</x:f>
        <x:v>145.8641975308642</x:v>
      </x:c>
      <x:c r="F53" s="91" t="n">
        <x:f>IF($D22=0,0,F22/$D22*100)</x:f>
        <x:v>48.888888888888886</x:v>
      </x:c>
      <x:c r="G53" s="91" t="n">
        <x:f>IF($D22=0,0,G22/$D22*100)</x:f>
        <x:v>81.0082304526749</x:v>
      </x:c>
      <x:c r="H53" s="91" t="n">
        <x:f>IF($D22=0,0,H22/$D22*100)</x:f>
        <x:v>153.64197530864197</x:v>
      </x:c>
      <x:c r="I53" s="91" t="n">
        <x:f>IF($D22=0,0,I22/$D22*100)</x:f>
        <x:v>65.61728395061728</x:v>
      </x:c>
      <x:c r="J53" s="91" t="n">
        <x:f>IF($D22=0,0,J22/$D22*100)</x:f>
        <x:v>63.00411522633744</x:v>
      </x:c>
      <x:c r="K53" s="91" t="n">
        <x:f>IF($D22=0,0,K22/$D22*100)</x:f>
        <x:v>62.901234567901234</x:v>
      </x:c>
      <x:c r="L53" s="91" t="n">
        <x:f>IF($D22=0,0,L22/$D22*100)</x:f>
        <x:v>58.35390946502058</x:v>
      </x:c>
      <x:c r="M53" s="91" t="n">
        <x:f>IF($D22=0,0,M22/$D22*100)</x:f>
        <x:v>73.58024691358025</x:v>
      </x:c>
      <x:c r="N53" s="91" t="n">
        <x:f>IF($D22=0,0,N22/$D22*100)</x:f>
        <x:v>32.44855967078189</x:v>
      </x:c>
      <x:c r="O53" s="91" t="n">
        <x:f>IF($D22=0,0,O22/$D22*100)</x:f>
        <x:v>56.64609053497942</x:v>
      </x:c>
      <x:c r="P53" s="91" t="n">
        <x:f>IF($D22=0,0,P22/$D22*100)</x:f>
        <x:v>35.205761316872426</x:v>
      </x:c>
    </x:row>
    <x:row r="54">
      <x:c r="A54" t="str">
        <x:v>Non-food</x:v>
      </x:c>
      <x:c r="B54" t="str">
        <x:v>Transport</x:v>
      </x:c>
      <x:c r="C54" t="str">
        <x:v>النقل</x:v>
      </x:c>
      <x:c r="D54" s="91" t="n">
        <x:v>100</x:v>
      </x:c>
      <x:c r="E54" s="91" t="n">
        <x:f>IF($D23=0,0,E23/$D23*100)</x:f>
        <x:v>112.33884105189667</x:v>
      </x:c>
      <x:c r="F54" s="91" t="n">
        <x:f>IF($D23=0,0,F23/$D23*100)</x:f>
        <x:v>100.0372352804282</x:v>
      </x:c>
      <x:c r="G54" s="91" t="n">
        <x:f>IF($D23=0,0,G23/$D23*100)</x:f>
        <x:v>93.13939958110309</x:v>
      </x:c>
      <x:c r="H54" s="91" t="n">
        <x:f>IF($D23=0,0,H23/$D23*100)</x:f>
        <x:v>91.76169420525949</x:v>
      </x:c>
      <x:c r="I54" s="91" t="n">
        <x:f>IF($D23=0,0,I23/$D23*100)</x:f>
        <x:v>94.56830346753549</x:v>
      </x:c>
      <x:c r="J54" s="91" t="n">
        <x:f>IF($D23=0,0,J23/$D23*100)</x:f>
        <x:v>88.48498952757737</x:v>
      </x:c>
      <x:c r="K54" s="91" t="n">
        <x:f>IF($D23=0,0,K23/$D23*100)</x:f>
        <x:v>94.19595066325344</x:v>
      </x:c>
      <x:c r="L54" s="91" t="n">
        <x:f>IF($D23=0,0,L23/$D23*100)</x:f>
        <x:v>106.2787991622062</x:v>
      </x:c>
      <x:c r="M54" s="91" t="n">
        <x:f>IF($D23=0,0,M23/$D23*100)</x:f>
        <x:v>73.73981847800792</x:v>
      </x:c>
      <x:c r="N54" s="91" t="n">
        <x:f>IF($D23=0,0,N23/$D23*100)</x:f>
        <x:v>53.66534791715149</x:v>
      </x:c>
      <x:c r="O54" s="91" t="n">
        <x:f>IF($D23=0,0,O23/$D23*100)</x:f>
        <x:v>89.55550383988829</x:v>
      </x:c>
      <x:c r="P54" s="91" t="n">
        <x:f>IF($D23=0,0,P23/$D23*100)</x:f>
        <x:v>78.25459622992786</x:v>
      </x:c>
    </x:row>
    <x:row r="55">
      <x:c r="A55" t="str">
        <x:v>Non-food</x:v>
      </x:c>
      <x:c r="B55" t="str">
        <x:v>Communication</x:v>
      </x:c>
      <x:c r="C55" t="str">
        <x:v>الاتصالات</x:v>
      </x:c>
      <x:c r="D55" s="91" t="n">
        <x:v>100</x:v>
      </x:c>
      <x:c r="E55" s="91" t="n">
        <x:f>IF($D24=0,0,E24/$D24*100)</x:f>
        <x:v>115.7655093910074</x:v>
      </x:c>
      <x:c r="F55" s="91" t="n">
        <x:f>IF($D24=0,0,F24/$D24*100)</x:f>
        <x:v>98.77632327831533</x:v>
      </x:c>
      <x:c r="G55" s="91" t="n">
        <x:f>IF($D24=0,0,G24/$D24*100)</x:f>
        <x:v>94.45076835515083</x:v>
      </x:c>
      <x:c r="H55" s="91" t="n">
        <x:f>IF($D24=0,0,H24/$D24*100)</x:f>
        <x:v>82.52703471826979</x:v>
      </x:c>
      <x:c r="I55" s="91" t="n">
        <x:f>IF($D24=0,0,I24/$D24*100)</x:f>
        <x:v>96.15822424587364</x:v>
      </x:c>
      <x:c r="J55" s="91" t="n">
        <x:f>IF($D24=0,0,J24/$D24*100)</x:f>
        <x:v>76.1240751280592</x:v>
      </x:c>
      <x:c r="K55" s="91" t="n">
        <x:f>IF($D24=0,0,K24/$D24*100)</x:f>
        <x:v>73.67672168468981</x:v>
      </x:c>
      <x:c r="L55" s="91" t="n">
        <x:f>IF($D24=0,0,L24/$D24*100)</x:f>
        <x:v>82.24245873648265</x:v>
      </x:c>
      <x:c r="M55" s="91" t="n">
        <x:f>IF($D24=0,0,M24/$D24*100)</x:f>
        <x:v>80.9049516220831</x:v>
      </x:c>
      <x:c r="N55" s="91" t="n">
        <x:f>IF($D24=0,0,N24/$D24*100)</x:f>
        <x:v>75.69721115537848</x:v>
      </x:c>
      <x:c r="O55" s="91" t="n">
        <x:f>IF($D24=0,0,O24/$D24*100)</x:f>
        <x:v>69.77803073420603</x:v>
      </x:c>
      <x:c r="P55" s="91" t="n">
        <x:f>IF($D24=0,0,P24/$D24*100)</x:f>
        <x:v>71.20091064314173</x:v>
      </x:c>
    </x:row>
    <x:row r="56">
      <x:c r="A56" t="str">
        <x:v>Non-food</x:v>
      </x:c>
      <x:c r="B56" t="str">
        <x:v>Recreation and Culture</x:v>
      </x:c>
      <x:c r="C56" t="str">
        <x:v>الثقافة والترفيه</x:v>
      </x:c>
      <x:c r="D56" s="91" t="n">
        <x:v>100</x:v>
      </x:c>
      <x:c r="E56" s="91" t="n">
        <x:f>IF($D25=0,0,E25/$D25*100)</x:f>
        <x:v>120.2175883952856</x:v>
      </x:c>
      <x:c r="F56" s="91" t="n">
        <x:f>IF($D25=0,0,F25/$D25*100)</x:f>
        <x:v>82.56270776669689</x:v>
      </x:c>
      <x:c r="G56" s="91" t="n">
        <x:f>IF($D25=0,0,G25/$D25*100)</x:f>
        <x:v>77.39498337866426</x:v>
      </x:c>
      <x:c r="H56" s="91" t="n">
        <x:f>IF($D25=0,0,H25/$D25*100)</x:f>
        <x:v>107.31338773043217</x:v>
      </x:c>
      <x:c r="I56" s="91" t="n">
        <x:f>IF($D25=0,0,I25/$D25*100)</x:f>
        <x:v>102.68963433061349</x:v>
      </x:c>
      <x:c r="J56" s="91" t="n">
        <x:f>IF($D25=0,0,J25/$D25*100)</x:f>
        <x:v>79.41976427923845</x:v>
      </x:c>
      <x:c r="K56" s="91" t="n">
        <x:f>IF($D25=0,0,K25/$D25*100)</x:f>
        <x:v>69.9909338168631</x:v>
      </x:c>
      <x:c r="L56" s="91" t="n">
        <x:f>IF($D25=0,0,L25/$D25*100)</x:f>
        <x:v>89.18102145663343</x:v>
      </x:c>
      <x:c r="M56" s="91" t="n">
        <x:f>IF($D25=0,0,M25/$D25*100)</x:f>
        <x:v>85.37322453913569</x:v>
      </x:c>
      <x:c r="N56" s="91" t="n">
        <x:f>IF($D25=0,0,N25/$D25*100)</x:f>
        <x:v>33.242671501964345</x:v>
      </x:c>
      <x:c r="O56" s="91" t="n">
        <x:f>IF($D25=0,0,O25/$D25*100)</x:f>
        <x:v>110.81897854336657</x:v>
      </x:c>
      <x:c r="P56" s="91" t="n">
        <x:f>IF($D25=0,0,P25/$D25*100)</x:f>
        <x:v>33.393774554246</x:v>
      </x:c>
    </x:row>
    <x:row r="57">
      <x:c r="A57" t="str">
        <x:v>Non-food</x:v>
      </x:c>
      <x:c r="B57" t="str">
        <x:v>Education</x:v>
      </x:c>
      <x:c r="C57" t="str">
        <x:v>التعليم</x:v>
      </x:c>
      <x:c r="D57" s="91" t="n">
        <x:v>100</x:v>
      </x:c>
      <x:c r="E57" s="91" t="n">
        <x:f>IF($D26=0,0,E26/$D26*100)</x:f>
        <x:v>151.00207325501037</x:v>
      </x:c>
      <x:c r="F57" s="91" t="n">
        <x:f>IF($D26=0,0,F26/$D26*100)</x:f>
        <x:v>69.67864547339323</x:v>
      </x:c>
      <x:c r="G57" s="91" t="n">
        <x:f>IF($D26=0,0,G26/$D26*100)</x:f>
        <x:v>71.5272978576365</x:v>
      </x:c>
      <x:c r="H57" s="91" t="n">
        <x:f>IF($D26=0,0,H26/$D26*100)</x:f>
        <x:v>84.43331029716656</x:v>
      </x:c>
      <x:c r="I57" s="91" t="n">
        <x:f>IF($D26=0,0,I26/$D26*100)</x:f>
        <x:v>69.81686247408432</x:v>
      </x:c>
      <x:c r="J57" s="91" t="n">
        <x:f>IF($D26=0,0,J26/$D26*100)</x:f>
        <x:v>23.375950241879757</x:v>
      </x:c>
      <x:c r="K57" s="91" t="n">
        <x:f>IF($D26=0,0,K26/$D26*100)</x:f>
        <x:v>42.58811333794057</x:v>
      </x:c>
      <x:c r="L57" s="91" t="n">
        <x:f>IF($D26=0,0,L26/$D26*100)</x:f>
        <x:v>59.139599170698</x:v>
      </x:c>
      <x:c r="M57" s="91" t="n">
        <x:f>IF($D26=0,0,M26/$D26*100)</x:f>
        <x:v>72.25293711126469</x:v>
      </x:c>
      <x:c r="N57" s="91" t="n">
        <x:f>IF($D26=0,0,N26/$D26*100)</x:f>
        <x:v>28.40359364201797</x:v>
      </x:c>
      <x:c r="O57" s="91" t="n">
        <x:f>IF($D26=0,0,O26/$D26*100)</x:f>
        <x:v>31.997235659986178</x:v>
      </x:c>
      <x:c r="P57" s="91" t="n">
        <x:f>IF($D26=0,0,P26/$D26*100)</x:f>
        <x:v>108.74222529371113</x:v>
      </x:c>
    </x:row>
    <x:row r="58">
      <x:c r="A58" t="str">
        <x:v>Non-food</x:v>
      </x:c>
      <x:c r="B58" t="str">
        <x:v>Miscellaneous goods and services</x:v>
      </x:c>
      <x:c r="C58" t="str">
        <x:v>سلع وخدمات متنوعة</x:v>
      </x:c>
      <x:c r="D58" s="91" t="n">
        <x:v>100</x:v>
      </x:c>
      <x:c r="E58" s="91" t="n">
        <x:f>IF($D27=0,0,E27/$D27*100)</x:f>
        <x:v>102.6854983091307</x:v>
      </x:c>
      <x:c r="F58" s="91" t="n">
        <x:f>IF($D27=0,0,F27/$D27*100)</x:f>
        <x:v>78.8342948080366</x:v>
      </x:c>
      <x:c r="G58" s="91" t="n">
        <x:f>IF($D27=0,0,G27/$D27*100)</x:f>
        <x:v>108.31509846827134</x:v>
      </x:c>
      <x:c r="H58" s="91" t="n">
        <x:f>IF($D27=0,0,H27/$D27*100)</x:f>
        <x:v>89.39725482395066</x:v>
      </x:c>
      <x:c r="I58" s="91" t="n">
        <x:f>IF($D27=0,0,I27/$D27*100)</x:f>
        <x:v>113.86512830714143</x:v>
      </x:c>
      <x:c r="J58" s="91" t="n">
        <x:f>IF($D27=0,0,J27/$D27*100)</x:f>
        <x:v>83.62840660433658</x:v>
      </x:c>
      <x:c r="K58" s="91" t="n">
        <x:f>IF($D27=0,0,K27/$D27*100)</x:f>
        <x:v>78.43644320668392</x:v>
      </x:c>
      <x:c r="L58" s="91" t="n">
        <x:f>IF($D27=0,0,L27/$D27*100)</x:f>
        <x:v>92.91824149592203</x:v>
      </x:c>
      <x:c r="M58" s="91" t="n">
        <x:f>IF($D27=0,0,M27/$D27*100)</x:f>
        <x:v>97.63278297195147</x:v>
      </x:c>
      <x:c r="N58" s="91" t="n">
        <x:f>IF($D27=0,0,N27/$D27*100)</x:f>
        <x:v>66.67992838671175</x:v>
      </x:c>
      <x:c r="O58" s="91" t="n">
        <x:f>IF($D27=0,0,O27/$D27*100)</x:f>
        <x:v>86.29401233339965</x:v>
      </x:c>
      <x:c r="P58" s="91" t="n">
        <x:f>IF($D27=0,0,P27/$D27*100)</x:f>
        <x:v>64.88959618062464</x:v>
      </x:c>
    </x:row>
    <x:row r="59">
      <x:c r="A59" t="str">
        <x:v>Non-food</x:v>
      </x:c>
      <x:c r="B59" t="str">
        <x:v>Non-Food Groups Total</x:v>
      </x:c>
      <x:c r="C59" t="str">
        <x:v>إجمالي المجموعات غير الغذائية</x:v>
      </x:c>
      <x:c r="D59" s="91" t="n">
        <x:v>100</x:v>
      </x:c>
      <x:c r="E59" s="91" t="n">
        <x:f>IF($D28=0,0,E28/$D28*100)</x:f>
        <x:v>122.63258922223802</x:v>
      </x:c>
      <x:c r="F59" s="91" t="n">
        <x:f>IF($D28=0,0,F28/$D28*100)</x:f>
        <x:v>85.71140812360774</x:v>
      </x:c>
      <x:c r="G59" s="91" t="n">
        <x:f>IF($D28=0,0,G28/$D28*100)</x:f>
        <x:v>89.56111664059908</x:v>
      </x:c>
      <x:c r="H59" s="91" t="n">
        <x:f>IF($D28=0,0,H28/$D28*100)</x:f>
        <x:v>90.72941845585099</x:v>
      </x:c>
      <x:c r="I59" s="91" t="n">
        <x:f>IF($D28=0,0,I28/$D28*100)</x:f>
        <x:v>89.23171714299257</x:v>
      </x:c>
      <x:c r="J59" s="91" t="n">
        <x:f>IF($D28=0,0,J28/$D28*100)</x:f>
        <x:v>74.37437793260344</x:v>
      </x:c>
      <x:c r="K59" s="91" t="n">
        <x:f>IF($D28=0,0,K28/$D28*100)</x:f>
        <x:v>74.11251718090904</x:v>
      </x:c>
      <x:c r="L59" s="91" t="n">
        <x:f>IF($D28=0,0,L28/$D28*100)</x:f>
        <x:v>82.24441916678515</x:v>
      </x:c>
      <x:c r="M59" s="91" t="n">
        <x:f>IF($D28=0,0,M28/$D28*100)</x:f>
        <x:v>77.13991184416324</x:v>
      </x:c>
      <x:c r="N59" s="91" t="n">
        <x:f>IF($D28=0,0,N28/$D28*100)</x:f>
        <x:v>56.01568794729608</x:v>
      </x:c>
      <x:c r="O59" s="91" t="n">
        <x:f>IF($D28=0,0,O28/$D28*100)</x:f>
        <x:v>78.28451585383192</x:v>
      </x:c>
      <x:c r="P59" s="91" t="n">
        <x:f>IF($D28=0,0,P28/$D28*100)</x:f>
        <x:v>76.84842883548983</x:v>
      </x:c>
    </x:row>
    <x:row r="60">
      <x:c r="A60" t="str">
        <x:v>All</x:v>
      </x:c>
      <x:c r="B60" t="str">
        <x:v>Grand Total</x:v>
      </x:c>
      <x:c r="C60" t="str">
        <x:v>المجموع العام</x:v>
      </x:c>
      <x:c r="D60" s="91" t="n">
        <x:v>100</x:v>
      </x:c>
      <x:c r="E60" s="91" t="n">
        <x:f>IF($D29=0,0,E29/$D29*100)</x:f>
        <x:v>115.15579944565593</x:v>
      </x:c>
      <x:c r="F60" s="91" t="n">
        <x:f>IF($D29=0,0,F29/$D29*100)</x:f>
        <x:v>85.7715686979304</x:v>
      </x:c>
      <x:c r="G60" s="91" t="n">
        <x:f>IF($D29=0,0,G29/$D29*100)</x:f>
        <x:v>95.50693728882605</x:v>
      </x:c>
      <x:c r="H60" s="91" t="n">
        <x:f>IF($D29=0,0,H29/$D29*100)</x:f>
        <x:v>93.90860511370445</x:v>
      </x:c>
      <x:c r="I60" s="91" t="n">
        <x:f>IF($D29=0,0,I29/$D29*100)</x:f>
        <x:v>94.52685054276199</x:v>
      </x:c>
      <x:c r="J60" s="91" t="n">
        <x:f>IF($D29=0,0,J29/$D29*100)</x:f>
        <x:v>79.0898852172246</x:v>
      </x:c>
      <x:c r="K60" s="91" t="n">
        <x:f>IF($D29=0,0,K29/$D29*100)</x:f>
        <x:v>82.17312469547021</x:v>
      </x:c>
      <x:c r="L60" s="91" t="n">
        <x:f>IF($D29=0,0,L29/$D29*100)</x:f>
        <x:v>86.67976644061571</x:v>
      </x:c>
      <x:c r="M60" s="91" t="n">
        <x:f>IF($D29=0,0,M29/$D29*100)</x:f>
        <x:v>87.53125174730216</x:v>
      </x:c>
      <x:c r="N60" s="91" t="n">
        <x:f>IF($D29=0,0,N29/$D29*100)</x:f>
        <x:v>69.40164386187728</x:v>
      </x:c>
      <x:c r="O60" s="91" t="n">
        <x:f>IF($D29=0,0,O29/$D29*100)</x:f>
        <x:v>82.27776313372154</x:v>
      </x:c>
      <x:c r="P60" s="91" t="n">
        <x:f>IF($D29=0,0,P29/$D29*100)</x:f>
        <x:v>77.21118592892574</x:v>
      </x:c>
    </x:row>
  </x:sheetData>
  <x:mergeCells>
    <x:mergeCell ref="R1:T1"/>
  </x:mergeCells>
  <x:conditionalFormatting sqref="E33:P60">
    <x:cfRule type="colorScale" priority="1">
      <x:colorScale>
        <x:cfvo type="min"/>
        <x:cfvo type="percentile" val="50"/>
        <x:cfvo type="max"/>
        <x:color rgb="FFF8CBAD"/>
        <x:color rgb="FFFFF2CC"/>
        <x:color rgb="FFC6E0B4"/>
      </x:colorScale>
    </x:cfRule>
  </x:conditionalFormatting>
  <x:pageMargins left="0.7" right="0.7" top="0.75" bottom="0.75" header="0.3" footer="0.3"/>
  <x:tableParts count="2">
    <x:tablePart xmlns:r="http://schemas.openxmlformats.org/officeDocument/2006/relationships" r:id="R06139a8c355846ca"/>
    <x:tablePart xmlns:r="http://schemas.openxmlformats.org/officeDocument/2006/relationships" r:id="R98bac2167f8748d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6" hidden="0" customWidth="1"/>
    <x:col min="3" max="3" width="18" hidden="0" customWidth="1"/>
    <x:col min="4" max="4" width="48" hidden="0" customWidth="1"/>
    <x:col min="5" max="5" width="48" hidden="0" customWidth="1"/>
  </x:cols>
  <x:sheetData>
    <x:row r="1">
      <x:c r="A1" s="96" t="str">
        <x:v>Business / Project Type</x:v>
      </x:c>
      <x:c r="B1" s="96" t="str">
        <x:v>Demand Category</x:v>
      </x:c>
      <x:c r="C1" s="96" t="str">
        <x:v>Mapping Strength</x:v>
      </x:c>
      <x:c r="D1" s="96" t="str">
        <x:v>How to Use</x:v>
      </x:c>
      <x:c r="E1" s="96" t="str">
        <x:v>Limitation</x:v>
      </x:c>
    </x:row>
    <x:row r="2">
      <x:c r="A2" s="12" t="str">
        <x:v>Restaurant / Cafe</x:v>
      </x:c>
      <x:c r="B2" s="12" t="str">
        <x:v>Restaurants and Cafes</x:v>
      </x:c>
      <x:c r="C2" s="12" t="str">
        <x:v>Direct</x:v>
      </x:c>
      <x:c r="D2" s="12" t="str">
        <x:v>Use governorate spending index as historical demand proxy.</x:v>
      </x:c>
      <x:c r="E2" s="12" t="str">
        <x:v>2017 household expenditure; not current demand.</x:v>
      </x:c>
    </x:row>
    <x:row r="3">
      <x:c r="A3" s="12" t="str">
        <x:v>Coffee / Tea / Drinks retail</x:v>
      </x:c>
      <x:c r="B3" s="12" t="str">
        <x:v>Tea, Coffee and Cacao + Water and Soft drinks</x:v>
      </x:c>
      <x:c r="C3" s="12" t="str">
        <x:v>Broad proxy</x:v>
      </x:c>
      <x:c r="D3" s="12" t="str">
        <x:v>Use both beverage categories as demand context.</x:v>
      </x:c>
      <x:c r="E3" s="12" t="str">
        <x:v>Does not isolate coffee shops only.</x:v>
      </x:c>
    </x:row>
    <x:row r="4">
      <x:c r="A4" s="12" t="str">
        <x:v>Clothing / Footwear</x:v>
      </x:c>
      <x:c r="B4" s="12" t="str">
        <x:v>Clothing and Footwear</x:v>
      </x:c>
      <x:c r="C4" s="12" t="str">
        <x:v>Direct</x:v>
      </x:c>
      <x:c r="D4" s="12" t="str">
        <x:v>Use spending by governorate.</x:v>
      </x:c>
      <x:c r="E4" s="12" t="str">
        <x:v>2017 historical benchmark.</x:v>
      </x:c>
    </x:row>
    <x:row r="5">
      <x:c r="A5" s="12" t="str">
        <x:v>Grocery / Food retail</x:v>
      </x:c>
      <x:c r="B5" s="12" t="str">
        <x:v>Food Groups Total</x:v>
      </x:c>
      <x:c r="C5" s="12" t="str">
        <x:v>Broad proxy</x:v>
      </x:c>
      <x:c r="D5" s="12" t="str">
        <x:v>Use overall food spending; refine by product category when possible.</x:v>
      </x:c>
      <x:c r="E5" s="12" t="str">
        <x:v>Includes home food consumption, not store format.</x:v>
      </x:c>
    </x:row>
    <x:row r="6">
      <x:c r="A6" s="12" t="str">
        <x:v>Meat / Poultry shop</x:v>
      </x:c>
      <x:c r="B6" s="12" t="str">
        <x:v>Meats and Poultry</x:v>
      </x:c>
      <x:c r="C6" s="12" t="str">
        <x:v>Direct</x:v>
      </x:c>
      <x:c r="D6" s="12" t="str">
        <x:v>Use category spending by governorate.</x:v>
      </x:c>
      <x:c r="E6" s="12" t="str">
        <x:v>Household expenditure, not business revenue.</x:v>
      </x:c>
    </x:row>
    <x:row r="7">
      <x:c r="A7" s="12" t="str">
        <x:v>Dairy / Cheese / Eggs</x:v>
      </x:c>
      <x:c r="B7" s="12" t="str">
        <x:v>Dairy, Cheese and Eggs</x:v>
      </x:c>
      <x:c r="C7" s="12" t="str">
        <x:v>Direct</x:v>
      </x:c>
      <x:c r="D7" s="12" t="str">
        <x:v>Use category spending by governorate.</x:v>
      </x:c>
      <x:c r="E7" s="12" t="str">
        <x:v>Historical.</x:v>
      </x:c>
    </x:row>
    <x:row r="8">
      <x:c r="A8" s="12" t="str">
        <x:v>Fruit / Nuts store</x:v>
      </x:c>
      <x:c r="B8" s="12" t="str">
        <x:v>Fruits and Nuts</x:v>
      </x:c>
      <x:c r="C8" s="12" t="str">
        <x:v>Direct</x:v>
      </x:c>
      <x:c r="D8" s="12" t="str">
        <x:v>Use category spending by governorate.</x:v>
      </x:c>
      <x:c r="E8" s="12" t="str">
        <x:v>Historical.</x:v>
      </x:c>
    </x:row>
    <x:row r="9">
      <x:c r="A9" s="12" t="str">
        <x:v>Vegetables / Legumes store</x:v>
      </x:c>
      <x:c r="B9" s="12" t="str">
        <x:v>Vegetables and legumes</x:v>
      </x:c>
      <x:c r="C9" s="12" t="str">
        <x:v>Direct</x:v>
      </x:c>
      <x:c r="D9" s="12" t="str">
        <x:v>Use category spending by governorate.</x:v>
      </x:c>
      <x:c r="E9" s="12" t="str">
        <x:v>Historical.</x:v>
      </x:c>
    </x:row>
    <x:row r="10">
      <x:c r="A10" s="12" t="str">
        <x:v>Furniture / Carpets</x:v>
      </x:c>
      <x:c r="B10" s="12" t="str">
        <x:v>Furniture, Carpets and Placemats</x:v>
      </x:c>
      <x:c r="C10" s="12" t="str">
        <x:v>Direct</x:v>
      </x:c>
      <x:c r="D10" s="12" t="str">
        <x:v>Use category spending by governorate.</x:v>
      </x:c>
      <x:c r="E10" s="12" t="str">
        <x:v>Historical.</x:v>
      </x:c>
    </x:row>
    <x:row r="11">
      <x:c r="A11" s="12" t="str">
        <x:v>Home appliances</x:v>
      </x:c>
      <x:c r="B11" s="12" t="str">
        <x:v>Household appliances</x:v>
      </x:c>
      <x:c r="C11" s="12" t="str">
        <x:v>Direct</x:v>
      </x:c>
      <x:c r="D11" s="12" t="str">
        <x:v>Use category spending by governorate.</x:v>
      </x:c>
      <x:c r="E11" s="12" t="str">
        <x:v>Historical.</x:v>
      </x:c>
    </x:row>
    <x:row r="12">
      <x:c r="A12" s="12" t="str">
        <x:v>Housewares</x:v>
      </x:c>
      <x:c r="B12" s="12" t="str">
        <x:v>Housewares</x:v>
      </x:c>
      <x:c r="C12" s="12" t="str">
        <x:v>Direct</x:v>
      </x:c>
      <x:c r="D12" s="12" t="str">
        <x:v>Use category spending by governorate.</x:v>
      </x:c>
      <x:c r="E12" s="12" t="str">
        <x:v>Historical.</x:v>
      </x:c>
    </x:row>
    <x:row r="13">
      <x:c r="A13" s="12" t="str">
        <x:v>Cleaning products</x:v>
      </x:c>
      <x:c r="B13" s="12" t="str">
        <x:v>Cleaning materials</x:v>
      </x:c>
      <x:c r="C13" s="12" t="str">
        <x:v>Direct</x:v>
      </x:c>
      <x:c r="D13" s="12" t="str">
        <x:v>Use category spending by governorate.</x:v>
      </x:c>
      <x:c r="E13" s="12" t="str">
        <x:v>Historical.</x:v>
      </x:c>
    </x:row>
    <x:row r="14">
      <x:c r="A14" s="12" t="str">
        <x:v>Education services</x:v>
      </x:c>
      <x:c r="B14" s="12" t="str">
        <x:v>Education</x:v>
      </x:c>
      <x:c r="C14" s="12" t="str">
        <x:v>Broad proxy</x:v>
      </x:c>
      <x:c r="D14" s="12" t="str">
        <x:v>Use education spending as demand context.</x:v>
      </x:c>
      <x:c r="E14" s="12" t="str">
        <x:v>Includes multiple education expenses, not one service type.</x:v>
      </x:c>
    </x:row>
    <x:row r="15">
      <x:c r="A15" s="12" t="str">
        <x:v>Recreation / Entertainment</x:v>
      </x:c>
      <x:c r="B15" s="12" t="str">
        <x:v>Recreation and Culture</x:v>
      </x:c>
      <x:c r="C15" s="12" t="str">
        <x:v>Broad proxy</x:v>
      </x:c>
      <x:c r="D15" s="12" t="str">
        <x:v>Use category spending by governorate.</x:v>
      </x:c>
      <x:c r="E15" s="12" t="str">
        <x:v>Broad category.</x:v>
      </x:c>
    </x:row>
    <x:row r="16">
      <x:c r="A16" s="12" t="str">
        <x:v>Health-related services</x:v>
      </x:c>
      <x:c r="B16" s="12" t="str">
        <x:v>Health</x:v>
      </x:c>
      <x:c r="C16" s="12" t="str">
        <x:v>Broad proxy</x:v>
      </x:c>
      <x:c r="D16" s="12" t="str">
        <x:v>Use health spending as context only.</x:v>
      </x:c>
      <x:c r="E16" s="12" t="str">
        <x:v>Not suitable for clinical demand forecasting.</x:v>
      </x:c>
    </x:row>
    <x:row r="17">
      <x:c r="A17" s="12" t="str">
        <x:v>Telecom / Communication</x:v>
      </x:c>
      <x:c r="B17" s="12" t="str">
        <x:v>Communication</x:v>
      </x:c>
      <x:c r="C17" s="12" t="str">
        <x:v>Broad proxy</x:v>
      </x:c>
      <x:c r="D17" s="12" t="str">
        <x:v>Use communication spending as context.</x:v>
      </x:c>
      <x:c r="E17" s="12" t="str">
        <x:v>Broad category.</x:v>
      </x:c>
    </x:row>
    <x:row r="18">
      <x:c r="A18" s="12" t="str">
        <x:v>Cosmetics / Personal care</x:v>
      </x:c>
      <x:c r="B18" s="12" t="str">
        <x:v>Miscellaneous goods and services</x:v>
      </x:c>
      <x:c r="C18" s="12" t="str">
        <x:v>Weak proxy</x:v>
      </x:c>
      <x:c r="D18" s="12" t="str">
        <x:v>Use only as fallback; avoid strong ranking claims.</x:v>
      </x:c>
      <x:c r="E18" s="12" t="str">
        <x:v>No direct cosmetics category in Table 4.6.</x:v>
      </x:c>
    </x:row>
  </x:sheetData>
  <x:pageMargins left="0.7" right="0.7" top="0.75" bottom="0.75" header="0.3" footer="0.3"/>
  <x:tableParts count="1">
    <x:tablePart xmlns:r="http://schemas.openxmlformats.org/officeDocument/2006/relationships" r:id="R5b46f56b576148d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95" hidden="0" customWidth="1"/>
    <x:col min="3" max="3" width="20" hidden="0" customWidth="1"/>
    <x:col min="4" max="4" width="18" hidden="0" customWidth="1"/>
    <x:col min="5" max="5" width="27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35" hidden="0" customWidth="1"/>
    <x:col min="11" max="11" width="62" hidden="0" customWidth="1"/>
    <x:col min="12" max="12" width="12" hidden="0" customWidth="1"/>
    <x:col min="13" max="13" width="19" hidden="0" customWidth="1"/>
    <x:col min="14" max="14" width="17" hidden="0" customWidth="1"/>
    <x:col min="15" max="15" width="23" hidden="0" customWidth="1"/>
    <x:col min="16" max="16" width="21" hidden="0" customWidth="1"/>
    <x:col min="17" max="17" width="14" hidden="0" customWidth="1"/>
  </x:cols>
  <x:sheetData>
    <x:row r="1">
      <x:c r="A1" s="103" t="str">
        <x:v>Location Recommendation Model v1 — Equal-Weight Baseline</x:v>
      </x:c>
    </x:row>
    <x:row r="3">
      <x:c r="A3" s="106" t="str">
        <x:v>Selected ISIC Code</x:v>
      </x:c>
      <x:c r="B3" s="108" t="str">
        <x:v>5610</x:v>
      </x:c>
      <x:c r="D3" s="113" t="str">
        <x:v>Scenario</x:v>
      </x:c>
      <x:c r="E3" s="113" t="str">
        <x:v>Market Size</x:v>
      </x:c>
      <x:c r="F3" s="113" t="str">
        <x:v>Demand</x:v>
      </x:c>
      <x:c r="G3" s="113" t="str">
        <x:v>Competition Opportunity</x:v>
      </x:c>
      <x:c r="H3" s="113" t="str">
        <x:v>Registration Trend</x:v>
      </x:c>
      <x:c r="J3" s="120" t="str">
        <x:v>Baseline: 25% for each factor. The two alternative scenarios are sensitivity stress tests only. All four indicators are normalized to 0–100 across the 12 governorates. This is a location-suitability score, not a probability of business success.</x:v>
      </x:c>
    </x:row>
    <x:row r="4">
      <x:c r="A4" s="106" t="str">
        <x:v>Selected Activity</x:v>
      </x:c>
      <x:c r="B4" s="108" t="str">
        <x:f>IFERROR(VLOOKUP(B3,'Table4 Structured'!$A$2:$R$500,2,FALSE),"Select a valid ISIC code")</x:f>
        <x:v>Restaurants and mobile food service activities</x:v>
      </x:c>
      <x:c r="D4" s="115" t="str">
        <x:v>Equal weights</x:v>
      </x:c>
      <x:c r="E4" s="116" t="n">
        <x:v>0.25</x:v>
      </x:c>
      <x:c r="F4" s="116" t="n">
        <x:v>0.25</x:v>
      </x:c>
      <x:c r="G4" s="116" t="n">
        <x:v>0.25</x:v>
      </x:c>
      <x:c r="H4" s="116" t="n">
        <x:v>0.25</x:v>
      </x:c>
    </x:row>
    <x:row r="5">
      <x:c r="A5" s="106" t="str">
        <x:v>Selected Demand Category</x:v>
      </x:c>
      <x:c r="B5" s="108" t="str">
        <x:v>Restaurants and Cafes</x:v>
      </x:c>
      <x:c r="D5" s="115" t="str">
        <x:v>Demand-heavy stress test</x:v>
      </x:c>
      <x:c r="E5" s="116" t="n">
        <x:v>0.2</x:v>
      </x:c>
      <x:c r="F5" s="116" t="n">
        <x:v>0.4</x:v>
      </x:c>
      <x:c r="G5" s="116" t="n">
        <x:v>0.25</x:v>
      </x:c>
      <x:c r="H5" s="116" t="n">
        <x:v>0.15</x:v>
      </x:c>
    </x:row>
    <x:row r="6">
      <x:c r="D6" s="115" t="str">
        <x:v>Competition-heavy stress test</x:v>
      </x:c>
      <x:c r="E6" s="116" t="n">
        <x:v>0.2</x:v>
      </x:c>
      <x:c r="F6" s="116" t="n">
        <x:v>0.25</x:v>
      </x:c>
      <x:c r="G6" s="116" t="n">
        <x:v>0.4</x:v>
      </x:c>
      <x:c r="H6" s="116" t="n">
        <x:v>0.15</x:v>
      </x:c>
    </x:row>
    <x:row r="8">
      <x:c r="A8" s="125" t="str">
        <x:v>Governorate</x:v>
      </x:c>
      <x:c r="B8" s="125" t="str">
        <x:v>Population 2025</x:v>
      </x:c>
      <x:c r="C8" s="125" t="str">
        <x:v>Similar Businesses 2018</x:v>
      </x:c>
      <x:c r="D8" s="125" t="str">
        <x:v>Businesses / 10k</x:v>
      </x:c>
      <x:c r="E8" s="125" t="str">
        <x:v>Historical Demand Spend 2017 (JD/HH/yr)</x:v>
      </x:c>
      <x:c r="F8" s="125" t="str">
        <x:v>H1 Registration Growth 2023→2024</x:v>
      </x:c>
      <x:c r="G8" s="125" t="str">
        <x:v>Market Score</x:v>
      </x:c>
      <x:c r="H8" s="125" t="str">
        <x:v>Demand Score</x:v>
      </x:c>
      <x:c r="I8" s="125" t="str">
        <x:v>Competition Opportunity Score</x:v>
      </x:c>
      <x:c r="J8" s="125" t="str">
        <x:v>Trend Score</x:v>
      </x:c>
      <x:c r="K8" s="125" t="str">
        <x:v>Equal Score</x:v>
      </x:c>
      <x:c r="L8" s="125" t="str">
        <x:v>Equal Rank</x:v>
      </x:c>
      <x:c r="M8" s="125" t="str">
        <x:v>Demand-heavy Score</x:v>
      </x:c>
      <x:c r="N8" s="125" t="str">
        <x:v>Demand-heavy Rank</x:v>
      </x:c>
      <x:c r="O8" s="125" t="str">
        <x:v>Competition-heavy Score</x:v>
      </x:c>
      <x:c r="P8" s="125" t="str">
        <x:v>Competition-heavy Rank</x:v>
      </x:c>
      <x:c r="Q8" s="125" t="str">
        <x:v>Rank Spread</x:v>
      </x:c>
    </x:row>
    <x:row r="9">
      <x:c r="A9" s="12" t="str">
        <x:v>عمان</x:v>
      </x:c>
      <x:c r="B9" s="14" t="n">
        <x:f>VLOOKUP(A9,'Governorate Master'!$A$2:$Q$13,3,FALSE)</x:f>
        <x:v>5004600</x:v>
      </x:c>
      <x:c r="C9" s="14" t="n">
        <x:f>IFERROR(INDEX('Table4 Structured'!$D$2:$O$500,MATCH($B$3,'Table4 Structured'!$A$2:$A$500,0),MATCH(VLOOKUP(A9,'Governorate Master'!$A$2:$B$13,2,FALSE),'Table4 Structured'!$D$1:$O$1,0)),0)</x:f>
        <x:v>2680</x:v>
      </x:c>
      <x:c r="D9" s="66" t="n">
        <x:f>IF(B9=0,0,C9/B9*10000)</x:f>
        <x:v>5.35507333253407</x:v>
      </x:c>
      <x:c r="E9" s="84" t="n">
        <x:f>IFERROR(INDEX('Demand Proxy 2017'!$E$2:$P$100,MATCH($B$5,'Demand Proxy 2017'!$B$2:$B$100,0),MATCH(A9,'Demand Proxy 2017'!$E$1:$P$1,0)),0)</x:f>
        <x:v>255.1</x:v>
      </x:c>
      <x:c r="F9" s="20" t="n">
        <x:f>VLOOKUP(A9,'Governorate Master'!$A$2:$Q$13,15,FALSE)</x:f>
        <x:v>0.06367041198501873</x:v>
      </x:c>
      <x:c r="G9" s="67" t="n">
        <x:f>IF(MAX($B$9:$B$20)=MIN($B$9:$B$20),50,(B9-MIN($B$9:$B$20))/(MAX($B$9:$B$20)-MIN($B$9:$B$20))*100)</x:f>
        <x:v>100</x:v>
      </x:c>
      <x:c r="H9" s="67" t="n">
        <x:f>IF(MAX($E$9:$E$20)=MIN($E$9:$E$20),50,(E9-MIN($E$9:$E$20))/(MAX($E$9:$E$20)-MIN($E$9:$E$20))*100)</x:f>
        <x:v>61.86046511627906</x:v>
      </x:c>
      <x:c r="I9" s="67" t="n">
        <x:f>IF(MAX($D$9:$D$20)=MIN($D$9:$D$20),50,(MAX($D$9:$D$20)-D9)/(MAX($D$9:$D$20)-MIN($D$9:$D$20))*100)</x:f>
        <x:v>62.20281984953109</x:v>
      </x:c>
      <x:c r="J9" s="67" t="n">
        <x:f>IF(MAX($F$9:$F$20)=MIN($F$9:$F$20),50,(F9-MIN($F$9:$F$20))/(MAX($F$9:$F$20)-MIN($F$9:$F$20))*100)</x:f>
        <x:v>67.57868651410985</x:v>
      </x:c>
      <x:c r="K9" s="67" t="n">
        <x:f>G9*$E$4+H9*$F$4+I9*$G$4+J9*$H$4</x:f>
        <x:v>72.91049286998</x:v>
      </x:c>
      <x:c r="L9" s="60" t="n">
        <x:f>1+COUNTIF($K$9:$K$20,"&gt;"&amp;K9)</x:f>
        <x:v>1</x:v>
      </x:c>
      <x:c r="M9" s="67" t="n">
        <x:f>G9*$E$5+H9*$F$5+I9*$G$5+J9*$H$5</x:f>
        <x:v>70.43169398601088</x:v>
      </x:c>
      <x:c r="N9" s="60" t="n">
        <x:f>1+COUNTIF($M$9:$M$20,"&gt;"&amp;M9)</x:f>
        <x:v>1</x:v>
      </x:c>
      <x:c r="O9" s="67" t="n">
        <x:f>G9*$E$6+H9*$F$6+I9*$G$6+J9*$H$6</x:f>
        <x:v>70.48304719599868</x:v>
      </x:c>
      <x:c r="P9" s="60" t="n">
        <x:f>1+COUNTIF($O$9:$O$20,"&gt;"&amp;O9)</x:f>
        <x:v>1</x:v>
      </x:c>
      <x:c r="Q9" s="60" t="n">
        <x:f>MAX(L9,N9,P9)-MIN(L9,N9,P9)</x:f>
        <x:v>0</x:v>
      </x:c>
    </x:row>
    <x:row r="10">
      <x:c r="A10" s="12" t="str">
        <x:v>البلقاء</x:v>
      </x:c>
      <x:c r="B10" s="14" t="n">
        <x:f>VLOOKUP(A10,'Governorate Master'!$A$2:$Q$13,3,FALSE)</x:f>
        <x:v>614000</x:v>
      </x:c>
      <x:c r="C10" s="14" t="n">
        <x:f>IFERROR(INDEX('Table4 Structured'!$D$2:$O$500,MATCH($B$3,'Table4 Structured'!$A$2:$A$500,0),MATCH(VLOOKUP(A10,'Governorate Master'!$A$2:$B$13,2,FALSE),'Table4 Structured'!$D$1:$O$1,0)),0)</x:f>
        <x:v>483</x:v>
      </x:c>
      <x:c r="D10" s="66" t="n">
        <x:f>IF(B10=0,0,C10/B10*10000)</x:f>
        <x:v>7.866449511400651</x:v>
      </x:c>
      <x:c r="E10" s="84" t="n">
        <x:f>IFERROR(INDEX('Demand Proxy 2017'!$E$2:$P$100,MATCH($B$5,'Demand Proxy 2017'!$B$2:$B$100,0),MATCH(A10,'Demand Proxy 2017'!$E$1:$P$1,0)),0)</x:f>
        <x:v>141.2</x:v>
      </x:c>
      <x:c r="F10" s="20" t="n">
        <x:f>VLOOKUP(A10,'Governorate Master'!$A$2:$Q$13,15,FALSE)</x:f>
        <x:v>0.10794044665012408</x:v>
      </x:c>
      <x:c r="G10" s="67" t="n">
        <x:f>IF(MAX($B$9:$B$20)=MIN($B$9:$B$20),50,(B10-MIN($B$9:$B$20))/(MAX($B$9:$B$20)-MIN($B$9:$B$20))*100)</x:f>
        <x:v>10.107896730340068</x:v>
      </x:c>
      <x:c r="H10" s="67" t="n">
        <x:f>IF(MAX($E$9:$E$20)=MIN($E$9:$E$20),50,(E10-MIN($E$9:$E$20))/(MAX($E$9:$E$20)-MIN($E$9:$E$20))*100)</x:f>
        <x:v>21.109123434704824</x:v>
      </x:c>
      <x:c r="I10" s="67" t="n">
        <x:f>IF(MAX($D$9:$D$20)=MIN($D$9:$D$20),50,(MAX($D$9:$D$20)-D10)/(MAX($D$9:$D$20)-MIN($D$9:$D$20))*100)</x:f>
        <x:v>15.896460123601994</x:v>
      </x:c>
      <x:c r="J10" s="67" t="n">
        <x:f>IF(MAX($F$9:$F$20)=MIN($F$9:$F$20),50,(F10-MIN($F$9:$F$20))/(MAX($F$9:$F$20)-MIN($F$9:$F$20))*100)</x:f>
        <x:v>79.45499865045598</x:v>
      </x:c>
      <x:c r="K10" s="67" t="n">
        <x:f>G10*$E$4+H10*$F$4+I10*$G$4+J10*$H$4</x:f>
        <x:v>31.642119734775715</x:v>
      </x:c>
      <x:c r="L10" s="60" t="n">
        <x:f>1+COUNTIF($K$9:$K$20,"&gt;"&amp;K10)</x:f>
        <x:v>6</x:v>
      </x:c>
      <x:c r="M10" s="67" t="n">
        <x:f>G10*$E$5+H10*$F$5+I10*$G$5+J10*$H$5</x:f>
        <x:v>26.35759354841884</x:v>
      </x:c>
      <x:c r="N10" s="60" t="n">
        <x:f>1+COUNTIF($M$9:$M$20,"&gt;"&amp;M10)</x:f>
        <x:v>9</x:v>
      </x:c>
      <x:c r="O10" s="67" t="n">
        <x:f>G10*$E$6+H10*$F$6+I10*$G$6+J10*$H$6</x:f>
        <x:v>25.575694051753413</x:v>
      </x:c>
      <x:c r="P10" s="60" t="n">
        <x:f>1+COUNTIF($O$9:$O$20,"&gt;"&amp;O10)</x:f>
        <x:v>9</x:v>
      </x:c>
      <x:c r="Q10" s="60" t="n">
        <x:f>MAX(L10,N10,P10)-MIN(L10,N10,P10)</x:f>
        <x:v>3</x:v>
      </x:c>
    </x:row>
    <x:row r="11">
      <x:c r="A11" s="12" t="str">
        <x:v>الزرقاء</x:v>
      </x:c>
      <x:c r="B11" s="14" t="n">
        <x:f>VLOOKUP(A11,'Governorate Master'!$A$2:$Q$13,3,FALSE)</x:f>
        <x:v>1704500</x:v>
      </x:c>
      <x:c r="C11" s="14" t="n">
        <x:f>IFERROR(INDEX('Table4 Structured'!$D$2:$O$500,MATCH($B$3,'Table4 Structured'!$A$2:$A$500,0),MATCH(VLOOKUP(A11,'Governorate Master'!$A$2:$B$13,2,FALSE),'Table4 Structured'!$D$1:$O$1,0)),0)</x:f>
        <x:v>876</x:v>
      </x:c>
      <x:c r="D11" s="66" t="n">
        <x:f>IF(B11=0,0,C11/B11*10000)</x:f>
        <x:v>5.139337048987973</x:v>
      </x:c>
      <x:c r="E11" s="84" t="n">
        <x:f>IFERROR(INDEX('Demand Proxy 2017'!$E$2:$P$100,MATCH($B$5,'Demand Proxy 2017'!$B$2:$B$100,0),MATCH(A11,'Demand Proxy 2017'!$E$1:$P$1,0)),0)</x:f>
        <x:v>361.7</x:v>
      </x:c>
      <x:c r="F11" s="20" t="n">
        <x:f>VLOOKUP(A11,'Governorate Master'!$A$2:$Q$13,15,FALSE)</x:f>
        <x:v>-0.06808762581409118</x:v>
      </x:c>
      <x:c r="G11" s="67" t="n">
        <x:f>IF(MAX($B$9:$B$20)=MIN($B$9:$B$20),50,(B11-MIN($B$9:$B$20))/(MAX($B$9:$B$20)-MIN($B$9:$B$20))*100)</x:f>
        <x:v>32.43453514321397</x:v>
      </x:c>
      <x:c r="H11" s="67" t="n">
        <x:f>IF(MAX($E$9:$E$20)=MIN($E$9:$E$20),50,(E11-MIN($E$9:$E$20))/(MAX($E$9:$E$20)-MIN($E$9:$E$20))*100)</x:f>
        <x:v>100</x:v>
      </x:c>
      <x:c r="I11" s="67" t="n">
        <x:f>IF(MAX($D$9:$D$20)=MIN($D$9:$D$20),50,(MAX($D$9:$D$20)-D11)/(MAX($D$9:$D$20)-MIN($D$9:$D$20))*100)</x:f>
        <x:v>66.18070338441801</x:v>
      </x:c>
      <x:c r="J11" s="67" t="n">
        <x:f>IF(MAX($F$9:$F$20)=MIN($F$9:$F$20),50,(F11-MIN($F$9:$F$20))/(MAX($F$9:$F$20)-MIN($F$9:$F$20))*100)</x:f>
        <x:v>32.23198766437682</x:v>
      </x:c>
      <x:c r="K11" s="67" t="n">
        <x:f>G11*$E$4+H11*$F$4+I11*$G$4+J11*$H$4</x:f>
        <x:v>57.711806548002194</x:v>
      </x:c>
      <x:c r="L11" s="60" t="n">
        <x:f>1+COUNTIF($K$9:$K$20,"&gt;"&amp;K11)</x:f>
        <x:v>2</x:v>
      </x:c>
      <x:c r="M11" s="67" t="n">
        <x:f>G11*$E$5+H11*$F$5+I11*$G$5+J11*$H$5</x:f>
        <x:v>67.86688102440382</x:v>
      </x:c>
      <x:c r="N11" s="60" t="n">
        <x:f>1+COUNTIF($M$9:$M$20,"&gt;"&amp;M11)</x:f>
        <x:v>2</x:v>
      </x:c>
      <x:c r="O11" s="67" t="n">
        <x:f>G11*$E$6+H11*$F$6+I11*$G$6+J11*$H$6</x:f>
        <x:v>62.79398653206652</x:v>
      </x:c>
      <x:c r="P11" s="60" t="n">
        <x:f>1+COUNTIF($O$9:$O$20,"&gt;"&amp;O11)</x:f>
        <x:v>2</x:v>
      </x:c>
      <x:c r="Q11" s="60" t="n">
        <x:f>MAX(L11,N11,P11)-MIN(L11,N11,P11)</x:f>
        <x:v>0</x:v>
      </x:c>
    </x:row>
    <x:row r="12">
      <x:c r="A12" s="12" t="str">
        <x:v>مادبا</x:v>
      </x:c>
      <x:c r="B12" s="14" t="n">
        <x:f>VLOOKUP(A12,'Governorate Master'!$A$2:$Q$13,3,FALSE)</x:f>
        <x:v>236200</x:v>
      </x:c>
      <x:c r="C12" s="14" t="n">
        <x:f>IFERROR(INDEX('Table4 Structured'!$D$2:$O$500,MATCH($B$3,'Table4 Structured'!$A$2:$A$500,0),MATCH(VLOOKUP(A12,'Governorate Master'!$A$2:$B$13,2,FALSE),'Table4 Structured'!$D$1:$O$1,0)),0)</x:f>
        <x:v>173</x:v>
      </x:c>
      <x:c r="D12" s="66" t="n">
        <x:f>IF(B12=0,0,C12/B12*10000)</x:f>
        <x:v>7.324301439458087</x:v>
      </x:c>
      <x:c r="E12" s="84" t="n">
        <x:f>IFERROR(INDEX('Demand Proxy 2017'!$E$2:$P$100,MATCH($B$5,'Demand Proxy 2017'!$B$2:$B$100,0),MATCH(A12,'Demand Proxy 2017'!$E$1:$P$1,0)),0)</x:f>
        <x:v>218.7</x:v>
      </x:c>
      <x:c r="F12" s="20" t="n">
        <x:f>VLOOKUP(A12,'Governorate Master'!$A$2:$Q$13,15,FALSE)</x:f>
        <x:v>-0.18823529411764706</x:v>
      </x:c>
      <x:c r="G12" s="67" t="n">
        <x:f>IF(MAX($B$9:$B$20)=MIN($B$9:$B$20),50,(B12-MIN($B$9:$B$20))/(MAX($B$9:$B$20)-MIN($B$9:$B$20))*100)</x:f>
        <x:v>2.3729091169666074</x:v>
      </x:c>
      <x:c r="H12" s="67" t="n">
        <x:f>IF(MAX($E$9:$E$20)=MIN($E$9:$E$20),50,(E12-MIN($E$9:$E$20))/(MAX($E$9:$E$20)-MIN($E$9:$E$20))*100)</x:f>
        <x:v>48.837209302325576</x:v>
      </x:c>
      <x:c r="I12" s="67" t="n">
        <x:f>IF(MAX($D$9:$D$20)=MIN($D$9:$D$20),50,(MAX($D$9:$D$20)-D12)/(MAX($D$9:$D$20)-MIN($D$9:$D$20))*100)</x:f>
        <x:v>25.89293291622896</x:v>
      </x:c>
      <x:c r="J12" s="67" t="n">
        <x:f>IF(MAX($F$9:$F$20)=MIN($F$9:$F$20),50,(F12-MIN($F$9:$F$20))/(MAX($F$9:$F$20)-MIN($F$9:$F$20))*100)</x:f>
        <x:v>0</x:v>
      </x:c>
      <x:c r="K12" s="67" t="n">
        <x:f>G12*$E$4+H12*$F$4+I12*$G$4+J12*$H$4</x:f>
        <x:v>19.275762833880286</x:v>
      </x:c>
      <x:c r="L12" s="60" t="n">
        <x:f>1+COUNTIF($K$9:$K$20,"&gt;"&amp;K12)</x:f>
        <x:v>11</x:v>
      </x:c>
      <x:c r="M12" s="67" t="n">
        <x:f>G12*$E$5+H12*$F$5+I12*$G$5+J12*$H$5</x:f>
        <x:v>26.482698773380793</x:v>
      </x:c>
      <x:c r="N12" s="60" t="n">
        <x:f>1+COUNTIF($M$9:$M$20,"&gt;"&amp;M12)</x:f>
        <x:v>8</x:v>
      </x:c>
      <x:c r="O12" s="67" t="n">
        <x:f>G12*$E$6+H12*$F$6+I12*$G$6+J12*$H$6</x:f>
        <x:v>23.0410573154663</x:v>
      </x:c>
      <x:c r="P12" s="60" t="n">
        <x:f>1+COUNTIF($O$9:$O$20,"&gt;"&amp;O12)</x:f>
        <x:v>10</x:v>
      </x:c>
      <x:c r="Q12" s="60" t="n">
        <x:f>MAX(L12,N12,P12)-MIN(L12,N12,P12)</x:f>
        <x:v>3</x:v>
      </x:c>
    </x:row>
    <x:row r="13">
      <x:c r="A13" s="12" t="str">
        <x:v>إربد</x:v>
      </x:c>
      <x:c r="B13" s="14" t="n">
        <x:f>VLOOKUP(A13,'Governorate Master'!$A$2:$Q$13,3,FALSE)</x:f>
        <x:v>2210500</x:v>
      </x:c>
      <x:c r="C13" s="14" t="n">
        <x:f>IFERROR(INDEX('Table4 Structured'!$D$2:$O$500,MATCH($B$3,'Table4 Structured'!$A$2:$A$500,0),MATCH(VLOOKUP(A13,'Governorate Master'!$A$2:$B$13,2,FALSE),'Table4 Structured'!$D$1:$O$1,0)),0)</x:f>
        <x:v>933</x:v>
      </x:c>
      <x:c r="D13" s="66" t="n">
        <x:f>IF(B13=0,0,C13/B13*10000)</x:f>
        <x:v>4.220764532911106</x:v>
      </x:c>
      <x:c r="E13" s="84" t="n">
        <x:f>IFERROR(INDEX('Demand Proxy 2017'!$E$2:$P$100,MATCH($B$5,'Demand Proxy 2017'!$B$2:$B$100,0),MATCH(A13,'Demand Proxy 2017'!$E$1:$P$1,0)),0)</x:f>
        <x:v>167.9</x:v>
      </x:c>
      <x:c r="F13" s="20" t="n">
        <x:f>VLOOKUP(A13,'Governorate Master'!$A$2:$Q$13,15,FALSE)</x:f>
        <x:v>0.07086922474549726</x:v>
      </x:c>
      <x:c r="G13" s="67" t="n">
        <x:f>IF(MAX($B$9:$B$20)=MIN($B$9:$B$20),50,(B13-MIN($B$9:$B$20))/(MAX($B$9:$B$20)-MIN($B$9:$B$20))*100)</x:f>
        <x:v>42.79425915689045</x:v>
      </x:c>
      <x:c r="H13" s="67" t="n">
        <x:f>IF(MAX($E$9:$E$20)=MIN($E$9:$E$20),50,(E13-MIN($E$9:$E$20))/(MAX($E$9:$E$20)-MIN($E$9:$E$20))*100)</x:f>
        <x:v>30.661896243291594</x:v>
      </x:c>
      <x:c r="I13" s="67" t="n">
        <x:f>IF(MAX($D$9:$D$20)=MIN($D$9:$D$20),50,(MAX($D$9:$D$20)-D13)/(MAX($D$9:$D$20)-MIN($D$9:$D$20))*100)</x:f>
        <x:v>83.11793075869538</x:v>
      </x:c>
      <x:c r="J13" s="67" t="n">
        <x:f>IF(MAX($F$9:$F$20)=MIN($F$9:$F$20),50,(F13-MIN($F$9:$F$20))/(MAX($F$9:$F$20)-MIN($F$9:$F$20))*100)</x:f>
        <x:v>69.50991037696225</x:v>
      </x:c>
      <x:c r="K13" s="67" t="n">
        <x:f>G13*$E$4+H13*$F$4+I13*$G$4+J13*$H$4</x:f>
        <x:v>56.52099913395992</x:v>
      </x:c>
      <x:c r="L13" s="60" t="n">
        <x:f>1+COUNTIF($K$9:$K$20,"&gt;"&amp;K13)</x:f>
        <x:v>3</x:v>
      </x:c>
      <x:c r="M13" s="67" t="n">
        <x:f>G13*$E$5+H13*$F$5+I13*$G$5+J13*$H$5</x:f>
        <x:v>52.02957957491291</x:v>
      </x:c>
      <x:c r="N13" s="60" t="n">
        <x:f>1+COUNTIF($M$9:$M$20,"&gt;"&amp;M13)</x:f>
        <x:v>3</x:v>
      </x:c>
      <x:c r="O13" s="67" t="n">
        <x:f>G13*$E$6+H13*$F$6+I13*$G$6+J13*$H$6</x:f>
        <x:v>59.89798475222348</x:v>
      </x:c>
      <x:c r="P13" s="60" t="n">
        <x:f>1+COUNTIF($O$9:$O$20,"&gt;"&amp;O13)</x:f>
        <x:v>3</x:v>
      </x:c>
      <x:c r="Q13" s="60" t="n">
        <x:f>MAX(L13,N13,P13)-MIN(L13,N13,P13)</x:f>
        <x:v>0</x:v>
      </x:c>
    </x:row>
    <x:row r="14">
      <x:c r="A14" s="12" t="str">
        <x:v>المفرق</x:v>
      </x:c>
      <x:c r="B14" s="14" t="n">
        <x:f>VLOOKUP(A14,'Governorate Master'!$A$2:$Q$13,3,FALSE)</x:f>
        <x:v>686800</x:v>
      </x:c>
      <x:c r="C14" s="14" t="n">
        <x:f>IFERROR(INDEX('Table4 Structured'!$D$2:$O$500,MATCH($B$3,'Table4 Structured'!$A$2:$A$500,0),MATCH(VLOOKUP(A14,'Governorate Master'!$A$2:$B$13,2,FALSE),'Table4 Structured'!$D$1:$O$1,0)),0)</x:f>
        <x:v>227</x:v>
      </x:c>
      <x:c r="D14" s="66" t="n">
        <x:f>IF(B14=0,0,C14/B14*10000)</x:f>
        <x:v>3.305183459522423</x:v>
      </x:c>
      <x:c r="E14" s="84" t="n">
        <x:f>IFERROR(INDEX('Demand Proxy 2017'!$E$2:$P$100,MATCH($B$5,'Demand Proxy 2017'!$B$2:$B$100,0),MATCH(A14,'Demand Proxy 2017'!$E$1:$P$1,0)),0)</x:f>
        <x:v>132.2</x:v>
      </x:c>
      <x:c r="F14" s="20" t="n">
        <x:f>VLOOKUP(A14,'Governorate Master'!$A$2:$Q$13,15,FALSE)</x:f>
        <x:v>-0.016638935108153077</x:v>
      </x:c>
      <x:c r="G14" s="67" t="n">
        <x:f>IF(MAX($B$9:$B$20)=MIN($B$9:$B$20),50,(B14-MIN($B$9:$B$20))/(MAX($B$9:$B$20)-MIN($B$9:$B$20))*100)</x:f>
        <x:v>11.598386667485618</x:v>
      </x:c>
      <x:c r="H14" s="67" t="n">
        <x:f>IF(MAX($E$9:$E$20)=MIN($E$9:$E$20),50,(E14-MIN($E$9:$E$20))/(MAX($E$9:$E$20)-MIN($E$9:$E$20))*100)</x:f>
        <x:v>17.88908765652951</x:v>
      </x:c>
      <x:c r="I14" s="67" t="n">
        <x:f>IF(MAX($D$9:$D$20)=MIN($D$9:$D$20),50,(MAX($D$9:$D$20)-D14)/(MAX($D$9:$D$20)-MIN($D$9:$D$20))*100)</x:f>
        <x:v>100</x:v>
      </x:c>
      <x:c r="J14" s="67" t="n">
        <x:f>IF(MAX($F$9:$F$20)=MIN($F$9:$F$20),50,(F14-MIN($F$9:$F$20))/(MAX($F$9:$F$20)-MIN($F$9:$F$20))*100)</x:f>
        <x:v>46.034116224977915</x:v>
      </x:c>
      <x:c r="K14" s="67" t="n">
        <x:f>G14*$E$4+H14*$F$4+I14*$G$4+J14*$H$4</x:f>
        <x:v>43.88039763724826</x:v>
      </x:c>
      <x:c r="L14" s="60" t="n">
        <x:f>1+COUNTIF($K$9:$K$20,"&gt;"&amp;K14)</x:f>
        <x:v>4</x:v>
      </x:c>
      <x:c r="M14" s="67" t="n">
        <x:f>G14*$E$5+H14*$F$5+I14*$G$5+J14*$H$5</x:f>
        <x:v>41.38042982985562</x:v>
      </x:c>
      <x:c r="N14" s="60" t="n">
        <x:f>1+COUNTIF($M$9:$M$20,"&gt;"&amp;M14)</x:f>
        <x:v>4</x:v>
      </x:c>
      <x:c r="O14" s="67" t="n">
        <x:f>G14*$E$6+H14*$F$6+I14*$G$6+J14*$H$6</x:f>
        <x:v>53.69706668137619</x:v>
      </x:c>
      <x:c r="P14" s="60" t="n">
        <x:f>1+COUNTIF($O$9:$O$20,"&gt;"&amp;O14)</x:f>
        <x:v>4</x:v>
      </x:c>
      <x:c r="Q14" s="60" t="n">
        <x:f>MAX(L14,N14,P14)-MIN(L14,N14,P14)</x:f>
        <x:v>0</x:v>
      </x:c>
    </x:row>
    <x:row r="15">
      <x:c r="A15" s="12" t="str">
        <x:v>جرش</x:v>
      </x:c>
      <x:c r="B15" s="14" t="n">
        <x:f>VLOOKUP(A15,'Governorate Master'!$A$2:$Q$13,3,FALSE)</x:f>
        <x:v>296000</x:v>
      </x:c>
      <x:c r="C15" s="14" t="n">
        <x:f>IFERROR(INDEX('Table4 Structured'!$D$2:$O$500,MATCH($B$3,'Table4 Structured'!$A$2:$A$500,0),MATCH(VLOOKUP(A15,'Governorate Master'!$A$2:$B$13,2,FALSE),'Table4 Structured'!$D$1:$O$1,0)),0)</x:f>
        <x:v>166</x:v>
      </x:c>
      <x:c r="D15" s="66" t="n">
        <x:f>IF(B15=0,0,C15/B15*10000)</x:f>
        <x:v>5.608108108108108</x:v>
      </x:c>
      <x:c r="E15" s="84" t="n">
        <x:f>IFERROR(INDEX('Demand Proxy 2017'!$E$2:$P$100,MATCH($B$5,'Demand Proxy 2017'!$B$2:$B$100,0),MATCH(A15,'Demand Proxy 2017'!$E$1:$P$1,0)),0)</x:f>
        <x:v>128.2</x:v>
      </x:c>
      <x:c r="F15" s="20" t="n">
        <x:f>VLOOKUP(A15,'Governorate Master'!$A$2:$Q$13,15,FALSE)</x:f>
        <x:v>-0.06527415143603134</x:v>
      </x:c>
      <x:c r="G15" s="67" t="n">
        <x:f>IF(MAX($B$9:$B$20)=MIN($B$9:$B$20),50,(B15-MIN($B$9:$B$20))/(MAX($B$9:$B$20)-MIN($B$9:$B$20))*100)</x:f>
        <x:v>3.5972401367647358</x:v>
      </x:c>
      <x:c r="H15" s="67" t="n">
        <x:f>IF(MAX($E$9:$E$20)=MIN($E$9:$E$20),50,(E15-MIN($E$9:$E$20))/(MAX($E$9:$E$20)-MIN($E$9:$E$20))*100)</x:f>
        <x:v>16.457960644007148</x:v>
      </x:c>
      <x:c r="I15" s="67" t="n">
        <x:f>IF(MAX($D$9:$D$20)=MIN($D$9:$D$20),50,(MAX($D$9:$D$20)-D15)/(MAX($D$9:$D$20)-MIN($D$9:$D$20))*100)</x:f>
        <x:v>57.53720287048127</x:v>
      </x:c>
      <x:c r="J15" s="67" t="n">
        <x:f>IF(MAX($F$9:$F$20)=MIN($F$9:$F$20),50,(F15-MIN($F$9:$F$20))/(MAX($F$9:$F$20)-MIN($F$9:$F$20))*100)</x:f>
        <x:v>32.98675779623281</x:v>
      </x:c>
      <x:c r="K15" s="67" t="n">
        <x:f>G15*$E$4+H15*$F$4+I15*$G$4+J15*$H$4</x:f>
        <x:v>27.644790361871493</x:v>
      </x:c>
      <x:c r="L15" s="60" t="n">
        <x:f>1+COUNTIF($K$9:$K$20,"&gt;"&amp;K15)</x:f>
        <x:v>10</x:v>
      </x:c>
      <x:c r="M15" s="67" t="n">
        <x:f>G15*$E$5+H15*$F$5+I15*$G$5+J15*$H$5</x:f>
        <x:v>26.634946672011047</x:v>
      </x:c>
      <x:c r="N15" s="60" t="n">
        <x:f>1+COUNTIF($M$9:$M$20,"&gt;"&amp;M15)</x:f>
        <x:v>7</x:v>
      </x:c>
      <x:c r="O15" s="67" t="n">
        <x:f>G15*$E$6+H15*$F$6+I15*$G$6+J15*$H$6</x:f>
        <x:v>32.796833005982165</x:v>
      </x:c>
      <x:c r="P15" s="60" t="n">
        <x:f>1+COUNTIF($O$9:$O$20,"&gt;"&amp;O15)</x:f>
        <x:v>7</x:v>
      </x:c>
      <x:c r="Q15" s="60" t="n">
        <x:f>MAX(L15,N15,P15)-MIN(L15,N15,P15)</x:f>
        <x:v>3</x:v>
      </x:c>
    </x:row>
    <x:row r="16">
      <x:c r="A16" s="12" t="str">
        <x:v>عجلون</x:v>
      </x:c>
      <x:c r="B16" s="14" t="n">
        <x:f>VLOOKUP(A16,'Governorate Master'!$A$2:$Q$13,3,FALSE)</x:f>
        <x:v>219900</x:v>
      </x:c>
      <x:c r="C16" s="14" t="n">
        <x:f>IFERROR(INDEX('Table4 Structured'!$D$2:$O$500,MATCH($B$3,'Table4 Structured'!$A$2:$A$500,0),MATCH(VLOOKUP(A16,'Governorate Master'!$A$2:$B$13,2,FALSE),'Table4 Structured'!$D$1:$O$1,0)),0)</x:f>
        <x:v>128</x:v>
      </x:c>
      <x:c r="D16" s="66" t="n">
        <x:f>IF(B16=0,0,C16/B16*10000)</x:f>
        <x:v>5.820827648931332</x:v>
      </x:c>
      <x:c r="E16" s="84" t="n">
        <x:f>IFERROR(INDEX('Demand Proxy 2017'!$E$2:$P$100,MATCH($B$5,'Demand Proxy 2017'!$B$2:$B$100,0),MATCH(A16,'Demand Proxy 2017'!$E$1:$P$1,0)),0)</x:f>
        <x:v>111.8</x:v>
      </x:c>
      <x:c r="F16" s="20" t="n">
        <x:f>VLOOKUP(A16,'Governorate Master'!$A$2:$Q$13,15,FALSE)</x:f>
        <x:v>0.03614457831325301</x:v>
      </x:c>
      <x:c r="G16" s="67" t="n">
        <x:f>IF(MAX($B$9:$B$20)=MIN($B$9:$B$20),50,(B16-MIN($B$9:$B$20))/(MAX($B$9:$B$20)-MIN($B$9:$B$20))*100)</x:f>
        <x:v>2.0391867821386893</x:v>
      </x:c>
      <x:c r="H16" s="67" t="n">
        <x:f>IF(MAX($E$9:$E$20)=MIN($E$9:$E$20),50,(E16-MIN($E$9:$E$20))/(MAX($E$9:$E$20)-MIN($E$9:$E$20))*100)</x:f>
        <x:v>10.590339892665472</x:v>
      </x:c>
      <x:c r="I16" s="67" t="n">
        <x:f>IF(MAX($D$9:$D$20)=MIN($D$9:$D$20),50,(MAX($D$9:$D$20)-D16)/(MAX($D$9:$D$20)-MIN($D$9:$D$20))*100)</x:f>
        <x:v>53.614943966783216</x:v>
      </x:c>
      <x:c r="J16" s="67" t="n">
        <x:f>IF(MAX($F$9:$F$20)=MIN($F$9:$F$20),50,(F16-MIN($F$9:$F$20))/(MAX($F$9:$F$20)-MIN($F$9:$F$20))*100)</x:f>
        <x:v>60.194337372031804</x:v>
      </x:c>
      <x:c r="K16" s="67" t="n">
        <x:f>G16*$E$4+H16*$F$4+I16*$G$4+J16*$H$4</x:f>
        <x:v>31.6097020034048</x:v>
      </x:c>
      <x:c r="L16" s="60" t="n">
        <x:f>1+COUNTIF($K$9:$K$20,"&gt;"&amp;K16)</x:f>
        <x:v>7</x:v>
      </x:c>
      <x:c r="M16" s="67" t="n">
        <x:f>G16*$E$5+H16*$F$5+I16*$G$5+J16*$H$5</x:f>
        <x:v>27.0768599109945</x:v>
      </x:c>
      <x:c r="N16" s="60" t="n">
        <x:f>1+COUNTIF($M$9:$M$20,"&gt;"&amp;M16)</x:f>
        <x:v>6</x:v>
      </x:c>
      <x:c r="O16" s="67" t="n">
        <x:f>G16*$E$6+H16*$F$6+I16*$G$6+J16*$H$6</x:f>
        <x:v>33.530550522112165</x:v>
      </x:c>
      <x:c r="P16" s="60" t="n">
        <x:f>1+COUNTIF($O$9:$O$20,"&gt;"&amp;O16)</x:f>
        <x:v>6</x:v>
      </x:c>
      <x:c r="Q16" s="60" t="n">
        <x:f>MAX(L16,N16,P16)-MIN(L16,N16,P16)</x:f>
        <x:v>1</x:v>
      </x:c>
    </x:row>
    <x:row r="17">
      <x:c r="A17" s="12" t="str">
        <x:v>الكرك</x:v>
      </x:c>
      <x:c r="B17" s="14" t="n">
        <x:f>VLOOKUP(A17,'Governorate Master'!$A$2:$Q$13,3,FALSE)</x:f>
        <x:v>395400</x:v>
      </x:c>
      <x:c r="C17" s="14" t="n">
        <x:f>IFERROR(INDEX('Table4 Structured'!$D$2:$O$500,MATCH($B$3,'Table4 Structured'!$A$2:$A$500,0),MATCH(VLOOKUP(A17,'Governorate Master'!$A$2:$B$13,2,FALSE),'Table4 Structured'!$D$1:$O$1,0)),0)</x:f>
        <x:v>207</x:v>
      </x:c>
      <x:c r="D17" s="66" t="n">
        <x:f>IF(B17=0,0,C17/B17*10000)</x:f>
        <x:v>5.235204855842185</x:v>
      </x:c>
      <x:c r="E17" s="84" t="n">
        <x:f>IFERROR(INDEX('Demand Proxy 2017'!$E$2:$P$100,MATCH($B$5,'Demand Proxy 2017'!$B$2:$B$100,0),MATCH(A17,'Demand Proxy 2017'!$E$1:$P$1,0)),0)</x:f>
        <x:v>104.1</x:v>
      </x:c>
      <x:c r="F17" s="20" t="n">
        <x:f>VLOOKUP(A17,'Governorate Master'!$A$2:$Q$13,15,FALSE)</x:f>
        <x:v>0.08710801393728224</x:v>
      </x:c>
      <x:c r="G17" s="67" t="n">
        <x:f>IF(MAX($B$9:$B$20)=MIN($B$9:$B$20),50,(B17-MIN($B$9:$B$20))/(MAX($B$9:$B$20)-MIN($B$9:$B$20))*100)</x:f>
        <x:v>5.632332166328849</x:v>
      </x:c>
      <x:c r="H17" s="67" t="n">
        <x:f>IF(MAX($E$9:$E$20)=MIN($E$9:$E$20),50,(E17-MIN($E$9:$E$20))/(MAX($E$9:$E$20)-MIN($E$9:$E$20))*100)</x:f>
        <x:v>7.835420393559925</x:v>
      </x:c>
      <x:c r="I17" s="67" t="n">
        <x:f>IF(MAX($D$9:$D$20)=MIN($D$9:$D$20),50,(MAX($D$9:$D$20)-D17)/(MAX($D$9:$D$20)-MIN($D$9:$D$20))*100)</x:f>
        <x:v>64.41303146506002</x:v>
      </x:c>
      <x:c r="J17" s="67" t="n">
        <x:f>IF(MAX($F$9:$F$20)=MIN($F$9:$F$20),50,(F17-MIN($F$9:$F$20))/(MAX($F$9:$F$20)-MIN($F$9:$F$20))*100)</x:f>
        <x:v>73.86628666211517</x:v>
      </x:c>
      <x:c r="K17" s="67" t="n">
        <x:f>G17*$E$4+H17*$F$4+I17*$G$4+J17*$H$4</x:f>
        <x:v>37.93676767176599</x:v>
      </x:c>
      <x:c r="L17" s="60" t="n">
        <x:f>1+COUNTIF($K$9:$K$20,"&gt;"&amp;K17)</x:f>
        <x:v>5</x:v>
      </x:c>
      <x:c r="M17" s="67" t="n">
        <x:f>G17*$E$5+H17*$F$5+I17*$G$5+J17*$H$5</x:f>
        <x:v>31.44383545627202</x:v>
      </x:c>
      <x:c r="N17" s="60" t="n">
        <x:f>1+COUNTIF($M$9:$M$20,"&gt;"&amp;M17)</x:f>
        <x:v>5</x:v>
      </x:c>
      <x:c r="O17" s="67" t="n">
        <x:f>G17*$E$6+H17*$F$6+I17*$G$6+J17*$H$6</x:f>
        <x:v>39.93047711699703</x:v>
      </x:c>
      <x:c r="P17" s="60" t="n">
        <x:f>1+COUNTIF($O$9:$O$20,"&gt;"&amp;O17)</x:f>
        <x:v>5</x:v>
      </x:c>
      <x:c r="Q17" s="60" t="n">
        <x:f>MAX(L17,N17,P17)-MIN(L17,N17,P17)</x:f>
        <x:v>0</x:v>
      </x:c>
    </x:row>
    <x:row r="18">
      <x:c r="A18" s="12" t="str">
        <x:v>الطفيلة</x:v>
      </x:c>
      <x:c r="B18" s="14" t="n">
        <x:f>VLOOKUP(A18,'Governorate Master'!$A$2:$Q$13,3,FALSE)</x:f>
        <x:v>120300</x:v>
      </x:c>
      <x:c r="C18" s="14" t="n">
        <x:f>IFERROR(INDEX('Table4 Structured'!$D$2:$O$500,MATCH($B$3,'Table4 Structured'!$A$2:$A$500,0),MATCH(VLOOKUP(A18,'Governorate Master'!$A$2:$B$13,2,FALSE),'Table4 Structured'!$D$1:$O$1,0)),0)</x:f>
        <x:v>95</x:v>
      </x:c>
      <x:c r="D18" s="66" t="n">
        <x:f>IF(B18=0,0,C18/B18*10000)</x:f>
        <x:v>7.896924355777224</x:v>
      </x:c>
      <x:c r="E18" s="84" t="n">
        <x:f>IFERROR(INDEX('Demand Proxy 2017'!$E$2:$P$100,MATCH($B$5,'Demand Proxy 2017'!$B$2:$B$100,0),MATCH(A18,'Demand Proxy 2017'!$E$1:$P$1,0)),0)</x:f>
        <x:v>82.2</x:v>
      </x:c>
      <x:c r="F18" s="20" t="n">
        <x:f>VLOOKUP(A18,'Governorate Master'!$A$2:$Q$13,15,FALSE)</x:f>
        <x:v>0.18452380952380953</x:v>
      </x:c>
      <x:c r="G18" s="67" t="n">
        <x:f>IF(MAX($B$9:$B$20)=MIN($B$9:$B$20),50,(B18-MIN($B$9:$B$20))/(MAX($B$9:$B$20)-MIN($B$9:$B$20))*100)</x:f>
        <x:v>0</x:v>
      </x:c>
      <x:c r="H18" s="67" t="n">
        <x:f>IF(MAX($E$9:$E$20)=MIN($E$9:$E$20),50,(E18-MIN($E$9:$E$20))/(MAX($E$9:$E$20)-MIN($E$9:$E$20))*100)</x:f>
        <x:v>0</x:v>
      </x:c>
      <x:c r="I18" s="67" t="n">
        <x:f>IF(MAX($D$9:$D$20)=MIN($D$9:$D$20),50,(MAX($D$9:$D$20)-D18)/(MAX($D$9:$D$20)-MIN($D$9:$D$20))*100)</x:f>
        <x:v>15.334545457783118</x:v>
      </x:c>
      <x:c r="J18" s="67" t="n">
        <x:f>IF(MAX($F$9:$F$20)=MIN($F$9:$F$20),50,(F18-MIN($F$9:$F$20))/(MAX($F$9:$F$20)-MIN($F$9:$F$20))*100)</x:f>
        <x:v>100</x:v>
      </x:c>
      <x:c r="K18" s="67" t="n">
        <x:f>G18*$E$4+H18*$F$4+I18*$G$4+J18*$H$4</x:f>
        <x:v>28.83363636444578</x:v>
      </x:c>
      <x:c r="L18" s="60" t="n">
        <x:f>1+COUNTIF($K$9:$K$20,"&gt;"&amp;K18)</x:f>
        <x:v>9</x:v>
      </x:c>
      <x:c r="M18" s="67" t="n">
        <x:f>G18*$E$5+H18*$F$5+I18*$G$5+J18*$H$5</x:f>
        <x:v>18.83363636444578</x:v>
      </x:c>
      <x:c r="N18" s="60" t="n">
        <x:f>1+COUNTIF($M$9:$M$20,"&gt;"&amp;M18)</x:f>
        <x:v>11</x:v>
      </x:c>
      <x:c r="O18" s="67" t="n">
        <x:f>G18*$E$6+H18*$F$6+I18*$G$6+J18*$H$6</x:f>
        <x:v>21.13381818311325</x:v>
      </x:c>
      <x:c r="P18" s="60" t="n">
        <x:f>1+COUNTIF($O$9:$O$20,"&gt;"&amp;O18)</x:f>
        <x:v>11</x:v>
      </x:c>
      <x:c r="Q18" s="60" t="n">
        <x:f>MAX(L18,N18,P18)-MIN(L18,N18,P18)</x:f>
        <x:v>2</x:v>
      </x:c>
    </x:row>
    <x:row r="19">
      <x:c r="A19" s="12" t="str">
        <x:v>معان</x:v>
      </x:c>
      <x:c r="B19" s="14" t="n">
        <x:f>VLOOKUP(A19,'Governorate Master'!$A$2:$Q$13,3,FALSE)</x:f>
        <x:v>197900</x:v>
      </x:c>
      <x:c r="C19" s="14" t="n">
        <x:f>IFERROR(INDEX('Table4 Structured'!$D$2:$O$500,MATCH($B$3,'Table4 Structured'!$A$2:$A$500,0),MATCH(VLOOKUP(A19,'Governorate Master'!$A$2:$B$13,2,FALSE),'Table4 Structured'!$D$1:$O$1,0)),0)</x:f>
        <x:v>116</x:v>
      </x:c>
      <x:c r="D19" s="66" t="n">
        <x:f>IF(B19=0,0,C19/B19*10000)</x:f>
        <x:v>5.861546235472461</x:v>
      </x:c>
      <x:c r="E19" s="84" t="n">
        <x:f>IFERROR(INDEX('Demand Proxy 2017'!$E$2:$P$100,MATCH($B$5,'Demand Proxy 2017'!$B$2:$B$100,0),MATCH(A19,'Demand Proxy 2017'!$E$1:$P$1,0)),0)</x:f>
        <x:v>96.2</x:v>
      </x:c>
      <x:c r="F19" s="20" t="n">
        <x:f>VLOOKUP(A19,'Governorate Master'!$A$2:$Q$13,15,FALSE)</x:f>
        <x:v>0.026845637583892617</x:v>
      </x:c>
      <x:c r="G19" s="67" t="n">
        <x:f>IF(MAX($B$9:$B$20)=MIN($B$9:$B$20),50,(B19-MIN($B$9:$B$20))/(MAX($B$9:$B$20)-MIN($B$9:$B$20))*100)</x:f>
        <x:v>1.5887639989353644</x:v>
      </x:c>
      <x:c r="H19" s="67" t="n">
        <x:f>IF(MAX($E$9:$E$20)=MIN($E$9:$E$20),50,(E19-MIN($E$9:$E$20))/(MAX($E$9:$E$20)-MIN($E$9:$E$20))*100)</x:f>
        <x:v>5.008944543828265</x:v>
      </x:c>
      <x:c r="I19" s="67" t="n">
        <x:f>IF(MAX($D$9:$D$20)=MIN($D$9:$D$20),50,(MAX($D$9:$D$20)-D19)/(MAX($D$9:$D$20)-MIN($D$9:$D$20))*100)</x:f>
        <x:v>52.86414863322396</x:v>
      </x:c>
      <x:c r="J19" s="67" t="n">
        <x:f>IF(MAX($F$9:$F$20)=MIN($F$9:$F$20),50,(F19-MIN($F$9:$F$20))/(MAX($F$9:$F$20)-MIN($F$9:$F$20))*100)</x:f>
        <x:v>57.69971265635894</x:v>
      </x:c>
      <x:c r="K19" s="67" t="n">
        <x:f>G19*$E$4+H19*$F$4+I19*$G$4+J19*$H$4</x:f>
        <x:v>29.290392458086632</x:v>
      </x:c>
      <x:c r="L19" s="60" t="n">
        <x:f>1+COUNTIF($K$9:$K$20,"&gt;"&amp;K19)</x:f>
        <x:v>8</x:v>
      </x:c>
      <x:c r="M19" s="67" t="n">
        <x:f>G19*$E$5+H19*$F$5+I19*$G$5+J19*$H$5</x:f>
        <x:v>24.19232467407821</x:v>
      </x:c>
      <x:c r="N19" s="60" t="n">
        <x:f>1+COUNTIF($M$9:$M$20,"&gt;"&amp;M19)</x:f>
        <x:v>10</x:v>
      </x:c>
      <x:c r="O19" s="67" t="n">
        <x:f>G19*$E$6+H19*$F$6+I19*$G$6+J19*$H$6</x:f>
        <x:v>31.370605287487564</x:v>
      </x:c>
      <x:c r="P19" s="60" t="n">
        <x:f>1+COUNTIF($O$9:$O$20,"&gt;"&amp;O19)</x:f>
        <x:v>8</x:v>
      </x:c>
      <x:c r="Q19" s="60" t="n">
        <x:f>MAX(L19,N19,P19)-MIN(L19,N19,P19)</x:f>
        <x:v>2</x:v>
      </x:c>
    </x:row>
    <x:row r="20">
      <x:c r="A20" s="12" t="str">
        <x:v>العقبة</x:v>
      </x:c>
      <x:c r="B20" s="14" t="n">
        <x:f>VLOOKUP(A20,'Governorate Master'!$A$2:$Q$13,3,FALSE)</x:f>
        <x:v>250900</x:v>
      </x:c>
      <x:c r="C20" s="14" t="n">
        <x:f>IFERROR(INDEX('Table4 Structured'!$D$2:$O$500,MATCH($B$3,'Table4 Structured'!$A$2:$A$500,0),MATCH(VLOOKUP(A20,'Governorate Master'!$A$2:$B$13,2,FALSE),'Table4 Structured'!$D$1:$O$1,0)),0)</x:f>
        <x:v>219</x:v>
      </x:c>
      <x:c r="D20" s="66" t="n">
        <x:f>IF(B20=0,0,C20/B20*10000)</x:f>
        <x:v>8.728577122359505</x:v>
      </x:c>
      <x:c r="E20" s="84" t="n">
        <x:f>IFERROR(INDEX('Demand Proxy 2017'!$E$2:$P$100,MATCH($B$5,'Demand Proxy 2017'!$B$2:$B$100,0),MATCH(A20,'Demand Proxy 2017'!$E$1:$P$1,0)),0)</x:f>
        <x:v>125.1</x:v>
      </x:c>
      <x:c r="F20" s="20" t="n">
        <x:f>VLOOKUP(A20,'Governorate Master'!$A$2:$Q$13,15,FALSE)</x:f>
        <x:v>-0.09</x:v>
      </x:c>
      <x:c r="G20" s="67" t="n">
        <x:f>IF(MAX($B$9:$B$20)=MIN($B$9:$B$20),50,(B20-MIN($B$9:$B$20))/(MAX($B$9:$B$20)-MIN($B$9:$B$20))*100)</x:f>
        <x:v>2.67387343119792</x:v>
      </x:c>
      <x:c r="H20" s="67" t="n">
        <x:f>IF(MAX($E$9:$E$20)=MIN($E$9:$E$20),50,(E20-MIN($E$9:$E$20))/(MAX($E$9:$E$20)-MIN($E$9:$E$20))*100)</x:f>
        <x:v>15.34883720930232</x:v>
      </x:c>
      <x:c r="I20" s="67" t="n">
        <x:f>IF(MAX($D$9:$D$20)=MIN($D$9:$D$20),50,(MAX($D$9:$D$20)-D20)/(MAX($D$9:$D$20)-MIN($D$9:$D$20))*100)</x:f>
        <x:v>0</x:v>
      </x:c>
      <x:c r="J20" s="67" t="n">
        <x:f>IF(MAX($F$9:$F$20)=MIN($F$9:$F$20),50,(F20-MIN($F$9:$F$20))/(MAX($F$9:$F$20)-MIN($F$9:$F$20))*100)</x:f>
        <x:v>26.353560022543675</x:v>
      </x:c>
      <x:c r="K20" s="67" t="n">
        <x:f>G20*$E$4+H20*$F$4+I20*$G$4+J20*$H$4</x:f>
        <x:v>11.094067665760978</x:v>
      </x:c>
      <x:c r="L20" s="60" t="n">
        <x:f>1+COUNTIF($K$9:$K$20,"&gt;"&amp;K20)</x:f>
        <x:v>12</x:v>
      </x:c>
      <x:c r="M20" s="67" t="n">
        <x:f>G20*$E$5+H20*$F$5+I20*$G$5+J20*$H$5</x:f>
        <x:v>10.627343573342063</x:v>
      </x:c>
      <x:c r="N20" s="60" t="n">
        <x:f>1+COUNTIF($M$9:$M$20,"&gt;"&amp;M20)</x:f>
        <x:v>12</x:v>
      </x:c>
      <x:c r="O20" s="67" t="n">
        <x:f>G20*$E$6+H20*$F$6+I20*$G$6+J20*$H$6</x:f>
        <x:v>8.325017991946716</x:v>
      </x:c>
      <x:c r="P20" s="60" t="n">
        <x:f>1+COUNTIF($O$9:$O$20,"&gt;"&amp;O20)</x:f>
        <x:v>12</x:v>
      </x:c>
      <x:c r="Q20" s="60" t="n">
        <x:f>MAX(L20,N20,P20)-MIN(L20,N20,P20)</x:f>
        <x:v>0</x:v>
      </x:c>
    </x:row>
    <x:row r="23">
      <x:c r="A23" s="128" t="str">
        <x:v>How to read the model</x:v>
      </x:c>
    </x:row>
    <x:row r="24">
      <x:c r="A24" s="106" t="str">
        <x:v>Market Score</x:v>
      </x:c>
      <x:c r="B24" s="12" t="str">
        <x:v>Higher population = higher market-size score.</x:v>
      </x:c>
      <x:c r="J24" s="131" t="str">
        <x:v>Source</x:v>
      </x:c>
      <x:c r="K24" s="131" t="str">
        <x:v>URL</x:v>
      </x:c>
    </x:row>
    <x:row r="25">
      <x:c r="A25" s="106" t="str">
        <x:v>Demand Score</x:v>
      </x:c>
      <x:c r="B25" s="12" t="str">
        <x:v>Higher historical household spending in the selected category = higher demand score.</x:v>
      </x:c>
      <x:c r="J25" s="12" t="str">
        <x:v>Population 2025</x:v>
      </x:c>
      <x:c r="K25" s="12" t="str">
        <x:v>https://dosweb.dos.gov.jo/population/population-2/</x:v>
      </x:c>
    </x:row>
    <x:row r="26">
      <x:c r="A26" s="106" t="str">
        <x:v>Competition Opportunity Score</x:v>
      </x:c>
      <x:c r="B26" s="12" t="str">
        <x:v>Lower historical similar-business density = higher opportunity score; demand is scored separately.</x:v>
      </x:c>
      <x:c r="J26" s="12" t="str">
        <x:v>Active establishments 2018</x:v>
      </x:c>
      <x:c r="K26" s="12" t="str">
        <x:v>https://dosweb.dos.gov.jo/DataBank/Census_Establishment2018/table4.pdf</x:v>
      </x:c>
    </x:row>
    <x:row r="27">
      <x:c r="A27" s="106" t="str">
        <x:v>Trend Score</x:v>
      </x:c>
      <x:c r="B27" s="12" t="str">
        <x:v>Higher recent registration growth = higher trend score.</x:v>
      </x:c>
      <x:c r="J27" s="12" t="str">
        <x:v>Household expenditure 2017</x:v>
      </x:c>
      <x:c r="K27" s="12" t="str">
        <x:v>https://dosweb.dos.gov.jo/DataBank/household/2017/G4/Table6G4_Jor.pdf</x:v>
      </x:c>
    </x:row>
    <x:row r="28">
      <x:c r="A28" s="106" t="str">
        <x:v>Equal Score</x:v>
      </x:c>
      <x:c r="B28" s="12" t="str">
        <x:v>Baseline average of the four scores using 25% each.</x:v>
      </x:c>
      <x:c r="J28" s="12" t="str">
        <x:v>Recent registrations</x:v>
      </x:c>
      <x:c r="K28" s="12" t="str">
        <x:v>https://opendata.gov.jo/</x:v>
      </x:c>
    </x:row>
    <x:row r="29">
      <x:c r="A29" s="106" t="str">
        <x:v>Rank Spread</x:v>
      </x:c>
      <x:c r="B29" s="12" t="str">
        <x:v>Best-to-worst rank difference across the three scenarios. Lower means less sensitivity to the tested weights.</x:v>
      </x:c>
    </x:row>
    <x:row r="30">
      <x:c r="A30" s="106" t="str">
        <x:v>Important</x:v>
      </x:c>
      <x:c r="B30" s="12" t="str">
        <x:v>Prototype only. Historical data are from different years; the score is not a success probability.</x:v>
      </x:c>
    </x:row>
  </x:sheetData>
  <x:mergeCells>
    <x:mergeCell ref="A1:Q1"/>
    <x:mergeCell ref="J3:Q6"/>
    <x:mergeCell ref="A23:Q23"/>
  </x:mergeCells>
  <x:conditionalFormatting sqref="G9:G20">
    <x:cfRule type="colorScale" priority="1">
      <x:colorScale>
        <x:cfvo type="min"/>
        <x:cfvo type="percentile" val="50"/>
        <x:cfvo type="max"/>
        <x:color rgb="FFF8CBAD"/>
        <x:color rgb="FFFFF2CC"/>
        <x:color rgb="FFC6E0B4"/>
      </x:colorScale>
    </x:cfRule>
  </x:conditionalFormatting>
  <x:conditionalFormatting sqref="H9:H20">
    <x:cfRule type="colorScale" priority="2">
      <x:colorScale>
        <x:cfvo type="min"/>
        <x:cfvo type="percentile" val="50"/>
        <x:cfvo type="max"/>
        <x:color rgb="FFF8CBAD"/>
        <x:color rgb="FFFFF2CC"/>
        <x:color rgb="FFC6E0B4"/>
      </x:colorScale>
    </x:cfRule>
  </x:conditionalFormatting>
  <x:conditionalFormatting sqref="I9:I20">
    <x:cfRule type="colorScale" priority="3">
      <x:colorScale>
        <x:cfvo type="min"/>
        <x:cfvo type="percentile" val="50"/>
        <x:cfvo type="max"/>
        <x:color rgb="FFF8CBAD"/>
        <x:color rgb="FFFFF2CC"/>
        <x:color rgb="FFC6E0B4"/>
      </x:colorScale>
    </x:cfRule>
  </x:conditionalFormatting>
  <x:conditionalFormatting sqref="J9:J20">
    <x:cfRule type="colorScale" priority="4">
      <x:colorScale>
        <x:cfvo type="min"/>
        <x:cfvo type="percentile" val="50"/>
        <x:cfvo type="max"/>
        <x:color rgb="FFF8CBAD"/>
        <x:color rgb="FFFFF2CC"/>
        <x:color rgb="FFC6E0B4"/>
      </x:colorScale>
    </x:cfRule>
  </x:conditionalFormatting>
  <x:conditionalFormatting sqref="K9:K20">
    <x:cfRule type="colorScale" priority="5">
      <x:colorScale>
        <x:cfvo type="min"/>
        <x:cfvo type="percentile" val="50"/>
        <x:cfvo type="max"/>
        <x:color rgb="FFF8CBAD"/>
        <x:color rgb="FFFFF2CC"/>
        <x:color rgb="FFC6E0B4"/>
      </x:colorScale>
    </x:cfRule>
  </x:conditionalFormatting>
  <x:conditionalFormatting sqref="M9:M20">
    <x:cfRule type="colorScale" priority="6">
      <x:colorScale>
        <x:cfvo type="min"/>
        <x:cfvo type="percentile" val="50"/>
        <x:cfvo type="max"/>
        <x:color rgb="FFF8CBAD"/>
        <x:color rgb="FFFFF2CC"/>
        <x:color rgb="FFC6E0B4"/>
      </x:colorScale>
    </x:cfRule>
  </x:conditionalFormatting>
  <x:conditionalFormatting sqref="O9:O20">
    <x:cfRule type="colorScale" priority="7">
      <x:colorScale>
        <x:cfvo type="min"/>
        <x:cfvo type="percentile" val="50"/>
        <x:cfvo type="max"/>
        <x:color rgb="FFF8CBAD"/>
        <x:color rgb="FFFFF2CC"/>
        <x:color rgb="FFC6E0B4"/>
      </x:colorScale>
    </x:cfRule>
  </x:conditionalFormatting>
  <x:conditionalFormatting sqref="Q9:Q20">
    <x:cfRule type="dataBar" priority="8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{AC04464F-F262-8397-0837-58917A19FEF8}</x14:id>
        </x:ext>
      </x:extLst>
    </x:cfRule>
  </x:conditionalFormatting>
  <x:dataValidations count="2">
    <x:dataValidation type="list" sqref="B3">
      <x:formula1>'Table4 Structured'!$A$2:$A$500</x:formula1>
    </x:dataValidation>
    <x:dataValidation type="list" sqref="B5">
      <x:formula1>'Demand Proxy 2017'!$B$2:$B$100</x:formula1>
    </x:dataValidation>
  </x:dataValidations>
  <x:pageMargins left="0.7" right="0.7" top="0.75" bottom="0.75" header="0.3" footer="0.3"/>
  <x:drawing xmlns:r="http://schemas.openxmlformats.org/officeDocument/2006/relationships" r:id="R6a8fcb8070bf4167"/>
  <x:tableParts count="1">
    <x:tablePart xmlns:r="http://schemas.openxmlformats.org/officeDocument/2006/relationships" r:id="R7aca41d864484fc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8" id="{AC04464F-F262-8397-0837-58917A19FEF8}">
            <x14:dataBar gradient="1">
              <x14:cfvo type="min"/>
              <x14:cfvo type="max"/>
              <x14:fillColor rgb="FFA02B93"/>
            </x14:dataBar>
          </x14:cfRule>
          <xm:sqref>Q9:Q20</xm:sqref>
        </x14:conditionalFormatting>
      </x14:conditionalFormattings>
    </x:ext>
  </x:extLst>
</x:worksheet>
</file>